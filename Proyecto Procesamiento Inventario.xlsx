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Walde (W)\Backup SQL - DataC\Bdatos\Nuevas Bd\"/>
    </mc:Choice>
  </mc:AlternateContent>
  <bookViews>
    <workbookView xWindow="0" yWindow="0" windowWidth="15270" windowHeight="4485" tabRatio="697" activeTab="5"/>
  </bookViews>
  <sheets>
    <sheet name="Original" sheetId="1" r:id="rId1"/>
    <sheet name="Edit" sheetId="2" r:id="rId2"/>
    <sheet name="Filtros" sheetId="3" r:id="rId3"/>
    <sheet name="Subtot" sheetId="4" r:id="rId4"/>
    <sheet name="Tabla &amp; Graf Dinam" sheetId="7" r:id="rId5"/>
    <sheet name="Fórmulas" sheetId="6" r:id="rId6"/>
    <sheet name="Regresión lineal" sheetId="8" r:id="rId7"/>
    <sheet name="Macros" sheetId="9" r:id="rId8"/>
    <sheet name="Tablero Control" sheetId="10" r:id="rId9"/>
  </sheets>
  <definedNames>
    <definedName name="_xlnm._FilterDatabase" localSheetId="2" hidden="1">Filtros!$A$1:$V$737</definedName>
    <definedName name="_xlnm._FilterDatabase" localSheetId="5" hidden="1">Fórmulas!$A$1:$V$737</definedName>
    <definedName name="_xlnm._FilterDatabase" localSheetId="3" hidden="1">Subtot!$A$1:$V$746</definedName>
    <definedName name="_xlnm._FilterDatabase" localSheetId="4" hidden="1">'Tabla &amp; Graf Dinam'!$A$1:$V$737</definedName>
  </definedName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37" i="8" l="1"/>
  <c r="N737" i="8"/>
  <c r="O736" i="8"/>
  <c r="N736" i="8"/>
  <c r="O735" i="8"/>
  <c r="N735" i="8"/>
  <c r="O734" i="8"/>
  <c r="N734" i="8"/>
  <c r="O733" i="8"/>
  <c r="N733" i="8"/>
  <c r="O732" i="8"/>
  <c r="N732" i="8"/>
  <c r="O731" i="8"/>
  <c r="N731" i="8"/>
  <c r="O730" i="8"/>
  <c r="N730" i="8"/>
  <c r="O729" i="8"/>
  <c r="N729" i="8"/>
  <c r="O728" i="8"/>
  <c r="N728" i="8"/>
  <c r="O727" i="8"/>
  <c r="N727" i="8"/>
  <c r="O726" i="8"/>
  <c r="N726" i="8"/>
  <c r="O725" i="8"/>
  <c r="N725" i="8"/>
  <c r="O724" i="8"/>
  <c r="N724" i="8"/>
  <c r="O723" i="8"/>
  <c r="N723" i="8"/>
  <c r="O722" i="8"/>
  <c r="N722" i="8"/>
  <c r="O721" i="8"/>
  <c r="N721" i="8"/>
  <c r="O720" i="8"/>
  <c r="N720" i="8"/>
  <c r="O719" i="8"/>
  <c r="N719" i="8"/>
  <c r="O718" i="8"/>
  <c r="N718" i="8"/>
  <c r="O717" i="8"/>
  <c r="N717" i="8"/>
  <c r="O716" i="8"/>
  <c r="N716" i="8"/>
  <c r="O715" i="8"/>
  <c r="N715" i="8"/>
  <c r="O714" i="8"/>
  <c r="N714" i="8"/>
  <c r="O713" i="8"/>
  <c r="N713" i="8"/>
  <c r="O712" i="8"/>
  <c r="N712" i="8"/>
  <c r="O711" i="8"/>
  <c r="N711" i="8"/>
  <c r="O710" i="8"/>
  <c r="N710" i="8"/>
  <c r="O709" i="8"/>
  <c r="N709" i="8"/>
  <c r="O708" i="8"/>
  <c r="N708" i="8"/>
  <c r="O707" i="8"/>
  <c r="N707" i="8"/>
  <c r="O706" i="8"/>
  <c r="N706" i="8"/>
  <c r="O705" i="8"/>
  <c r="N705" i="8"/>
  <c r="O704" i="8"/>
  <c r="N704" i="8"/>
  <c r="O703" i="8"/>
  <c r="N703" i="8"/>
  <c r="O702" i="8"/>
  <c r="N702" i="8"/>
  <c r="O701" i="8"/>
  <c r="N701" i="8"/>
  <c r="O700" i="8"/>
  <c r="N700" i="8"/>
  <c r="O699" i="8"/>
  <c r="N699" i="8"/>
  <c r="O698" i="8"/>
  <c r="N698" i="8"/>
  <c r="O697" i="8"/>
  <c r="N697" i="8"/>
  <c r="O696" i="8"/>
  <c r="N696" i="8"/>
  <c r="O695" i="8"/>
  <c r="N695" i="8"/>
  <c r="O694" i="8"/>
  <c r="N694" i="8"/>
  <c r="O693" i="8"/>
  <c r="N693" i="8"/>
  <c r="O692" i="8"/>
  <c r="N692" i="8"/>
  <c r="O691" i="8"/>
  <c r="N691" i="8"/>
  <c r="O690" i="8"/>
  <c r="N690" i="8"/>
  <c r="O689" i="8"/>
  <c r="N689" i="8"/>
  <c r="O688" i="8"/>
  <c r="N688" i="8"/>
  <c r="O687" i="8"/>
  <c r="N687" i="8"/>
  <c r="O686" i="8"/>
  <c r="N686" i="8"/>
  <c r="O685" i="8"/>
  <c r="N685" i="8"/>
  <c r="O684" i="8"/>
  <c r="N684" i="8"/>
  <c r="O683" i="8"/>
  <c r="N683" i="8"/>
  <c r="O682" i="8"/>
  <c r="N682" i="8"/>
  <c r="O681" i="8"/>
  <c r="N681" i="8"/>
  <c r="O680" i="8"/>
  <c r="N680" i="8"/>
  <c r="O679" i="8"/>
  <c r="N679" i="8"/>
  <c r="O678" i="8"/>
  <c r="N678" i="8"/>
  <c r="O677" i="8"/>
  <c r="N677" i="8"/>
  <c r="O676" i="8"/>
  <c r="N676" i="8"/>
  <c r="O675" i="8"/>
  <c r="N675" i="8"/>
  <c r="O674" i="8"/>
  <c r="N674" i="8"/>
  <c r="O673" i="8"/>
  <c r="N673" i="8"/>
  <c r="O672" i="8"/>
  <c r="N672" i="8"/>
  <c r="O671" i="8"/>
  <c r="N671" i="8"/>
  <c r="O670" i="8"/>
  <c r="N670" i="8"/>
  <c r="O669" i="8"/>
  <c r="N669" i="8"/>
  <c r="O668" i="8"/>
  <c r="N668" i="8"/>
  <c r="O667" i="8"/>
  <c r="N667" i="8"/>
  <c r="O666" i="8"/>
  <c r="N666" i="8"/>
  <c r="O665" i="8"/>
  <c r="N665" i="8"/>
  <c r="O664" i="8"/>
  <c r="N664" i="8"/>
  <c r="O663" i="8"/>
  <c r="N663" i="8"/>
  <c r="O662" i="8"/>
  <c r="N662" i="8"/>
  <c r="O661" i="8"/>
  <c r="N661" i="8"/>
  <c r="O660" i="8"/>
  <c r="N660" i="8"/>
  <c r="O659" i="8"/>
  <c r="N659" i="8"/>
  <c r="O658" i="8"/>
  <c r="N658" i="8"/>
  <c r="O657" i="8"/>
  <c r="N657" i="8"/>
  <c r="O656" i="8"/>
  <c r="N656" i="8"/>
  <c r="O655" i="8"/>
  <c r="N655" i="8"/>
  <c r="O654" i="8"/>
  <c r="N654" i="8"/>
  <c r="O653" i="8"/>
  <c r="N653" i="8"/>
  <c r="O652" i="8"/>
  <c r="N652" i="8"/>
  <c r="O651" i="8"/>
  <c r="N651" i="8"/>
  <c r="O650" i="8"/>
  <c r="N650" i="8"/>
  <c r="O649" i="8"/>
  <c r="N649" i="8"/>
  <c r="O648" i="8"/>
  <c r="N648" i="8"/>
  <c r="O647" i="8"/>
  <c r="N647" i="8"/>
  <c r="O646" i="8"/>
  <c r="N646" i="8"/>
  <c r="O645" i="8"/>
  <c r="N645" i="8"/>
  <c r="O644" i="8"/>
  <c r="N644" i="8"/>
  <c r="O643" i="8"/>
  <c r="N643" i="8"/>
  <c r="O642" i="8"/>
  <c r="N642" i="8"/>
  <c r="O641" i="8"/>
  <c r="N641" i="8"/>
  <c r="O640" i="8"/>
  <c r="N640" i="8"/>
  <c r="O639" i="8"/>
  <c r="N639" i="8"/>
  <c r="O638" i="8"/>
  <c r="N638" i="8"/>
  <c r="O637" i="8"/>
  <c r="N637" i="8"/>
  <c r="O636" i="8"/>
  <c r="N636" i="8"/>
  <c r="O635" i="8"/>
  <c r="N635" i="8"/>
  <c r="O634" i="8"/>
  <c r="N634" i="8"/>
  <c r="O633" i="8"/>
  <c r="N633" i="8"/>
  <c r="O632" i="8"/>
  <c r="N632" i="8"/>
  <c r="O631" i="8"/>
  <c r="N631" i="8"/>
  <c r="O630" i="8"/>
  <c r="N630" i="8"/>
  <c r="O629" i="8"/>
  <c r="N629" i="8"/>
  <c r="O628" i="8"/>
  <c r="N628" i="8"/>
  <c r="O627" i="8"/>
  <c r="N627" i="8"/>
  <c r="O626" i="8"/>
  <c r="N626" i="8"/>
  <c r="O625" i="8"/>
  <c r="N625" i="8"/>
  <c r="O624" i="8"/>
  <c r="N624" i="8"/>
  <c r="O623" i="8"/>
  <c r="N623" i="8"/>
  <c r="O622" i="8"/>
  <c r="N622" i="8"/>
  <c r="O621" i="8"/>
  <c r="N621" i="8"/>
  <c r="O620" i="8"/>
  <c r="N620" i="8"/>
  <c r="O619" i="8"/>
  <c r="N619" i="8"/>
  <c r="O618" i="8"/>
  <c r="N618" i="8"/>
  <c r="O617" i="8"/>
  <c r="N617" i="8"/>
  <c r="O616" i="8"/>
  <c r="N616" i="8"/>
  <c r="O615" i="8"/>
  <c r="N615" i="8"/>
  <c r="O614" i="8"/>
  <c r="N614" i="8"/>
  <c r="O613" i="8"/>
  <c r="N613" i="8"/>
  <c r="O612" i="8"/>
  <c r="N612" i="8"/>
  <c r="O611" i="8"/>
  <c r="N611" i="8"/>
  <c r="O610" i="8"/>
  <c r="N610" i="8"/>
  <c r="O609" i="8"/>
  <c r="N609" i="8"/>
  <c r="O608" i="8"/>
  <c r="N608" i="8"/>
  <c r="O607" i="8"/>
  <c r="N607" i="8"/>
  <c r="O606" i="8"/>
  <c r="N606" i="8"/>
  <c r="O605" i="8"/>
  <c r="N605" i="8"/>
  <c r="O604" i="8"/>
  <c r="N604" i="8"/>
  <c r="O603" i="8"/>
  <c r="N603" i="8"/>
  <c r="O602" i="8"/>
  <c r="N602" i="8"/>
  <c r="O601" i="8"/>
  <c r="N601" i="8"/>
  <c r="O600" i="8"/>
  <c r="N600" i="8"/>
  <c r="O599" i="8"/>
  <c r="N599" i="8"/>
  <c r="O598" i="8"/>
  <c r="N598" i="8"/>
  <c r="O597" i="8"/>
  <c r="N597" i="8"/>
  <c r="O596" i="8"/>
  <c r="N596" i="8"/>
  <c r="O595" i="8"/>
  <c r="N595" i="8"/>
  <c r="O594" i="8"/>
  <c r="N594" i="8"/>
  <c r="O593" i="8"/>
  <c r="N593" i="8"/>
  <c r="O592" i="8"/>
  <c r="N592" i="8"/>
  <c r="O591" i="8"/>
  <c r="N591" i="8"/>
  <c r="O590" i="8"/>
  <c r="N590" i="8"/>
  <c r="O589" i="8"/>
  <c r="N589" i="8"/>
  <c r="O588" i="8"/>
  <c r="N588" i="8"/>
  <c r="O587" i="8"/>
  <c r="N587" i="8"/>
  <c r="O586" i="8"/>
  <c r="N586" i="8"/>
  <c r="O585" i="8"/>
  <c r="N585" i="8"/>
  <c r="O584" i="8"/>
  <c r="N584" i="8"/>
  <c r="O583" i="8"/>
  <c r="N583" i="8"/>
  <c r="O582" i="8"/>
  <c r="N582" i="8"/>
  <c r="O581" i="8"/>
  <c r="N581" i="8"/>
  <c r="O580" i="8"/>
  <c r="N580" i="8"/>
  <c r="O579" i="8"/>
  <c r="N579" i="8"/>
  <c r="O578" i="8"/>
  <c r="N578" i="8"/>
  <c r="O577" i="8"/>
  <c r="N577" i="8"/>
  <c r="O576" i="8"/>
  <c r="N576" i="8"/>
  <c r="O575" i="8"/>
  <c r="N575" i="8"/>
  <c r="O574" i="8"/>
  <c r="N574" i="8"/>
  <c r="O573" i="8"/>
  <c r="N573" i="8"/>
  <c r="O572" i="8"/>
  <c r="N572" i="8"/>
  <c r="O571" i="8"/>
  <c r="N571" i="8"/>
  <c r="O570" i="8"/>
  <c r="N570" i="8"/>
  <c r="O569" i="8"/>
  <c r="N569" i="8"/>
  <c r="O568" i="8"/>
  <c r="N568" i="8"/>
  <c r="O567" i="8"/>
  <c r="N567" i="8"/>
  <c r="O566" i="8"/>
  <c r="N566" i="8"/>
  <c r="O565" i="8"/>
  <c r="N565" i="8"/>
  <c r="O564" i="8"/>
  <c r="N564" i="8"/>
  <c r="O563" i="8"/>
  <c r="N563" i="8"/>
  <c r="O562" i="8"/>
  <c r="N562" i="8"/>
  <c r="O561" i="8"/>
  <c r="N561" i="8"/>
  <c r="O560" i="8"/>
  <c r="N560" i="8"/>
  <c r="O559" i="8"/>
  <c r="N559" i="8"/>
  <c r="O558" i="8"/>
  <c r="N558" i="8"/>
  <c r="O557" i="8"/>
  <c r="N557" i="8"/>
  <c r="O556" i="8"/>
  <c r="N556" i="8"/>
  <c r="O555" i="8"/>
  <c r="N555" i="8"/>
  <c r="O554" i="8"/>
  <c r="N554" i="8"/>
  <c r="O553" i="8"/>
  <c r="N553" i="8"/>
  <c r="O552" i="8"/>
  <c r="N552" i="8"/>
  <c r="O551" i="8"/>
  <c r="N551" i="8"/>
  <c r="O550" i="8"/>
  <c r="N550" i="8"/>
  <c r="O549" i="8"/>
  <c r="N549" i="8"/>
  <c r="O548" i="8"/>
  <c r="N548" i="8"/>
  <c r="O547" i="8"/>
  <c r="N547" i="8"/>
  <c r="O546" i="8"/>
  <c r="N546" i="8"/>
  <c r="O545" i="8"/>
  <c r="N545" i="8"/>
  <c r="O544" i="8"/>
  <c r="N544" i="8"/>
  <c r="O543" i="8"/>
  <c r="N543" i="8"/>
  <c r="O542" i="8"/>
  <c r="N542" i="8"/>
  <c r="O541" i="8"/>
  <c r="N541" i="8"/>
  <c r="O540" i="8"/>
  <c r="N540" i="8"/>
  <c r="O539" i="8"/>
  <c r="N539" i="8"/>
  <c r="O538" i="8"/>
  <c r="N538" i="8"/>
  <c r="O537" i="8"/>
  <c r="N537" i="8"/>
  <c r="O536" i="8"/>
  <c r="N536" i="8"/>
  <c r="O535" i="8"/>
  <c r="N535" i="8"/>
  <c r="O534" i="8"/>
  <c r="N534" i="8"/>
  <c r="O533" i="8"/>
  <c r="N533" i="8"/>
  <c r="O532" i="8"/>
  <c r="N532" i="8"/>
  <c r="O531" i="8"/>
  <c r="N531" i="8"/>
  <c r="O530" i="8"/>
  <c r="N530" i="8"/>
  <c r="O529" i="8"/>
  <c r="N529" i="8"/>
  <c r="O528" i="8"/>
  <c r="N528" i="8"/>
  <c r="O527" i="8"/>
  <c r="N527" i="8"/>
  <c r="O526" i="8"/>
  <c r="N526" i="8"/>
  <c r="O525" i="8"/>
  <c r="N525" i="8"/>
  <c r="O524" i="8"/>
  <c r="N524" i="8"/>
  <c r="O523" i="8"/>
  <c r="N523" i="8"/>
  <c r="O522" i="8"/>
  <c r="N522" i="8"/>
  <c r="O521" i="8"/>
  <c r="N521" i="8"/>
  <c r="O520" i="8"/>
  <c r="N520" i="8"/>
  <c r="O519" i="8"/>
  <c r="N519" i="8"/>
  <c r="O518" i="8"/>
  <c r="N518" i="8"/>
  <c r="O517" i="8"/>
  <c r="N517" i="8"/>
  <c r="O516" i="8"/>
  <c r="N516" i="8"/>
  <c r="O515" i="8"/>
  <c r="N515" i="8"/>
  <c r="O514" i="8"/>
  <c r="N514" i="8"/>
  <c r="O513" i="8"/>
  <c r="N513" i="8"/>
  <c r="O512" i="8"/>
  <c r="N512" i="8"/>
  <c r="O511" i="8"/>
  <c r="N511" i="8"/>
  <c r="O510" i="8"/>
  <c r="N510" i="8"/>
  <c r="O509" i="8"/>
  <c r="N509" i="8"/>
  <c r="O508" i="8"/>
  <c r="N508" i="8"/>
  <c r="O507" i="8"/>
  <c r="N507" i="8"/>
  <c r="O506" i="8"/>
  <c r="N506" i="8"/>
  <c r="O505" i="8"/>
  <c r="N505" i="8"/>
  <c r="O504" i="8"/>
  <c r="N504" i="8"/>
  <c r="O503" i="8"/>
  <c r="N503" i="8"/>
  <c r="O502" i="8"/>
  <c r="N502" i="8"/>
  <c r="O501" i="8"/>
  <c r="N501" i="8"/>
  <c r="O500" i="8"/>
  <c r="N500" i="8"/>
  <c r="O499" i="8"/>
  <c r="N499" i="8"/>
  <c r="O498" i="8"/>
  <c r="N498" i="8"/>
  <c r="O497" i="8"/>
  <c r="N497" i="8"/>
  <c r="O496" i="8"/>
  <c r="N496" i="8"/>
  <c r="O495" i="8"/>
  <c r="N495" i="8"/>
  <c r="O494" i="8"/>
  <c r="N494" i="8"/>
  <c r="O493" i="8"/>
  <c r="N493" i="8"/>
  <c r="O492" i="8"/>
  <c r="N492" i="8"/>
  <c r="O491" i="8"/>
  <c r="N491" i="8"/>
  <c r="O490" i="8"/>
  <c r="N490" i="8"/>
  <c r="O489" i="8"/>
  <c r="N489" i="8"/>
  <c r="O488" i="8"/>
  <c r="N488" i="8"/>
  <c r="O487" i="8"/>
  <c r="N487" i="8"/>
  <c r="O486" i="8"/>
  <c r="N486" i="8"/>
  <c r="O485" i="8"/>
  <c r="N485" i="8"/>
  <c r="O484" i="8"/>
  <c r="N484" i="8"/>
  <c r="O483" i="8"/>
  <c r="N483" i="8"/>
  <c r="O482" i="8"/>
  <c r="N482" i="8"/>
  <c r="O481" i="8"/>
  <c r="N481" i="8"/>
  <c r="O480" i="8"/>
  <c r="N480" i="8"/>
  <c r="O479" i="8"/>
  <c r="N479" i="8"/>
  <c r="O478" i="8"/>
  <c r="N478" i="8"/>
  <c r="O477" i="8"/>
  <c r="N477" i="8"/>
  <c r="O476" i="8"/>
  <c r="N476" i="8"/>
  <c r="O475" i="8"/>
  <c r="N475" i="8"/>
  <c r="O474" i="8"/>
  <c r="N474" i="8"/>
  <c r="O473" i="8"/>
  <c r="N473" i="8"/>
  <c r="O472" i="8"/>
  <c r="N472" i="8"/>
  <c r="O471" i="8"/>
  <c r="N471" i="8"/>
  <c r="O470" i="8"/>
  <c r="N470" i="8"/>
  <c r="O469" i="8"/>
  <c r="N469" i="8"/>
  <c r="O468" i="8"/>
  <c r="N468" i="8"/>
  <c r="O467" i="8"/>
  <c r="N467" i="8"/>
  <c r="O466" i="8"/>
  <c r="N466" i="8"/>
  <c r="O465" i="8"/>
  <c r="N465" i="8"/>
  <c r="O464" i="8"/>
  <c r="N464" i="8"/>
  <c r="O463" i="8"/>
  <c r="N463" i="8"/>
  <c r="O462" i="8"/>
  <c r="N462" i="8"/>
  <c r="O461" i="8"/>
  <c r="N461" i="8"/>
  <c r="O460" i="8"/>
  <c r="N460" i="8"/>
  <c r="O459" i="8"/>
  <c r="N459" i="8"/>
  <c r="O458" i="8"/>
  <c r="N458" i="8"/>
  <c r="O457" i="8"/>
  <c r="N457" i="8"/>
  <c r="O456" i="8"/>
  <c r="N456" i="8"/>
  <c r="O455" i="8"/>
  <c r="N455" i="8"/>
  <c r="O454" i="8"/>
  <c r="N454" i="8"/>
  <c r="O453" i="8"/>
  <c r="N453" i="8"/>
  <c r="O452" i="8"/>
  <c r="N452" i="8"/>
  <c r="O451" i="8"/>
  <c r="N451" i="8"/>
  <c r="O450" i="8"/>
  <c r="N450" i="8"/>
  <c r="O449" i="8"/>
  <c r="N449" i="8"/>
  <c r="O448" i="8"/>
  <c r="N448" i="8"/>
  <c r="O447" i="8"/>
  <c r="N447" i="8"/>
  <c r="O446" i="8"/>
  <c r="N446" i="8"/>
  <c r="O445" i="8"/>
  <c r="N445" i="8"/>
  <c r="O444" i="8"/>
  <c r="N444" i="8"/>
  <c r="O443" i="8"/>
  <c r="N443" i="8"/>
  <c r="O442" i="8"/>
  <c r="N442" i="8"/>
  <c r="O441" i="8"/>
  <c r="N441" i="8"/>
  <c r="O440" i="8"/>
  <c r="N440" i="8"/>
  <c r="O439" i="8"/>
  <c r="N439" i="8"/>
  <c r="O438" i="8"/>
  <c r="N438" i="8"/>
  <c r="O437" i="8"/>
  <c r="N437" i="8"/>
  <c r="O436" i="8"/>
  <c r="N436" i="8"/>
  <c r="O435" i="8"/>
  <c r="N435" i="8"/>
  <c r="O434" i="8"/>
  <c r="N434" i="8"/>
  <c r="O433" i="8"/>
  <c r="N433" i="8"/>
  <c r="O432" i="8"/>
  <c r="N432" i="8"/>
  <c r="O431" i="8"/>
  <c r="N431" i="8"/>
  <c r="O430" i="8"/>
  <c r="N430" i="8"/>
  <c r="O429" i="8"/>
  <c r="N429" i="8"/>
  <c r="O428" i="8"/>
  <c r="N428" i="8"/>
  <c r="O427" i="8"/>
  <c r="N427" i="8"/>
  <c r="O426" i="8"/>
  <c r="N426" i="8"/>
  <c r="O425" i="8"/>
  <c r="N425" i="8"/>
  <c r="O424" i="8"/>
  <c r="N424" i="8"/>
  <c r="O423" i="8"/>
  <c r="N423" i="8"/>
  <c r="O422" i="8"/>
  <c r="N422" i="8"/>
  <c r="O421" i="8"/>
  <c r="N421" i="8"/>
  <c r="O420" i="8"/>
  <c r="N420" i="8"/>
  <c r="O419" i="8"/>
  <c r="N419" i="8"/>
  <c r="O418" i="8"/>
  <c r="N418" i="8"/>
  <c r="O417" i="8"/>
  <c r="N417" i="8"/>
  <c r="O416" i="8"/>
  <c r="N416" i="8"/>
  <c r="O415" i="8"/>
  <c r="N415" i="8"/>
  <c r="O414" i="8"/>
  <c r="N414" i="8"/>
  <c r="O413" i="8"/>
  <c r="N413" i="8"/>
  <c r="O412" i="8"/>
  <c r="N412" i="8"/>
  <c r="O411" i="8"/>
  <c r="N411" i="8"/>
  <c r="O410" i="8"/>
  <c r="N410" i="8"/>
  <c r="O409" i="8"/>
  <c r="N409" i="8"/>
  <c r="O408" i="8"/>
  <c r="N408" i="8"/>
  <c r="O407" i="8"/>
  <c r="N407" i="8"/>
  <c r="O406" i="8"/>
  <c r="N406" i="8"/>
  <c r="O405" i="8"/>
  <c r="N405" i="8"/>
  <c r="O404" i="8"/>
  <c r="N404" i="8"/>
  <c r="O403" i="8"/>
  <c r="N403" i="8"/>
  <c r="O402" i="8"/>
  <c r="N402" i="8"/>
  <c r="O401" i="8"/>
  <c r="N401" i="8"/>
  <c r="O400" i="8"/>
  <c r="N400" i="8"/>
  <c r="O399" i="8"/>
  <c r="N399" i="8"/>
  <c r="O398" i="8"/>
  <c r="N398" i="8"/>
  <c r="O397" i="8"/>
  <c r="N397" i="8"/>
  <c r="O396" i="8"/>
  <c r="N396" i="8"/>
  <c r="O395" i="8"/>
  <c r="N395" i="8"/>
  <c r="O394" i="8"/>
  <c r="N394" i="8"/>
  <c r="O393" i="8"/>
  <c r="N393" i="8"/>
  <c r="O392" i="8"/>
  <c r="N392" i="8"/>
  <c r="O391" i="8"/>
  <c r="N391" i="8"/>
  <c r="O390" i="8"/>
  <c r="N390" i="8"/>
  <c r="O389" i="8"/>
  <c r="N389" i="8"/>
  <c r="O388" i="8"/>
  <c r="N388" i="8"/>
  <c r="O387" i="8"/>
  <c r="N387" i="8"/>
  <c r="O386" i="8"/>
  <c r="N386" i="8"/>
  <c r="O385" i="8"/>
  <c r="N385" i="8"/>
  <c r="O384" i="8"/>
  <c r="N384" i="8"/>
  <c r="O383" i="8"/>
  <c r="N383" i="8"/>
  <c r="O382" i="8"/>
  <c r="N382" i="8"/>
  <c r="O381" i="8"/>
  <c r="N381" i="8"/>
  <c r="O380" i="8"/>
  <c r="N380" i="8"/>
  <c r="O379" i="8"/>
  <c r="N379" i="8"/>
  <c r="O378" i="8"/>
  <c r="N378" i="8"/>
  <c r="O377" i="8"/>
  <c r="N377" i="8"/>
  <c r="O376" i="8"/>
  <c r="N376" i="8"/>
  <c r="O375" i="8"/>
  <c r="N375" i="8"/>
  <c r="O374" i="8"/>
  <c r="N374" i="8"/>
  <c r="O373" i="8"/>
  <c r="N373" i="8"/>
  <c r="O372" i="8"/>
  <c r="N372" i="8"/>
  <c r="O371" i="8"/>
  <c r="N371" i="8"/>
  <c r="O370" i="8"/>
  <c r="N370" i="8"/>
  <c r="O369" i="8"/>
  <c r="N369" i="8"/>
  <c r="O368" i="8"/>
  <c r="N368" i="8"/>
  <c r="O367" i="8"/>
  <c r="N367" i="8"/>
  <c r="O366" i="8"/>
  <c r="N366" i="8"/>
  <c r="O365" i="8"/>
  <c r="N365" i="8"/>
  <c r="O364" i="8"/>
  <c r="N364" i="8"/>
  <c r="O363" i="8"/>
  <c r="N363" i="8"/>
  <c r="O362" i="8"/>
  <c r="N362" i="8"/>
  <c r="O361" i="8"/>
  <c r="N361" i="8"/>
  <c r="O360" i="8"/>
  <c r="N360" i="8"/>
  <c r="O359" i="8"/>
  <c r="N359" i="8"/>
  <c r="O358" i="8"/>
  <c r="N358" i="8"/>
  <c r="O357" i="8"/>
  <c r="N357" i="8"/>
  <c r="O356" i="8"/>
  <c r="N356" i="8"/>
  <c r="O355" i="8"/>
  <c r="N355" i="8"/>
  <c r="O354" i="8"/>
  <c r="N354" i="8"/>
  <c r="O353" i="8"/>
  <c r="N353" i="8"/>
  <c r="O352" i="8"/>
  <c r="N352" i="8"/>
  <c r="O351" i="8"/>
  <c r="N351" i="8"/>
  <c r="O350" i="8"/>
  <c r="N350" i="8"/>
  <c r="O349" i="8"/>
  <c r="N349" i="8"/>
  <c r="O348" i="8"/>
  <c r="N348" i="8"/>
  <c r="O347" i="8"/>
  <c r="N347" i="8"/>
  <c r="O346" i="8"/>
  <c r="N346" i="8"/>
  <c r="O345" i="8"/>
  <c r="N345" i="8"/>
  <c r="O344" i="8"/>
  <c r="N344" i="8"/>
  <c r="O343" i="8"/>
  <c r="N343" i="8"/>
  <c r="O342" i="8"/>
  <c r="N342" i="8"/>
  <c r="O341" i="8"/>
  <c r="N341" i="8"/>
  <c r="O340" i="8"/>
  <c r="N340" i="8"/>
  <c r="O339" i="8"/>
  <c r="N339" i="8"/>
  <c r="O338" i="8"/>
  <c r="N338" i="8"/>
  <c r="O337" i="8"/>
  <c r="N337" i="8"/>
  <c r="O336" i="8"/>
  <c r="N336" i="8"/>
  <c r="O335" i="8"/>
  <c r="N335" i="8"/>
  <c r="O334" i="8"/>
  <c r="N334" i="8"/>
  <c r="O333" i="8"/>
  <c r="N333" i="8"/>
  <c r="O332" i="8"/>
  <c r="N332" i="8"/>
  <c r="O331" i="8"/>
  <c r="N331" i="8"/>
  <c r="O330" i="8"/>
  <c r="N330" i="8"/>
  <c r="O329" i="8"/>
  <c r="N329" i="8"/>
  <c r="O328" i="8"/>
  <c r="N328" i="8"/>
  <c r="O327" i="8"/>
  <c r="N327" i="8"/>
  <c r="O326" i="8"/>
  <c r="N326" i="8"/>
  <c r="O325" i="8"/>
  <c r="N325" i="8"/>
  <c r="O324" i="8"/>
  <c r="N324" i="8"/>
  <c r="O323" i="8"/>
  <c r="N323" i="8"/>
  <c r="O322" i="8"/>
  <c r="N322" i="8"/>
  <c r="O321" i="8"/>
  <c r="N321" i="8"/>
  <c r="O320" i="8"/>
  <c r="N320" i="8"/>
  <c r="O319" i="8"/>
  <c r="N319" i="8"/>
  <c r="O318" i="8"/>
  <c r="N318" i="8"/>
  <c r="O317" i="8"/>
  <c r="N317" i="8"/>
  <c r="O316" i="8"/>
  <c r="N316" i="8"/>
  <c r="O315" i="8"/>
  <c r="N315" i="8"/>
  <c r="O314" i="8"/>
  <c r="N314" i="8"/>
  <c r="O313" i="8"/>
  <c r="N313" i="8"/>
  <c r="O312" i="8"/>
  <c r="N312" i="8"/>
  <c r="O311" i="8"/>
  <c r="N311" i="8"/>
  <c r="O310" i="8"/>
  <c r="N310" i="8"/>
  <c r="O309" i="8"/>
  <c r="N309" i="8"/>
  <c r="O308" i="8"/>
  <c r="N308" i="8"/>
  <c r="O307" i="8"/>
  <c r="N307" i="8"/>
  <c r="O306" i="8"/>
  <c r="N306" i="8"/>
  <c r="O305" i="8"/>
  <c r="N305" i="8"/>
  <c r="O304" i="8"/>
  <c r="N304" i="8"/>
  <c r="O303" i="8"/>
  <c r="N303" i="8"/>
  <c r="O302" i="8"/>
  <c r="N302" i="8"/>
  <c r="O301" i="8"/>
  <c r="N301" i="8"/>
  <c r="O300" i="8"/>
  <c r="N300" i="8"/>
  <c r="O299" i="8"/>
  <c r="N299" i="8"/>
  <c r="O298" i="8"/>
  <c r="N298" i="8"/>
  <c r="O297" i="8"/>
  <c r="N297" i="8"/>
  <c r="O296" i="8"/>
  <c r="N296" i="8"/>
  <c r="O295" i="8"/>
  <c r="N295" i="8"/>
  <c r="O294" i="8"/>
  <c r="N294" i="8"/>
  <c r="O293" i="8"/>
  <c r="N293" i="8"/>
  <c r="O292" i="8"/>
  <c r="N292" i="8"/>
  <c r="O291" i="8"/>
  <c r="N291" i="8"/>
  <c r="O290" i="8"/>
  <c r="N290" i="8"/>
  <c r="O289" i="8"/>
  <c r="N289" i="8"/>
  <c r="O288" i="8"/>
  <c r="N288" i="8"/>
  <c r="O287" i="8"/>
  <c r="N287" i="8"/>
  <c r="O286" i="8"/>
  <c r="N286" i="8"/>
  <c r="O285" i="8"/>
  <c r="N285" i="8"/>
  <c r="O284" i="8"/>
  <c r="N284" i="8"/>
  <c r="O283" i="8"/>
  <c r="N283" i="8"/>
  <c r="O282" i="8"/>
  <c r="N282" i="8"/>
  <c r="O281" i="8"/>
  <c r="N281" i="8"/>
  <c r="O280" i="8"/>
  <c r="N280" i="8"/>
  <c r="O279" i="8"/>
  <c r="N279" i="8"/>
  <c r="O278" i="8"/>
  <c r="N278" i="8"/>
  <c r="O277" i="8"/>
  <c r="N277" i="8"/>
  <c r="O276" i="8"/>
  <c r="N276" i="8"/>
  <c r="O275" i="8"/>
  <c r="N275" i="8"/>
  <c r="O274" i="8"/>
  <c r="N274" i="8"/>
  <c r="O273" i="8"/>
  <c r="N273" i="8"/>
  <c r="O272" i="8"/>
  <c r="N272" i="8"/>
  <c r="O271" i="8"/>
  <c r="N271" i="8"/>
  <c r="O270" i="8"/>
  <c r="N270" i="8"/>
  <c r="O269" i="8"/>
  <c r="N269" i="8"/>
  <c r="O268" i="8"/>
  <c r="N268" i="8"/>
  <c r="O267" i="8"/>
  <c r="N267" i="8"/>
  <c r="O266" i="8"/>
  <c r="N266" i="8"/>
  <c r="O265" i="8"/>
  <c r="N265" i="8"/>
  <c r="O264" i="8"/>
  <c r="N264" i="8"/>
  <c r="O263" i="8"/>
  <c r="N263" i="8"/>
  <c r="O262" i="8"/>
  <c r="N262" i="8"/>
  <c r="O261" i="8"/>
  <c r="N261" i="8"/>
  <c r="O260" i="8"/>
  <c r="N260" i="8"/>
  <c r="O259" i="8"/>
  <c r="N259" i="8"/>
  <c r="O258" i="8"/>
  <c r="N258" i="8"/>
  <c r="O257" i="8"/>
  <c r="N257" i="8"/>
  <c r="O256" i="8"/>
  <c r="N256" i="8"/>
  <c r="O255" i="8"/>
  <c r="N255" i="8"/>
  <c r="O254" i="8"/>
  <c r="N254" i="8"/>
  <c r="O253" i="8"/>
  <c r="N253" i="8"/>
  <c r="O252" i="8"/>
  <c r="N252" i="8"/>
  <c r="O251" i="8"/>
  <c r="N251" i="8"/>
  <c r="O250" i="8"/>
  <c r="N250" i="8"/>
  <c r="O249" i="8"/>
  <c r="N249" i="8"/>
  <c r="O248" i="8"/>
  <c r="N248" i="8"/>
  <c r="O247" i="8"/>
  <c r="N247" i="8"/>
  <c r="O246" i="8"/>
  <c r="N246" i="8"/>
  <c r="O245" i="8"/>
  <c r="N245" i="8"/>
  <c r="O244" i="8"/>
  <c r="N244" i="8"/>
  <c r="O243" i="8"/>
  <c r="N243" i="8"/>
  <c r="O242" i="8"/>
  <c r="N242" i="8"/>
  <c r="O241" i="8"/>
  <c r="N241" i="8"/>
  <c r="O240" i="8"/>
  <c r="N240" i="8"/>
  <c r="O239" i="8"/>
  <c r="N239" i="8"/>
  <c r="O238" i="8"/>
  <c r="N238" i="8"/>
  <c r="O237" i="8"/>
  <c r="N237" i="8"/>
  <c r="O236" i="8"/>
  <c r="N236" i="8"/>
  <c r="O235" i="8"/>
  <c r="N235" i="8"/>
  <c r="O234" i="8"/>
  <c r="N234" i="8"/>
  <c r="O233" i="8"/>
  <c r="N233" i="8"/>
  <c r="O232" i="8"/>
  <c r="N232" i="8"/>
  <c r="O231" i="8"/>
  <c r="N231" i="8"/>
  <c r="O230" i="8"/>
  <c r="N230" i="8"/>
  <c r="O229" i="8"/>
  <c r="N229" i="8"/>
  <c r="O228" i="8"/>
  <c r="N228" i="8"/>
  <c r="O227" i="8"/>
  <c r="N227" i="8"/>
  <c r="O226" i="8"/>
  <c r="N226" i="8"/>
  <c r="O225" i="8"/>
  <c r="N225" i="8"/>
  <c r="O224" i="8"/>
  <c r="N224" i="8"/>
  <c r="O223" i="8"/>
  <c r="N223" i="8"/>
  <c r="O222" i="8"/>
  <c r="N222" i="8"/>
  <c r="O221" i="8"/>
  <c r="N221" i="8"/>
  <c r="O220" i="8"/>
  <c r="N220" i="8"/>
  <c r="O219" i="8"/>
  <c r="N219" i="8"/>
  <c r="O218" i="8"/>
  <c r="N218" i="8"/>
  <c r="O217" i="8"/>
  <c r="N217" i="8"/>
  <c r="O216" i="8"/>
  <c r="N216" i="8"/>
  <c r="O215" i="8"/>
  <c r="N215" i="8"/>
  <c r="O214" i="8"/>
  <c r="N214" i="8"/>
  <c r="O213" i="8"/>
  <c r="N213" i="8"/>
  <c r="O212" i="8"/>
  <c r="N212" i="8"/>
  <c r="O211" i="8"/>
  <c r="N211" i="8"/>
  <c r="O210" i="8"/>
  <c r="N210" i="8"/>
  <c r="O209" i="8"/>
  <c r="N209" i="8"/>
  <c r="O208" i="8"/>
  <c r="N208" i="8"/>
  <c r="O207" i="8"/>
  <c r="N207" i="8"/>
  <c r="O206" i="8"/>
  <c r="N206" i="8"/>
  <c r="O205" i="8"/>
  <c r="N205" i="8"/>
  <c r="O204" i="8"/>
  <c r="N204" i="8"/>
  <c r="O203" i="8"/>
  <c r="N203" i="8"/>
  <c r="O202" i="8"/>
  <c r="N202" i="8"/>
  <c r="O201" i="8"/>
  <c r="N201" i="8"/>
  <c r="O200" i="8"/>
  <c r="N200" i="8"/>
  <c r="O199" i="8"/>
  <c r="N199" i="8"/>
  <c r="O198" i="8"/>
  <c r="N198" i="8"/>
  <c r="O197" i="8"/>
  <c r="N197" i="8"/>
  <c r="O196" i="8"/>
  <c r="N196" i="8"/>
  <c r="O195" i="8"/>
  <c r="N195" i="8"/>
  <c r="O194" i="8"/>
  <c r="N194" i="8"/>
  <c r="O193" i="8"/>
  <c r="N193" i="8"/>
  <c r="O192" i="8"/>
  <c r="N192" i="8"/>
  <c r="O191" i="8"/>
  <c r="N191" i="8"/>
  <c r="O190" i="8"/>
  <c r="N190" i="8"/>
  <c r="O189" i="8"/>
  <c r="N189" i="8"/>
  <c r="O188" i="8"/>
  <c r="N188" i="8"/>
  <c r="O187" i="8"/>
  <c r="N187" i="8"/>
  <c r="O186" i="8"/>
  <c r="N186" i="8"/>
  <c r="O185" i="8"/>
  <c r="N185" i="8"/>
  <c r="O184" i="8"/>
  <c r="N184" i="8"/>
  <c r="O183" i="8"/>
  <c r="N183" i="8"/>
  <c r="O182" i="8"/>
  <c r="N182" i="8"/>
  <c r="O181" i="8"/>
  <c r="N181" i="8"/>
  <c r="O180" i="8"/>
  <c r="N180" i="8"/>
  <c r="O179" i="8"/>
  <c r="N179" i="8"/>
  <c r="O178" i="8"/>
  <c r="N178" i="8"/>
  <c r="O177" i="8"/>
  <c r="N177" i="8"/>
  <c r="O176" i="8"/>
  <c r="N176" i="8"/>
  <c r="O175" i="8"/>
  <c r="N175" i="8"/>
  <c r="O174" i="8"/>
  <c r="N174" i="8"/>
  <c r="O173" i="8"/>
  <c r="N173" i="8"/>
  <c r="O172" i="8"/>
  <c r="N172" i="8"/>
  <c r="O171" i="8"/>
  <c r="N171" i="8"/>
  <c r="O170" i="8"/>
  <c r="N170" i="8"/>
  <c r="O169" i="8"/>
  <c r="N169" i="8"/>
  <c r="O168" i="8"/>
  <c r="N168" i="8"/>
  <c r="O167" i="8"/>
  <c r="N167" i="8"/>
  <c r="O166" i="8"/>
  <c r="N166" i="8"/>
  <c r="O165" i="8"/>
  <c r="N165" i="8"/>
  <c r="O164" i="8"/>
  <c r="N164" i="8"/>
  <c r="O163" i="8"/>
  <c r="N163" i="8"/>
  <c r="O162" i="8"/>
  <c r="N162" i="8"/>
  <c r="O161" i="8"/>
  <c r="N161" i="8"/>
  <c r="O160" i="8"/>
  <c r="N160" i="8"/>
  <c r="O159" i="8"/>
  <c r="N159" i="8"/>
  <c r="O158" i="8"/>
  <c r="N158" i="8"/>
  <c r="O157" i="8"/>
  <c r="N157" i="8"/>
  <c r="O156" i="8"/>
  <c r="N156" i="8"/>
  <c r="O155" i="8"/>
  <c r="N155" i="8"/>
  <c r="O154" i="8"/>
  <c r="N154" i="8"/>
  <c r="O153" i="8"/>
  <c r="N153" i="8"/>
  <c r="O152" i="8"/>
  <c r="N152" i="8"/>
  <c r="O151" i="8"/>
  <c r="N151" i="8"/>
  <c r="O150" i="8"/>
  <c r="N150" i="8"/>
  <c r="O149" i="8"/>
  <c r="N149" i="8"/>
  <c r="O148" i="8"/>
  <c r="N148" i="8"/>
  <c r="O147" i="8"/>
  <c r="N147" i="8"/>
  <c r="O146" i="8"/>
  <c r="N146" i="8"/>
  <c r="O145" i="8"/>
  <c r="N145" i="8"/>
  <c r="O144" i="8"/>
  <c r="N144" i="8"/>
  <c r="O143" i="8"/>
  <c r="N143" i="8"/>
  <c r="O142" i="8"/>
  <c r="N142" i="8"/>
  <c r="O141" i="8"/>
  <c r="N141" i="8"/>
  <c r="O140" i="8"/>
  <c r="N140" i="8"/>
  <c r="O139" i="8"/>
  <c r="N139" i="8"/>
  <c r="O138" i="8"/>
  <c r="N138" i="8"/>
  <c r="O137" i="8"/>
  <c r="N137" i="8"/>
  <c r="O136" i="8"/>
  <c r="N136" i="8"/>
  <c r="O135" i="8"/>
  <c r="N135" i="8"/>
  <c r="O134" i="8"/>
  <c r="N134" i="8"/>
  <c r="O133" i="8"/>
  <c r="N133" i="8"/>
  <c r="O132" i="8"/>
  <c r="N132" i="8"/>
  <c r="O131" i="8"/>
  <c r="N131" i="8"/>
  <c r="O130" i="8"/>
  <c r="N130" i="8"/>
  <c r="O129" i="8"/>
  <c r="N129" i="8"/>
  <c r="O128" i="8"/>
  <c r="N128" i="8"/>
  <c r="O127" i="8"/>
  <c r="N127" i="8"/>
  <c r="O126" i="8"/>
  <c r="N126" i="8"/>
  <c r="O125" i="8"/>
  <c r="N125" i="8"/>
  <c r="O124" i="8"/>
  <c r="N124" i="8"/>
  <c r="O123" i="8"/>
  <c r="N123" i="8"/>
  <c r="O122" i="8"/>
  <c r="N122" i="8"/>
  <c r="O121" i="8"/>
  <c r="N121" i="8"/>
  <c r="O120" i="8"/>
  <c r="N120" i="8"/>
  <c r="O119" i="8"/>
  <c r="N119" i="8"/>
  <c r="O118" i="8"/>
  <c r="N118" i="8"/>
  <c r="O117" i="8"/>
  <c r="N117" i="8"/>
  <c r="O116" i="8"/>
  <c r="N116" i="8"/>
  <c r="O115" i="8"/>
  <c r="N115" i="8"/>
  <c r="O114" i="8"/>
  <c r="N114" i="8"/>
  <c r="O113" i="8"/>
  <c r="N113" i="8"/>
  <c r="O112" i="8"/>
  <c r="N112" i="8"/>
  <c r="O111" i="8"/>
  <c r="N111" i="8"/>
  <c r="O110" i="8"/>
  <c r="N110" i="8"/>
  <c r="O109" i="8"/>
  <c r="N109" i="8"/>
  <c r="O108" i="8"/>
  <c r="N108" i="8"/>
  <c r="O107" i="8"/>
  <c r="N107" i="8"/>
  <c r="O106" i="8"/>
  <c r="N106" i="8"/>
  <c r="O105" i="8"/>
  <c r="N105" i="8"/>
  <c r="O104" i="8"/>
  <c r="N104" i="8"/>
  <c r="O103" i="8"/>
  <c r="N103" i="8"/>
  <c r="O102" i="8"/>
  <c r="N102" i="8"/>
  <c r="O101" i="8"/>
  <c r="N101" i="8"/>
  <c r="O100" i="8"/>
  <c r="N100" i="8"/>
  <c r="O99" i="8"/>
  <c r="N99" i="8"/>
  <c r="O98" i="8"/>
  <c r="N98" i="8"/>
  <c r="O97" i="8"/>
  <c r="N97" i="8"/>
  <c r="O96" i="8"/>
  <c r="N96" i="8"/>
  <c r="O95" i="8"/>
  <c r="N95" i="8"/>
  <c r="O94" i="8"/>
  <c r="N94" i="8"/>
  <c r="O93" i="8"/>
  <c r="N93" i="8"/>
  <c r="O92" i="8"/>
  <c r="N92" i="8"/>
  <c r="O91" i="8"/>
  <c r="N91" i="8"/>
  <c r="O90" i="8"/>
  <c r="N90" i="8"/>
  <c r="O89" i="8"/>
  <c r="N89" i="8"/>
  <c r="O88" i="8"/>
  <c r="N88" i="8"/>
  <c r="O87" i="8"/>
  <c r="N87" i="8"/>
  <c r="O86" i="8"/>
  <c r="N86" i="8"/>
  <c r="O85" i="8"/>
  <c r="N85" i="8"/>
  <c r="O84" i="8"/>
  <c r="N84" i="8"/>
  <c r="O83" i="8"/>
  <c r="N83" i="8"/>
  <c r="O82" i="8"/>
  <c r="N82" i="8"/>
  <c r="O81" i="8"/>
  <c r="N81" i="8"/>
  <c r="O80" i="8"/>
  <c r="N80" i="8"/>
  <c r="O79" i="8"/>
  <c r="N79" i="8"/>
  <c r="O78" i="8"/>
  <c r="N78" i="8"/>
  <c r="O77" i="8"/>
  <c r="N77" i="8"/>
  <c r="O76" i="8"/>
  <c r="N76" i="8"/>
  <c r="O75" i="8"/>
  <c r="N75" i="8"/>
  <c r="O74" i="8"/>
  <c r="N74" i="8"/>
  <c r="O73" i="8"/>
  <c r="N73" i="8"/>
  <c r="O72" i="8"/>
  <c r="N72" i="8"/>
  <c r="O71" i="8"/>
  <c r="N71" i="8"/>
  <c r="O70" i="8"/>
  <c r="N70" i="8"/>
  <c r="O69" i="8"/>
  <c r="N69" i="8"/>
  <c r="O68" i="8"/>
  <c r="N68" i="8"/>
  <c r="O67" i="8"/>
  <c r="N67" i="8"/>
  <c r="O66" i="8"/>
  <c r="N66" i="8"/>
  <c r="O65" i="8"/>
  <c r="N65" i="8"/>
  <c r="O64" i="8"/>
  <c r="N64" i="8"/>
  <c r="O63" i="8"/>
  <c r="N63" i="8"/>
  <c r="O62" i="8"/>
  <c r="N62" i="8"/>
  <c r="O61" i="8"/>
  <c r="N61" i="8"/>
  <c r="O60" i="8"/>
  <c r="N60" i="8"/>
  <c r="O59" i="8"/>
  <c r="N59" i="8"/>
  <c r="O58" i="8"/>
  <c r="N58" i="8"/>
  <c r="O57" i="8"/>
  <c r="N57" i="8"/>
  <c r="O56" i="8"/>
  <c r="N56" i="8"/>
  <c r="O55" i="8"/>
  <c r="N55" i="8"/>
  <c r="O54" i="8"/>
  <c r="N54" i="8"/>
  <c r="O53" i="8"/>
  <c r="N53" i="8"/>
  <c r="O52" i="8"/>
  <c r="N52" i="8"/>
  <c r="O51" i="8"/>
  <c r="N51" i="8"/>
  <c r="O50" i="8"/>
  <c r="N50" i="8"/>
  <c r="O49" i="8"/>
  <c r="N49" i="8"/>
  <c r="O48" i="8"/>
  <c r="N48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O36" i="8"/>
  <c r="N36" i="8"/>
  <c r="O35" i="8"/>
  <c r="N35" i="8"/>
  <c r="O34" i="8"/>
  <c r="N34" i="8"/>
  <c r="O33" i="8"/>
  <c r="N33" i="8"/>
  <c r="O32" i="8"/>
  <c r="N32" i="8"/>
  <c r="O31" i="8"/>
  <c r="N31" i="8"/>
  <c r="O30" i="8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O6" i="8"/>
  <c r="N6" i="8"/>
  <c r="O5" i="8"/>
  <c r="N5" i="8"/>
  <c r="O4" i="8"/>
  <c r="N4" i="8"/>
  <c r="O3" i="8"/>
  <c r="N3" i="8"/>
  <c r="O2" i="8"/>
  <c r="N2" i="8"/>
  <c r="O737" i="2"/>
  <c r="N737" i="2"/>
  <c r="O736" i="2"/>
  <c r="N736" i="2"/>
  <c r="O735" i="2"/>
  <c r="N735" i="2"/>
  <c r="O734" i="2"/>
  <c r="N734" i="2"/>
  <c r="O733" i="2"/>
  <c r="N733" i="2"/>
  <c r="O732" i="2"/>
  <c r="N732" i="2"/>
  <c r="O731" i="2"/>
  <c r="N731" i="2"/>
  <c r="O730" i="2"/>
  <c r="N730" i="2"/>
  <c r="O729" i="2"/>
  <c r="N729" i="2"/>
  <c r="O728" i="2"/>
  <c r="N728" i="2"/>
  <c r="O727" i="2"/>
  <c r="N727" i="2"/>
  <c r="O726" i="2"/>
  <c r="N726" i="2"/>
  <c r="O725" i="2"/>
  <c r="N725" i="2"/>
  <c r="O724" i="2"/>
  <c r="N724" i="2"/>
  <c r="O723" i="2"/>
  <c r="N723" i="2"/>
  <c r="O722" i="2"/>
  <c r="N722" i="2"/>
  <c r="O721" i="2"/>
  <c r="N721" i="2"/>
  <c r="O720" i="2"/>
  <c r="N720" i="2"/>
  <c r="O719" i="2"/>
  <c r="N719" i="2"/>
  <c r="O718" i="2"/>
  <c r="N718" i="2"/>
  <c r="O717" i="2"/>
  <c r="N717" i="2"/>
  <c r="O716" i="2"/>
  <c r="N716" i="2"/>
  <c r="O715" i="2"/>
  <c r="N715" i="2"/>
  <c r="O714" i="2"/>
  <c r="N714" i="2"/>
  <c r="O713" i="2"/>
  <c r="N713" i="2"/>
  <c r="O712" i="2"/>
  <c r="N712" i="2"/>
  <c r="O711" i="2"/>
  <c r="N711" i="2"/>
  <c r="O710" i="2"/>
  <c r="N710" i="2"/>
  <c r="O709" i="2"/>
  <c r="N709" i="2"/>
  <c r="O708" i="2"/>
  <c r="N708" i="2"/>
  <c r="O707" i="2"/>
  <c r="N707" i="2"/>
  <c r="O706" i="2"/>
  <c r="N706" i="2"/>
  <c r="O705" i="2"/>
  <c r="N705" i="2"/>
  <c r="O704" i="2"/>
  <c r="N704" i="2"/>
  <c r="O703" i="2"/>
  <c r="N703" i="2"/>
  <c r="O702" i="2"/>
  <c r="N702" i="2"/>
  <c r="O701" i="2"/>
  <c r="N701" i="2"/>
  <c r="O700" i="2"/>
  <c r="N700" i="2"/>
  <c r="O699" i="2"/>
  <c r="N699" i="2"/>
  <c r="O698" i="2"/>
  <c r="N698" i="2"/>
  <c r="O697" i="2"/>
  <c r="N697" i="2"/>
  <c r="O696" i="2"/>
  <c r="N696" i="2"/>
  <c r="O695" i="2"/>
  <c r="N695" i="2"/>
  <c r="O694" i="2"/>
  <c r="N694" i="2"/>
  <c r="O693" i="2"/>
  <c r="N693" i="2"/>
  <c r="O692" i="2"/>
  <c r="N692" i="2"/>
  <c r="O691" i="2"/>
  <c r="N691" i="2"/>
  <c r="O690" i="2"/>
  <c r="N690" i="2"/>
  <c r="O689" i="2"/>
  <c r="N689" i="2"/>
  <c r="O688" i="2"/>
  <c r="N688" i="2"/>
  <c r="O687" i="2"/>
  <c r="N687" i="2"/>
  <c r="O686" i="2"/>
  <c r="N686" i="2"/>
  <c r="O685" i="2"/>
  <c r="N685" i="2"/>
  <c r="O684" i="2"/>
  <c r="N684" i="2"/>
  <c r="O683" i="2"/>
  <c r="N683" i="2"/>
  <c r="O682" i="2"/>
  <c r="N682" i="2"/>
  <c r="O681" i="2"/>
  <c r="N681" i="2"/>
  <c r="O680" i="2"/>
  <c r="N680" i="2"/>
  <c r="O679" i="2"/>
  <c r="N679" i="2"/>
  <c r="O678" i="2"/>
  <c r="N678" i="2"/>
  <c r="O677" i="2"/>
  <c r="N677" i="2"/>
  <c r="O676" i="2"/>
  <c r="N676" i="2"/>
  <c r="O675" i="2"/>
  <c r="N675" i="2"/>
  <c r="O674" i="2"/>
  <c r="N674" i="2"/>
  <c r="O673" i="2"/>
  <c r="N673" i="2"/>
  <c r="O672" i="2"/>
  <c r="N672" i="2"/>
  <c r="O671" i="2"/>
  <c r="N671" i="2"/>
  <c r="O670" i="2"/>
  <c r="N670" i="2"/>
  <c r="O669" i="2"/>
  <c r="N669" i="2"/>
  <c r="O668" i="2"/>
  <c r="N668" i="2"/>
  <c r="O667" i="2"/>
  <c r="N667" i="2"/>
  <c r="O666" i="2"/>
  <c r="N666" i="2"/>
  <c r="O665" i="2"/>
  <c r="N665" i="2"/>
  <c r="O664" i="2"/>
  <c r="N664" i="2"/>
  <c r="O663" i="2"/>
  <c r="N663" i="2"/>
  <c r="O662" i="2"/>
  <c r="N662" i="2"/>
  <c r="O661" i="2"/>
  <c r="N661" i="2"/>
  <c r="O660" i="2"/>
  <c r="N660" i="2"/>
  <c r="O659" i="2"/>
  <c r="N659" i="2"/>
  <c r="O658" i="2"/>
  <c r="N658" i="2"/>
  <c r="O657" i="2"/>
  <c r="N657" i="2"/>
  <c r="O656" i="2"/>
  <c r="N656" i="2"/>
  <c r="O655" i="2"/>
  <c r="N655" i="2"/>
  <c r="O654" i="2"/>
  <c r="N654" i="2"/>
  <c r="O653" i="2"/>
  <c r="N653" i="2"/>
  <c r="O652" i="2"/>
  <c r="N652" i="2"/>
  <c r="O651" i="2"/>
  <c r="N651" i="2"/>
  <c r="O650" i="2"/>
  <c r="N650" i="2"/>
  <c r="O649" i="2"/>
  <c r="N649" i="2"/>
  <c r="O648" i="2"/>
  <c r="N648" i="2"/>
  <c r="O647" i="2"/>
  <c r="N647" i="2"/>
  <c r="O646" i="2"/>
  <c r="N646" i="2"/>
  <c r="O645" i="2"/>
  <c r="N645" i="2"/>
  <c r="O644" i="2"/>
  <c r="N644" i="2"/>
  <c r="O643" i="2"/>
  <c r="N643" i="2"/>
  <c r="O642" i="2"/>
  <c r="N642" i="2"/>
  <c r="O641" i="2"/>
  <c r="N641" i="2"/>
  <c r="O640" i="2"/>
  <c r="N640" i="2"/>
  <c r="O639" i="2"/>
  <c r="N639" i="2"/>
  <c r="O638" i="2"/>
  <c r="N638" i="2"/>
  <c r="O637" i="2"/>
  <c r="N637" i="2"/>
  <c r="O636" i="2"/>
  <c r="N636" i="2"/>
  <c r="O635" i="2"/>
  <c r="N635" i="2"/>
  <c r="O634" i="2"/>
  <c r="N634" i="2"/>
  <c r="O633" i="2"/>
  <c r="N633" i="2"/>
  <c r="O632" i="2"/>
  <c r="N632" i="2"/>
  <c r="O631" i="2"/>
  <c r="N631" i="2"/>
  <c r="O630" i="2"/>
  <c r="N630" i="2"/>
  <c r="O629" i="2"/>
  <c r="N629" i="2"/>
  <c r="O628" i="2"/>
  <c r="N628" i="2"/>
  <c r="O627" i="2"/>
  <c r="N627" i="2"/>
  <c r="O626" i="2"/>
  <c r="N626" i="2"/>
  <c r="O625" i="2"/>
  <c r="N625" i="2"/>
  <c r="O624" i="2"/>
  <c r="N624" i="2"/>
  <c r="O623" i="2"/>
  <c r="N623" i="2"/>
  <c r="O622" i="2"/>
  <c r="N622" i="2"/>
  <c r="O621" i="2"/>
  <c r="N621" i="2"/>
  <c r="O620" i="2"/>
  <c r="N620" i="2"/>
  <c r="O619" i="2"/>
  <c r="N619" i="2"/>
  <c r="O618" i="2"/>
  <c r="N618" i="2"/>
  <c r="O617" i="2"/>
  <c r="N617" i="2"/>
  <c r="O616" i="2"/>
  <c r="N616" i="2"/>
  <c r="O615" i="2"/>
  <c r="N615" i="2"/>
  <c r="O614" i="2"/>
  <c r="N614" i="2"/>
  <c r="O613" i="2"/>
  <c r="N613" i="2"/>
  <c r="O612" i="2"/>
  <c r="N612" i="2"/>
  <c r="O611" i="2"/>
  <c r="N611" i="2"/>
  <c r="O610" i="2"/>
  <c r="N610" i="2"/>
  <c r="O609" i="2"/>
  <c r="N609" i="2"/>
  <c r="O608" i="2"/>
  <c r="N608" i="2"/>
  <c r="O607" i="2"/>
  <c r="N607" i="2"/>
  <c r="O606" i="2"/>
  <c r="N606" i="2"/>
  <c r="O605" i="2"/>
  <c r="N605" i="2"/>
  <c r="O604" i="2"/>
  <c r="N604" i="2"/>
  <c r="O603" i="2"/>
  <c r="N603" i="2"/>
  <c r="O602" i="2"/>
  <c r="N602" i="2"/>
  <c r="O601" i="2"/>
  <c r="N601" i="2"/>
  <c r="O600" i="2"/>
  <c r="N600" i="2"/>
  <c r="O599" i="2"/>
  <c r="N599" i="2"/>
  <c r="O598" i="2"/>
  <c r="N598" i="2"/>
  <c r="O597" i="2"/>
  <c r="N597" i="2"/>
  <c r="O596" i="2"/>
  <c r="N596" i="2"/>
  <c r="O595" i="2"/>
  <c r="N595" i="2"/>
  <c r="O594" i="2"/>
  <c r="N594" i="2"/>
  <c r="O593" i="2"/>
  <c r="N593" i="2"/>
  <c r="O592" i="2"/>
  <c r="N592" i="2"/>
  <c r="O591" i="2"/>
  <c r="N591" i="2"/>
  <c r="O590" i="2"/>
  <c r="N590" i="2"/>
  <c r="O589" i="2"/>
  <c r="N589" i="2"/>
  <c r="O588" i="2"/>
  <c r="N588" i="2"/>
  <c r="O587" i="2"/>
  <c r="N587" i="2"/>
  <c r="O586" i="2"/>
  <c r="N586" i="2"/>
  <c r="O585" i="2"/>
  <c r="N585" i="2"/>
  <c r="O584" i="2"/>
  <c r="N584" i="2"/>
  <c r="O583" i="2"/>
  <c r="N583" i="2"/>
  <c r="O582" i="2"/>
  <c r="N582" i="2"/>
  <c r="O581" i="2"/>
  <c r="N581" i="2"/>
  <c r="O580" i="2"/>
  <c r="N580" i="2"/>
  <c r="O579" i="2"/>
  <c r="N579" i="2"/>
  <c r="O578" i="2"/>
  <c r="N578" i="2"/>
  <c r="O577" i="2"/>
  <c r="N577" i="2"/>
  <c r="O576" i="2"/>
  <c r="N576" i="2"/>
  <c r="O575" i="2"/>
  <c r="N575" i="2"/>
  <c r="O574" i="2"/>
  <c r="N574" i="2"/>
  <c r="O573" i="2"/>
  <c r="N573" i="2"/>
  <c r="O572" i="2"/>
  <c r="N572" i="2"/>
  <c r="O571" i="2"/>
  <c r="N571" i="2"/>
  <c r="O570" i="2"/>
  <c r="N570" i="2"/>
  <c r="O569" i="2"/>
  <c r="N569" i="2"/>
  <c r="O568" i="2"/>
  <c r="N568" i="2"/>
  <c r="O567" i="2"/>
  <c r="N567" i="2"/>
  <c r="O566" i="2"/>
  <c r="N566" i="2"/>
  <c r="O565" i="2"/>
  <c r="N565" i="2"/>
  <c r="O564" i="2"/>
  <c r="N564" i="2"/>
  <c r="O563" i="2"/>
  <c r="N563" i="2"/>
  <c r="O562" i="2"/>
  <c r="N562" i="2"/>
  <c r="O561" i="2"/>
  <c r="N561" i="2"/>
  <c r="O560" i="2"/>
  <c r="N560" i="2"/>
  <c r="O559" i="2"/>
  <c r="N559" i="2"/>
  <c r="O558" i="2"/>
  <c r="N558" i="2"/>
  <c r="O557" i="2"/>
  <c r="N557" i="2"/>
  <c r="O556" i="2"/>
  <c r="N556" i="2"/>
  <c r="O555" i="2"/>
  <c r="N555" i="2"/>
  <c r="O554" i="2"/>
  <c r="N554" i="2"/>
  <c r="O553" i="2"/>
  <c r="N553" i="2"/>
  <c r="O552" i="2"/>
  <c r="N552" i="2"/>
  <c r="O551" i="2"/>
  <c r="N551" i="2"/>
  <c r="O550" i="2"/>
  <c r="N550" i="2"/>
  <c r="O549" i="2"/>
  <c r="N549" i="2"/>
  <c r="O548" i="2"/>
  <c r="N548" i="2"/>
  <c r="O547" i="2"/>
  <c r="N547" i="2"/>
  <c r="O546" i="2"/>
  <c r="N546" i="2"/>
  <c r="O545" i="2"/>
  <c r="N545" i="2"/>
  <c r="O544" i="2"/>
  <c r="N544" i="2"/>
  <c r="O543" i="2"/>
  <c r="N543" i="2"/>
  <c r="O542" i="2"/>
  <c r="N542" i="2"/>
  <c r="O541" i="2"/>
  <c r="N541" i="2"/>
  <c r="O540" i="2"/>
  <c r="N540" i="2"/>
  <c r="O539" i="2"/>
  <c r="N539" i="2"/>
  <c r="O538" i="2"/>
  <c r="N538" i="2"/>
  <c r="O537" i="2"/>
  <c r="N537" i="2"/>
  <c r="O536" i="2"/>
  <c r="N536" i="2"/>
  <c r="O535" i="2"/>
  <c r="N535" i="2"/>
  <c r="O534" i="2"/>
  <c r="N534" i="2"/>
  <c r="O533" i="2"/>
  <c r="N533" i="2"/>
  <c r="O532" i="2"/>
  <c r="N532" i="2"/>
  <c r="O531" i="2"/>
  <c r="N531" i="2"/>
  <c r="O530" i="2"/>
  <c r="N530" i="2"/>
  <c r="O529" i="2"/>
  <c r="N529" i="2"/>
  <c r="O528" i="2"/>
  <c r="N528" i="2"/>
  <c r="O527" i="2"/>
  <c r="N527" i="2"/>
  <c r="O526" i="2"/>
  <c r="N526" i="2"/>
  <c r="O525" i="2"/>
  <c r="N525" i="2"/>
  <c r="O524" i="2"/>
  <c r="N524" i="2"/>
  <c r="O523" i="2"/>
  <c r="N523" i="2"/>
  <c r="O522" i="2"/>
  <c r="N522" i="2"/>
  <c r="O521" i="2"/>
  <c r="N521" i="2"/>
  <c r="O520" i="2"/>
  <c r="N520" i="2"/>
  <c r="O519" i="2"/>
  <c r="N519" i="2"/>
  <c r="O518" i="2"/>
  <c r="N518" i="2"/>
  <c r="O517" i="2"/>
  <c r="N517" i="2"/>
  <c r="O516" i="2"/>
  <c r="N516" i="2"/>
  <c r="O515" i="2"/>
  <c r="N515" i="2"/>
  <c r="O514" i="2"/>
  <c r="N514" i="2"/>
  <c r="O513" i="2"/>
  <c r="N513" i="2"/>
  <c r="O512" i="2"/>
  <c r="N512" i="2"/>
  <c r="O511" i="2"/>
  <c r="N511" i="2"/>
  <c r="O510" i="2"/>
  <c r="N510" i="2"/>
  <c r="O509" i="2"/>
  <c r="N509" i="2"/>
  <c r="O508" i="2"/>
  <c r="N508" i="2"/>
  <c r="O507" i="2"/>
  <c r="N507" i="2"/>
  <c r="O506" i="2"/>
  <c r="N506" i="2"/>
  <c r="O505" i="2"/>
  <c r="N505" i="2"/>
  <c r="O504" i="2"/>
  <c r="N504" i="2"/>
  <c r="O503" i="2"/>
  <c r="N503" i="2"/>
  <c r="O502" i="2"/>
  <c r="N502" i="2"/>
  <c r="O501" i="2"/>
  <c r="N501" i="2"/>
  <c r="O500" i="2"/>
  <c r="N500" i="2"/>
  <c r="O499" i="2"/>
  <c r="N499" i="2"/>
  <c r="O498" i="2"/>
  <c r="N498" i="2"/>
  <c r="O497" i="2"/>
  <c r="N497" i="2"/>
  <c r="O496" i="2"/>
  <c r="N496" i="2"/>
  <c r="O495" i="2"/>
  <c r="N495" i="2"/>
  <c r="O494" i="2"/>
  <c r="N494" i="2"/>
  <c r="O493" i="2"/>
  <c r="N493" i="2"/>
  <c r="O492" i="2"/>
  <c r="N492" i="2"/>
  <c r="O491" i="2"/>
  <c r="N491" i="2"/>
  <c r="O490" i="2"/>
  <c r="N490" i="2"/>
  <c r="O489" i="2"/>
  <c r="N489" i="2"/>
  <c r="O488" i="2"/>
  <c r="N488" i="2"/>
  <c r="O487" i="2"/>
  <c r="N487" i="2"/>
  <c r="O486" i="2"/>
  <c r="N486" i="2"/>
  <c r="O485" i="2"/>
  <c r="N485" i="2"/>
  <c r="O484" i="2"/>
  <c r="N484" i="2"/>
  <c r="O483" i="2"/>
  <c r="N483" i="2"/>
  <c r="O482" i="2"/>
  <c r="N482" i="2"/>
  <c r="O481" i="2"/>
  <c r="N481" i="2"/>
  <c r="O480" i="2"/>
  <c r="N480" i="2"/>
  <c r="O479" i="2"/>
  <c r="N479" i="2"/>
  <c r="O478" i="2"/>
  <c r="N478" i="2"/>
  <c r="O477" i="2"/>
  <c r="N477" i="2"/>
  <c r="O476" i="2"/>
  <c r="N476" i="2"/>
  <c r="O475" i="2"/>
  <c r="N475" i="2"/>
  <c r="O474" i="2"/>
  <c r="N474" i="2"/>
  <c r="O473" i="2"/>
  <c r="N473" i="2"/>
  <c r="O472" i="2"/>
  <c r="N472" i="2"/>
  <c r="O471" i="2"/>
  <c r="N471" i="2"/>
  <c r="O470" i="2"/>
  <c r="N470" i="2"/>
  <c r="O469" i="2"/>
  <c r="N469" i="2"/>
  <c r="O468" i="2"/>
  <c r="N468" i="2"/>
  <c r="O467" i="2"/>
  <c r="N467" i="2"/>
  <c r="O466" i="2"/>
  <c r="N466" i="2"/>
  <c r="O465" i="2"/>
  <c r="N465" i="2"/>
  <c r="O464" i="2"/>
  <c r="N464" i="2"/>
  <c r="O463" i="2"/>
  <c r="N463" i="2"/>
  <c r="O462" i="2"/>
  <c r="N462" i="2"/>
  <c r="O461" i="2"/>
  <c r="N461" i="2"/>
  <c r="O460" i="2"/>
  <c r="N460" i="2"/>
  <c r="O459" i="2"/>
  <c r="N459" i="2"/>
  <c r="O458" i="2"/>
  <c r="N458" i="2"/>
  <c r="O457" i="2"/>
  <c r="N457" i="2"/>
  <c r="O456" i="2"/>
  <c r="N456" i="2"/>
  <c r="O455" i="2"/>
  <c r="N455" i="2"/>
  <c r="O454" i="2"/>
  <c r="N454" i="2"/>
  <c r="O453" i="2"/>
  <c r="N453" i="2"/>
  <c r="O452" i="2"/>
  <c r="N452" i="2"/>
  <c r="O451" i="2"/>
  <c r="N451" i="2"/>
  <c r="O450" i="2"/>
  <c r="N450" i="2"/>
  <c r="O449" i="2"/>
  <c r="N449" i="2"/>
  <c r="O448" i="2"/>
  <c r="N448" i="2"/>
  <c r="O447" i="2"/>
  <c r="N447" i="2"/>
  <c r="O446" i="2"/>
  <c r="N446" i="2"/>
  <c r="O445" i="2"/>
  <c r="N445" i="2"/>
  <c r="O444" i="2"/>
  <c r="N444" i="2"/>
  <c r="O443" i="2"/>
  <c r="N443" i="2"/>
  <c r="O442" i="2"/>
  <c r="N442" i="2"/>
  <c r="O441" i="2"/>
  <c r="N441" i="2"/>
  <c r="O440" i="2"/>
  <c r="N440" i="2"/>
  <c r="O439" i="2"/>
  <c r="N439" i="2"/>
  <c r="O438" i="2"/>
  <c r="N438" i="2"/>
  <c r="O437" i="2"/>
  <c r="N437" i="2"/>
  <c r="O436" i="2"/>
  <c r="N436" i="2"/>
  <c r="O435" i="2"/>
  <c r="N435" i="2"/>
  <c r="O434" i="2"/>
  <c r="N434" i="2"/>
  <c r="O433" i="2"/>
  <c r="N433" i="2"/>
  <c r="O432" i="2"/>
  <c r="N432" i="2"/>
  <c r="O431" i="2"/>
  <c r="N431" i="2"/>
  <c r="O430" i="2"/>
  <c r="N430" i="2"/>
  <c r="O429" i="2"/>
  <c r="N429" i="2"/>
  <c r="O428" i="2"/>
  <c r="N428" i="2"/>
  <c r="O427" i="2"/>
  <c r="N427" i="2"/>
  <c r="O426" i="2"/>
  <c r="N426" i="2"/>
  <c r="O425" i="2"/>
  <c r="N425" i="2"/>
  <c r="O424" i="2"/>
  <c r="N424" i="2"/>
  <c r="O423" i="2"/>
  <c r="N423" i="2"/>
  <c r="O422" i="2"/>
  <c r="N422" i="2"/>
  <c r="O421" i="2"/>
  <c r="N421" i="2"/>
  <c r="O420" i="2"/>
  <c r="N420" i="2"/>
  <c r="O419" i="2"/>
  <c r="N419" i="2"/>
  <c r="O418" i="2"/>
  <c r="N418" i="2"/>
  <c r="O417" i="2"/>
  <c r="N417" i="2"/>
  <c r="O416" i="2"/>
  <c r="N416" i="2"/>
  <c r="O415" i="2"/>
  <c r="N415" i="2"/>
  <c r="O414" i="2"/>
  <c r="N414" i="2"/>
  <c r="O413" i="2"/>
  <c r="N413" i="2"/>
  <c r="O412" i="2"/>
  <c r="N412" i="2"/>
  <c r="O411" i="2"/>
  <c r="N411" i="2"/>
  <c r="O410" i="2"/>
  <c r="N410" i="2"/>
  <c r="O409" i="2"/>
  <c r="N409" i="2"/>
  <c r="O408" i="2"/>
  <c r="N408" i="2"/>
  <c r="O407" i="2"/>
  <c r="N407" i="2"/>
  <c r="O406" i="2"/>
  <c r="N406" i="2"/>
  <c r="O405" i="2"/>
  <c r="N405" i="2"/>
  <c r="O404" i="2"/>
  <c r="N404" i="2"/>
  <c r="O403" i="2"/>
  <c r="N403" i="2"/>
  <c r="O402" i="2"/>
  <c r="N402" i="2"/>
  <c r="O401" i="2"/>
  <c r="N401" i="2"/>
  <c r="O400" i="2"/>
  <c r="N400" i="2"/>
  <c r="O399" i="2"/>
  <c r="N399" i="2"/>
  <c r="O398" i="2"/>
  <c r="N398" i="2"/>
  <c r="O397" i="2"/>
  <c r="N397" i="2"/>
  <c r="O396" i="2"/>
  <c r="N396" i="2"/>
  <c r="O395" i="2"/>
  <c r="N395" i="2"/>
  <c r="O394" i="2"/>
  <c r="N394" i="2"/>
  <c r="O393" i="2"/>
  <c r="N393" i="2"/>
  <c r="O392" i="2"/>
  <c r="N392" i="2"/>
  <c r="O391" i="2"/>
  <c r="N391" i="2"/>
  <c r="O390" i="2"/>
  <c r="N390" i="2"/>
  <c r="O389" i="2"/>
  <c r="N389" i="2"/>
  <c r="O388" i="2"/>
  <c r="N388" i="2"/>
  <c r="O387" i="2"/>
  <c r="N387" i="2"/>
  <c r="O386" i="2"/>
  <c r="N386" i="2"/>
  <c r="O385" i="2"/>
  <c r="N385" i="2"/>
  <c r="O384" i="2"/>
  <c r="N384" i="2"/>
  <c r="O383" i="2"/>
  <c r="N383" i="2"/>
  <c r="O382" i="2"/>
  <c r="N382" i="2"/>
  <c r="O381" i="2"/>
  <c r="N381" i="2"/>
  <c r="O380" i="2"/>
  <c r="N380" i="2"/>
  <c r="O379" i="2"/>
  <c r="N379" i="2"/>
  <c r="O378" i="2"/>
  <c r="N378" i="2"/>
  <c r="O377" i="2"/>
  <c r="N377" i="2"/>
  <c r="O376" i="2"/>
  <c r="N376" i="2"/>
  <c r="O375" i="2"/>
  <c r="N375" i="2"/>
  <c r="O374" i="2"/>
  <c r="N374" i="2"/>
  <c r="O373" i="2"/>
  <c r="N373" i="2"/>
  <c r="O372" i="2"/>
  <c r="N372" i="2"/>
  <c r="O371" i="2"/>
  <c r="N371" i="2"/>
  <c r="O370" i="2"/>
  <c r="N370" i="2"/>
  <c r="O369" i="2"/>
  <c r="N369" i="2"/>
  <c r="O368" i="2"/>
  <c r="N368" i="2"/>
  <c r="O367" i="2"/>
  <c r="N367" i="2"/>
  <c r="O366" i="2"/>
  <c r="N366" i="2"/>
  <c r="O365" i="2"/>
  <c r="N365" i="2"/>
  <c r="O364" i="2"/>
  <c r="N364" i="2"/>
  <c r="O363" i="2"/>
  <c r="N363" i="2"/>
  <c r="O362" i="2"/>
  <c r="N362" i="2"/>
  <c r="O361" i="2"/>
  <c r="N361" i="2"/>
  <c r="O360" i="2"/>
  <c r="N360" i="2"/>
  <c r="O359" i="2"/>
  <c r="N359" i="2"/>
  <c r="O358" i="2"/>
  <c r="N358" i="2"/>
  <c r="O357" i="2"/>
  <c r="N357" i="2"/>
  <c r="O356" i="2"/>
  <c r="N356" i="2"/>
  <c r="O355" i="2"/>
  <c r="N355" i="2"/>
  <c r="O354" i="2"/>
  <c r="N354" i="2"/>
  <c r="O353" i="2"/>
  <c r="N353" i="2"/>
  <c r="O352" i="2"/>
  <c r="N352" i="2"/>
  <c r="O351" i="2"/>
  <c r="N351" i="2"/>
  <c r="O350" i="2"/>
  <c r="N350" i="2"/>
  <c r="O349" i="2"/>
  <c r="N349" i="2"/>
  <c r="O348" i="2"/>
  <c r="N348" i="2"/>
  <c r="O347" i="2"/>
  <c r="N347" i="2"/>
  <c r="O346" i="2"/>
  <c r="N346" i="2"/>
  <c r="O345" i="2"/>
  <c r="N345" i="2"/>
  <c r="O344" i="2"/>
  <c r="N344" i="2"/>
  <c r="O343" i="2"/>
  <c r="N343" i="2"/>
  <c r="O342" i="2"/>
  <c r="N342" i="2"/>
  <c r="O341" i="2"/>
  <c r="N341" i="2"/>
  <c r="O340" i="2"/>
  <c r="N340" i="2"/>
  <c r="O339" i="2"/>
  <c r="N339" i="2"/>
  <c r="O338" i="2"/>
  <c r="N338" i="2"/>
  <c r="O337" i="2"/>
  <c r="N337" i="2"/>
  <c r="O336" i="2"/>
  <c r="N336" i="2"/>
  <c r="O335" i="2"/>
  <c r="N335" i="2"/>
  <c r="O334" i="2"/>
  <c r="N334" i="2"/>
  <c r="O333" i="2"/>
  <c r="N333" i="2"/>
  <c r="O332" i="2"/>
  <c r="N332" i="2"/>
  <c r="O331" i="2"/>
  <c r="N331" i="2"/>
  <c r="O330" i="2"/>
  <c r="N330" i="2"/>
  <c r="O329" i="2"/>
  <c r="N329" i="2"/>
  <c r="O328" i="2"/>
  <c r="N328" i="2"/>
  <c r="O327" i="2"/>
  <c r="N327" i="2"/>
  <c r="O326" i="2"/>
  <c r="N326" i="2"/>
  <c r="O325" i="2"/>
  <c r="N325" i="2"/>
  <c r="O324" i="2"/>
  <c r="N324" i="2"/>
  <c r="O323" i="2"/>
  <c r="N323" i="2"/>
  <c r="O322" i="2"/>
  <c r="N322" i="2"/>
  <c r="O321" i="2"/>
  <c r="N321" i="2"/>
  <c r="O320" i="2"/>
  <c r="N320" i="2"/>
  <c r="O319" i="2"/>
  <c r="N319" i="2"/>
  <c r="O318" i="2"/>
  <c r="N318" i="2"/>
  <c r="O317" i="2"/>
  <c r="N317" i="2"/>
  <c r="O316" i="2"/>
  <c r="N316" i="2"/>
  <c r="O315" i="2"/>
  <c r="N315" i="2"/>
  <c r="O314" i="2"/>
  <c r="N314" i="2"/>
  <c r="O313" i="2"/>
  <c r="N313" i="2"/>
  <c r="O312" i="2"/>
  <c r="N312" i="2"/>
  <c r="O311" i="2"/>
  <c r="N311" i="2"/>
  <c r="O310" i="2"/>
  <c r="N310" i="2"/>
  <c r="O309" i="2"/>
  <c r="N309" i="2"/>
  <c r="O308" i="2"/>
  <c r="N308" i="2"/>
  <c r="O307" i="2"/>
  <c r="N307" i="2"/>
  <c r="O306" i="2"/>
  <c r="N306" i="2"/>
  <c r="O305" i="2"/>
  <c r="N305" i="2"/>
  <c r="O304" i="2"/>
  <c r="N304" i="2"/>
  <c r="O303" i="2"/>
  <c r="N303" i="2"/>
  <c r="O302" i="2"/>
  <c r="N302" i="2"/>
  <c r="O301" i="2"/>
  <c r="N301" i="2"/>
  <c r="O300" i="2"/>
  <c r="N300" i="2"/>
  <c r="O299" i="2"/>
  <c r="N299" i="2"/>
  <c r="O298" i="2"/>
  <c r="N298" i="2"/>
  <c r="O297" i="2"/>
  <c r="N297" i="2"/>
  <c r="O296" i="2"/>
  <c r="N296" i="2"/>
  <c r="O295" i="2"/>
  <c r="N295" i="2"/>
  <c r="O294" i="2"/>
  <c r="N294" i="2"/>
  <c r="O293" i="2"/>
  <c r="N293" i="2"/>
  <c r="O292" i="2"/>
  <c r="N292" i="2"/>
  <c r="O291" i="2"/>
  <c r="N291" i="2"/>
  <c r="O290" i="2"/>
  <c r="N290" i="2"/>
  <c r="O289" i="2"/>
  <c r="N289" i="2"/>
  <c r="O288" i="2"/>
  <c r="N288" i="2"/>
  <c r="O287" i="2"/>
  <c r="N287" i="2"/>
  <c r="O286" i="2"/>
  <c r="N286" i="2"/>
  <c r="O285" i="2"/>
  <c r="N285" i="2"/>
  <c r="O284" i="2"/>
  <c r="N284" i="2"/>
  <c r="O283" i="2"/>
  <c r="N283" i="2"/>
  <c r="O282" i="2"/>
  <c r="N282" i="2"/>
  <c r="O281" i="2"/>
  <c r="N281" i="2"/>
  <c r="O280" i="2"/>
  <c r="N280" i="2"/>
  <c r="O279" i="2"/>
  <c r="N279" i="2"/>
  <c r="O278" i="2"/>
  <c r="N278" i="2"/>
  <c r="O277" i="2"/>
  <c r="N277" i="2"/>
  <c r="O276" i="2"/>
  <c r="N276" i="2"/>
  <c r="O275" i="2"/>
  <c r="N275" i="2"/>
  <c r="O274" i="2"/>
  <c r="N274" i="2"/>
  <c r="O273" i="2"/>
  <c r="N273" i="2"/>
  <c r="O272" i="2"/>
  <c r="N272" i="2"/>
  <c r="O271" i="2"/>
  <c r="N271" i="2"/>
  <c r="O270" i="2"/>
  <c r="N270" i="2"/>
  <c r="O269" i="2"/>
  <c r="N269" i="2"/>
  <c r="O268" i="2"/>
  <c r="N268" i="2"/>
  <c r="O267" i="2"/>
  <c r="N267" i="2"/>
  <c r="O266" i="2"/>
  <c r="N266" i="2"/>
  <c r="O265" i="2"/>
  <c r="N265" i="2"/>
  <c r="O264" i="2"/>
  <c r="N264" i="2"/>
  <c r="O263" i="2"/>
  <c r="N263" i="2"/>
  <c r="O262" i="2"/>
  <c r="N262" i="2"/>
  <c r="O261" i="2"/>
  <c r="N261" i="2"/>
  <c r="O260" i="2"/>
  <c r="N260" i="2"/>
  <c r="O259" i="2"/>
  <c r="N259" i="2"/>
  <c r="O258" i="2"/>
  <c r="N258" i="2"/>
  <c r="O257" i="2"/>
  <c r="N257" i="2"/>
  <c r="O256" i="2"/>
  <c r="N256" i="2"/>
  <c r="O255" i="2"/>
  <c r="N255" i="2"/>
  <c r="O254" i="2"/>
  <c r="N254" i="2"/>
  <c r="O253" i="2"/>
  <c r="N253" i="2"/>
  <c r="O252" i="2"/>
  <c r="N252" i="2"/>
  <c r="O251" i="2"/>
  <c r="N251" i="2"/>
  <c r="O250" i="2"/>
  <c r="N250" i="2"/>
  <c r="O249" i="2"/>
  <c r="N249" i="2"/>
  <c r="O248" i="2"/>
  <c r="N248" i="2"/>
  <c r="O247" i="2"/>
  <c r="N247" i="2"/>
  <c r="O246" i="2"/>
  <c r="N246" i="2"/>
  <c r="O245" i="2"/>
  <c r="N245" i="2"/>
  <c r="O244" i="2"/>
  <c r="N244" i="2"/>
  <c r="O243" i="2"/>
  <c r="N243" i="2"/>
  <c r="O242" i="2"/>
  <c r="N242" i="2"/>
  <c r="O241" i="2"/>
  <c r="N241" i="2"/>
  <c r="O240" i="2"/>
  <c r="N240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O233" i="2"/>
  <c r="N233" i="2"/>
  <c r="O232" i="2"/>
  <c r="N232" i="2"/>
  <c r="O231" i="2"/>
  <c r="N231" i="2"/>
  <c r="O230" i="2"/>
  <c r="N230" i="2"/>
  <c r="O229" i="2"/>
  <c r="N229" i="2"/>
  <c r="O228" i="2"/>
  <c r="N228" i="2"/>
  <c r="O227" i="2"/>
  <c r="N227" i="2"/>
  <c r="O226" i="2"/>
  <c r="N226" i="2"/>
  <c r="O225" i="2"/>
  <c r="N225" i="2"/>
  <c r="O224" i="2"/>
  <c r="N224" i="2"/>
  <c r="O223" i="2"/>
  <c r="N223" i="2"/>
  <c r="O222" i="2"/>
  <c r="N22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O737" i="7" l="1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O737" i="6"/>
  <c r="N737" i="6"/>
  <c r="O736" i="6"/>
  <c r="N736" i="6"/>
  <c r="O735" i="6"/>
  <c r="N735" i="6"/>
  <c r="O734" i="6"/>
  <c r="N734" i="6"/>
  <c r="O733" i="6"/>
  <c r="N733" i="6"/>
  <c r="O732" i="6"/>
  <c r="N732" i="6"/>
  <c r="O731" i="6"/>
  <c r="N731" i="6"/>
  <c r="O730" i="6"/>
  <c r="N730" i="6"/>
  <c r="O729" i="6"/>
  <c r="N729" i="6"/>
  <c r="O728" i="6"/>
  <c r="N728" i="6"/>
  <c r="O727" i="6"/>
  <c r="N727" i="6"/>
  <c r="O726" i="6"/>
  <c r="N726" i="6"/>
  <c r="O725" i="6"/>
  <c r="N725" i="6"/>
  <c r="O724" i="6"/>
  <c r="N724" i="6"/>
  <c r="O723" i="6"/>
  <c r="N723" i="6"/>
  <c r="O722" i="6"/>
  <c r="N722" i="6"/>
  <c r="O721" i="6"/>
  <c r="N721" i="6"/>
  <c r="O720" i="6"/>
  <c r="N720" i="6"/>
  <c r="O719" i="6"/>
  <c r="N719" i="6"/>
  <c r="O718" i="6"/>
  <c r="N718" i="6"/>
  <c r="O717" i="6"/>
  <c r="N717" i="6"/>
  <c r="O716" i="6"/>
  <c r="N716" i="6"/>
  <c r="O715" i="6"/>
  <c r="N715" i="6"/>
  <c r="O714" i="6"/>
  <c r="N714" i="6"/>
  <c r="O713" i="6"/>
  <c r="N713" i="6"/>
  <c r="O712" i="6"/>
  <c r="N712" i="6"/>
  <c r="O711" i="6"/>
  <c r="N711" i="6"/>
  <c r="O710" i="6"/>
  <c r="N710" i="6"/>
  <c r="O709" i="6"/>
  <c r="N709" i="6"/>
  <c r="O708" i="6"/>
  <c r="N708" i="6"/>
  <c r="O707" i="6"/>
  <c r="N707" i="6"/>
  <c r="O706" i="6"/>
  <c r="N706" i="6"/>
  <c r="O705" i="6"/>
  <c r="N705" i="6"/>
  <c r="O704" i="6"/>
  <c r="N704" i="6"/>
  <c r="O703" i="6"/>
  <c r="N703" i="6"/>
  <c r="O702" i="6"/>
  <c r="N702" i="6"/>
  <c r="O701" i="6"/>
  <c r="N701" i="6"/>
  <c r="O700" i="6"/>
  <c r="N700" i="6"/>
  <c r="O699" i="6"/>
  <c r="N699" i="6"/>
  <c r="O698" i="6"/>
  <c r="N698" i="6"/>
  <c r="O697" i="6"/>
  <c r="N697" i="6"/>
  <c r="O696" i="6"/>
  <c r="N696" i="6"/>
  <c r="O695" i="6"/>
  <c r="N695" i="6"/>
  <c r="O694" i="6"/>
  <c r="N694" i="6"/>
  <c r="O693" i="6"/>
  <c r="N693" i="6"/>
  <c r="O692" i="6"/>
  <c r="N692" i="6"/>
  <c r="O691" i="6"/>
  <c r="N691" i="6"/>
  <c r="O690" i="6"/>
  <c r="N690" i="6"/>
  <c r="O689" i="6"/>
  <c r="N689" i="6"/>
  <c r="O688" i="6"/>
  <c r="N688" i="6"/>
  <c r="O687" i="6"/>
  <c r="N687" i="6"/>
  <c r="O686" i="6"/>
  <c r="N686" i="6"/>
  <c r="O685" i="6"/>
  <c r="N685" i="6"/>
  <c r="O684" i="6"/>
  <c r="N684" i="6"/>
  <c r="O683" i="6"/>
  <c r="N683" i="6"/>
  <c r="O682" i="6"/>
  <c r="N682" i="6"/>
  <c r="O681" i="6"/>
  <c r="N681" i="6"/>
  <c r="O680" i="6"/>
  <c r="N680" i="6"/>
  <c r="O679" i="6"/>
  <c r="N679" i="6"/>
  <c r="O678" i="6"/>
  <c r="N678" i="6"/>
  <c r="O677" i="6"/>
  <c r="N677" i="6"/>
  <c r="O676" i="6"/>
  <c r="N676" i="6"/>
  <c r="O675" i="6"/>
  <c r="N675" i="6"/>
  <c r="O674" i="6"/>
  <c r="N674" i="6"/>
  <c r="O673" i="6"/>
  <c r="N673" i="6"/>
  <c r="O672" i="6"/>
  <c r="N672" i="6"/>
  <c r="O671" i="6"/>
  <c r="N671" i="6"/>
  <c r="O670" i="6"/>
  <c r="N670" i="6"/>
  <c r="O669" i="6"/>
  <c r="N669" i="6"/>
  <c r="O668" i="6"/>
  <c r="N668" i="6"/>
  <c r="O667" i="6"/>
  <c r="N667" i="6"/>
  <c r="O666" i="6"/>
  <c r="N666" i="6"/>
  <c r="O665" i="6"/>
  <c r="N665" i="6"/>
  <c r="O664" i="6"/>
  <c r="N664" i="6"/>
  <c r="O663" i="6"/>
  <c r="N663" i="6"/>
  <c r="O662" i="6"/>
  <c r="N662" i="6"/>
  <c r="O661" i="6"/>
  <c r="N661" i="6"/>
  <c r="O660" i="6"/>
  <c r="N660" i="6"/>
  <c r="O659" i="6"/>
  <c r="N659" i="6"/>
  <c r="O658" i="6"/>
  <c r="N658" i="6"/>
  <c r="O657" i="6"/>
  <c r="N657" i="6"/>
  <c r="O656" i="6"/>
  <c r="N656" i="6"/>
  <c r="O655" i="6"/>
  <c r="N655" i="6"/>
  <c r="O654" i="6"/>
  <c r="N654" i="6"/>
  <c r="O653" i="6"/>
  <c r="N653" i="6"/>
  <c r="O652" i="6"/>
  <c r="N652" i="6"/>
  <c r="O651" i="6"/>
  <c r="N651" i="6"/>
  <c r="O650" i="6"/>
  <c r="N650" i="6"/>
  <c r="O649" i="6"/>
  <c r="N649" i="6"/>
  <c r="O648" i="6"/>
  <c r="N648" i="6"/>
  <c r="O647" i="6"/>
  <c r="N647" i="6"/>
  <c r="O646" i="6"/>
  <c r="N646" i="6"/>
  <c r="O645" i="6"/>
  <c r="N645" i="6"/>
  <c r="O644" i="6"/>
  <c r="N644" i="6"/>
  <c r="O643" i="6"/>
  <c r="N643" i="6"/>
  <c r="O642" i="6"/>
  <c r="N642" i="6"/>
  <c r="O641" i="6"/>
  <c r="N641" i="6"/>
  <c r="O640" i="6"/>
  <c r="N640" i="6"/>
  <c r="O639" i="6"/>
  <c r="N639" i="6"/>
  <c r="O638" i="6"/>
  <c r="N638" i="6"/>
  <c r="O637" i="6"/>
  <c r="N637" i="6"/>
  <c r="O636" i="6"/>
  <c r="N636" i="6"/>
  <c r="O635" i="6"/>
  <c r="N635" i="6"/>
  <c r="O634" i="6"/>
  <c r="N634" i="6"/>
  <c r="O633" i="6"/>
  <c r="N633" i="6"/>
  <c r="O632" i="6"/>
  <c r="N632" i="6"/>
  <c r="O631" i="6"/>
  <c r="N631" i="6"/>
  <c r="O630" i="6"/>
  <c r="N630" i="6"/>
  <c r="O629" i="6"/>
  <c r="N629" i="6"/>
  <c r="O628" i="6"/>
  <c r="N628" i="6"/>
  <c r="O627" i="6"/>
  <c r="N627" i="6"/>
  <c r="O626" i="6"/>
  <c r="N626" i="6"/>
  <c r="O625" i="6"/>
  <c r="N625" i="6"/>
  <c r="O624" i="6"/>
  <c r="N624" i="6"/>
  <c r="O623" i="6"/>
  <c r="N623" i="6"/>
  <c r="O622" i="6"/>
  <c r="N622" i="6"/>
  <c r="O621" i="6"/>
  <c r="N621" i="6"/>
  <c r="O620" i="6"/>
  <c r="N620" i="6"/>
  <c r="O619" i="6"/>
  <c r="N619" i="6"/>
  <c r="O618" i="6"/>
  <c r="N618" i="6"/>
  <c r="O617" i="6"/>
  <c r="N617" i="6"/>
  <c r="O616" i="6"/>
  <c r="N616" i="6"/>
  <c r="O615" i="6"/>
  <c r="N615" i="6"/>
  <c r="O614" i="6"/>
  <c r="N614" i="6"/>
  <c r="O613" i="6"/>
  <c r="N613" i="6"/>
  <c r="O612" i="6"/>
  <c r="N612" i="6"/>
  <c r="O611" i="6"/>
  <c r="N611" i="6"/>
  <c r="O610" i="6"/>
  <c r="N610" i="6"/>
  <c r="O609" i="6"/>
  <c r="N609" i="6"/>
  <c r="O608" i="6"/>
  <c r="N608" i="6"/>
  <c r="O607" i="6"/>
  <c r="N607" i="6"/>
  <c r="O606" i="6"/>
  <c r="N606" i="6"/>
  <c r="O605" i="6"/>
  <c r="N605" i="6"/>
  <c r="O604" i="6"/>
  <c r="N604" i="6"/>
  <c r="O603" i="6"/>
  <c r="N603" i="6"/>
  <c r="O602" i="6"/>
  <c r="N602" i="6"/>
  <c r="O601" i="6"/>
  <c r="N601" i="6"/>
  <c r="O600" i="6"/>
  <c r="N600" i="6"/>
  <c r="O599" i="6"/>
  <c r="N599" i="6"/>
  <c r="O598" i="6"/>
  <c r="N598" i="6"/>
  <c r="O597" i="6"/>
  <c r="N597" i="6"/>
  <c r="O596" i="6"/>
  <c r="N596" i="6"/>
  <c r="O595" i="6"/>
  <c r="N595" i="6"/>
  <c r="O594" i="6"/>
  <c r="N594" i="6"/>
  <c r="O593" i="6"/>
  <c r="N593" i="6"/>
  <c r="O592" i="6"/>
  <c r="N592" i="6"/>
  <c r="O591" i="6"/>
  <c r="N591" i="6"/>
  <c r="O590" i="6"/>
  <c r="N590" i="6"/>
  <c r="O589" i="6"/>
  <c r="N589" i="6"/>
  <c r="O588" i="6"/>
  <c r="N588" i="6"/>
  <c r="O587" i="6"/>
  <c r="N587" i="6"/>
  <c r="O586" i="6"/>
  <c r="N586" i="6"/>
  <c r="O585" i="6"/>
  <c r="N585" i="6"/>
  <c r="O584" i="6"/>
  <c r="N584" i="6"/>
  <c r="O583" i="6"/>
  <c r="N583" i="6"/>
  <c r="O582" i="6"/>
  <c r="N582" i="6"/>
  <c r="O581" i="6"/>
  <c r="N581" i="6"/>
  <c r="O580" i="6"/>
  <c r="N580" i="6"/>
  <c r="O579" i="6"/>
  <c r="N579" i="6"/>
  <c r="O578" i="6"/>
  <c r="N578" i="6"/>
  <c r="O577" i="6"/>
  <c r="N577" i="6"/>
  <c r="O576" i="6"/>
  <c r="N576" i="6"/>
  <c r="O575" i="6"/>
  <c r="N575" i="6"/>
  <c r="O574" i="6"/>
  <c r="N574" i="6"/>
  <c r="O573" i="6"/>
  <c r="N573" i="6"/>
  <c r="O572" i="6"/>
  <c r="N572" i="6"/>
  <c r="O571" i="6"/>
  <c r="N571" i="6"/>
  <c r="O570" i="6"/>
  <c r="N570" i="6"/>
  <c r="O569" i="6"/>
  <c r="N569" i="6"/>
  <c r="O568" i="6"/>
  <c r="N568" i="6"/>
  <c r="O567" i="6"/>
  <c r="N567" i="6"/>
  <c r="O566" i="6"/>
  <c r="N566" i="6"/>
  <c r="O565" i="6"/>
  <c r="N565" i="6"/>
  <c r="O564" i="6"/>
  <c r="N564" i="6"/>
  <c r="O563" i="6"/>
  <c r="N563" i="6"/>
  <c r="O562" i="6"/>
  <c r="N562" i="6"/>
  <c r="O561" i="6"/>
  <c r="N561" i="6"/>
  <c r="O560" i="6"/>
  <c r="N560" i="6"/>
  <c r="O559" i="6"/>
  <c r="N559" i="6"/>
  <c r="O558" i="6"/>
  <c r="N558" i="6"/>
  <c r="O557" i="6"/>
  <c r="N557" i="6"/>
  <c r="O556" i="6"/>
  <c r="N556" i="6"/>
  <c r="O555" i="6"/>
  <c r="N555" i="6"/>
  <c r="O554" i="6"/>
  <c r="N554" i="6"/>
  <c r="O553" i="6"/>
  <c r="N553" i="6"/>
  <c r="O552" i="6"/>
  <c r="N552" i="6"/>
  <c r="O551" i="6"/>
  <c r="N551" i="6"/>
  <c r="O550" i="6"/>
  <c r="N550" i="6"/>
  <c r="O549" i="6"/>
  <c r="N549" i="6"/>
  <c r="O548" i="6"/>
  <c r="N548" i="6"/>
  <c r="O547" i="6"/>
  <c r="N547" i="6"/>
  <c r="O546" i="6"/>
  <c r="N546" i="6"/>
  <c r="O545" i="6"/>
  <c r="N545" i="6"/>
  <c r="O544" i="6"/>
  <c r="N544" i="6"/>
  <c r="O543" i="6"/>
  <c r="N543" i="6"/>
  <c r="O542" i="6"/>
  <c r="N542" i="6"/>
  <c r="O541" i="6"/>
  <c r="N541" i="6"/>
  <c r="O540" i="6"/>
  <c r="N540" i="6"/>
  <c r="O539" i="6"/>
  <c r="N539" i="6"/>
  <c r="O538" i="6"/>
  <c r="N538" i="6"/>
  <c r="O537" i="6"/>
  <c r="N537" i="6"/>
  <c r="O536" i="6"/>
  <c r="N536" i="6"/>
  <c r="O535" i="6"/>
  <c r="N535" i="6"/>
  <c r="O534" i="6"/>
  <c r="N534" i="6"/>
  <c r="O533" i="6"/>
  <c r="N533" i="6"/>
  <c r="O532" i="6"/>
  <c r="N532" i="6"/>
  <c r="O531" i="6"/>
  <c r="N531" i="6"/>
  <c r="O530" i="6"/>
  <c r="N530" i="6"/>
  <c r="O529" i="6"/>
  <c r="N529" i="6"/>
  <c r="O528" i="6"/>
  <c r="N528" i="6"/>
  <c r="O527" i="6"/>
  <c r="N527" i="6"/>
  <c r="O526" i="6"/>
  <c r="N526" i="6"/>
  <c r="O525" i="6"/>
  <c r="N525" i="6"/>
  <c r="O524" i="6"/>
  <c r="N524" i="6"/>
  <c r="O523" i="6"/>
  <c r="N523" i="6"/>
  <c r="O522" i="6"/>
  <c r="N522" i="6"/>
  <c r="O521" i="6"/>
  <c r="N521" i="6"/>
  <c r="O520" i="6"/>
  <c r="N520" i="6"/>
  <c r="O519" i="6"/>
  <c r="N519" i="6"/>
  <c r="O518" i="6"/>
  <c r="N518" i="6"/>
  <c r="O517" i="6"/>
  <c r="N517" i="6"/>
  <c r="O516" i="6"/>
  <c r="N516" i="6"/>
  <c r="O515" i="6"/>
  <c r="N515" i="6"/>
  <c r="O514" i="6"/>
  <c r="N514" i="6"/>
  <c r="O513" i="6"/>
  <c r="N513" i="6"/>
  <c r="O512" i="6"/>
  <c r="N512" i="6"/>
  <c r="O511" i="6"/>
  <c r="N511" i="6"/>
  <c r="O510" i="6"/>
  <c r="N510" i="6"/>
  <c r="O509" i="6"/>
  <c r="N509" i="6"/>
  <c r="O508" i="6"/>
  <c r="N508" i="6"/>
  <c r="O507" i="6"/>
  <c r="N507" i="6"/>
  <c r="O506" i="6"/>
  <c r="N506" i="6"/>
  <c r="O505" i="6"/>
  <c r="N505" i="6"/>
  <c r="O504" i="6"/>
  <c r="N504" i="6"/>
  <c r="O503" i="6"/>
  <c r="N503" i="6"/>
  <c r="O502" i="6"/>
  <c r="N502" i="6"/>
  <c r="O501" i="6"/>
  <c r="N501" i="6"/>
  <c r="O500" i="6"/>
  <c r="N500" i="6"/>
  <c r="O499" i="6"/>
  <c r="N499" i="6"/>
  <c r="O498" i="6"/>
  <c r="N498" i="6"/>
  <c r="O497" i="6"/>
  <c r="N497" i="6"/>
  <c r="O496" i="6"/>
  <c r="N496" i="6"/>
  <c r="O495" i="6"/>
  <c r="N495" i="6"/>
  <c r="O494" i="6"/>
  <c r="N494" i="6"/>
  <c r="O493" i="6"/>
  <c r="N493" i="6"/>
  <c r="O492" i="6"/>
  <c r="N492" i="6"/>
  <c r="O491" i="6"/>
  <c r="N491" i="6"/>
  <c r="O490" i="6"/>
  <c r="N490" i="6"/>
  <c r="O489" i="6"/>
  <c r="N489" i="6"/>
  <c r="O488" i="6"/>
  <c r="N488" i="6"/>
  <c r="O487" i="6"/>
  <c r="N487" i="6"/>
  <c r="O486" i="6"/>
  <c r="N486" i="6"/>
  <c r="O485" i="6"/>
  <c r="N485" i="6"/>
  <c r="O484" i="6"/>
  <c r="N484" i="6"/>
  <c r="O483" i="6"/>
  <c r="N483" i="6"/>
  <c r="O482" i="6"/>
  <c r="N482" i="6"/>
  <c r="O481" i="6"/>
  <c r="N481" i="6"/>
  <c r="O480" i="6"/>
  <c r="N480" i="6"/>
  <c r="O479" i="6"/>
  <c r="N479" i="6"/>
  <c r="O478" i="6"/>
  <c r="N478" i="6"/>
  <c r="O477" i="6"/>
  <c r="N477" i="6"/>
  <c r="O476" i="6"/>
  <c r="N476" i="6"/>
  <c r="O475" i="6"/>
  <c r="N475" i="6"/>
  <c r="O474" i="6"/>
  <c r="N474" i="6"/>
  <c r="O473" i="6"/>
  <c r="N473" i="6"/>
  <c r="O472" i="6"/>
  <c r="N472" i="6"/>
  <c r="O471" i="6"/>
  <c r="N471" i="6"/>
  <c r="O470" i="6"/>
  <c r="N470" i="6"/>
  <c r="O469" i="6"/>
  <c r="N469" i="6"/>
  <c r="O468" i="6"/>
  <c r="N468" i="6"/>
  <c r="O467" i="6"/>
  <c r="N467" i="6"/>
  <c r="O466" i="6"/>
  <c r="N466" i="6"/>
  <c r="O465" i="6"/>
  <c r="N465" i="6"/>
  <c r="O464" i="6"/>
  <c r="N464" i="6"/>
  <c r="O463" i="6"/>
  <c r="N463" i="6"/>
  <c r="O462" i="6"/>
  <c r="N462" i="6"/>
  <c r="O461" i="6"/>
  <c r="N461" i="6"/>
  <c r="O460" i="6"/>
  <c r="N460" i="6"/>
  <c r="O459" i="6"/>
  <c r="N459" i="6"/>
  <c r="O458" i="6"/>
  <c r="N458" i="6"/>
  <c r="O457" i="6"/>
  <c r="N457" i="6"/>
  <c r="O456" i="6"/>
  <c r="N456" i="6"/>
  <c r="O455" i="6"/>
  <c r="N455" i="6"/>
  <c r="O454" i="6"/>
  <c r="N454" i="6"/>
  <c r="O453" i="6"/>
  <c r="N453" i="6"/>
  <c r="O452" i="6"/>
  <c r="N452" i="6"/>
  <c r="O451" i="6"/>
  <c r="N451" i="6"/>
  <c r="O450" i="6"/>
  <c r="N450" i="6"/>
  <c r="O449" i="6"/>
  <c r="N449" i="6"/>
  <c r="O448" i="6"/>
  <c r="N448" i="6"/>
  <c r="O447" i="6"/>
  <c r="N447" i="6"/>
  <c r="O446" i="6"/>
  <c r="N446" i="6"/>
  <c r="O445" i="6"/>
  <c r="N445" i="6"/>
  <c r="O444" i="6"/>
  <c r="N444" i="6"/>
  <c r="O443" i="6"/>
  <c r="N443" i="6"/>
  <c r="O442" i="6"/>
  <c r="N442" i="6"/>
  <c r="O441" i="6"/>
  <c r="N441" i="6"/>
  <c r="O440" i="6"/>
  <c r="N440" i="6"/>
  <c r="O439" i="6"/>
  <c r="N439" i="6"/>
  <c r="O438" i="6"/>
  <c r="N438" i="6"/>
  <c r="O437" i="6"/>
  <c r="N437" i="6"/>
  <c r="O436" i="6"/>
  <c r="N436" i="6"/>
  <c r="O435" i="6"/>
  <c r="N435" i="6"/>
  <c r="O434" i="6"/>
  <c r="N434" i="6"/>
  <c r="O433" i="6"/>
  <c r="N433" i="6"/>
  <c r="O432" i="6"/>
  <c r="N432" i="6"/>
  <c r="O431" i="6"/>
  <c r="N431" i="6"/>
  <c r="O430" i="6"/>
  <c r="N430" i="6"/>
  <c r="O429" i="6"/>
  <c r="N429" i="6"/>
  <c r="O428" i="6"/>
  <c r="N428" i="6"/>
  <c r="O427" i="6"/>
  <c r="N427" i="6"/>
  <c r="O426" i="6"/>
  <c r="N426" i="6"/>
  <c r="O425" i="6"/>
  <c r="N425" i="6"/>
  <c r="O424" i="6"/>
  <c r="N424" i="6"/>
  <c r="O423" i="6"/>
  <c r="N423" i="6"/>
  <c r="O422" i="6"/>
  <c r="N422" i="6"/>
  <c r="O421" i="6"/>
  <c r="N421" i="6"/>
  <c r="O420" i="6"/>
  <c r="N420" i="6"/>
  <c r="O419" i="6"/>
  <c r="N419" i="6"/>
  <c r="O418" i="6"/>
  <c r="N418" i="6"/>
  <c r="O417" i="6"/>
  <c r="N417" i="6"/>
  <c r="O416" i="6"/>
  <c r="N416" i="6"/>
  <c r="O415" i="6"/>
  <c r="N415" i="6"/>
  <c r="O414" i="6"/>
  <c r="N414" i="6"/>
  <c r="O413" i="6"/>
  <c r="N413" i="6"/>
  <c r="O412" i="6"/>
  <c r="N412" i="6"/>
  <c r="O411" i="6"/>
  <c r="N411" i="6"/>
  <c r="O410" i="6"/>
  <c r="N410" i="6"/>
  <c r="O409" i="6"/>
  <c r="N409" i="6"/>
  <c r="O408" i="6"/>
  <c r="N408" i="6"/>
  <c r="O407" i="6"/>
  <c r="N407" i="6"/>
  <c r="O406" i="6"/>
  <c r="N406" i="6"/>
  <c r="O405" i="6"/>
  <c r="N405" i="6"/>
  <c r="O404" i="6"/>
  <c r="N404" i="6"/>
  <c r="O403" i="6"/>
  <c r="N403" i="6"/>
  <c r="O402" i="6"/>
  <c r="N402" i="6"/>
  <c r="O401" i="6"/>
  <c r="N401" i="6"/>
  <c r="O400" i="6"/>
  <c r="N400" i="6"/>
  <c r="O399" i="6"/>
  <c r="N399" i="6"/>
  <c r="O398" i="6"/>
  <c r="N398" i="6"/>
  <c r="O397" i="6"/>
  <c r="N397" i="6"/>
  <c r="O396" i="6"/>
  <c r="N396" i="6"/>
  <c r="O395" i="6"/>
  <c r="N395" i="6"/>
  <c r="O394" i="6"/>
  <c r="N394" i="6"/>
  <c r="O393" i="6"/>
  <c r="N393" i="6"/>
  <c r="O392" i="6"/>
  <c r="N392" i="6"/>
  <c r="O391" i="6"/>
  <c r="N391" i="6"/>
  <c r="O390" i="6"/>
  <c r="N390" i="6"/>
  <c r="O389" i="6"/>
  <c r="N389" i="6"/>
  <c r="O388" i="6"/>
  <c r="N388" i="6"/>
  <c r="O387" i="6"/>
  <c r="N387" i="6"/>
  <c r="O386" i="6"/>
  <c r="N386" i="6"/>
  <c r="O385" i="6"/>
  <c r="N385" i="6"/>
  <c r="O384" i="6"/>
  <c r="N384" i="6"/>
  <c r="O383" i="6"/>
  <c r="N383" i="6"/>
  <c r="O382" i="6"/>
  <c r="N382" i="6"/>
  <c r="O381" i="6"/>
  <c r="N381" i="6"/>
  <c r="O380" i="6"/>
  <c r="N380" i="6"/>
  <c r="O379" i="6"/>
  <c r="N379" i="6"/>
  <c r="O378" i="6"/>
  <c r="N378" i="6"/>
  <c r="O377" i="6"/>
  <c r="N377" i="6"/>
  <c r="O376" i="6"/>
  <c r="N376" i="6"/>
  <c r="O375" i="6"/>
  <c r="N375" i="6"/>
  <c r="O374" i="6"/>
  <c r="N374" i="6"/>
  <c r="O373" i="6"/>
  <c r="N373" i="6"/>
  <c r="O372" i="6"/>
  <c r="N372" i="6"/>
  <c r="O371" i="6"/>
  <c r="N371" i="6"/>
  <c r="O370" i="6"/>
  <c r="N370" i="6"/>
  <c r="O369" i="6"/>
  <c r="N369" i="6"/>
  <c r="O368" i="6"/>
  <c r="N368" i="6"/>
  <c r="O367" i="6"/>
  <c r="N367" i="6"/>
  <c r="O366" i="6"/>
  <c r="N366" i="6"/>
  <c r="O365" i="6"/>
  <c r="N365" i="6"/>
  <c r="O364" i="6"/>
  <c r="N364" i="6"/>
  <c r="O363" i="6"/>
  <c r="N363" i="6"/>
  <c r="O362" i="6"/>
  <c r="N362" i="6"/>
  <c r="O361" i="6"/>
  <c r="N361" i="6"/>
  <c r="O360" i="6"/>
  <c r="N360" i="6"/>
  <c r="O359" i="6"/>
  <c r="N359" i="6"/>
  <c r="O358" i="6"/>
  <c r="N358" i="6"/>
  <c r="O357" i="6"/>
  <c r="N357" i="6"/>
  <c r="O356" i="6"/>
  <c r="N356" i="6"/>
  <c r="O355" i="6"/>
  <c r="N355" i="6"/>
  <c r="O354" i="6"/>
  <c r="N354" i="6"/>
  <c r="O353" i="6"/>
  <c r="N353" i="6"/>
  <c r="O352" i="6"/>
  <c r="N352" i="6"/>
  <c r="O351" i="6"/>
  <c r="N351" i="6"/>
  <c r="O350" i="6"/>
  <c r="N350" i="6"/>
  <c r="O349" i="6"/>
  <c r="N349" i="6"/>
  <c r="O348" i="6"/>
  <c r="N348" i="6"/>
  <c r="O347" i="6"/>
  <c r="N347" i="6"/>
  <c r="O346" i="6"/>
  <c r="N346" i="6"/>
  <c r="O345" i="6"/>
  <c r="N345" i="6"/>
  <c r="O344" i="6"/>
  <c r="N344" i="6"/>
  <c r="O343" i="6"/>
  <c r="N343" i="6"/>
  <c r="O342" i="6"/>
  <c r="N342" i="6"/>
  <c r="O341" i="6"/>
  <c r="N341" i="6"/>
  <c r="O340" i="6"/>
  <c r="N340" i="6"/>
  <c r="O339" i="6"/>
  <c r="N339" i="6"/>
  <c r="O338" i="6"/>
  <c r="N338" i="6"/>
  <c r="O337" i="6"/>
  <c r="N337" i="6"/>
  <c r="O336" i="6"/>
  <c r="N336" i="6"/>
  <c r="O335" i="6"/>
  <c r="N335" i="6"/>
  <c r="O334" i="6"/>
  <c r="N334" i="6"/>
  <c r="O333" i="6"/>
  <c r="N333" i="6"/>
  <c r="O332" i="6"/>
  <c r="N332" i="6"/>
  <c r="O331" i="6"/>
  <c r="N331" i="6"/>
  <c r="O330" i="6"/>
  <c r="N330" i="6"/>
  <c r="O329" i="6"/>
  <c r="N329" i="6"/>
  <c r="O328" i="6"/>
  <c r="N328" i="6"/>
  <c r="O327" i="6"/>
  <c r="N327" i="6"/>
  <c r="O326" i="6"/>
  <c r="N326" i="6"/>
  <c r="O325" i="6"/>
  <c r="N325" i="6"/>
  <c r="O324" i="6"/>
  <c r="N324" i="6"/>
  <c r="O323" i="6"/>
  <c r="N323" i="6"/>
  <c r="O322" i="6"/>
  <c r="N322" i="6"/>
  <c r="O321" i="6"/>
  <c r="N321" i="6"/>
  <c r="O320" i="6"/>
  <c r="N320" i="6"/>
  <c r="O319" i="6"/>
  <c r="N319" i="6"/>
  <c r="O318" i="6"/>
  <c r="N318" i="6"/>
  <c r="O317" i="6"/>
  <c r="N317" i="6"/>
  <c r="O316" i="6"/>
  <c r="N316" i="6"/>
  <c r="O315" i="6"/>
  <c r="N315" i="6"/>
  <c r="O314" i="6"/>
  <c r="N314" i="6"/>
  <c r="O313" i="6"/>
  <c r="N313" i="6"/>
  <c r="O312" i="6"/>
  <c r="N312" i="6"/>
  <c r="O311" i="6"/>
  <c r="N311" i="6"/>
  <c r="O310" i="6"/>
  <c r="N310" i="6"/>
  <c r="O309" i="6"/>
  <c r="N309" i="6"/>
  <c r="O308" i="6"/>
  <c r="N308" i="6"/>
  <c r="O307" i="6"/>
  <c r="N307" i="6"/>
  <c r="O306" i="6"/>
  <c r="N306" i="6"/>
  <c r="O305" i="6"/>
  <c r="N305" i="6"/>
  <c r="O304" i="6"/>
  <c r="N304" i="6"/>
  <c r="O303" i="6"/>
  <c r="N303" i="6"/>
  <c r="O302" i="6"/>
  <c r="N302" i="6"/>
  <c r="O301" i="6"/>
  <c r="N301" i="6"/>
  <c r="O300" i="6"/>
  <c r="N300" i="6"/>
  <c r="O299" i="6"/>
  <c r="N299" i="6"/>
  <c r="O298" i="6"/>
  <c r="N298" i="6"/>
  <c r="O297" i="6"/>
  <c r="N297" i="6"/>
  <c r="O296" i="6"/>
  <c r="N296" i="6"/>
  <c r="O295" i="6"/>
  <c r="N295" i="6"/>
  <c r="O294" i="6"/>
  <c r="N294" i="6"/>
  <c r="O293" i="6"/>
  <c r="N293" i="6"/>
  <c r="O292" i="6"/>
  <c r="N292" i="6"/>
  <c r="O291" i="6"/>
  <c r="N291" i="6"/>
  <c r="O290" i="6"/>
  <c r="N290" i="6"/>
  <c r="O289" i="6"/>
  <c r="N289" i="6"/>
  <c r="O288" i="6"/>
  <c r="N288" i="6"/>
  <c r="O287" i="6"/>
  <c r="N287" i="6"/>
  <c r="O286" i="6"/>
  <c r="N286" i="6"/>
  <c r="O285" i="6"/>
  <c r="N285" i="6"/>
  <c r="O284" i="6"/>
  <c r="N284" i="6"/>
  <c r="O283" i="6"/>
  <c r="N283" i="6"/>
  <c r="O282" i="6"/>
  <c r="N282" i="6"/>
  <c r="O281" i="6"/>
  <c r="N281" i="6"/>
  <c r="O280" i="6"/>
  <c r="N280" i="6"/>
  <c r="O279" i="6"/>
  <c r="N279" i="6"/>
  <c r="O278" i="6"/>
  <c r="N278" i="6"/>
  <c r="O277" i="6"/>
  <c r="N277" i="6"/>
  <c r="O276" i="6"/>
  <c r="N276" i="6"/>
  <c r="O275" i="6"/>
  <c r="N275" i="6"/>
  <c r="O274" i="6"/>
  <c r="N274" i="6"/>
  <c r="O273" i="6"/>
  <c r="N273" i="6"/>
  <c r="O272" i="6"/>
  <c r="N272" i="6"/>
  <c r="O271" i="6"/>
  <c r="N271" i="6"/>
  <c r="O270" i="6"/>
  <c r="N270" i="6"/>
  <c r="O269" i="6"/>
  <c r="N269" i="6"/>
  <c r="O268" i="6"/>
  <c r="N268" i="6"/>
  <c r="O267" i="6"/>
  <c r="N267" i="6"/>
  <c r="O266" i="6"/>
  <c r="N266" i="6"/>
  <c r="O265" i="6"/>
  <c r="N265" i="6"/>
  <c r="O264" i="6"/>
  <c r="N264" i="6"/>
  <c r="O263" i="6"/>
  <c r="N263" i="6"/>
  <c r="O262" i="6"/>
  <c r="N262" i="6"/>
  <c r="O261" i="6"/>
  <c r="N261" i="6"/>
  <c r="O260" i="6"/>
  <c r="N260" i="6"/>
  <c r="O259" i="6"/>
  <c r="N259" i="6"/>
  <c r="O258" i="6"/>
  <c r="N258" i="6"/>
  <c r="O257" i="6"/>
  <c r="N257" i="6"/>
  <c r="O256" i="6"/>
  <c r="N256" i="6"/>
  <c r="O255" i="6"/>
  <c r="N255" i="6"/>
  <c r="O254" i="6"/>
  <c r="N254" i="6"/>
  <c r="O253" i="6"/>
  <c r="N253" i="6"/>
  <c r="O252" i="6"/>
  <c r="N252" i="6"/>
  <c r="O251" i="6"/>
  <c r="N251" i="6"/>
  <c r="O250" i="6"/>
  <c r="N250" i="6"/>
  <c r="O249" i="6"/>
  <c r="N249" i="6"/>
  <c r="O248" i="6"/>
  <c r="N248" i="6"/>
  <c r="O247" i="6"/>
  <c r="N247" i="6"/>
  <c r="O246" i="6"/>
  <c r="N246" i="6"/>
  <c r="O245" i="6"/>
  <c r="N245" i="6"/>
  <c r="O244" i="6"/>
  <c r="N244" i="6"/>
  <c r="O243" i="6"/>
  <c r="N243" i="6"/>
  <c r="O242" i="6"/>
  <c r="N242" i="6"/>
  <c r="O241" i="6"/>
  <c r="N241" i="6"/>
  <c r="O240" i="6"/>
  <c r="N240" i="6"/>
  <c r="O239" i="6"/>
  <c r="N239" i="6"/>
  <c r="O238" i="6"/>
  <c r="N238" i="6"/>
  <c r="O237" i="6"/>
  <c r="N237" i="6"/>
  <c r="O236" i="6"/>
  <c r="N236" i="6"/>
  <c r="O235" i="6"/>
  <c r="N235" i="6"/>
  <c r="O234" i="6"/>
  <c r="N234" i="6"/>
  <c r="O233" i="6"/>
  <c r="N233" i="6"/>
  <c r="O232" i="6"/>
  <c r="N232" i="6"/>
  <c r="O231" i="6"/>
  <c r="N231" i="6"/>
  <c r="O230" i="6"/>
  <c r="N230" i="6"/>
  <c r="O229" i="6"/>
  <c r="N229" i="6"/>
  <c r="O228" i="6"/>
  <c r="N228" i="6"/>
  <c r="O227" i="6"/>
  <c r="N227" i="6"/>
  <c r="O226" i="6"/>
  <c r="N226" i="6"/>
  <c r="O225" i="6"/>
  <c r="N225" i="6"/>
  <c r="O224" i="6"/>
  <c r="N224" i="6"/>
  <c r="O223" i="6"/>
  <c r="N223" i="6"/>
  <c r="O222" i="6"/>
  <c r="N222" i="6"/>
  <c r="O221" i="6"/>
  <c r="N221" i="6"/>
  <c r="O220" i="6"/>
  <c r="N220" i="6"/>
  <c r="O219" i="6"/>
  <c r="N219" i="6"/>
  <c r="O218" i="6"/>
  <c r="N218" i="6"/>
  <c r="O217" i="6"/>
  <c r="N217" i="6"/>
  <c r="O216" i="6"/>
  <c r="N216" i="6"/>
  <c r="O215" i="6"/>
  <c r="N215" i="6"/>
  <c r="O214" i="6"/>
  <c r="N214" i="6"/>
  <c r="O213" i="6"/>
  <c r="N213" i="6"/>
  <c r="O212" i="6"/>
  <c r="N212" i="6"/>
  <c r="O211" i="6"/>
  <c r="N211" i="6"/>
  <c r="O210" i="6"/>
  <c r="N210" i="6"/>
  <c r="O209" i="6"/>
  <c r="N209" i="6"/>
  <c r="O208" i="6"/>
  <c r="N208" i="6"/>
  <c r="O207" i="6"/>
  <c r="N207" i="6"/>
  <c r="O206" i="6"/>
  <c r="N206" i="6"/>
  <c r="O205" i="6"/>
  <c r="N205" i="6"/>
  <c r="O204" i="6"/>
  <c r="N204" i="6"/>
  <c r="O203" i="6"/>
  <c r="N203" i="6"/>
  <c r="O202" i="6"/>
  <c r="N202" i="6"/>
  <c r="O201" i="6"/>
  <c r="N201" i="6"/>
  <c r="O200" i="6"/>
  <c r="N200" i="6"/>
  <c r="O199" i="6"/>
  <c r="N199" i="6"/>
  <c r="O198" i="6"/>
  <c r="N198" i="6"/>
  <c r="O197" i="6"/>
  <c r="N197" i="6"/>
  <c r="O196" i="6"/>
  <c r="N196" i="6"/>
  <c r="O195" i="6"/>
  <c r="N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N188" i="6"/>
  <c r="O187" i="6"/>
  <c r="N187" i="6"/>
  <c r="O186" i="6"/>
  <c r="N186" i="6"/>
  <c r="O185" i="6"/>
  <c r="N185" i="6"/>
  <c r="O184" i="6"/>
  <c r="N184" i="6"/>
  <c r="O183" i="6"/>
  <c r="N183" i="6"/>
  <c r="O182" i="6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N172" i="6"/>
  <c r="O171" i="6"/>
  <c r="N171" i="6"/>
  <c r="O170" i="6"/>
  <c r="N170" i="6"/>
  <c r="O169" i="6"/>
  <c r="N169" i="6"/>
  <c r="O168" i="6"/>
  <c r="N168" i="6"/>
  <c r="O167" i="6"/>
  <c r="N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N160" i="6"/>
  <c r="O159" i="6"/>
  <c r="N159" i="6"/>
  <c r="O158" i="6"/>
  <c r="N158" i="6"/>
  <c r="O157" i="6"/>
  <c r="N157" i="6"/>
  <c r="O156" i="6"/>
  <c r="N156" i="6"/>
  <c r="O155" i="6"/>
  <c r="N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N142" i="6"/>
  <c r="O141" i="6"/>
  <c r="N141" i="6"/>
  <c r="O140" i="6"/>
  <c r="N140" i="6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N131" i="6"/>
  <c r="O130" i="6"/>
  <c r="N130" i="6"/>
  <c r="O129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2" i="6"/>
  <c r="N122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  <c r="V747" i="4"/>
  <c r="M747" i="4"/>
  <c r="L747" i="4"/>
  <c r="K747" i="4"/>
  <c r="V740" i="4"/>
  <c r="M740" i="4"/>
  <c r="L740" i="4"/>
  <c r="K740" i="4"/>
  <c r="V715" i="4"/>
  <c r="M715" i="4"/>
  <c r="L715" i="4"/>
  <c r="K715" i="4"/>
  <c r="V659" i="4"/>
  <c r="M659" i="4"/>
  <c r="L659" i="4"/>
  <c r="K659" i="4"/>
  <c r="V594" i="4"/>
  <c r="M594" i="4"/>
  <c r="L594" i="4"/>
  <c r="K594" i="4"/>
  <c r="V509" i="4"/>
  <c r="M509" i="4"/>
  <c r="L509" i="4"/>
  <c r="K509" i="4"/>
  <c r="V316" i="4"/>
  <c r="M316" i="4"/>
  <c r="L316" i="4"/>
  <c r="K316" i="4"/>
  <c r="V262" i="4"/>
  <c r="M262" i="4"/>
  <c r="L262" i="4"/>
  <c r="K262" i="4"/>
  <c r="V96" i="4"/>
  <c r="M96" i="4"/>
  <c r="L96" i="4"/>
  <c r="K96" i="4"/>
  <c r="V32" i="4"/>
  <c r="M32" i="4"/>
  <c r="L32" i="4"/>
  <c r="L748" i="4" s="1"/>
  <c r="K32" i="4"/>
  <c r="O658" i="4"/>
  <c r="N658" i="4"/>
  <c r="O657" i="4"/>
  <c r="N657" i="4"/>
  <c r="O656" i="4"/>
  <c r="N656" i="4"/>
  <c r="O655" i="4"/>
  <c r="N655" i="4"/>
  <c r="O654" i="4"/>
  <c r="N654" i="4"/>
  <c r="O746" i="4"/>
  <c r="N746" i="4"/>
  <c r="O745" i="4"/>
  <c r="N745" i="4"/>
  <c r="O744" i="4"/>
  <c r="N744" i="4"/>
  <c r="O743" i="4"/>
  <c r="N743" i="4"/>
  <c r="O742" i="4"/>
  <c r="N742" i="4"/>
  <c r="O741" i="4"/>
  <c r="O747" i="4" s="1"/>
  <c r="N741" i="4"/>
  <c r="N747" i="4" s="1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N96" i="4" s="1"/>
  <c r="O33" i="4"/>
  <c r="O96" i="4" s="1"/>
  <c r="N33" i="4"/>
  <c r="O508" i="4"/>
  <c r="N508" i="4"/>
  <c r="O507" i="4"/>
  <c r="N507" i="4"/>
  <c r="O506" i="4"/>
  <c r="N506" i="4"/>
  <c r="O505" i="4"/>
  <c r="N505" i="4"/>
  <c r="O504" i="4"/>
  <c r="N504" i="4"/>
  <c r="O503" i="4"/>
  <c r="N503" i="4"/>
  <c r="O502" i="4"/>
  <c r="N502" i="4"/>
  <c r="O501" i="4"/>
  <c r="N501" i="4"/>
  <c r="O500" i="4"/>
  <c r="N500" i="4"/>
  <c r="O499" i="4"/>
  <c r="N499" i="4"/>
  <c r="O498" i="4"/>
  <c r="N498" i="4"/>
  <c r="O497" i="4"/>
  <c r="N497" i="4"/>
  <c r="O496" i="4"/>
  <c r="N496" i="4"/>
  <c r="O495" i="4"/>
  <c r="N495" i="4"/>
  <c r="O494" i="4"/>
  <c r="N494" i="4"/>
  <c r="O493" i="4"/>
  <c r="N493" i="4"/>
  <c r="O492" i="4"/>
  <c r="N492" i="4"/>
  <c r="O491" i="4"/>
  <c r="N491" i="4"/>
  <c r="O490" i="4"/>
  <c r="N490" i="4"/>
  <c r="O489" i="4"/>
  <c r="N489" i="4"/>
  <c r="O488" i="4"/>
  <c r="N488" i="4"/>
  <c r="O487" i="4"/>
  <c r="N487" i="4"/>
  <c r="O486" i="4"/>
  <c r="N486" i="4"/>
  <c r="O485" i="4"/>
  <c r="N485" i="4"/>
  <c r="O484" i="4"/>
  <c r="N484" i="4"/>
  <c r="O483" i="4"/>
  <c r="N483" i="4"/>
  <c r="O482" i="4"/>
  <c r="N482" i="4"/>
  <c r="O481" i="4"/>
  <c r="N481" i="4"/>
  <c r="O480" i="4"/>
  <c r="N480" i="4"/>
  <c r="O479" i="4"/>
  <c r="N479" i="4"/>
  <c r="O478" i="4"/>
  <c r="N478" i="4"/>
  <c r="O477" i="4"/>
  <c r="N477" i="4"/>
  <c r="O476" i="4"/>
  <c r="N476" i="4"/>
  <c r="O714" i="4"/>
  <c r="N714" i="4"/>
  <c r="O713" i="4"/>
  <c r="N713" i="4"/>
  <c r="O712" i="4"/>
  <c r="N712" i="4"/>
  <c r="O711" i="4"/>
  <c r="N711" i="4"/>
  <c r="O710" i="4"/>
  <c r="N710" i="4"/>
  <c r="O709" i="4"/>
  <c r="N709" i="4"/>
  <c r="O708" i="4"/>
  <c r="N708" i="4"/>
  <c r="O707" i="4"/>
  <c r="N707" i="4"/>
  <c r="O706" i="4"/>
  <c r="N706" i="4"/>
  <c r="O705" i="4"/>
  <c r="N705" i="4"/>
  <c r="O704" i="4"/>
  <c r="N704" i="4"/>
  <c r="O703" i="4"/>
  <c r="N703" i="4"/>
  <c r="O702" i="4"/>
  <c r="N702" i="4"/>
  <c r="O701" i="4"/>
  <c r="N701" i="4"/>
  <c r="O700" i="4"/>
  <c r="N700" i="4"/>
  <c r="O699" i="4"/>
  <c r="N699" i="4"/>
  <c r="O698" i="4"/>
  <c r="N698" i="4"/>
  <c r="O697" i="4"/>
  <c r="N697" i="4"/>
  <c r="O696" i="4"/>
  <c r="N696" i="4"/>
  <c r="O695" i="4"/>
  <c r="N695" i="4"/>
  <c r="O694" i="4"/>
  <c r="N694" i="4"/>
  <c r="O693" i="4"/>
  <c r="N693" i="4"/>
  <c r="O692" i="4"/>
  <c r="N692" i="4"/>
  <c r="O691" i="4"/>
  <c r="N691" i="4"/>
  <c r="O690" i="4"/>
  <c r="N690" i="4"/>
  <c r="O689" i="4"/>
  <c r="N689" i="4"/>
  <c r="O688" i="4"/>
  <c r="N688" i="4"/>
  <c r="O687" i="4"/>
  <c r="N687" i="4"/>
  <c r="O686" i="4"/>
  <c r="N686" i="4"/>
  <c r="O685" i="4"/>
  <c r="N685" i="4"/>
  <c r="O684" i="4"/>
  <c r="N684" i="4"/>
  <c r="O683" i="4"/>
  <c r="N683" i="4"/>
  <c r="O682" i="4"/>
  <c r="N682" i="4"/>
  <c r="O681" i="4"/>
  <c r="N681" i="4"/>
  <c r="O680" i="4"/>
  <c r="N680" i="4"/>
  <c r="O679" i="4"/>
  <c r="N679" i="4"/>
  <c r="O678" i="4"/>
  <c r="N678" i="4"/>
  <c r="O677" i="4"/>
  <c r="N677" i="4"/>
  <c r="O676" i="4"/>
  <c r="N676" i="4"/>
  <c r="O675" i="4"/>
  <c r="N675" i="4"/>
  <c r="O674" i="4"/>
  <c r="N674" i="4"/>
  <c r="O673" i="4"/>
  <c r="N673" i="4"/>
  <c r="O672" i="4"/>
  <c r="N672" i="4"/>
  <c r="O671" i="4"/>
  <c r="N671" i="4"/>
  <c r="O670" i="4"/>
  <c r="N670" i="4"/>
  <c r="O669" i="4"/>
  <c r="N669" i="4"/>
  <c r="O668" i="4"/>
  <c r="N668" i="4"/>
  <c r="O667" i="4"/>
  <c r="N667" i="4"/>
  <c r="O666" i="4"/>
  <c r="N666" i="4"/>
  <c r="O665" i="4"/>
  <c r="N665" i="4"/>
  <c r="O664" i="4"/>
  <c r="N664" i="4"/>
  <c r="O663" i="4"/>
  <c r="N663" i="4"/>
  <c r="O662" i="4"/>
  <c r="N662" i="4"/>
  <c r="O661" i="4"/>
  <c r="N661" i="4"/>
  <c r="O660" i="4"/>
  <c r="N660" i="4"/>
  <c r="O593" i="4"/>
  <c r="N593" i="4"/>
  <c r="O592" i="4"/>
  <c r="N592" i="4"/>
  <c r="O591" i="4"/>
  <c r="N591" i="4"/>
  <c r="O590" i="4"/>
  <c r="N590" i="4"/>
  <c r="O589" i="4"/>
  <c r="N589" i="4"/>
  <c r="O588" i="4"/>
  <c r="N588" i="4"/>
  <c r="O587" i="4"/>
  <c r="N587" i="4"/>
  <c r="O586" i="4"/>
  <c r="N586" i="4"/>
  <c r="O585" i="4"/>
  <c r="N585" i="4"/>
  <c r="O584" i="4"/>
  <c r="N584" i="4"/>
  <c r="O583" i="4"/>
  <c r="N583" i="4"/>
  <c r="O582" i="4"/>
  <c r="N582" i="4"/>
  <c r="O581" i="4"/>
  <c r="N581" i="4"/>
  <c r="O580" i="4"/>
  <c r="N580" i="4"/>
  <c r="O579" i="4"/>
  <c r="N579" i="4"/>
  <c r="O578" i="4"/>
  <c r="N578" i="4"/>
  <c r="O577" i="4"/>
  <c r="N577" i="4"/>
  <c r="O576" i="4"/>
  <c r="N576" i="4"/>
  <c r="O575" i="4"/>
  <c r="N575" i="4"/>
  <c r="O574" i="4"/>
  <c r="N574" i="4"/>
  <c r="O573" i="4"/>
  <c r="N573" i="4"/>
  <c r="O572" i="4"/>
  <c r="N572" i="4"/>
  <c r="O571" i="4"/>
  <c r="N571" i="4"/>
  <c r="O570" i="4"/>
  <c r="N570" i="4"/>
  <c r="O569" i="4"/>
  <c r="N569" i="4"/>
  <c r="O568" i="4"/>
  <c r="N568" i="4"/>
  <c r="O567" i="4"/>
  <c r="N567" i="4"/>
  <c r="O566" i="4"/>
  <c r="N566" i="4"/>
  <c r="O565" i="4"/>
  <c r="N565" i="4"/>
  <c r="O564" i="4"/>
  <c r="N564" i="4"/>
  <c r="O563" i="4"/>
  <c r="N563" i="4"/>
  <c r="O562" i="4"/>
  <c r="N562" i="4"/>
  <c r="O561" i="4"/>
  <c r="N561" i="4"/>
  <c r="O560" i="4"/>
  <c r="N560" i="4"/>
  <c r="O559" i="4"/>
  <c r="N559" i="4"/>
  <c r="O558" i="4"/>
  <c r="N558" i="4"/>
  <c r="O557" i="4"/>
  <c r="N557" i="4"/>
  <c r="O556" i="4"/>
  <c r="N556" i="4"/>
  <c r="O555" i="4"/>
  <c r="N555" i="4"/>
  <c r="O554" i="4"/>
  <c r="N554" i="4"/>
  <c r="O553" i="4"/>
  <c r="N553" i="4"/>
  <c r="O552" i="4"/>
  <c r="N552" i="4"/>
  <c r="O551" i="4"/>
  <c r="N551" i="4"/>
  <c r="O550" i="4"/>
  <c r="N550" i="4"/>
  <c r="O549" i="4"/>
  <c r="N549" i="4"/>
  <c r="O548" i="4"/>
  <c r="N548" i="4"/>
  <c r="O547" i="4"/>
  <c r="N547" i="4"/>
  <c r="O546" i="4"/>
  <c r="N546" i="4"/>
  <c r="O545" i="4"/>
  <c r="N545" i="4"/>
  <c r="O544" i="4"/>
  <c r="N544" i="4"/>
  <c r="O543" i="4"/>
  <c r="N543" i="4"/>
  <c r="O542" i="4"/>
  <c r="N542" i="4"/>
  <c r="O541" i="4"/>
  <c r="N541" i="4"/>
  <c r="O540" i="4"/>
  <c r="N540" i="4"/>
  <c r="O539" i="4"/>
  <c r="N539" i="4"/>
  <c r="O538" i="4"/>
  <c r="N538" i="4"/>
  <c r="O537" i="4"/>
  <c r="N537" i="4"/>
  <c r="O536" i="4"/>
  <c r="N536" i="4"/>
  <c r="O535" i="4"/>
  <c r="N535" i="4"/>
  <c r="O534" i="4"/>
  <c r="N534" i="4"/>
  <c r="O533" i="4"/>
  <c r="N533" i="4"/>
  <c r="O532" i="4"/>
  <c r="N532" i="4"/>
  <c r="O531" i="4"/>
  <c r="N531" i="4"/>
  <c r="O530" i="4"/>
  <c r="N530" i="4"/>
  <c r="O529" i="4"/>
  <c r="N529" i="4"/>
  <c r="O528" i="4"/>
  <c r="N528" i="4"/>
  <c r="O527" i="4"/>
  <c r="N527" i="4"/>
  <c r="O526" i="4"/>
  <c r="N526" i="4"/>
  <c r="O525" i="4"/>
  <c r="N525" i="4"/>
  <c r="O524" i="4"/>
  <c r="N524" i="4"/>
  <c r="O523" i="4"/>
  <c r="N523" i="4"/>
  <c r="O522" i="4"/>
  <c r="N522" i="4"/>
  <c r="O521" i="4"/>
  <c r="N521" i="4"/>
  <c r="O520" i="4"/>
  <c r="N520" i="4"/>
  <c r="O519" i="4"/>
  <c r="N519" i="4"/>
  <c r="O518" i="4"/>
  <c r="N518" i="4"/>
  <c r="O517" i="4"/>
  <c r="N517" i="4"/>
  <c r="O516" i="4"/>
  <c r="N516" i="4"/>
  <c r="O515" i="4"/>
  <c r="N515" i="4"/>
  <c r="O514" i="4"/>
  <c r="N514" i="4"/>
  <c r="O513" i="4"/>
  <c r="N513" i="4"/>
  <c r="O512" i="4"/>
  <c r="N512" i="4"/>
  <c r="O511" i="4"/>
  <c r="N511" i="4"/>
  <c r="O510" i="4"/>
  <c r="O594" i="4" s="1"/>
  <c r="N510" i="4"/>
  <c r="O315" i="4"/>
  <c r="N315" i="4"/>
  <c r="O314" i="4"/>
  <c r="N314" i="4"/>
  <c r="O313" i="4"/>
  <c r="N313" i="4"/>
  <c r="O312" i="4"/>
  <c r="N312" i="4"/>
  <c r="O311" i="4"/>
  <c r="N311" i="4"/>
  <c r="O310" i="4"/>
  <c r="N310" i="4"/>
  <c r="O309" i="4"/>
  <c r="N309" i="4"/>
  <c r="O308" i="4"/>
  <c r="N308" i="4"/>
  <c r="O307" i="4"/>
  <c r="N307" i="4"/>
  <c r="O306" i="4"/>
  <c r="N306" i="4"/>
  <c r="O305" i="4"/>
  <c r="N305" i="4"/>
  <c r="O304" i="4"/>
  <c r="N304" i="4"/>
  <c r="O303" i="4"/>
  <c r="N303" i="4"/>
  <c r="O302" i="4"/>
  <c r="N302" i="4"/>
  <c r="O301" i="4"/>
  <c r="N301" i="4"/>
  <c r="O300" i="4"/>
  <c r="N300" i="4"/>
  <c r="O299" i="4"/>
  <c r="N299" i="4"/>
  <c r="O298" i="4"/>
  <c r="N298" i="4"/>
  <c r="O297" i="4"/>
  <c r="N297" i="4"/>
  <c r="O296" i="4"/>
  <c r="N296" i="4"/>
  <c r="O295" i="4"/>
  <c r="N295" i="4"/>
  <c r="O294" i="4"/>
  <c r="N294" i="4"/>
  <c r="O293" i="4"/>
  <c r="N293" i="4"/>
  <c r="O292" i="4"/>
  <c r="N292" i="4"/>
  <c r="O291" i="4"/>
  <c r="N291" i="4"/>
  <c r="O290" i="4"/>
  <c r="N290" i="4"/>
  <c r="O289" i="4"/>
  <c r="N289" i="4"/>
  <c r="O288" i="4"/>
  <c r="N288" i="4"/>
  <c r="O287" i="4"/>
  <c r="N287" i="4"/>
  <c r="O286" i="4"/>
  <c r="N286" i="4"/>
  <c r="O285" i="4"/>
  <c r="N285" i="4"/>
  <c r="O284" i="4"/>
  <c r="N284" i="4"/>
  <c r="O283" i="4"/>
  <c r="N283" i="4"/>
  <c r="O282" i="4"/>
  <c r="N282" i="4"/>
  <c r="O281" i="4"/>
  <c r="N281" i="4"/>
  <c r="O280" i="4"/>
  <c r="N280" i="4"/>
  <c r="O279" i="4"/>
  <c r="N279" i="4"/>
  <c r="O278" i="4"/>
  <c r="N278" i="4"/>
  <c r="O277" i="4"/>
  <c r="N277" i="4"/>
  <c r="O276" i="4"/>
  <c r="N276" i="4"/>
  <c r="O275" i="4"/>
  <c r="N275" i="4"/>
  <c r="O274" i="4"/>
  <c r="N274" i="4"/>
  <c r="O273" i="4"/>
  <c r="N273" i="4"/>
  <c r="O272" i="4"/>
  <c r="N272" i="4"/>
  <c r="O271" i="4"/>
  <c r="N271" i="4"/>
  <c r="O270" i="4"/>
  <c r="N270" i="4"/>
  <c r="O269" i="4"/>
  <c r="N269" i="4"/>
  <c r="O268" i="4"/>
  <c r="N268" i="4"/>
  <c r="O267" i="4"/>
  <c r="N267" i="4"/>
  <c r="O266" i="4"/>
  <c r="N266" i="4"/>
  <c r="O265" i="4"/>
  <c r="N265" i="4"/>
  <c r="O264" i="4"/>
  <c r="N264" i="4"/>
  <c r="O263" i="4"/>
  <c r="O316" i="4" s="1"/>
  <c r="N263" i="4"/>
  <c r="N316" i="4" s="1"/>
  <c r="O475" i="4"/>
  <c r="N475" i="4"/>
  <c r="O474" i="4"/>
  <c r="N474" i="4"/>
  <c r="O473" i="4"/>
  <c r="N473" i="4"/>
  <c r="O472" i="4"/>
  <c r="N472" i="4"/>
  <c r="O471" i="4"/>
  <c r="N471" i="4"/>
  <c r="O470" i="4"/>
  <c r="N470" i="4"/>
  <c r="O469" i="4"/>
  <c r="N469" i="4"/>
  <c r="O468" i="4"/>
  <c r="N468" i="4"/>
  <c r="O467" i="4"/>
  <c r="N467" i="4"/>
  <c r="O466" i="4"/>
  <c r="N466" i="4"/>
  <c r="O465" i="4"/>
  <c r="N465" i="4"/>
  <c r="O464" i="4"/>
  <c r="N464" i="4"/>
  <c r="O463" i="4"/>
  <c r="N463" i="4"/>
  <c r="O462" i="4"/>
  <c r="N462" i="4"/>
  <c r="O461" i="4"/>
  <c r="N461" i="4"/>
  <c r="O460" i="4"/>
  <c r="N460" i="4"/>
  <c r="O459" i="4"/>
  <c r="N459" i="4"/>
  <c r="O458" i="4"/>
  <c r="N458" i="4"/>
  <c r="O457" i="4"/>
  <c r="N457" i="4"/>
  <c r="O456" i="4"/>
  <c r="N456" i="4"/>
  <c r="O455" i="4"/>
  <c r="N455" i="4"/>
  <c r="O454" i="4"/>
  <c r="N454" i="4"/>
  <c r="O453" i="4"/>
  <c r="N453" i="4"/>
  <c r="O452" i="4"/>
  <c r="N452" i="4"/>
  <c r="O451" i="4"/>
  <c r="N451" i="4"/>
  <c r="O450" i="4"/>
  <c r="N450" i="4"/>
  <c r="O449" i="4"/>
  <c r="N449" i="4"/>
  <c r="O448" i="4"/>
  <c r="N448" i="4"/>
  <c r="O447" i="4"/>
  <c r="N447" i="4"/>
  <c r="O446" i="4"/>
  <c r="N446" i="4"/>
  <c r="O445" i="4"/>
  <c r="N445" i="4"/>
  <c r="O444" i="4"/>
  <c r="N444" i="4"/>
  <c r="O443" i="4"/>
  <c r="N443" i="4"/>
  <c r="O442" i="4"/>
  <c r="N442" i="4"/>
  <c r="O441" i="4"/>
  <c r="N441" i="4"/>
  <c r="O440" i="4"/>
  <c r="N440" i="4"/>
  <c r="O439" i="4"/>
  <c r="N439" i="4"/>
  <c r="O438" i="4"/>
  <c r="N438" i="4"/>
  <c r="O437" i="4"/>
  <c r="N437" i="4"/>
  <c r="O436" i="4"/>
  <c r="N436" i="4"/>
  <c r="O435" i="4"/>
  <c r="N435" i="4"/>
  <c r="O434" i="4"/>
  <c r="N434" i="4"/>
  <c r="O433" i="4"/>
  <c r="N433" i="4"/>
  <c r="O432" i="4"/>
  <c r="N432" i="4"/>
  <c r="O431" i="4"/>
  <c r="N431" i="4"/>
  <c r="O430" i="4"/>
  <c r="N430" i="4"/>
  <c r="O429" i="4"/>
  <c r="N429" i="4"/>
  <c r="O428" i="4"/>
  <c r="N428" i="4"/>
  <c r="O427" i="4"/>
  <c r="N427" i="4"/>
  <c r="O653" i="4"/>
  <c r="N653" i="4"/>
  <c r="O652" i="4"/>
  <c r="N652" i="4"/>
  <c r="O651" i="4"/>
  <c r="N651" i="4"/>
  <c r="O650" i="4"/>
  <c r="N650" i="4"/>
  <c r="O649" i="4"/>
  <c r="N649" i="4"/>
  <c r="O648" i="4"/>
  <c r="N648" i="4"/>
  <c r="O647" i="4"/>
  <c r="N647" i="4"/>
  <c r="O646" i="4"/>
  <c r="N646" i="4"/>
  <c r="O645" i="4"/>
  <c r="N645" i="4"/>
  <c r="O644" i="4"/>
  <c r="N644" i="4"/>
  <c r="O643" i="4"/>
  <c r="N643" i="4"/>
  <c r="O642" i="4"/>
  <c r="N642" i="4"/>
  <c r="O641" i="4"/>
  <c r="N641" i="4"/>
  <c r="O640" i="4"/>
  <c r="N640" i="4"/>
  <c r="O639" i="4"/>
  <c r="N639" i="4"/>
  <c r="O638" i="4"/>
  <c r="N638" i="4"/>
  <c r="O637" i="4"/>
  <c r="N637" i="4"/>
  <c r="O636" i="4"/>
  <c r="N636" i="4"/>
  <c r="O635" i="4"/>
  <c r="N635" i="4"/>
  <c r="O634" i="4"/>
  <c r="N634" i="4"/>
  <c r="O633" i="4"/>
  <c r="N633" i="4"/>
  <c r="O632" i="4"/>
  <c r="N632" i="4"/>
  <c r="O631" i="4"/>
  <c r="N631" i="4"/>
  <c r="O630" i="4"/>
  <c r="N630" i="4"/>
  <c r="O629" i="4"/>
  <c r="N629" i="4"/>
  <c r="O628" i="4"/>
  <c r="N628" i="4"/>
  <c r="O627" i="4"/>
  <c r="N627" i="4"/>
  <c r="O626" i="4"/>
  <c r="N626" i="4"/>
  <c r="O625" i="4"/>
  <c r="N625" i="4"/>
  <c r="O624" i="4"/>
  <c r="N624" i="4"/>
  <c r="O623" i="4"/>
  <c r="N623" i="4"/>
  <c r="O622" i="4"/>
  <c r="N622" i="4"/>
  <c r="O621" i="4"/>
  <c r="N621" i="4"/>
  <c r="O620" i="4"/>
  <c r="N620" i="4"/>
  <c r="O619" i="4"/>
  <c r="N619" i="4"/>
  <c r="O618" i="4"/>
  <c r="N618" i="4"/>
  <c r="O617" i="4"/>
  <c r="N617" i="4"/>
  <c r="O616" i="4"/>
  <c r="N616" i="4"/>
  <c r="O615" i="4"/>
  <c r="N615" i="4"/>
  <c r="O614" i="4"/>
  <c r="N614" i="4"/>
  <c r="O613" i="4"/>
  <c r="N613" i="4"/>
  <c r="O612" i="4"/>
  <c r="N612" i="4"/>
  <c r="O611" i="4"/>
  <c r="N611" i="4"/>
  <c r="O610" i="4"/>
  <c r="N610" i="4"/>
  <c r="O609" i="4"/>
  <c r="N609" i="4"/>
  <c r="O608" i="4"/>
  <c r="N608" i="4"/>
  <c r="O607" i="4"/>
  <c r="N607" i="4"/>
  <c r="O606" i="4"/>
  <c r="N606" i="4"/>
  <c r="O605" i="4"/>
  <c r="N605" i="4"/>
  <c r="O604" i="4"/>
  <c r="N604" i="4"/>
  <c r="O603" i="4"/>
  <c r="N603" i="4"/>
  <c r="O602" i="4"/>
  <c r="N602" i="4"/>
  <c r="O601" i="4"/>
  <c r="N601" i="4"/>
  <c r="O600" i="4"/>
  <c r="N600" i="4"/>
  <c r="O599" i="4"/>
  <c r="N599" i="4"/>
  <c r="O598" i="4"/>
  <c r="N598" i="4"/>
  <c r="O597" i="4"/>
  <c r="N597" i="4"/>
  <c r="O596" i="4"/>
  <c r="N596" i="4"/>
  <c r="O595" i="4"/>
  <c r="N595" i="4"/>
  <c r="N659" i="4" s="1"/>
  <c r="O426" i="4"/>
  <c r="N426" i="4"/>
  <c r="O425" i="4"/>
  <c r="N425" i="4"/>
  <c r="O424" i="4"/>
  <c r="N424" i="4"/>
  <c r="O423" i="4"/>
  <c r="N423" i="4"/>
  <c r="O422" i="4"/>
  <c r="N422" i="4"/>
  <c r="O421" i="4"/>
  <c r="N421" i="4"/>
  <c r="O420" i="4"/>
  <c r="N420" i="4"/>
  <c r="O419" i="4"/>
  <c r="N419" i="4"/>
  <c r="O418" i="4"/>
  <c r="N418" i="4"/>
  <c r="O417" i="4"/>
  <c r="N417" i="4"/>
  <c r="O416" i="4"/>
  <c r="N416" i="4"/>
  <c r="O415" i="4"/>
  <c r="N415" i="4"/>
  <c r="O414" i="4"/>
  <c r="N414" i="4"/>
  <c r="O413" i="4"/>
  <c r="N413" i="4"/>
  <c r="O412" i="4"/>
  <c r="N412" i="4"/>
  <c r="O411" i="4"/>
  <c r="N411" i="4"/>
  <c r="O410" i="4"/>
  <c r="N410" i="4"/>
  <c r="O409" i="4"/>
  <c r="N409" i="4"/>
  <c r="O408" i="4"/>
  <c r="N408" i="4"/>
  <c r="O407" i="4"/>
  <c r="N407" i="4"/>
  <c r="O406" i="4"/>
  <c r="N406" i="4"/>
  <c r="O405" i="4"/>
  <c r="N405" i="4"/>
  <c r="O404" i="4"/>
  <c r="N404" i="4"/>
  <c r="O403" i="4"/>
  <c r="N403" i="4"/>
  <c r="O402" i="4"/>
  <c r="N402" i="4"/>
  <c r="O401" i="4"/>
  <c r="N401" i="4"/>
  <c r="O400" i="4"/>
  <c r="N400" i="4"/>
  <c r="O399" i="4"/>
  <c r="N399" i="4"/>
  <c r="O398" i="4"/>
  <c r="N398" i="4"/>
  <c r="O397" i="4"/>
  <c r="N397" i="4"/>
  <c r="O396" i="4"/>
  <c r="N396" i="4"/>
  <c r="O395" i="4"/>
  <c r="N395" i="4"/>
  <c r="O394" i="4"/>
  <c r="N394" i="4"/>
  <c r="O393" i="4"/>
  <c r="N393" i="4"/>
  <c r="O392" i="4"/>
  <c r="N392" i="4"/>
  <c r="O391" i="4"/>
  <c r="N391" i="4"/>
  <c r="O390" i="4"/>
  <c r="N390" i="4"/>
  <c r="O389" i="4"/>
  <c r="N389" i="4"/>
  <c r="O388" i="4"/>
  <c r="N388" i="4"/>
  <c r="O387" i="4"/>
  <c r="N387" i="4"/>
  <c r="O386" i="4"/>
  <c r="N386" i="4"/>
  <c r="O385" i="4"/>
  <c r="N385" i="4"/>
  <c r="O384" i="4"/>
  <c r="N384" i="4"/>
  <c r="O383" i="4"/>
  <c r="N383" i="4"/>
  <c r="O382" i="4"/>
  <c r="N382" i="4"/>
  <c r="O261" i="4"/>
  <c r="N261" i="4"/>
  <c r="O260" i="4"/>
  <c r="N260" i="4"/>
  <c r="O259" i="4"/>
  <c r="N259" i="4"/>
  <c r="O258" i="4"/>
  <c r="N258" i="4"/>
  <c r="O257" i="4"/>
  <c r="N257" i="4"/>
  <c r="O256" i="4"/>
  <c r="N256" i="4"/>
  <c r="O255" i="4"/>
  <c r="N255" i="4"/>
  <c r="O254" i="4"/>
  <c r="N254" i="4"/>
  <c r="O253" i="4"/>
  <c r="N253" i="4"/>
  <c r="O252" i="4"/>
  <c r="N252" i="4"/>
  <c r="O251" i="4"/>
  <c r="N251" i="4"/>
  <c r="O250" i="4"/>
  <c r="N250" i="4"/>
  <c r="O249" i="4"/>
  <c r="N249" i="4"/>
  <c r="O248" i="4"/>
  <c r="N248" i="4"/>
  <c r="O247" i="4"/>
  <c r="N247" i="4"/>
  <c r="O246" i="4"/>
  <c r="N246" i="4"/>
  <c r="O245" i="4"/>
  <c r="N245" i="4"/>
  <c r="O244" i="4"/>
  <c r="N244" i="4"/>
  <c r="O243" i="4"/>
  <c r="N243" i="4"/>
  <c r="O242" i="4"/>
  <c r="N242" i="4"/>
  <c r="O241" i="4"/>
  <c r="N241" i="4"/>
  <c r="O240" i="4"/>
  <c r="N240" i="4"/>
  <c r="O239" i="4"/>
  <c r="N239" i="4"/>
  <c r="O238" i="4"/>
  <c r="N238" i="4"/>
  <c r="O237" i="4"/>
  <c r="N237" i="4"/>
  <c r="O236" i="4"/>
  <c r="N236" i="4"/>
  <c r="O235" i="4"/>
  <c r="N235" i="4"/>
  <c r="O234" i="4"/>
  <c r="N234" i="4"/>
  <c r="O233" i="4"/>
  <c r="N233" i="4"/>
  <c r="O232" i="4"/>
  <c r="N232" i="4"/>
  <c r="O231" i="4"/>
  <c r="N231" i="4"/>
  <c r="O230" i="4"/>
  <c r="N230" i="4"/>
  <c r="O229" i="4"/>
  <c r="N229" i="4"/>
  <c r="O228" i="4"/>
  <c r="N228" i="4"/>
  <c r="O227" i="4"/>
  <c r="N227" i="4"/>
  <c r="O226" i="4"/>
  <c r="N226" i="4"/>
  <c r="O225" i="4"/>
  <c r="N225" i="4"/>
  <c r="O224" i="4"/>
  <c r="N224" i="4"/>
  <c r="O223" i="4"/>
  <c r="N223" i="4"/>
  <c r="O222" i="4"/>
  <c r="N222" i="4"/>
  <c r="O221" i="4"/>
  <c r="N221" i="4"/>
  <c r="O220" i="4"/>
  <c r="N220" i="4"/>
  <c r="O219" i="4"/>
  <c r="N219" i="4"/>
  <c r="O218" i="4"/>
  <c r="N218" i="4"/>
  <c r="O217" i="4"/>
  <c r="N217" i="4"/>
  <c r="O216" i="4"/>
  <c r="N216" i="4"/>
  <c r="O215" i="4"/>
  <c r="N215" i="4"/>
  <c r="O214" i="4"/>
  <c r="N214" i="4"/>
  <c r="O213" i="4"/>
  <c r="N213" i="4"/>
  <c r="O212" i="4"/>
  <c r="N212" i="4"/>
  <c r="O211" i="4"/>
  <c r="N211" i="4"/>
  <c r="O210" i="4"/>
  <c r="N210" i="4"/>
  <c r="O209" i="4"/>
  <c r="N209" i="4"/>
  <c r="O208" i="4"/>
  <c r="N208" i="4"/>
  <c r="O207" i="4"/>
  <c r="N207" i="4"/>
  <c r="O206" i="4"/>
  <c r="N206" i="4"/>
  <c r="O205" i="4"/>
  <c r="N205" i="4"/>
  <c r="O204" i="4"/>
  <c r="N204" i="4"/>
  <c r="O203" i="4"/>
  <c r="N203" i="4"/>
  <c r="O202" i="4"/>
  <c r="N202" i="4"/>
  <c r="O201" i="4"/>
  <c r="N201" i="4"/>
  <c r="O200" i="4"/>
  <c r="N200" i="4"/>
  <c r="O199" i="4"/>
  <c r="N199" i="4"/>
  <c r="O198" i="4"/>
  <c r="N198" i="4"/>
  <c r="O197" i="4"/>
  <c r="N197" i="4"/>
  <c r="O196" i="4"/>
  <c r="N196" i="4"/>
  <c r="O195" i="4"/>
  <c r="N195" i="4"/>
  <c r="O194" i="4"/>
  <c r="N194" i="4"/>
  <c r="O193" i="4"/>
  <c r="N193" i="4"/>
  <c r="O192" i="4"/>
  <c r="N192" i="4"/>
  <c r="O191" i="4"/>
  <c r="N191" i="4"/>
  <c r="O190" i="4"/>
  <c r="N190" i="4"/>
  <c r="O189" i="4"/>
  <c r="N189" i="4"/>
  <c r="O381" i="4"/>
  <c r="N381" i="4"/>
  <c r="O380" i="4"/>
  <c r="N380" i="4"/>
  <c r="O379" i="4"/>
  <c r="N379" i="4"/>
  <c r="O378" i="4"/>
  <c r="N378" i="4"/>
  <c r="O377" i="4"/>
  <c r="N377" i="4"/>
  <c r="O376" i="4"/>
  <c r="N376" i="4"/>
  <c r="O375" i="4"/>
  <c r="N375" i="4"/>
  <c r="O374" i="4"/>
  <c r="N374" i="4"/>
  <c r="O373" i="4"/>
  <c r="N373" i="4"/>
  <c r="O372" i="4"/>
  <c r="N372" i="4"/>
  <c r="O371" i="4"/>
  <c r="N371" i="4"/>
  <c r="O370" i="4"/>
  <c r="N370" i="4"/>
  <c r="O369" i="4"/>
  <c r="N369" i="4"/>
  <c r="O368" i="4"/>
  <c r="N368" i="4"/>
  <c r="O367" i="4"/>
  <c r="N367" i="4"/>
  <c r="O366" i="4"/>
  <c r="N366" i="4"/>
  <c r="O365" i="4"/>
  <c r="N365" i="4"/>
  <c r="O364" i="4"/>
  <c r="N364" i="4"/>
  <c r="O363" i="4"/>
  <c r="N363" i="4"/>
  <c r="O362" i="4"/>
  <c r="N362" i="4"/>
  <c r="O361" i="4"/>
  <c r="N361" i="4"/>
  <c r="O360" i="4"/>
  <c r="N360" i="4"/>
  <c r="O359" i="4"/>
  <c r="N359" i="4"/>
  <c r="O358" i="4"/>
  <c r="N358" i="4"/>
  <c r="O357" i="4"/>
  <c r="N357" i="4"/>
  <c r="O356" i="4"/>
  <c r="N356" i="4"/>
  <c r="O355" i="4"/>
  <c r="N355" i="4"/>
  <c r="O354" i="4"/>
  <c r="N354" i="4"/>
  <c r="O353" i="4"/>
  <c r="N353" i="4"/>
  <c r="O352" i="4"/>
  <c r="N352" i="4"/>
  <c r="O351" i="4"/>
  <c r="N351" i="4"/>
  <c r="O350" i="4"/>
  <c r="N350" i="4"/>
  <c r="O349" i="4"/>
  <c r="N349" i="4"/>
  <c r="O348" i="4"/>
  <c r="N348" i="4"/>
  <c r="O347" i="4"/>
  <c r="N347" i="4"/>
  <c r="O346" i="4"/>
  <c r="N346" i="4"/>
  <c r="O345" i="4"/>
  <c r="N345" i="4"/>
  <c r="O344" i="4"/>
  <c r="N344" i="4"/>
  <c r="O343" i="4"/>
  <c r="N343" i="4"/>
  <c r="O342" i="4"/>
  <c r="N342" i="4"/>
  <c r="O341" i="4"/>
  <c r="N341" i="4"/>
  <c r="O340" i="4"/>
  <c r="N340" i="4"/>
  <c r="O339" i="4"/>
  <c r="N339" i="4"/>
  <c r="O338" i="4"/>
  <c r="N338" i="4"/>
  <c r="O337" i="4"/>
  <c r="N337" i="4"/>
  <c r="O336" i="4"/>
  <c r="N336" i="4"/>
  <c r="O335" i="4"/>
  <c r="N335" i="4"/>
  <c r="O334" i="4"/>
  <c r="N334" i="4"/>
  <c r="O333" i="4"/>
  <c r="N333" i="4"/>
  <c r="O332" i="4"/>
  <c r="N332" i="4"/>
  <c r="O331" i="4"/>
  <c r="N331" i="4"/>
  <c r="O330" i="4"/>
  <c r="N330" i="4"/>
  <c r="O329" i="4"/>
  <c r="N329" i="4"/>
  <c r="O328" i="4"/>
  <c r="N328" i="4"/>
  <c r="O327" i="4"/>
  <c r="N327" i="4"/>
  <c r="O326" i="4"/>
  <c r="N326" i="4"/>
  <c r="O325" i="4"/>
  <c r="N325" i="4"/>
  <c r="O324" i="4"/>
  <c r="N324" i="4"/>
  <c r="O323" i="4"/>
  <c r="N323" i="4"/>
  <c r="O322" i="4"/>
  <c r="N322" i="4"/>
  <c r="O321" i="4"/>
  <c r="N321" i="4"/>
  <c r="O320" i="4"/>
  <c r="N320" i="4"/>
  <c r="O319" i="4"/>
  <c r="N319" i="4"/>
  <c r="O318" i="4"/>
  <c r="N318" i="4"/>
  <c r="O317" i="4"/>
  <c r="O509" i="4" s="1"/>
  <c r="N317" i="4"/>
  <c r="O188" i="4"/>
  <c r="N188" i="4"/>
  <c r="O187" i="4"/>
  <c r="N187" i="4"/>
  <c r="O186" i="4"/>
  <c r="N186" i="4"/>
  <c r="O185" i="4"/>
  <c r="N185" i="4"/>
  <c r="O184" i="4"/>
  <c r="N184" i="4"/>
  <c r="O183" i="4"/>
  <c r="N183" i="4"/>
  <c r="O182" i="4"/>
  <c r="N182" i="4"/>
  <c r="O181" i="4"/>
  <c r="N181" i="4"/>
  <c r="O180" i="4"/>
  <c r="N180" i="4"/>
  <c r="O179" i="4"/>
  <c r="N179" i="4"/>
  <c r="O178" i="4"/>
  <c r="N178" i="4"/>
  <c r="O177" i="4"/>
  <c r="N177" i="4"/>
  <c r="O176" i="4"/>
  <c r="N176" i="4"/>
  <c r="O175" i="4"/>
  <c r="N175" i="4"/>
  <c r="O174" i="4"/>
  <c r="N174" i="4"/>
  <c r="O173" i="4"/>
  <c r="N173" i="4"/>
  <c r="O172" i="4"/>
  <c r="N172" i="4"/>
  <c r="O171" i="4"/>
  <c r="N171" i="4"/>
  <c r="O170" i="4"/>
  <c r="N170" i="4"/>
  <c r="O169" i="4"/>
  <c r="N169" i="4"/>
  <c r="O168" i="4"/>
  <c r="N168" i="4"/>
  <c r="O167" i="4"/>
  <c r="N167" i="4"/>
  <c r="O166" i="4"/>
  <c r="N166" i="4"/>
  <c r="O165" i="4"/>
  <c r="N165" i="4"/>
  <c r="O164" i="4"/>
  <c r="N164" i="4"/>
  <c r="O163" i="4"/>
  <c r="N163" i="4"/>
  <c r="O162" i="4"/>
  <c r="N162" i="4"/>
  <c r="O161" i="4"/>
  <c r="N161" i="4"/>
  <c r="O160" i="4"/>
  <c r="N160" i="4"/>
  <c r="O159" i="4"/>
  <c r="N159" i="4"/>
  <c r="O158" i="4"/>
  <c r="N158" i="4"/>
  <c r="O157" i="4"/>
  <c r="N157" i="4"/>
  <c r="O156" i="4"/>
  <c r="N156" i="4"/>
  <c r="O155" i="4"/>
  <c r="N155" i="4"/>
  <c r="O154" i="4"/>
  <c r="N154" i="4"/>
  <c r="O153" i="4"/>
  <c r="N153" i="4"/>
  <c r="O152" i="4"/>
  <c r="N152" i="4"/>
  <c r="O151" i="4"/>
  <c r="N151" i="4"/>
  <c r="O150" i="4"/>
  <c r="N150" i="4"/>
  <c r="O149" i="4"/>
  <c r="N149" i="4"/>
  <c r="O148" i="4"/>
  <c r="N148" i="4"/>
  <c r="O147" i="4"/>
  <c r="N147" i="4"/>
  <c r="O146" i="4"/>
  <c r="N146" i="4"/>
  <c r="O145" i="4"/>
  <c r="N145" i="4"/>
  <c r="O144" i="4"/>
  <c r="N144" i="4"/>
  <c r="O143" i="4"/>
  <c r="N143" i="4"/>
  <c r="O142" i="4"/>
  <c r="N142" i="4"/>
  <c r="O141" i="4"/>
  <c r="N141" i="4"/>
  <c r="O140" i="4"/>
  <c r="N140" i="4"/>
  <c r="O139" i="4"/>
  <c r="N139" i="4"/>
  <c r="O138" i="4"/>
  <c r="N138" i="4"/>
  <c r="O137" i="4"/>
  <c r="N137" i="4"/>
  <c r="O136" i="4"/>
  <c r="N136" i="4"/>
  <c r="O135" i="4"/>
  <c r="N135" i="4"/>
  <c r="O134" i="4"/>
  <c r="N134" i="4"/>
  <c r="O133" i="4"/>
  <c r="N133" i="4"/>
  <c r="O132" i="4"/>
  <c r="N132" i="4"/>
  <c r="O131" i="4"/>
  <c r="N131" i="4"/>
  <c r="O130" i="4"/>
  <c r="N130" i="4"/>
  <c r="O129" i="4"/>
  <c r="N129" i="4"/>
  <c r="O128" i="4"/>
  <c r="N128" i="4"/>
  <c r="O127" i="4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O262" i="4" s="1"/>
  <c r="N97" i="4"/>
  <c r="O739" i="4"/>
  <c r="N739" i="4"/>
  <c r="O738" i="4"/>
  <c r="N738" i="4"/>
  <c r="O737" i="4"/>
  <c r="N737" i="4"/>
  <c r="O736" i="4"/>
  <c r="N736" i="4"/>
  <c r="O735" i="4"/>
  <c r="N735" i="4"/>
  <c r="O734" i="4"/>
  <c r="N734" i="4"/>
  <c r="O733" i="4"/>
  <c r="N733" i="4"/>
  <c r="O732" i="4"/>
  <c r="N732" i="4"/>
  <c r="O731" i="4"/>
  <c r="N731" i="4"/>
  <c r="O730" i="4"/>
  <c r="N730" i="4"/>
  <c r="O729" i="4"/>
  <c r="N729" i="4"/>
  <c r="O728" i="4"/>
  <c r="N728" i="4"/>
  <c r="O727" i="4"/>
  <c r="N727" i="4"/>
  <c r="O726" i="4"/>
  <c r="N726" i="4"/>
  <c r="O725" i="4"/>
  <c r="N725" i="4"/>
  <c r="O724" i="4"/>
  <c r="N724" i="4"/>
  <c r="O723" i="4"/>
  <c r="N723" i="4"/>
  <c r="O722" i="4"/>
  <c r="N722" i="4"/>
  <c r="O721" i="4"/>
  <c r="N721" i="4"/>
  <c r="O720" i="4"/>
  <c r="N720" i="4"/>
  <c r="O719" i="4"/>
  <c r="N719" i="4"/>
  <c r="O718" i="4"/>
  <c r="N718" i="4"/>
  <c r="O717" i="4"/>
  <c r="N717" i="4"/>
  <c r="O716" i="4"/>
  <c r="O740" i="4" s="1"/>
  <c r="N716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O4" i="4"/>
  <c r="N4" i="4"/>
  <c r="O3" i="4"/>
  <c r="N3" i="4"/>
  <c r="O2" i="4"/>
  <c r="N2" i="4"/>
  <c r="O737" i="3"/>
  <c r="N737" i="3"/>
  <c r="O736" i="3"/>
  <c r="N736" i="3"/>
  <c r="O735" i="3"/>
  <c r="N735" i="3"/>
  <c r="O734" i="3"/>
  <c r="N734" i="3"/>
  <c r="O733" i="3"/>
  <c r="N733" i="3"/>
  <c r="O732" i="3"/>
  <c r="N732" i="3"/>
  <c r="O731" i="3"/>
  <c r="N731" i="3"/>
  <c r="O730" i="3"/>
  <c r="N730" i="3"/>
  <c r="O729" i="3"/>
  <c r="N729" i="3"/>
  <c r="O728" i="3"/>
  <c r="N728" i="3"/>
  <c r="O727" i="3"/>
  <c r="N727" i="3"/>
  <c r="O726" i="3"/>
  <c r="N726" i="3"/>
  <c r="O725" i="3"/>
  <c r="N725" i="3"/>
  <c r="O724" i="3"/>
  <c r="N724" i="3"/>
  <c r="O723" i="3"/>
  <c r="N723" i="3"/>
  <c r="O722" i="3"/>
  <c r="N722" i="3"/>
  <c r="O721" i="3"/>
  <c r="N721" i="3"/>
  <c r="O720" i="3"/>
  <c r="N720" i="3"/>
  <c r="O719" i="3"/>
  <c r="N719" i="3"/>
  <c r="O718" i="3"/>
  <c r="N718" i="3"/>
  <c r="O717" i="3"/>
  <c r="N717" i="3"/>
  <c r="O716" i="3"/>
  <c r="N716" i="3"/>
  <c r="O715" i="3"/>
  <c r="N715" i="3"/>
  <c r="O714" i="3"/>
  <c r="N714" i="3"/>
  <c r="O713" i="3"/>
  <c r="N713" i="3"/>
  <c r="O712" i="3"/>
  <c r="N712" i="3"/>
  <c r="O711" i="3"/>
  <c r="N711" i="3"/>
  <c r="O710" i="3"/>
  <c r="N710" i="3"/>
  <c r="O709" i="3"/>
  <c r="N709" i="3"/>
  <c r="O708" i="3"/>
  <c r="N708" i="3"/>
  <c r="O707" i="3"/>
  <c r="N707" i="3"/>
  <c r="O706" i="3"/>
  <c r="N706" i="3"/>
  <c r="O705" i="3"/>
  <c r="N705" i="3"/>
  <c r="O704" i="3"/>
  <c r="N704" i="3"/>
  <c r="O703" i="3"/>
  <c r="N703" i="3"/>
  <c r="O702" i="3"/>
  <c r="N702" i="3"/>
  <c r="O701" i="3"/>
  <c r="N701" i="3"/>
  <c r="O700" i="3"/>
  <c r="N700" i="3"/>
  <c r="O699" i="3"/>
  <c r="N699" i="3"/>
  <c r="O698" i="3"/>
  <c r="N698" i="3"/>
  <c r="O697" i="3"/>
  <c r="N697" i="3"/>
  <c r="O696" i="3"/>
  <c r="N696" i="3"/>
  <c r="O695" i="3"/>
  <c r="N695" i="3"/>
  <c r="O694" i="3"/>
  <c r="N694" i="3"/>
  <c r="O693" i="3"/>
  <c r="N693" i="3"/>
  <c r="O692" i="3"/>
  <c r="N692" i="3"/>
  <c r="O691" i="3"/>
  <c r="N691" i="3"/>
  <c r="O690" i="3"/>
  <c r="N690" i="3"/>
  <c r="O689" i="3"/>
  <c r="N689" i="3"/>
  <c r="O688" i="3"/>
  <c r="N688" i="3"/>
  <c r="O687" i="3"/>
  <c r="N687" i="3"/>
  <c r="O686" i="3"/>
  <c r="N686" i="3"/>
  <c r="O685" i="3"/>
  <c r="N685" i="3"/>
  <c r="O684" i="3"/>
  <c r="N684" i="3"/>
  <c r="O683" i="3"/>
  <c r="N683" i="3"/>
  <c r="O682" i="3"/>
  <c r="N682" i="3"/>
  <c r="O681" i="3"/>
  <c r="N681" i="3"/>
  <c r="O680" i="3"/>
  <c r="N680" i="3"/>
  <c r="O679" i="3"/>
  <c r="N679" i="3"/>
  <c r="O678" i="3"/>
  <c r="N678" i="3"/>
  <c r="O677" i="3"/>
  <c r="N677" i="3"/>
  <c r="O676" i="3"/>
  <c r="N676" i="3"/>
  <c r="O675" i="3"/>
  <c r="N675" i="3"/>
  <c r="O674" i="3"/>
  <c r="N674" i="3"/>
  <c r="O673" i="3"/>
  <c r="N673" i="3"/>
  <c r="O672" i="3"/>
  <c r="N672" i="3"/>
  <c r="O671" i="3"/>
  <c r="N671" i="3"/>
  <c r="O670" i="3"/>
  <c r="N670" i="3"/>
  <c r="O669" i="3"/>
  <c r="N669" i="3"/>
  <c r="O668" i="3"/>
  <c r="N668" i="3"/>
  <c r="O667" i="3"/>
  <c r="N667" i="3"/>
  <c r="O666" i="3"/>
  <c r="N666" i="3"/>
  <c r="O665" i="3"/>
  <c r="N665" i="3"/>
  <c r="O664" i="3"/>
  <c r="N664" i="3"/>
  <c r="O663" i="3"/>
  <c r="N663" i="3"/>
  <c r="O662" i="3"/>
  <c r="N662" i="3"/>
  <c r="O661" i="3"/>
  <c r="N661" i="3"/>
  <c r="O660" i="3"/>
  <c r="N660" i="3"/>
  <c r="O659" i="3"/>
  <c r="N659" i="3"/>
  <c r="O658" i="3"/>
  <c r="N658" i="3"/>
  <c r="O657" i="3"/>
  <c r="N657" i="3"/>
  <c r="O656" i="3"/>
  <c r="N656" i="3"/>
  <c r="O655" i="3"/>
  <c r="N655" i="3"/>
  <c r="O654" i="3"/>
  <c r="N654" i="3"/>
  <c r="O653" i="3"/>
  <c r="N653" i="3"/>
  <c r="O652" i="3"/>
  <c r="N652" i="3"/>
  <c r="O651" i="3"/>
  <c r="N651" i="3"/>
  <c r="O650" i="3"/>
  <c r="N650" i="3"/>
  <c r="O649" i="3"/>
  <c r="N649" i="3"/>
  <c r="O648" i="3"/>
  <c r="N648" i="3"/>
  <c r="O647" i="3"/>
  <c r="N647" i="3"/>
  <c r="O646" i="3"/>
  <c r="N646" i="3"/>
  <c r="O645" i="3"/>
  <c r="N645" i="3"/>
  <c r="O644" i="3"/>
  <c r="N644" i="3"/>
  <c r="O643" i="3"/>
  <c r="N643" i="3"/>
  <c r="O642" i="3"/>
  <c r="N642" i="3"/>
  <c r="O641" i="3"/>
  <c r="N641" i="3"/>
  <c r="O640" i="3"/>
  <c r="N640" i="3"/>
  <c r="O639" i="3"/>
  <c r="N639" i="3"/>
  <c r="O638" i="3"/>
  <c r="N638" i="3"/>
  <c r="O637" i="3"/>
  <c r="N637" i="3"/>
  <c r="O636" i="3"/>
  <c r="N636" i="3"/>
  <c r="O635" i="3"/>
  <c r="N635" i="3"/>
  <c r="O634" i="3"/>
  <c r="N634" i="3"/>
  <c r="O633" i="3"/>
  <c r="N633" i="3"/>
  <c r="O632" i="3"/>
  <c r="N632" i="3"/>
  <c r="O631" i="3"/>
  <c r="N631" i="3"/>
  <c r="O630" i="3"/>
  <c r="N630" i="3"/>
  <c r="O629" i="3"/>
  <c r="N629" i="3"/>
  <c r="O628" i="3"/>
  <c r="N628" i="3"/>
  <c r="O627" i="3"/>
  <c r="N627" i="3"/>
  <c r="O626" i="3"/>
  <c r="N626" i="3"/>
  <c r="O625" i="3"/>
  <c r="N625" i="3"/>
  <c r="O624" i="3"/>
  <c r="N624" i="3"/>
  <c r="O623" i="3"/>
  <c r="N623" i="3"/>
  <c r="O622" i="3"/>
  <c r="N622" i="3"/>
  <c r="O621" i="3"/>
  <c r="N621" i="3"/>
  <c r="O620" i="3"/>
  <c r="N620" i="3"/>
  <c r="O619" i="3"/>
  <c r="N619" i="3"/>
  <c r="O618" i="3"/>
  <c r="N618" i="3"/>
  <c r="O617" i="3"/>
  <c r="N617" i="3"/>
  <c r="O616" i="3"/>
  <c r="N616" i="3"/>
  <c r="O615" i="3"/>
  <c r="N615" i="3"/>
  <c r="O614" i="3"/>
  <c r="N614" i="3"/>
  <c r="O613" i="3"/>
  <c r="N613" i="3"/>
  <c r="O612" i="3"/>
  <c r="N612" i="3"/>
  <c r="O611" i="3"/>
  <c r="N611" i="3"/>
  <c r="O610" i="3"/>
  <c r="N610" i="3"/>
  <c r="O609" i="3"/>
  <c r="N609" i="3"/>
  <c r="O608" i="3"/>
  <c r="N608" i="3"/>
  <c r="O607" i="3"/>
  <c r="N607" i="3"/>
  <c r="O606" i="3"/>
  <c r="N606" i="3"/>
  <c r="O605" i="3"/>
  <c r="N605" i="3"/>
  <c r="O604" i="3"/>
  <c r="N604" i="3"/>
  <c r="O603" i="3"/>
  <c r="N603" i="3"/>
  <c r="O602" i="3"/>
  <c r="N602" i="3"/>
  <c r="O601" i="3"/>
  <c r="N601" i="3"/>
  <c r="O600" i="3"/>
  <c r="N600" i="3"/>
  <c r="O599" i="3"/>
  <c r="N599" i="3"/>
  <c r="O598" i="3"/>
  <c r="N598" i="3"/>
  <c r="O597" i="3"/>
  <c r="N597" i="3"/>
  <c r="O596" i="3"/>
  <c r="N596" i="3"/>
  <c r="O595" i="3"/>
  <c r="N595" i="3"/>
  <c r="O594" i="3"/>
  <c r="N594" i="3"/>
  <c r="O593" i="3"/>
  <c r="N593" i="3"/>
  <c r="O592" i="3"/>
  <c r="N592" i="3"/>
  <c r="O591" i="3"/>
  <c r="N591" i="3"/>
  <c r="O590" i="3"/>
  <c r="N590" i="3"/>
  <c r="O589" i="3"/>
  <c r="N589" i="3"/>
  <c r="O588" i="3"/>
  <c r="N588" i="3"/>
  <c r="O587" i="3"/>
  <c r="N587" i="3"/>
  <c r="O586" i="3"/>
  <c r="N586" i="3"/>
  <c r="O585" i="3"/>
  <c r="N585" i="3"/>
  <c r="O584" i="3"/>
  <c r="N584" i="3"/>
  <c r="O583" i="3"/>
  <c r="N583" i="3"/>
  <c r="O582" i="3"/>
  <c r="N582" i="3"/>
  <c r="O581" i="3"/>
  <c r="N581" i="3"/>
  <c r="O580" i="3"/>
  <c r="N580" i="3"/>
  <c r="O579" i="3"/>
  <c r="N579" i="3"/>
  <c r="O578" i="3"/>
  <c r="N578" i="3"/>
  <c r="O577" i="3"/>
  <c r="N577" i="3"/>
  <c r="O576" i="3"/>
  <c r="N576" i="3"/>
  <c r="O575" i="3"/>
  <c r="N575" i="3"/>
  <c r="O574" i="3"/>
  <c r="N574" i="3"/>
  <c r="O573" i="3"/>
  <c r="N573" i="3"/>
  <c r="O572" i="3"/>
  <c r="N572" i="3"/>
  <c r="O571" i="3"/>
  <c r="N571" i="3"/>
  <c r="O570" i="3"/>
  <c r="N570" i="3"/>
  <c r="O569" i="3"/>
  <c r="N569" i="3"/>
  <c r="O568" i="3"/>
  <c r="N568" i="3"/>
  <c r="O567" i="3"/>
  <c r="N567" i="3"/>
  <c r="O566" i="3"/>
  <c r="N566" i="3"/>
  <c r="O565" i="3"/>
  <c r="N565" i="3"/>
  <c r="O564" i="3"/>
  <c r="N564" i="3"/>
  <c r="O563" i="3"/>
  <c r="N563" i="3"/>
  <c r="O562" i="3"/>
  <c r="N562" i="3"/>
  <c r="O561" i="3"/>
  <c r="N561" i="3"/>
  <c r="O560" i="3"/>
  <c r="N560" i="3"/>
  <c r="O559" i="3"/>
  <c r="N559" i="3"/>
  <c r="O558" i="3"/>
  <c r="N558" i="3"/>
  <c r="O557" i="3"/>
  <c r="N557" i="3"/>
  <c r="O556" i="3"/>
  <c r="N556" i="3"/>
  <c r="O555" i="3"/>
  <c r="N555" i="3"/>
  <c r="O554" i="3"/>
  <c r="N554" i="3"/>
  <c r="O553" i="3"/>
  <c r="N553" i="3"/>
  <c r="O552" i="3"/>
  <c r="N552" i="3"/>
  <c r="O551" i="3"/>
  <c r="N551" i="3"/>
  <c r="O550" i="3"/>
  <c r="N550" i="3"/>
  <c r="O549" i="3"/>
  <c r="N549" i="3"/>
  <c r="O548" i="3"/>
  <c r="N548" i="3"/>
  <c r="O547" i="3"/>
  <c r="N547" i="3"/>
  <c r="O546" i="3"/>
  <c r="N546" i="3"/>
  <c r="O545" i="3"/>
  <c r="N545" i="3"/>
  <c r="O544" i="3"/>
  <c r="N544" i="3"/>
  <c r="O543" i="3"/>
  <c r="N543" i="3"/>
  <c r="O542" i="3"/>
  <c r="N542" i="3"/>
  <c r="O541" i="3"/>
  <c r="N541" i="3"/>
  <c r="O540" i="3"/>
  <c r="N540" i="3"/>
  <c r="O539" i="3"/>
  <c r="N539" i="3"/>
  <c r="O538" i="3"/>
  <c r="N538" i="3"/>
  <c r="O537" i="3"/>
  <c r="N537" i="3"/>
  <c r="O536" i="3"/>
  <c r="N536" i="3"/>
  <c r="O535" i="3"/>
  <c r="N535" i="3"/>
  <c r="O534" i="3"/>
  <c r="N534" i="3"/>
  <c r="O533" i="3"/>
  <c r="N533" i="3"/>
  <c r="O532" i="3"/>
  <c r="N532" i="3"/>
  <c r="O531" i="3"/>
  <c r="N531" i="3"/>
  <c r="O530" i="3"/>
  <c r="N530" i="3"/>
  <c r="O529" i="3"/>
  <c r="N529" i="3"/>
  <c r="O528" i="3"/>
  <c r="N528" i="3"/>
  <c r="O527" i="3"/>
  <c r="N527" i="3"/>
  <c r="O526" i="3"/>
  <c r="N526" i="3"/>
  <c r="O525" i="3"/>
  <c r="N525" i="3"/>
  <c r="O524" i="3"/>
  <c r="N524" i="3"/>
  <c r="O523" i="3"/>
  <c r="N523" i="3"/>
  <c r="O522" i="3"/>
  <c r="N522" i="3"/>
  <c r="O521" i="3"/>
  <c r="N521" i="3"/>
  <c r="O520" i="3"/>
  <c r="N520" i="3"/>
  <c r="O519" i="3"/>
  <c r="N519" i="3"/>
  <c r="O518" i="3"/>
  <c r="N518" i="3"/>
  <c r="O517" i="3"/>
  <c r="N517" i="3"/>
  <c r="O516" i="3"/>
  <c r="N516" i="3"/>
  <c r="O515" i="3"/>
  <c r="N515" i="3"/>
  <c r="O514" i="3"/>
  <c r="N514" i="3"/>
  <c r="O513" i="3"/>
  <c r="N513" i="3"/>
  <c r="O512" i="3"/>
  <c r="N512" i="3"/>
  <c r="O511" i="3"/>
  <c r="N511" i="3"/>
  <c r="O510" i="3"/>
  <c r="N510" i="3"/>
  <c r="O509" i="3"/>
  <c r="N509" i="3"/>
  <c r="O508" i="3"/>
  <c r="N508" i="3"/>
  <c r="O507" i="3"/>
  <c r="N507" i="3"/>
  <c r="O506" i="3"/>
  <c r="N506" i="3"/>
  <c r="O505" i="3"/>
  <c r="N505" i="3"/>
  <c r="O504" i="3"/>
  <c r="N504" i="3"/>
  <c r="O503" i="3"/>
  <c r="N503" i="3"/>
  <c r="O502" i="3"/>
  <c r="N502" i="3"/>
  <c r="O501" i="3"/>
  <c r="N501" i="3"/>
  <c r="O500" i="3"/>
  <c r="N500" i="3"/>
  <c r="O499" i="3"/>
  <c r="N499" i="3"/>
  <c r="O498" i="3"/>
  <c r="N498" i="3"/>
  <c r="O497" i="3"/>
  <c r="N497" i="3"/>
  <c r="O496" i="3"/>
  <c r="N496" i="3"/>
  <c r="O495" i="3"/>
  <c r="N495" i="3"/>
  <c r="O494" i="3"/>
  <c r="N494" i="3"/>
  <c r="O493" i="3"/>
  <c r="N493" i="3"/>
  <c r="O492" i="3"/>
  <c r="N492" i="3"/>
  <c r="O491" i="3"/>
  <c r="N491" i="3"/>
  <c r="O490" i="3"/>
  <c r="N490" i="3"/>
  <c r="O489" i="3"/>
  <c r="N489" i="3"/>
  <c r="O488" i="3"/>
  <c r="N488" i="3"/>
  <c r="O487" i="3"/>
  <c r="N487" i="3"/>
  <c r="O486" i="3"/>
  <c r="N486" i="3"/>
  <c r="O485" i="3"/>
  <c r="N485" i="3"/>
  <c r="O484" i="3"/>
  <c r="N484" i="3"/>
  <c r="O483" i="3"/>
  <c r="N483" i="3"/>
  <c r="O482" i="3"/>
  <c r="N482" i="3"/>
  <c r="O481" i="3"/>
  <c r="N481" i="3"/>
  <c r="O480" i="3"/>
  <c r="N480" i="3"/>
  <c r="O479" i="3"/>
  <c r="N479" i="3"/>
  <c r="O478" i="3"/>
  <c r="N478" i="3"/>
  <c r="O477" i="3"/>
  <c r="N477" i="3"/>
  <c r="O476" i="3"/>
  <c r="N476" i="3"/>
  <c r="O475" i="3"/>
  <c r="N475" i="3"/>
  <c r="O474" i="3"/>
  <c r="N474" i="3"/>
  <c r="O473" i="3"/>
  <c r="N473" i="3"/>
  <c r="O472" i="3"/>
  <c r="N472" i="3"/>
  <c r="O471" i="3"/>
  <c r="N471" i="3"/>
  <c r="O470" i="3"/>
  <c r="N470" i="3"/>
  <c r="O469" i="3"/>
  <c r="N469" i="3"/>
  <c r="O468" i="3"/>
  <c r="N468" i="3"/>
  <c r="O467" i="3"/>
  <c r="N467" i="3"/>
  <c r="O466" i="3"/>
  <c r="N466" i="3"/>
  <c r="O465" i="3"/>
  <c r="N465" i="3"/>
  <c r="O464" i="3"/>
  <c r="N464" i="3"/>
  <c r="O463" i="3"/>
  <c r="N463" i="3"/>
  <c r="O462" i="3"/>
  <c r="N462" i="3"/>
  <c r="O461" i="3"/>
  <c r="N461" i="3"/>
  <c r="O460" i="3"/>
  <c r="N460" i="3"/>
  <c r="O459" i="3"/>
  <c r="N459" i="3"/>
  <c r="O458" i="3"/>
  <c r="N458" i="3"/>
  <c r="O457" i="3"/>
  <c r="N457" i="3"/>
  <c r="O456" i="3"/>
  <c r="N456" i="3"/>
  <c r="O455" i="3"/>
  <c r="N455" i="3"/>
  <c r="O454" i="3"/>
  <c r="N454" i="3"/>
  <c r="O453" i="3"/>
  <c r="N453" i="3"/>
  <c r="O452" i="3"/>
  <c r="N452" i="3"/>
  <c r="O451" i="3"/>
  <c r="N451" i="3"/>
  <c r="O450" i="3"/>
  <c r="N450" i="3"/>
  <c r="O449" i="3"/>
  <c r="N449" i="3"/>
  <c r="O448" i="3"/>
  <c r="N448" i="3"/>
  <c r="O447" i="3"/>
  <c r="N447" i="3"/>
  <c r="O446" i="3"/>
  <c r="N446" i="3"/>
  <c r="O445" i="3"/>
  <c r="N445" i="3"/>
  <c r="O444" i="3"/>
  <c r="N444" i="3"/>
  <c r="O443" i="3"/>
  <c r="N443" i="3"/>
  <c r="O442" i="3"/>
  <c r="N442" i="3"/>
  <c r="O441" i="3"/>
  <c r="N441" i="3"/>
  <c r="O440" i="3"/>
  <c r="N440" i="3"/>
  <c r="O439" i="3"/>
  <c r="N439" i="3"/>
  <c r="O438" i="3"/>
  <c r="N438" i="3"/>
  <c r="O437" i="3"/>
  <c r="N437" i="3"/>
  <c r="O436" i="3"/>
  <c r="N436" i="3"/>
  <c r="O435" i="3"/>
  <c r="N435" i="3"/>
  <c r="O434" i="3"/>
  <c r="N434" i="3"/>
  <c r="O433" i="3"/>
  <c r="N433" i="3"/>
  <c r="O432" i="3"/>
  <c r="N432" i="3"/>
  <c r="O431" i="3"/>
  <c r="N431" i="3"/>
  <c r="O430" i="3"/>
  <c r="N430" i="3"/>
  <c r="O429" i="3"/>
  <c r="N429" i="3"/>
  <c r="O428" i="3"/>
  <c r="N428" i="3"/>
  <c r="O427" i="3"/>
  <c r="N427" i="3"/>
  <c r="O426" i="3"/>
  <c r="N426" i="3"/>
  <c r="O425" i="3"/>
  <c r="N425" i="3"/>
  <c r="O424" i="3"/>
  <c r="N424" i="3"/>
  <c r="O423" i="3"/>
  <c r="N423" i="3"/>
  <c r="O422" i="3"/>
  <c r="N422" i="3"/>
  <c r="O421" i="3"/>
  <c r="N421" i="3"/>
  <c r="O420" i="3"/>
  <c r="N420" i="3"/>
  <c r="O419" i="3"/>
  <c r="N419" i="3"/>
  <c r="O418" i="3"/>
  <c r="N418" i="3"/>
  <c r="O417" i="3"/>
  <c r="N417" i="3"/>
  <c r="O416" i="3"/>
  <c r="N416" i="3"/>
  <c r="O415" i="3"/>
  <c r="N415" i="3"/>
  <c r="O414" i="3"/>
  <c r="N414" i="3"/>
  <c r="O413" i="3"/>
  <c r="N413" i="3"/>
  <c r="O412" i="3"/>
  <c r="N412" i="3"/>
  <c r="O411" i="3"/>
  <c r="N411" i="3"/>
  <c r="O410" i="3"/>
  <c r="N410" i="3"/>
  <c r="O409" i="3"/>
  <c r="N409" i="3"/>
  <c r="O408" i="3"/>
  <c r="N408" i="3"/>
  <c r="O407" i="3"/>
  <c r="N407" i="3"/>
  <c r="O406" i="3"/>
  <c r="N406" i="3"/>
  <c r="O405" i="3"/>
  <c r="N405" i="3"/>
  <c r="O404" i="3"/>
  <c r="N404" i="3"/>
  <c r="O403" i="3"/>
  <c r="N403" i="3"/>
  <c r="O402" i="3"/>
  <c r="N402" i="3"/>
  <c r="O401" i="3"/>
  <c r="N401" i="3"/>
  <c r="O400" i="3"/>
  <c r="N400" i="3"/>
  <c r="O399" i="3"/>
  <c r="N399" i="3"/>
  <c r="O398" i="3"/>
  <c r="N398" i="3"/>
  <c r="O397" i="3"/>
  <c r="N397" i="3"/>
  <c r="O396" i="3"/>
  <c r="N396" i="3"/>
  <c r="O395" i="3"/>
  <c r="N395" i="3"/>
  <c r="O394" i="3"/>
  <c r="N394" i="3"/>
  <c r="O393" i="3"/>
  <c r="N393" i="3"/>
  <c r="O392" i="3"/>
  <c r="N392" i="3"/>
  <c r="O391" i="3"/>
  <c r="N391" i="3"/>
  <c r="O390" i="3"/>
  <c r="N390" i="3"/>
  <c r="O389" i="3"/>
  <c r="N389" i="3"/>
  <c r="O388" i="3"/>
  <c r="N388" i="3"/>
  <c r="O387" i="3"/>
  <c r="N387" i="3"/>
  <c r="O386" i="3"/>
  <c r="N386" i="3"/>
  <c r="O385" i="3"/>
  <c r="N385" i="3"/>
  <c r="O384" i="3"/>
  <c r="N384" i="3"/>
  <c r="O383" i="3"/>
  <c r="N383" i="3"/>
  <c r="O382" i="3"/>
  <c r="N382" i="3"/>
  <c r="O381" i="3"/>
  <c r="N381" i="3"/>
  <c r="O380" i="3"/>
  <c r="N380" i="3"/>
  <c r="O379" i="3"/>
  <c r="N379" i="3"/>
  <c r="O378" i="3"/>
  <c r="N378" i="3"/>
  <c r="O377" i="3"/>
  <c r="N377" i="3"/>
  <c r="O376" i="3"/>
  <c r="N376" i="3"/>
  <c r="O375" i="3"/>
  <c r="N375" i="3"/>
  <c r="O374" i="3"/>
  <c r="N374" i="3"/>
  <c r="O373" i="3"/>
  <c r="N373" i="3"/>
  <c r="O372" i="3"/>
  <c r="N372" i="3"/>
  <c r="O371" i="3"/>
  <c r="N371" i="3"/>
  <c r="O370" i="3"/>
  <c r="N370" i="3"/>
  <c r="O369" i="3"/>
  <c r="N369" i="3"/>
  <c r="O368" i="3"/>
  <c r="N368" i="3"/>
  <c r="O367" i="3"/>
  <c r="N367" i="3"/>
  <c r="O366" i="3"/>
  <c r="N366" i="3"/>
  <c r="O365" i="3"/>
  <c r="N365" i="3"/>
  <c r="O364" i="3"/>
  <c r="N364" i="3"/>
  <c r="O363" i="3"/>
  <c r="N363" i="3"/>
  <c r="O362" i="3"/>
  <c r="N362" i="3"/>
  <c r="O361" i="3"/>
  <c r="N361" i="3"/>
  <c r="O360" i="3"/>
  <c r="N360" i="3"/>
  <c r="O359" i="3"/>
  <c r="N359" i="3"/>
  <c r="O358" i="3"/>
  <c r="N358" i="3"/>
  <c r="O357" i="3"/>
  <c r="N357" i="3"/>
  <c r="O356" i="3"/>
  <c r="N356" i="3"/>
  <c r="O355" i="3"/>
  <c r="N355" i="3"/>
  <c r="O354" i="3"/>
  <c r="N354" i="3"/>
  <c r="O353" i="3"/>
  <c r="N353" i="3"/>
  <c r="O352" i="3"/>
  <c r="N352" i="3"/>
  <c r="O351" i="3"/>
  <c r="N351" i="3"/>
  <c r="O350" i="3"/>
  <c r="N350" i="3"/>
  <c r="O349" i="3"/>
  <c r="N349" i="3"/>
  <c r="O348" i="3"/>
  <c r="N348" i="3"/>
  <c r="O347" i="3"/>
  <c r="N347" i="3"/>
  <c r="O346" i="3"/>
  <c r="N346" i="3"/>
  <c r="O345" i="3"/>
  <c r="N345" i="3"/>
  <c r="O344" i="3"/>
  <c r="N344" i="3"/>
  <c r="O343" i="3"/>
  <c r="N343" i="3"/>
  <c r="O342" i="3"/>
  <c r="N342" i="3"/>
  <c r="O341" i="3"/>
  <c r="N341" i="3"/>
  <c r="O340" i="3"/>
  <c r="N340" i="3"/>
  <c r="O339" i="3"/>
  <c r="N339" i="3"/>
  <c r="O338" i="3"/>
  <c r="N338" i="3"/>
  <c r="O337" i="3"/>
  <c r="N337" i="3"/>
  <c r="O336" i="3"/>
  <c r="N336" i="3"/>
  <c r="O335" i="3"/>
  <c r="N335" i="3"/>
  <c r="O334" i="3"/>
  <c r="N334" i="3"/>
  <c r="O333" i="3"/>
  <c r="N333" i="3"/>
  <c r="O332" i="3"/>
  <c r="N332" i="3"/>
  <c r="O331" i="3"/>
  <c r="N331" i="3"/>
  <c r="O330" i="3"/>
  <c r="N330" i="3"/>
  <c r="O329" i="3"/>
  <c r="N329" i="3"/>
  <c r="O328" i="3"/>
  <c r="N328" i="3"/>
  <c r="O327" i="3"/>
  <c r="N327" i="3"/>
  <c r="O326" i="3"/>
  <c r="N326" i="3"/>
  <c r="O325" i="3"/>
  <c r="N325" i="3"/>
  <c r="O324" i="3"/>
  <c r="N324" i="3"/>
  <c r="O323" i="3"/>
  <c r="N323" i="3"/>
  <c r="O322" i="3"/>
  <c r="N322" i="3"/>
  <c r="O321" i="3"/>
  <c r="N321" i="3"/>
  <c r="O320" i="3"/>
  <c r="N320" i="3"/>
  <c r="O319" i="3"/>
  <c r="N319" i="3"/>
  <c r="O318" i="3"/>
  <c r="N318" i="3"/>
  <c r="O317" i="3"/>
  <c r="N317" i="3"/>
  <c r="O316" i="3"/>
  <c r="N316" i="3"/>
  <c r="O315" i="3"/>
  <c r="N315" i="3"/>
  <c r="O314" i="3"/>
  <c r="N314" i="3"/>
  <c r="O313" i="3"/>
  <c r="N313" i="3"/>
  <c r="O312" i="3"/>
  <c r="N312" i="3"/>
  <c r="O311" i="3"/>
  <c r="N311" i="3"/>
  <c r="O310" i="3"/>
  <c r="N310" i="3"/>
  <c r="O309" i="3"/>
  <c r="N309" i="3"/>
  <c r="O308" i="3"/>
  <c r="N308" i="3"/>
  <c r="O307" i="3"/>
  <c r="N307" i="3"/>
  <c r="O306" i="3"/>
  <c r="N306" i="3"/>
  <c r="O305" i="3"/>
  <c r="N305" i="3"/>
  <c r="O304" i="3"/>
  <c r="N304" i="3"/>
  <c r="O303" i="3"/>
  <c r="N303" i="3"/>
  <c r="O302" i="3"/>
  <c r="N302" i="3"/>
  <c r="O301" i="3"/>
  <c r="N301" i="3"/>
  <c r="O300" i="3"/>
  <c r="N300" i="3"/>
  <c r="O299" i="3"/>
  <c r="N299" i="3"/>
  <c r="O298" i="3"/>
  <c r="N298" i="3"/>
  <c r="O297" i="3"/>
  <c r="N297" i="3"/>
  <c r="O296" i="3"/>
  <c r="N296" i="3"/>
  <c r="O295" i="3"/>
  <c r="N295" i="3"/>
  <c r="O294" i="3"/>
  <c r="N294" i="3"/>
  <c r="O293" i="3"/>
  <c r="N293" i="3"/>
  <c r="O292" i="3"/>
  <c r="N292" i="3"/>
  <c r="O291" i="3"/>
  <c r="N291" i="3"/>
  <c r="O290" i="3"/>
  <c r="N290" i="3"/>
  <c r="O289" i="3"/>
  <c r="N289" i="3"/>
  <c r="O288" i="3"/>
  <c r="N288" i="3"/>
  <c r="O287" i="3"/>
  <c r="N287" i="3"/>
  <c r="O286" i="3"/>
  <c r="N286" i="3"/>
  <c r="O285" i="3"/>
  <c r="N285" i="3"/>
  <c r="O284" i="3"/>
  <c r="N284" i="3"/>
  <c r="O283" i="3"/>
  <c r="N283" i="3"/>
  <c r="O282" i="3"/>
  <c r="N282" i="3"/>
  <c r="O281" i="3"/>
  <c r="N281" i="3"/>
  <c r="O280" i="3"/>
  <c r="N280" i="3"/>
  <c r="O279" i="3"/>
  <c r="N279" i="3"/>
  <c r="O278" i="3"/>
  <c r="N278" i="3"/>
  <c r="O277" i="3"/>
  <c r="N277" i="3"/>
  <c r="O276" i="3"/>
  <c r="N276" i="3"/>
  <c r="O275" i="3"/>
  <c r="N275" i="3"/>
  <c r="O274" i="3"/>
  <c r="N274" i="3"/>
  <c r="O273" i="3"/>
  <c r="N273" i="3"/>
  <c r="O272" i="3"/>
  <c r="N272" i="3"/>
  <c r="O271" i="3"/>
  <c r="N271" i="3"/>
  <c r="O270" i="3"/>
  <c r="N270" i="3"/>
  <c r="O269" i="3"/>
  <c r="N269" i="3"/>
  <c r="O268" i="3"/>
  <c r="N268" i="3"/>
  <c r="O267" i="3"/>
  <c r="N267" i="3"/>
  <c r="O266" i="3"/>
  <c r="N266" i="3"/>
  <c r="O265" i="3"/>
  <c r="N265" i="3"/>
  <c r="O264" i="3"/>
  <c r="N264" i="3"/>
  <c r="O263" i="3"/>
  <c r="N263" i="3"/>
  <c r="O262" i="3"/>
  <c r="N262" i="3"/>
  <c r="O261" i="3"/>
  <c r="N261" i="3"/>
  <c r="O260" i="3"/>
  <c r="N260" i="3"/>
  <c r="O259" i="3"/>
  <c r="N259" i="3"/>
  <c r="O258" i="3"/>
  <c r="N258" i="3"/>
  <c r="O257" i="3"/>
  <c r="N257" i="3"/>
  <c r="O256" i="3"/>
  <c r="N256" i="3"/>
  <c r="O255" i="3"/>
  <c r="N255" i="3"/>
  <c r="O254" i="3"/>
  <c r="N254" i="3"/>
  <c r="O253" i="3"/>
  <c r="N253" i="3"/>
  <c r="O252" i="3"/>
  <c r="N252" i="3"/>
  <c r="O251" i="3"/>
  <c r="N251" i="3"/>
  <c r="O250" i="3"/>
  <c r="N250" i="3"/>
  <c r="O249" i="3"/>
  <c r="N249" i="3"/>
  <c r="O248" i="3"/>
  <c r="N248" i="3"/>
  <c r="O247" i="3"/>
  <c r="N247" i="3"/>
  <c r="O246" i="3"/>
  <c r="N246" i="3"/>
  <c r="O245" i="3"/>
  <c r="N245" i="3"/>
  <c r="O244" i="3"/>
  <c r="N244" i="3"/>
  <c r="O243" i="3"/>
  <c r="N243" i="3"/>
  <c r="O242" i="3"/>
  <c r="N242" i="3"/>
  <c r="O241" i="3"/>
  <c r="N241" i="3"/>
  <c r="O240" i="3"/>
  <c r="N240" i="3"/>
  <c r="O239" i="3"/>
  <c r="N239" i="3"/>
  <c r="O238" i="3"/>
  <c r="N238" i="3"/>
  <c r="O237" i="3"/>
  <c r="N237" i="3"/>
  <c r="O236" i="3"/>
  <c r="N236" i="3"/>
  <c r="O235" i="3"/>
  <c r="N235" i="3"/>
  <c r="O234" i="3"/>
  <c r="N234" i="3"/>
  <c r="O233" i="3"/>
  <c r="N233" i="3"/>
  <c r="O232" i="3"/>
  <c r="N232" i="3"/>
  <c r="O231" i="3"/>
  <c r="N231" i="3"/>
  <c r="O230" i="3"/>
  <c r="N230" i="3"/>
  <c r="O229" i="3"/>
  <c r="N229" i="3"/>
  <c r="O228" i="3"/>
  <c r="N228" i="3"/>
  <c r="O227" i="3"/>
  <c r="N227" i="3"/>
  <c r="O226" i="3"/>
  <c r="N226" i="3"/>
  <c r="O225" i="3"/>
  <c r="N225" i="3"/>
  <c r="O224" i="3"/>
  <c r="N224" i="3"/>
  <c r="O223" i="3"/>
  <c r="N223" i="3"/>
  <c r="O222" i="3"/>
  <c r="N222" i="3"/>
  <c r="O221" i="3"/>
  <c r="N221" i="3"/>
  <c r="O220" i="3"/>
  <c r="N220" i="3"/>
  <c r="O219" i="3"/>
  <c r="N219" i="3"/>
  <c r="O218" i="3"/>
  <c r="N218" i="3"/>
  <c r="O217" i="3"/>
  <c r="N217" i="3"/>
  <c r="O216" i="3"/>
  <c r="N216" i="3"/>
  <c r="O215" i="3"/>
  <c r="N215" i="3"/>
  <c r="O214" i="3"/>
  <c r="N214" i="3"/>
  <c r="O213" i="3"/>
  <c r="N213" i="3"/>
  <c r="O212" i="3"/>
  <c r="N212" i="3"/>
  <c r="O211" i="3"/>
  <c r="N211" i="3"/>
  <c r="O210" i="3"/>
  <c r="N210" i="3"/>
  <c r="O209" i="3"/>
  <c r="N209" i="3"/>
  <c r="O208" i="3"/>
  <c r="N208" i="3"/>
  <c r="O207" i="3"/>
  <c r="N207" i="3"/>
  <c r="O206" i="3"/>
  <c r="N206" i="3"/>
  <c r="O205" i="3"/>
  <c r="N205" i="3"/>
  <c r="O204" i="3"/>
  <c r="N204" i="3"/>
  <c r="O203" i="3"/>
  <c r="N203" i="3"/>
  <c r="O202" i="3"/>
  <c r="N202" i="3"/>
  <c r="O201" i="3"/>
  <c r="N201" i="3"/>
  <c r="O200" i="3"/>
  <c r="N200" i="3"/>
  <c r="O199" i="3"/>
  <c r="N199" i="3"/>
  <c r="O198" i="3"/>
  <c r="N198" i="3"/>
  <c r="O197" i="3"/>
  <c r="N197" i="3"/>
  <c r="O196" i="3"/>
  <c r="N196" i="3"/>
  <c r="O195" i="3"/>
  <c r="N195" i="3"/>
  <c r="O194" i="3"/>
  <c r="N194" i="3"/>
  <c r="O193" i="3"/>
  <c r="N193" i="3"/>
  <c r="O192" i="3"/>
  <c r="N192" i="3"/>
  <c r="O191" i="3"/>
  <c r="N191" i="3"/>
  <c r="O190" i="3"/>
  <c r="N190" i="3"/>
  <c r="O189" i="3"/>
  <c r="N189" i="3"/>
  <c r="O188" i="3"/>
  <c r="N188" i="3"/>
  <c r="O187" i="3"/>
  <c r="N187" i="3"/>
  <c r="O186" i="3"/>
  <c r="N186" i="3"/>
  <c r="O185" i="3"/>
  <c r="N185" i="3"/>
  <c r="O184" i="3"/>
  <c r="N184" i="3"/>
  <c r="O183" i="3"/>
  <c r="N183" i="3"/>
  <c r="O182" i="3"/>
  <c r="N182" i="3"/>
  <c r="O181" i="3"/>
  <c r="N181" i="3"/>
  <c r="O180" i="3"/>
  <c r="N180" i="3"/>
  <c r="O179" i="3"/>
  <c r="N179" i="3"/>
  <c r="O178" i="3"/>
  <c r="N178" i="3"/>
  <c r="O177" i="3"/>
  <c r="N177" i="3"/>
  <c r="O176" i="3"/>
  <c r="N176" i="3"/>
  <c r="O175" i="3"/>
  <c r="N175" i="3"/>
  <c r="O174" i="3"/>
  <c r="N174" i="3"/>
  <c r="O173" i="3"/>
  <c r="N173" i="3"/>
  <c r="O172" i="3"/>
  <c r="N172" i="3"/>
  <c r="O171" i="3"/>
  <c r="N171" i="3"/>
  <c r="O170" i="3"/>
  <c r="N170" i="3"/>
  <c r="O169" i="3"/>
  <c r="N169" i="3"/>
  <c r="O168" i="3"/>
  <c r="N168" i="3"/>
  <c r="O167" i="3"/>
  <c r="N167" i="3"/>
  <c r="O166" i="3"/>
  <c r="N166" i="3"/>
  <c r="O165" i="3"/>
  <c r="N165" i="3"/>
  <c r="O164" i="3"/>
  <c r="N164" i="3"/>
  <c r="O163" i="3"/>
  <c r="N163" i="3"/>
  <c r="O162" i="3"/>
  <c r="N162" i="3"/>
  <c r="O161" i="3"/>
  <c r="N161" i="3"/>
  <c r="O160" i="3"/>
  <c r="N160" i="3"/>
  <c r="O159" i="3"/>
  <c r="N159" i="3"/>
  <c r="O158" i="3"/>
  <c r="N158" i="3"/>
  <c r="O157" i="3"/>
  <c r="N157" i="3"/>
  <c r="O156" i="3"/>
  <c r="N156" i="3"/>
  <c r="O155" i="3"/>
  <c r="N155" i="3"/>
  <c r="O154" i="3"/>
  <c r="N154" i="3"/>
  <c r="O153" i="3"/>
  <c r="N153" i="3"/>
  <c r="O152" i="3"/>
  <c r="N152" i="3"/>
  <c r="O151" i="3"/>
  <c r="N151" i="3"/>
  <c r="O150" i="3"/>
  <c r="N150" i="3"/>
  <c r="O149" i="3"/>
  <c r="N149" i="3"/>
  <c r="O148" i="3"/>
  <c r="N148" i="3"/>
  <c r="O147" i="3"/>
  <c r="N147" i="3"/>
  <c r="O146" i="3"/>
  <c r="N146" i="3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O133" i="3"/>
  <c r="N133" i="3"/>
  <c r="O132" i="3"/>
  <c r="N132" i="3"/>
  <c r="O131" i="3"/>
  <c r="N131" i="3"/>
  <c r="O130" i="3"/>
  <c r="N130" i="3"/>
  <c r="O129" i="3"/>
  <c r="N129" i="3"/>
  <c r="O128" i="3"/>
  <c r="N128" i="3"/>
  <c r="O127" i="3"/>
  <c r="N127" i="3"/>
  <c r="O126" i="3"/>
  <c r="N126" i="3"/>
  <c r="O125" i="3"/>
  <c r="N125" i="3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O715" i="4" l="1"/>
  <c r="M748" i="4"/>
  <c r="O659" i="4"/>
  <c r="V748" i="4"/>
  <c r="N740" i="4"/>
  <c r="N262" i="4"/>
  <c r="N509" i="4"/>
  <c r="N594" i="4"/>
  <c r="N715" i="4"/>
  <c r="K748" i="4"/>
  <c r="N32" i="4"/>
  <c r="N748" i="4" s="1"/>
  <c r="O32" i="4"/>
  <c r="O748" i="4" s="1"/>
</calcChain>
</file>

<file path=xl/sharedStrings.xml><?xml version="1.0" encoding="utf-8"?>
<sst xmlns="http://schemas.openxmlformats.org/spreadsheetml/2006/main" count="34357" uniqueCount="157">
  <si>
    <t>Abbrev</t>
  </si>
  <si>
    <t>Rep</t>
  </si>
  <si>
    <t>Locality</t>
  </si>
  <si>
    <t>Map_Ref</t>
  </si>
  <si>
    <t>Latitude</t>
  </si>
  <si>
    <t>Altitude</t>
  </si>
  <si>
    <t>Rainfall</t>
  </si>
  <si>
    <t>Frosts</t>
  </si>
  <si>
    <t>Year</t>
  </si>
  <si>
    <t>Sp</t>
  </si>
  <si>
    <t>PMCno</t>
  </si>
  <si>
    <t>DBH</t>
  </si>
  <si>
    <t>Ht</t>
  </si>
  <si>
    <t>Surv</t>
  </si>
  <si>
    <t>Vig</t>
  </si>
  <si>
    <t>Ins_res</t>
  </si>
  <si>
    <t>Stem_Fm</t>
  </si>
  <si>
    <t>Crown_Fm</t>
  </si>
  <si>
    <t>Brnch_Fm</t>
  </si>
  <si>
    <t>Utility</t>
  </si>
  <si>
    <t>Cra</t>
  </si>
  <si>
    <t>Central_Hawkes_Bay</t>
  </si>
  <si>
    <t>N135_382/137</t>
  </si>
  <si>
    <t>39__38</t>
  </si>
  <si>
    <t>co</t>
  </si>
  <si>
    <t>good</t>
  </si>
  <si>
    <t>fr</t>
  </si>
  <si>
    <t>best</t>
  </si>
  <si>
    <t>Diameter at breast height</t>
  </si>
  <si>
    <t>ma</t>
  </si>
  <si>
    <t>low</t>
  </si>
  <si>
    <t>Altura</t>
  </si>
  <si>
    <t>nd</t>
  </si>
  <si>
    <t>ni</t>
  </si>
  <si>
    <t>ob</t>
  </si>
  <si>
    <t>ov</t>
  </si>
  <si>
    <t>pu</t>
  </si>
  <si>
    <t>rd</t>
  </si>
  <si>
    <t>average</t>
  </si>
  <si>
    <t>si</t>
  </si>
  <si>
    <t>Cly</t>
  </si>
  <si>
    <t>Northern_Hawkes_Bay</t>
  </si>
  <si>
    <t>N116_848/985</t>
  </si>
  <si>
    <t>39__00</t>
  </si>
  <si>
    <t>?</t>
  </si>
  <si>
    <t>mn</t>
  </si>
  <si>
    <t>Nga</t>
  </si>
  <si>
    <t>Southern_Hawkes_Bay</t>
  </si>
  <si>
    <t>N145_874/586</t>
  </si>
  <si>
    <t>40__11</t>
  </si>
  <si>
    <t>none</t>
  </si>
  <si>
    <t>Wai</t>
  </si>
  <si>
    <t>Central_Hawkes_Bay_(coastal)</t>
  </si>
  <si>
    <t>N142_377/957</t>
  </si>
  <si>
    <t>39__50</t>
  </si>
  <si>
    <t>ag</t>
  </si>
  <si>
    <t>bxs</t>
  </si>
  <si>
    <t>br</t>
  </si>
  <si>
    <t>el</t>
  </si>
  <si>
    <t>fa</t>
  </si>
  <si>
    <t>jo</t>
  </si>
  <si>
    <t>ka</t>
  </si>
  <si>
    <t>re</t>
  </si>
  <si>
    <t>sm</t>
  </si>
  <si>
    <t>ro</t>
  </si>
  <si>
    <t>K81</t>
  </si>
  <si>
    <t>Central_Wairarapa</t>
  </si>
  <si>
    <t>N158_344/626</t>
  </si>
  <si>
    <t>40__57</t>
  </si>
  <si>
    <t>nc</t>
  </si>
  <si>
    <t>Wak</t>
  </si>
  <si>
    <t>South_Wairarapa</t>
  </si>
  <si>
    <t>N162_081/300</t>
  </si>
  <si>
    <t>41__12</t>
  </si>
  <si>
    <t>K82</t>
  </si>
  <si>
    <t>N158_343/625</t>
  </si>
  <si>
    <t>am</t>
  </si>
  <si>
    <t>WSp</t>
  </si>
  <si>
    <t>N151_912/221</t>
  </si>
  <si>
    <t>40__36</t>
  </si>
  <si>
    <t>cr</t>
  </si>
  <si>
    <t>pa</t>
  </si>
  <si>
    <t>K83</t>
  </si>
  <si>
    <t>Lon</t>
  </si>
  <si>
    <t>N162_097/424</t>
  </si>
  <si>
    <t>41__08</t>
  </si>
  <si>
    <t>Puk</t>
  </si>
  <si>
    <t>N166_063/197</t>
  </si>
  <si>
    <t>41__16</t>
  </si>
  <si>
    <t>Paw</t>
  </si>
  <si>
    <t>Southern_Hawkes_Bay_(coastal)</t>
  </si>
  <si>
    <t>N146_273/737</t>
  </si>
  <si>
    <t>40__00</t>
  </si>
  <si>
    <t>K81a</t>
  </si>
  <si>
    <t>Mor</t>
  </si>
  <si>
    <t>N141_295/063</t>
  </si>
  <si>
    <t>39__43</t>
  </si>
  <si>
    <t>ra</t>
  </si>
  <si>
    <t>te</t>
  </si>
  <si>
    <t>Wen</t>
  </si>
  <si>
    <t>Central_Poverty_Bay</t>
  </si>
  <si>
    <t>N98_539/567</t>
  </si>
  <si>
    <t>82__32</t>
  </si>
  <si>
    <t>WSh</t>
  </si>
  <si>
    <t>N151_922/226</t>
  </si>
  <si>
    <t>AB</t>
  </si>
  <si>
    <t>Vol</t>
  </si>
  <si>
    <t>Máx. 850</t>
  </si>
  <si>
    <t>Máx. 1400</t>
  </si>
  <si>
    <t>Máx. 1000</t>
  </si>
  <si>
    <t>Máx. 1080</t>
  </si>
  <si>
    <t>Máx. 1250</t>
  </si>
  <si>
    <t>Máx. 1050</t>
  </si>
  <si>
    <t>Máx. 1200</t>
  </si>
  <si>
    <t>Máx. 1300</t>
  </si>
  <si>
    <t>Máx. 900</t>
  </si>
  <si>
    <t>Máx. 1750</t>
  </si>
  <si>
    <t>Máximo general</t>
  </si>
  <si>
    <t>Etiquetas de fila</t>
  </si>
  <si>
    <t>Total general</t>
  </si>
  <si>
    <t>Etiquetas de columna</t>
  </si>
  <si>
    <t>Promedio de Vol</t>
  </si>
  <si>
    <t>Promedio</t>
  </si>
  <si>
    <t>Contar</t>
  </si>
  <si>
    <t>Contara</t>
  </si>
  <si>
    <t>Max</t>
  </si>
  <si>
    <t>Min</t>
  </si>
  <si>
    <t>Producto</t>
  </si>
  <si>
    <t>Desvest</t>
  </si>
  <si>
    <t>DesvestP</t>
  </si>
  <si>
    <t>Suma</t>
  </si>
  <si>
    <t>Var</t>
  </si>
  <si>
    <t>Varp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</si>
  <si>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</si>
  <si>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</si>
  <si>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</si>
  <si>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</si>
  <si>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</si>
  <si>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</si>
  <si>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</si>
  <si>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</si>
  <si>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</si>
  <si>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</si>
  <si>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</si>
  <si>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</si>
  <si>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</si>
  <si>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</si>
  <si>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</si>
  <si>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</si>
  <si>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</si>
  <si>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</si>
  <si>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</si>
  <si>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</si>
  <si>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</si>
  <si>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</si>
  <si>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99,0%</t>
  </si>
  <si>
    <t>Superior 99,0%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</si>
</sst>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_-;\-* #,##0.000_-;_-* &quot;-&quot;??_-;_-@_-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0" fillId="2" borderId="0" xfId="0" applyFill="1"/>
    <xf numFmtId="0" fontId="2" fillId="0" borderId="0" xfId="0" applyFont="1"/>
    <xf numFmtId="164" fontId="3" fillId="2" borderId="0" xfId="1" applyNumberFormat="1" applyFont="1" applyFill="1"/>
    <xf numFmtId="164" fontId="0" fillId="2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2">
    <cellStyle name="Millares" xfId="1" builtinId="3"/>
    <cellStyle name="Normal" xfId="0" builtinId="0"/>
  </cellStyles>
  <dxfs count="28"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numFmt numFmtId="171" formatCode="0.000000000"/>
    </dxf>
    <dxf>
      <numFmt numFmtId="172" formatCode="0.0000000000"/>
    </dxf>
    <dxf>
      <numFmt numFmtId="165" formatCode="0.000"/>
    </dxf>
    <dxf>
      <numFmt numFmtId="165" formatCode="0.000"/>
    </dxf>
    <dxf>
      <numFmt numFmtId="166" formatCode="0.0000"/>
    </dxf>
    <dxf>
      <numFmt numFmtId="166" formatCode="0.0000"/>
    </dxf>
    <dxf>
      <numFmt numFmtId="167" formatCode="0.00000"/>
    </dxf>
    <dxf>
      <numFmt numFmtId="167" formatCode="0.00000"/>
    </dxf>
    <dxf>
      <numFmt numFmtId="168" formatCode="0.000000"/>
    </dxf>
    <dxf>
      <numFmt numFmtId="168" formatCode="0.000000"/>
    </dxf>
    <dxf>
      <numFmt numFmtId="169" formatCode="0.0000000"/>
    </dxf>
    <dxf>
      <numFmt numFmtId="169" formatCode="0.0000000"/>
    </dxf>
    <dxf>
      <numFmt numFmtId="170" formatCode="0.00000000"/>
    </dxf>
    <dxf>
      <numFmt numFmtId="170" formatCode="0.00000000"/>
    </dxf>
    <dxf>
      <numFmt numFmtId="171" formatCode="0.000000000"/>
    </dxf>
    <dxf>
      <numFmt numFmtId="171" formatCode="0.000000000"/>
    </dxf>
    <dxf>
      <numFmt numFmtId="172" formatCode="0.0000000000"/>
    </dxf>
    <dxf>
      <numFmt numFmtId="172" formatCode="0.0000000000"/>
    </dxf>
    <dxf>
      <numFmt numFmtId="173" formatCode="0.00000000000"/>
    </dxf>
    <dxf>
      <numFmt numFmtId="173" formatCode="0.00000000000"/>
    </dxf>
    <dxf>
      <numFmt numFmtId="172" formatCode="0.0000000000"/>
    </dxf>
    <dxf>
      <numFmt numFmtId="172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[dataset_194_eucalyptus.xlsx]Tabla &amp; Graf Dinam!TablaDinámica3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97338340837477"/>
          <c:y val="6.0185185185185182E-2"/>
          <c:w val="0.68124959989757383"/>
          <c:h val="0.6759554534849810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'Tabla &amp; Graf Dinam'!$Z$2:$Z$3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Dinam'!$Z$4:$Z$16</c:f>
              <c:numCache>
                <c:formatCode>General</c:formatCode>
                <c:ptCount val="12"/>
                <c:pt idx="3">
                  <c:v>0.28003557209285718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5-4EEE-987B-3B06C3B9AB21}"/>
            </c:ext>
          </c:extLst>
        </c:ser>
        <c:ser>
          <c:idx val="1"/>
          <c:order val="1"/>
          <c:tx>
            <c:strRef>
              <c:f>'Tabla &amp; Graf Dinam'!$AA$2:$AA$3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Dinam'!$AA$4:$AA$16</c:f>
              <c:numCache>
                <c:formatCode>General</c:formatCode>
                <c:ptCount val="12"/>
                <c:pt idx="1">
                  <c:v>0.14207786603513334</c:v>
                </c:pt>
                <c:pt idx="6">
                  <c:v>0.85181414108320008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5-4EEE-987B-3B06C3B9AB21}"/>
            </c:ext>
          </c:extLst>
        </c:ser>
        <c:ser>
          <c:idx val="2"/>
          <c:order val="2"/>
          <c:tx>
            <c:strRef>
              <c:f>'Tabla &amp; Graf Dinam'!$AB$2:$AB$3</c:f>
              <c:strCache>
                <c:ptCount val="1"/>
                <c:pt idx="0">
                  <c:v>130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Dinam'!$AB$4:$AB$16</c:f>
              <c:numCache>
                <c:formatCode>General</c:formatCode>
                <c:ptCount val="12"/>
                <c:pt idx="5">
                  <c:v>0.2411402678181819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65-4EEE-987B-3B06C3B9AB21}"/>
            </c:ext>
          </c:extLst>
        </c:ser>
        <c:ser>
          <c:idx val="3"/>
          <c:order val="3"/>
          <c:tx>
            <c:strRef>
              <c:f>'Tabla &amp; Graf Dinam'!$AC$2:$AC$3</c:f>
              <c:strCache>
                <c:ptCount val="1"/>
                <c:pt idx="0">
                  <c:v>150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Dinam'!$AC$4:$AC$16</c:f>
              <c:numCache>
                <c:formatCode>General</c:formatCode>
                <c:ptCount val="12"/>
                <c:pt idx="2">
                  <c:v>0.6111518569041744</c:v>
                </c:pt>
                <c:pt idx="4">
                  <c:v>1.3686794545557568</c:v>
                </c:pt>
                <c:pt idx="6">
                  <c:v>0.68111326561903385</c:v>
                </c:pt>
                <c:pt idx="11">
                  <c:v>0.91823603593858338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65-4EEE-987B-3B06C3B9AB21}"/>
            </c:ext>
          </c:extLst>
        </c:ser>
        <c:ser>
          <c:idx val="4"/>
          <c:order val="4"/>
          <c:tx>
            <c:strRef>
              <c:f>'Tabla &amp; Graf Dinam'!$AD$2:$AD$3</c:f>
              <c:strCache>
                <c:ptCount val="1"/>
                <c:pt idx="0">
                  <c:v>160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Dinam'!$AD$4:$AD$16</c:f>
              <c:numCache>
                <c:formatCode>General</c:formatCode>
                <c:ptCount val="12"/>
                <c:pt idx="9">
                  <c:v>9.4370884821917814E-2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65-4EEE-987B-3B06C3B9AB21}"/>
            </c:ext>
          </c:extLst>
        </c:ser>
        <c:ser>
          <c:idx val="5"/>
          <c:order val="5"/>
          <c:tx>
            <c:strRef>
              <c:f>'Tabla &amp; Graf Dinam'!$AE$2:$AE$3</c:f>
              <c:strCache>
                <c:ptCount val="1"/>
                <c:pt idx="0">
                  <c:v>180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Dinam'!$AE$4:$AE$16</c:f>
              <c:numCache>
                <c:formatCode>General</c:formatCode>
                <c:ptCount val="12"/>
                <c:pt idx="7">
                  <c:v>8.3024820632992213E-2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65-4EEE-987B-3B06C3B9AB21}"/>
            </c:ext>
          </c:extLst>
        </c:ser>
        <c:ser>
          <c:idx val="6"/>
          <c:order val="6"/>
          <c:tx>
            <c:strRef>
              <c:f>'Tabla &amp; Graf Dinam'!$AF$2:$AF$3</c:f>
              <c:strCache>
                <c:ptCount val="1"/>
                <c:pt idx="0">
                  <c:v>200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Dinam'!$AF$4:$AF$16</c:f>
              <c:numCache>
                <c:formatCode>General</c:formatCode>
                <c:ptCount val="12"/>
                <c:pt idx="0">
                  <c:v>0.65142837223122585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65-4EEE-987B-3B06C3B9AB21}"/>
            </c:ext>
          </c:extLst>
        </c:ser>
        <c:ser>
          <c:idx val="7"/>
          <c:order val="7"/>
          <c:tx>
            <c:strRef>
              <c:f>'Tabla &amp; Graf Dinam'!$AG$2:$AG$3</c:f>
              <c:strCache>
                <c:ptCount val="1"/>
                <c:pt idx="0">
                  <c:v>220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Dinam'!$AG$4:$AG$16</c:f>
              <c:numCache>
                <c:formatCode>General</c:formatCode>
                <c:ptCount val="12"/>
                <c:pt idx="8">
                  <c:v>0.18967876318709434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65-4EEE-987B-3B06C3B9AB21}"/>
            </c:ext>
          </c:extLst>
        </c:ser>
        <c:ser>
          <c:idx val="8"/>
          <c:order val="8"/>
          <c:tx>
            <c:strRef>
              <c:f>'Tabla &amp; Graf Dinam'!$AH$2:$AH$3</c:f>
              <c:strCache>
                <c:ptCount val="1"/>
                <c:pt idx="0">
                  <c:v>300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'Tabla &amp; Graf Dinam'!$Y$4:$Y$16</c:f>
              <c:strCache>
                <c:ptCount val="12"/>
                <c:pt idx="0">
                  <c:v>39__00</c:v>
                </c:pt>
                <c:pt idx="1">
                  <c:v>39__38</c:v>
                </c:pt>
                <c:pt idx="2">
                  <c:v>39__43</c:v>
                </c:pt>
                <c:pt idx="3">
                  <c:v>39__50</c:v>
                </c:pt>
                <c:pt idx="4">
                  <c:v>40__00</c:v>
                </c:pt>
                <c:pt idx="5">
                  <c:v>40__11</c:v>
                </c:pt>
                <c:pt idx="6">
                  <c:v>40__36</c:v>
                </c:pt>
                <c:pt idx="7">
                  <c:v>40__57</c:v>
                </c:pt>
                <c:pt idx="8">
                  <c:v>41__08</c:v>
                </c:pt>
                <c:pt idx="9">
                  <c:v>41__12</c:v>
                </c:pt>
                <c:pt idx="10">
                  <c:v>41__16</c:v>
                </c:pt>
                <c:pt idx="11">
                  <c:v>82__32</c:v>
                </c:pt>
              </c:strCache>
            </c:strRef>
          </c:cat>
          <c:val>
            <c:numRef>
              <c:f>'Tabla &amp; Graf Dinam'!$AH$4:$AH$16</c:f>
              <c:numCache>
                <c:formatCode>General</c:formatCode>
                <c:ptCount val="12"/>
                <c:pt idx="10">
                  <c:v>0.10589259132986899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65-4EEE-987B-3B06C3B9A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20876960"/>
        <c:axId val="1520879872"/>
        <c:axId val="317796895"/>
      </c:bar3DChart>
      <c:catAx>
        <c:axId val="152087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79872"/>
        <c:crosses val="autoZero"/>
        <c:auto val="1"/>
        <c:lblAlgn val="ctr"/>
        <c:lblOffset val="100"/>
        <c:noMultiLvlLbl val="0"/>
      </c:catAx>
      <c:valAx>
        <c:axId val="15208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76960"/>
        <c:crosses val="autoZero"/>
        <c:crossBetween val="between"/>
      </c:valAx>
      <c:serAx>
        <c:axId val="3177968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798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'Regresión lineal'!$M$1</c:f>
              <c:strCache>
                <c:ptCount val="1"/>
                <c:pt idx="0">
                  <c:v>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'Regresión lineal'!$F$2:$F$737</c:f>
              <c:numCache>
                <c:formatCode>General</c:formatCode>
                <c:ptCount val="73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130</c:v>
                </c:pt>
                <c:pt idx="55">
                  <c:v>130</c:v>
                </c:pt>
                <c:pt idx="56">
                  <c:v>130</c:v>
                </c:pt>
                <c:pt idx="57">
                  <c:v>130</c:v>
                </c:pt>
                <c:pt idx="58">
                  <c:v>130</c:v>
                </c:pt>
                <c:pt idx="59">
                  <c:v>130</c:v>
                </c:pt>
                <c:pt idx="60">
                  <c:v>130</c:v>
                </c:pt>
                <c:pt idx="61">
                  <c:v>130</c:v>
                </c:pt>
                <c:pt idx="62">
                  <c:v>130</c:v>
                </c:pt>
                <c:pt idx="63">
                  <c:v>130</c:v>
                </c:pt>
                <c:pt idx="64">
                  <c:v>130</c:v>
                </c:pt>
                <c:pt idx="65">
                  <c:v>130</c:v>
                </c:pt>
                <c:pt idx="66">
                  <c:v>130</c:v>
                </c:pt>
                <c:pt idx="67">
                  <c:v>130</c:v>
                </c:pt>
                <c:pt idx="68">
                  <c:v>130</c:v>
                </c:pt>
                <c:pt idx="69">
                  <c:v>130</c:v>
                </c:pt>
                <c:pt idx="70">
                  <c:v>130</c:v>
                </c:pt>
                <c:pt idx="71">
                  <c:v>130</c:v>
                </c:pt>
                <c:pt idx="72">
                  <c:v>130</c:v>
                </c:pt>
                <c:pt idx="73">
                  <c:v>130</c:v>
                </c:pt>
                <c:pt idx="74">
                  <c:v>130</c:v>
                </c:pt>
                <c:pt idx="75">
                  <c:v>130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180</c:v>
                </c:pt>
                <c:pt idx="147">
                  <c:v>180</c:v>
                </c:pt>
                <c:pt idx="148">
                  <c:v>180</c:v>
                </c:pt>
                <c:pt idx="149">
                  <c:v>180</c:v>
                </c:pt>
                <c:pt idx="150">
                  <c:v>180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  <c:pt idx="167">
                  <c:v>180</c:v>
                </c:pt>
                <c:pt idx="168">
                  <c:v>180</c:v>
                </c:pt>
                <c:pt idx="169">
                  <c:v>180</c:v>
                </c:pt>
                <c:pt idx="170">
                  <c:v>180</c:v>
                </c:pt>
                <c:pt idx="171">
                  <c:v>180</c:v>
                </c:pt>
                <c:pt idx="172">
                  <c:v>180</c:v>
                </c:pt>
                <c:pt idx="173">
                  <c:v>180</c:v>
                </c:pt>
                <c:pt idx="174">
                  <c:v>180</c:v>
                </c:pt>
                <c:pt idx="175">
                  <c:v>180</c:v>
                </c:pt>
                <c:pt idx="176">
                  <c:v>180</c:v>
                </c:pt>
                <c:pt idx="177">
                  <c:v>180</c:v>
                </c:pt>
                <c:pt idx="178">
                  <c:v>180</c:v>
                </c:pt>
                <c:pt idx="179">
                  <c:v>180</c:v>
                </c:pt>
                <c:pt idx="180">
                  <c:v>180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180</c:v>
                </c:pt>
                <c:pt idx="190">
                  <c:v>180</c:v>
                </c:pt>
                <c:pt idx="191">
                  <c:v>180</c:v>
                </c:pt>
                <c:pt idx="192">
                  <c:v>180</c:v>
                </c:pt>
                <c:pt idx="193">
                  <c:v>180</c:v>
                </c:pt>
                <c:pt idx="194">
                  <c:v>180</c:v>
                </c:pt>
                <c:pt idx="195">
                  <c:v>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180</c:v>
                </c:pt>
                <c:pt idx="200">
                  <c:v>180</c:v>
                </c:pt>
                <c:pt idx="201">
                  <c:v>180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180</c:v>
                </c:pt>
                <c:pt idx="208">
                  <c:v>180</c:v>
                </c:pt>
                <c:pt idx="209">
                  <c:v>180</c:v>
                </c:pt>
                <c:pt idx="210">
                  <c:v>180</c:v>
                </c:pt>
                <c:pt idx="211">
                  <c:v>160</c:v>
                </c:pt>
                <c:pt idx="212">
                  <c:v>160</c:v>
                </c:pt>
                <c:pt idx="213">
                  <c:v>160</c:v>
                </c:pt>
                <c:pt idx="214">
                  <c:v>160</c:v>
                </c:pt>
                <c:pt idx="215">
                  <c:v>160</c:v>
                </c:pt>
                <c:pt idx="216">
                  <c:v>160</c:v>
                </c:pt>
                <c:pt idx="217">
                  <c:v>160</c:v>
                </c:pt>
                <c:pt idx="218">
                  <c:v>160</c:v>
                </c:pt>
                <c:pt idx="219">
                  <c:v>160</c:v>
                </c:pt>
                <c:pt idx="220">
                  <c:v>160</c:v>
                </c:pt>
                <c:pt idx="221">
                  <c:v>160</c:v>
                </c:pt>
                <c:pt idx="222">
                  <c:v>160</c:v>
                </c:pt>
                <c:pt idx="223">
                  <c:v>160</c:v>
                </c:pt>
                <c:pt idx="224">
                  <c:v>160</c:v>
                </c:pt>
                <c:pt idx="225">
                  <c:v>160</c:v>
                </c:pt>
                <c:pt idx="226">
                  <c:v>160</c:v>
                </c:pt>
                <c:pt idx="227">
                  <c:v>160</c:v>
                </c:pt>
                <c:pt idx="228">
                  <c:v>160</c:v>
                </c:pt>
                <c:pt idx="229">
                  <c:v>160</c:v>
                </c:pt>
                <c:pt idx="230">
                  <c:v>160</c:v>
                </c:pt>
                <c:pt idx="231">
                  <c:v>160</c:v>
                </c:pt>
                <c:pt idx="232">
                  <c:v>160</c:v>
                </c:pt>
                <c:pt idx="233">
                  <c:v>160</c:v>
                </c:pt>
                <c:pt idx="234">
                  <c:v>160</c:v>
                </c:pt>
                <c:pt idx="235">
                  <c:v>160</c:v>
                </c:pt>
                <c:pt idx="236">
                  <c:v>160</c:v>
                </c:pt>
                <c:pt idx="237">
                  <c:v>160</c:v>
                </c:pt>
                <c:pt idx="238">
                  <c:v>160</c:v>
                </c:pt>
                <c:pt idx="239">
                  <c:v>160</c:v>
                </c:pt>
                <c:pt idx="240">
                  <c:v>160</c:v>
                </c:pt>
                <c:pt idx="241">
                  <c:v>160</c:v>
                </c:pt>
                <c:pt idx="242">
                  <c:v>160</c:v>
                </c:pt>
                <c:pt idx="243">
                  <c:v>160</c:v>
                </c:pt>
                <c:pt idx="244">
                  <c:v>160</c:v>
                </c:pt>
                <c:pt idx="245">
                  <c:v>160</c:v>
                </c:pt>
                <c:pt idx="246">
                  <c:v>160</c:v>
                </c:pt>
                <c:pt idx="247">
                  <c:v>160</c:v>
                </c:pt>
                <c:pt idx="248">
                  <c:v>160</c:v>
                </c:pt>
                <c:pt idx="249">
                  <c:v>160</c:v>
                </c:pt>
                <c:pt idx="250">
                  <c:v>160</c:v>
                </c:pt>
                <c:pt idx="251">
                  <c:v>160</c:v>
                </c:pt>
                <c:pt idx="252">
                  <c:v>160</c:v>
                </c:pt>
                <c:pt idx="253">
                  <c:v>160</c:v>
                </c:pt>
                <c:pt idx="254">
                  <c:v>160</c:v>
                </c:pt>
                <c:pt idx="255">
                  <c:v>160</c:v>
                </c:pt>
                <c:pt idx="256">
                  <c:v>160</c:v>
                </c:pt>
                <c:pt idx="257">
                  <c:v>160</c:v>
                </c:pt>
                <c:pt idx="258">
                  <c:v>160</c:v>
                </c:pt>
                <c:pt idx="259">
                  <c:v>160</c:v>
                </c:pt>
                <c:pt idx="260">
                  <c:v>160</c:v>
                </c:pt>
                <c:pt idx="261">
                  <c:v>160</c:v>
                </c:pt>
                <c:pt idx="262">
                  <c:v>160</c:v>
                </c:pt>
                <c:pt idx="263">
                  <c:v>160</c:v>
                </c:pt>
                <c:pt idx="264">
                  <c:v>160</c:v>
                </c:pt>
                <c:pt idx="265">
                  <c:v>160</c:v>
                </c:pt>
                <c:pt idx="266">
                  <c:v>160</c:v>
                </c:pt>
                <c:pt idx="267">
                  <c:v>160</c:v>
                </c:pt>
                <c:pt idx="268">
                  <c:v>160</c:v>
                </c:pt>
                <c:pt idx="269">
                  <c:v>160</c:v>
                </c:pt>
                <c:pt idx="270">
                  <c:v>160</c:v>
                </c:pt>
                <c:pt idx="271">
                  <c:v>160</c:v>
                </c:pt>
                <c:pt idx="272">
                  <c:v>160</c:v>
                </c:pt>
                <c:pt idx="273">
                  <c:v>160</c:v>
                </c:pt>
                <c:pt idx="274">
                  <c:v>160</c:v>
                </c:pt>
                <c:pt idx="275">
                  <c:v>160</c:v>
                </c:pt>
                <c:pt idx="276">
                  <c:v>160</c:v>
                </c:pt>
                <c:pt idx="277">
                  <c:v>160</c:v>
                </c:pt>
                <c:pt idx="278">
                  <c:v>160</c:v>
                </c:pt>
                <c:pt idx="279">
                  <c:v>160</c:v>
                </c:pt>
                <c:pt idx="280">
                  <c:v>160</c:v>
                </c:pt>
                <c:pt idx="281">
                  <c:v>160</c:v>
                </c:pt>
                <c:pt idx="282">
                  <c:v>160</c:v>
                </c:pt>
                <c:pt idx="283">
                  <c:v>160</c:v>
                </c:pt>
                <c:pt idx="284">
                  <c:v>180</c:v>
                </c:pt>
                <c:pt idx="285">
                  <c:v>180</c:v>
                </c:pt>
                <c:pt idx="286">
                  <c:v>180</c:v>
                </c:pt>
                <c:pt idx="287">
                  <c:v>180</c:v>
                </c:pt>
                <c:pt idx="288">
                  <c:v>180</c:v>
                </c:pt>
                <c:pt idx="289">
                  <c:v>180</c:v>
                </c:pt>
                <c:pt idx="290">
                  <c:v>180</c:v>
                </c:pt>
                <c:pt idx="291">
                  <c:v>180</c:v>
                </c:pt>
                <c:pt idx="292">
                  <c:v>180</c:v>
                </c:pt>
                <c:pt idx="293">
                  <c:v>180</c:v>
                </c:pt>
                <c:pt idx="294">
                  <c:v>180</c:v>
                </c:pt>
                <c:pt idx="295">
                  <c:v>180</c:v>
                </c:pt>
                <c:pt idx="296">
                  <c:v>180</c:v>
                </c:pt>
                <c:pt idx="297">
                  <c:v>180</c:v>
                </c:pt>
                <c:pt idx="298">
                  <c:v>180</c:v>
                </c:pt>
                <c:pt idx="299">
                  <c:v>180</c:v>
                </c:pt>
                <c:pt idx="300">
                  <c:v>180</c:v>
                </c:pt>
                <c:pt idx="301">
                  <c:v>180</c:v>
                </c:pt>
                <c:pt idx="302">
                  <c:v>180</c:v>
                </c:pt>
                <c:pt idx="303">
                  <c:v>180</c:v>
                </c:pt>
                <c:pt idx="304">
                  <c:v>180</c:v>
                </c:pt>
                <c:pt idx="305">
                  <c:v>180</c:v>
                </c:pt>
                <c:pt idx="306">
                  <c:v>180</c:v>
                </c:pt>
                <c:pt idx="307">
                  <c:v>180</c:v>
                </c:pt>
                <c:pt idx="308">
                  <c:v>180</c:v>
                </c:pt>
                <c:pt idx="309">
                  <c:v>180</c:v>
                </c:pt>
                <c:pt idx="310">
                  <c:v>180</c:v>
                </c:pt>
                <c:pt idx="311">
                  <c:v>180</c:v>
                </c:pt>
                <c:pt idx="312">
                  <c:v>180</c:v>
                </c:pt>
                <c:pt idx="313">
                  <c:v>180</c:v>
                </c:pt>
                <c:pt idx="314">
                  <c:v>180</c:v>
                </c:pt>
                <c:pt idx="315">
                  <c:v>180</c:v>
                </c:pt>
                <c:pt idx="316">
                  <c:v>180</c:v>
                </c:pt>
                <c:pt idx="317">
                  <c:v>180</c:v>
                </c:pt>
                <c:pt idx="318">
                  <c:v>180</c:v>
                </c:pt>
                <c:pt idx="319">
                  <c:v>180</c:v>
                </c:pt>
                <c:pt idx="320">
                  <c:v>180</c:v>
                </c:pt>
                <c:pt idx="321">
                  <c:v>180</c:v>
                </c:pt>
                <c:pt idx="322">
                  <c:v>180</c:v>
                </c:pt>
                <c:pt idx="323">
                  <c:v>180</c:v>
                </c:pt>
                <c:pt idx="324">
                  <c:v>180</c:v>
                </c:pt>
                <c:pt idx="325">
                  <c:v>180</c:v>
                </c:pt>
                <c:pt idx="326">
                  <c:v>180</c:v>
                </c:pt>
                <c:pt idx="327">
                  <c:v>180</c:v>
                </c:pt>
                <c:pt idx="328">
                  <c:v>180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150</c:v>
                </c:pt>
                <c:pt idx="367">
                  <c:v>150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150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150</c:v>
                </c:pt>
                <c:pt idx="379">
                  <c:v>150</c:v>
                </c:pt>
                <c:pt idx="380">
                  <c:v>150</c:v>
                </c:pt>
                <c:pt idx="381">
                  <c:v>150</c:v>
                </c:pt>
                <c:pt idx="382">
                  <c:v>150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150</c:v>
                </c:pt>
                <c:pt idx="387">
                  <c:v>150</c:v>
                </c:pt>
                <c:pt idx="388">
                  <c:v>180</c:v>
                </c:pt>
                <c:pt idx="389">
                  <c:v>180</c:v>
                </c:pt>
                <c:pt idx="390">
                  <c:v>180</c:v>
                </c:pt>
                <c:pt idx="391">
                  <c:v>180</c:v>
                </c:pt>
                <c:pt idx="392">
                  <c:v>180</c:v>
                </c:pt>
                <c:pt idx="393">
                  <c:v>180</c:v>
                </c:pt>
                <c:pt idx="394">
                  <c:v>180</c:v>
                </c:pt>
                <c:pt idx="395">
                  <c:v>180</c:v>
                </c:pt>
                <c:pt idx="396">
                  <c:v>180</c:v>
                </c:pt>
                <c:pt idx="397">
                  <c:v>180</c:v>
                </c:pt>
                <c:pt idx="398">
                  <c:v>180</c:v>
                </c:pt>
                <c:pt idx="399">
                  <c:v>180</c:v>
                </c:pt>
                <c:pt idx="400">
                  <c:v>180</c:v>
                </c:pt>
                <c:pt idx="401">
                  <c:v>180</c:v>
                </c:pt>
                <c:pt idx="402">
                  <c:v>180</c:v>
                </c:pt>
                <c:pt idx="403">
                  <c:v>180</c:v>
                </c:pt>
                <c:pt idx="404">
                  <c:v>180</c:v>
                </c:pt>
                <c:pt idx="405">
                  <c:v>180</c:v>
                </c:pt>
                <c:pt idx="406">
                  <c:v>180</c:v>
                </c:pt>
                <c:pt idx="407">
                  <c:v>180</c:v>
                </c:pt>
                <c:pt idx="408">
                  <c:v>180</c:v>
                </c:pt>
                <c:pt idx="409">
                  <c:v>180</c:v>
                </c:pt>
                <c:pt idx="410">
                  <c:v>180</c:v>
                </c:pt>
                <c:pt idx="411">
                  <c:v>180</c:v>
                </c:pt>
                <c:pt idx="412">
                  <c:v>180</c:v>
                </c:pt>
                <c:pt idx="413">
                  <c:v>180</c:v>
                </c:pt>
                <c:pt idx="414">
                  <c:v>180</c:v>
                </c:pt>
                <c:pt idx="415">
                  <c:v>180</c:v>
                </c:pt>
                <c:pt idx="416">
                  <c:v>180</c:v>
                </c:pt>
                <c:pt idx="417">
                  <c:v>180</c:v>
                </c:pt>
                <c:pt idx="418">
                  <c:v>180</c:v>
                </c:pt>
                <c:pt idx="419">
                  <c:v>180</c:v>
                </c:pt>
                <c:pt idx="420">
                  <c:v>180</c:v>
                </c:pt>
                <c:pt idx="421">
                  <c:v>180</c:v>
                </c:pt>
                <c:pt idx="422">
                  <c:v>180</c:v>
                </c:pt>
                <c:pt idx="423">
                  <c:v>180</c:v>
                </c:pt>
                <c:pt idx="424">
                  <c:v>180</c:v>
                </c:pt>
                <c:pt idx="425">
                  <c:v>180</c:v>
                </c:pt>
                <c:pt idx="426">
                  <c:v>180</c:v>
                </c:pt>
                <c:pt idx="427">
                  <c:v>180</c:v>
                </c:pt>
                <c:pt idx="428">
                  <c:v>180</c:v>
                </c:pt>
                <c:pt idx="429">
                  <c:v>180</c:v>
                </c:pt>
                <c:pt idx="430">
                  <c:v>180</c:v>
                </c:pt>
                <c:pt idx="431">
                  <c:v>180</c:v>
                </c:pt>
                <c:pt idx="432">
                  <c:v>180</c:v>
                </c:pt>
                <c:pt idx="433">
                  <c:v>180</c:v>
                </c:pt>
                <c:pt idx="434">
                  <c:v>180</c:v>
                </c:pt>
                <c:pt idx="435">
                  <c:v>180</c:v>
                </c:pt>
                <c:pt idx="436">
                  <c:v>180</c:v>
                </c:pt>
                <c:pt idx="437">
                  <c:v>220</c:v>
                </c:pt>
                <c:pt idx="438">
                  <c:v>220</c:v>
                </c:pt>
                <c:pt idx="439">
                  <c:v>220</c:v>
                </c:pt>
                <c:pt idx="440">
                  <c:v>220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220</c:v>
                </c:pt>
                <c:pt idx="446">
                  <c:v>220</c:v>
                </c:pt>
                <c:pt idx="447">
                  <c:v>220</c:v>
                </c:pt>
                <c:pt idx="448">
                  <c:v>220</c:v>
                </c:pt>
                <c:pt idx="449">
                  <c:v>220</c:v>
                </c:pt>
                <c:pt idx="450">
                  <c:v>220</c:v>
                </c:pt>
                <c:pt idx="451">
                  <c:v>220</c:v>
                </c:pt>
                <c:pt idx="452">
                  <c:v>220</c:v>
                </c:pt>
                <c:pt idx="453">
                  <c:v>220</c:v>
                </c:pt>
                <c:pt idx="454">
                  <c:v>220</c:v>
                </c:pt>
                <c:pt idx="455">
                  <c:v>220</c:v>
                </c:pt>
                <c:pt idx="456">
                  <c:v>220</c:v>
                </c:pt>
                <c:pt idx="457">
                  <c:v>220</c:v>
                </c:pt>
                <c:pt idx="458">
                  <c:v>220</c:v>
                </c:pt>
                <c:pt idx="459">
                  <c:v>220</c:v>
                </c:pt>
                <c:pt idx="460">
                  <c:v>220</c:v>
                </c:pt>
                <c:pt idx="461">
                  <c:v>220</c:v>
                </c:pt>
                <c:pt idx="462">
                  <c:v>220</c:v>
                </c:pt>
                <c:pt idx="463">
                  <c:v>220</c:v>
                </c:pt>
                <c:pt idx="464">
                  <c:v>220</c:v>
                </c:pt>
                <c:pt idx="465">
                  <c:v>220</c:v>
                </c:pt>
                <c:pt idx="466">
                  <c:v>220</c:v>
                </c:pt>
                <c:pt idx="467">
                  <c:v>220</c:v>
                </c:pt>
                <c:pt idx="468">
                  <c:v>220</c:v>
                </c:pt>
                <c:pt idx="469">
                  <c:v>220</c:v>
                </c:pt>
                <c:pt idx="470">
                  <c:v>220</c:v>
                </c:pt>
                <c:pt idx="471">
                  <c:v>220</c:v>
                </c:pt>
                <c:pt idx="472">
                  <c:v>220</c:v>
                </c:pt>
                <c:pt idx="473">
                  <c:v>220</c:v>
                </c:pt>
                <c:pt idx="474">
                  <c:v>220</c:v>
                </c:pt>
                <c:pt idx="475">
                  <c:v>220</c:v>
                </c:pt>
                <c:pt idx="476">
                  <c:v>220</c:v>
                </c:pt>
                <c:pt idx="477">
                  <c:v>220</c:v>
                </c:pt>
                <c:pt idx="478">
                  <c:v>220</c:v>
                </c:pt>
                <c:pt idx="479">
                  <c:v>220</c:v>
                </c:pt>
                <c:pt idx="480">
                  <c:v>220</c:v>
                </c:pt>
                <c:pt idx="481">
                  <c:v>220</c:v>
                </c:pt>
                <c:pt idx="482">
                  <c:v>220</c:v>
                </c:pt>
                <c:pt idx="483">
                  <c:v>220</c:v>
                </c:pt>
                <c:pt idx="484">
                  <c:v>220</c:v>
                </c:pt>
                <c:pt idx="485">
                  <c:v>220</c:v>
                </c:pt>
                <c:pt idx="486">
                  <c:v>220</c:v>
                </c:pt>
                <c:pt idx="487">
                  <c:v>220</c:v>
                </c:pt>
                <c:pt idx="488">
                  <c:v>220</c:v>
                </c:pt>
                <c:pt idx="489">
                  <c:v>220</c:v>
                </c:pt>
                <c:pt idx="490">
                  <c:v>300</c:v>
                </c:pt>
                <c:pt idx="491">
                  <c:v>300</c:v>
                </c:pt>
                <c:pt idx="492">
                  <c:v>300</c:v>
                </c:pt>
                <c:pt idx="493">
                  <c:v>300</c:v>
                </c:pt>
                <c:pt idx="494">
                  <c:v>300</c:v>
                </c:pt>
                <c:pt idx="495">
                  <c:v>300</c:v>
                </c:pt>
                <c:pt idx="496">
                  <c:v>300</c:v>
                </c:pt>
                <c:pt idx="497">
                  <c:v>300</c:v>
                </c:pt>
                <c:pt idx="498">
                  <c:v>300</c:v>
                </c:pt>
                <c:pt idx="499">
                  <c:v>300</c:v>
                </c:pt>
                <c:pt idx="500">
                  <c:v>300</c:v>
                </c:pt>
                <c:pt idx="501">
                  <c:v>300</c:v>
                </c:pt>
                <c:pt idx="502">
                  <c:v>300</c:v>
                </c:pt>
                <c:pt idx="503">
                  <c:v>300</c:v>
                </c:pt>
                <c:pt idx="504">
                  <c:v>300</c:v>
                </c:pt>
                <c:pt idx="505">
                  <c:v>300</c:v>
                </c:pt>
                <c:pt idx="506">
                  <c:v>300</c:v>
                </c:pt>
                <c:pt idx="507">
                  <c:v>300</c:v>
                </c:pt>
                <c:pt idx="508">
                  <c:v>300</c:v>
                </c:pt>
                <c:pt idx="509">
                  <c:v>300</c:v>
                </c:pt>
                <c:pt idx="510">
                  <c:v>300</c:v>
                </c:pt>
                <c:pt idx="511">
                  <c:v>300</c:v>
                </c:pt>
                <c:pt idx="512">
                  <c:v>300</c:v>
                </c:pt>
                <c:pt idx="513">
                  <c:v>300</c:v>
                </c:pt>
                <c:pt idx="514">
                  <c:v>300</c:v>
                </c:pt>
                <c:pt idx="515">
                  <c:v>300</c:v>
                </c:pt>
                <c:pt idx="516">
                  <c:v>300</c:v>
                </c:pt>
                <c:pt idx="517">
                  <c:v>300</c:v>
                </c:pt>
                <c:pt idx="518">
                  <c:v>300</c:v>
                </c:pt>
                <c:pt idx="519">
                  <c:v>300</c:v>
                </c:pt>
                <c:pt idx="520">
                  <c:v>300</c:v>
                </c:pt>
                <c:pt idx="521">
                  <c:v>300</c:v>
                </c:pt>
                <c:pt idx="522">
                  <c:v>300</c:v>
                </c:pt>
                <c:pt idx="523">
                  <c:v>300</c:v>
                </c:pt>
                <c:pt idx="524">
                  <c:v>300</c:v>
                </c:pt>
                <c:pt idx="525">
                  <c:v>300</c:v>
                </c:pt>
                <c:pt idx="526">
                  <c:v>300</c:v>
                </c:pt>
                <c:pt idx="527">
                  <c:v>300</c:v>
                </c:pt>
                <c:pt idx="528">
                  <c:v>300</c:v>
                </c:pt>
                <c:pt idx="529">
                  <c:v>300</c:v>
                </c:pt>
                <c:pt idx="530">
                  <c:v>300</c:v>
                </c:pt>
                <c:pt idx="531">
                  <c:v>300</c:v>
                </c:pt>
                <c:pt idx="532">
                  <c:v>300</c:v>
                </c:pt>
                <c:pt idx="533">
                  <c:v>300</c:v>
                </c:pt>
                <c:pt idx="534">
                  <c:v>300</c:v>
                </c:pt>
                <c:pt idx="535">
                  <c:v>300</c:v>
                </c:pt>
                <c:pt idx="536">
                  <c:v>300</c:v>
                </c:pt>
                <c:pt idx="537">
                  <c:v>300</c:v>
                </c:pt>
                <c:pt idx="538">
                  <c:v>300</c:v>
                </c:pt>
                <c:pt idx="539">
                  <c:v>300</c:v>
                </c:pt>
                <c:pt idx="540">
                  <c:v>300</c:v>
                </c:pt>
                <c:pt idx="541">
                  <c:v>300</c:v>
                </c:pt>
                <c:pt idx="542">
                  <c:v>300</c:v>
                </c:pt>
                <c:pt idx="543">
                  <c:v>300</c:v>
                </c:pt>
                <c:pt idx="544">
                  <c:v>300</c:v>
                </c:pt>
                <c:pt idx="545">
                  <c:v>300</c:v>
                </c:pt>
                <c:pt idx="546">
                  <c:v>300</c:v>
                </c:pt>
                <c:pt idx="547">
                  <c:v>300</c:v>
                </c:pt>
                <c:pt idx="548">
                  <c:v>300</c:v>
                </c:pt>
                <c:pt idx="549">
                  <c:v>300</c:v>
                </c:pt>
                <c:pt idx="550">
                  <c:v>300</c:v>
                </c:pt>
                <c:pt idx="551">
                  <c:v>300</c:v>
                </c:pt>
                <c:pt idx="552">
                  <c:v>300</c:v>
                </c:pt>
                <c:pt idx="553">
                  <c:v>300</c:v>
                </c:pt>
                <c:pt idx="554">
                  <c:v>300</c:v>
                </c:pt>
                <c:pt idx="555">
                  <c:v>300</c:v>
                </c:pt>
                <c:pt idx="556">
                  <c:v>300</c:v>
                </c:pt>
                <c:pt idx="557">
                  <c:v>300</c:v>
                </c:pt>
                <c:pt idx="558">
                  <c:v>300</c:v>
                </c:pt>
                <c:pt idx="559">
                  <c:v>300</c:v>
                </c:pt>
                <c:pt idx="560">
                  <c:v>300</c:v>
                </c:pt>
                <c:pt idx="561">
                  <c:v>300</c:v>
                </c:pt>
                <c:pt idx="562">
                  <c:v>300</c:v>
                </c:pt>
                <c:pt idx="563">
                  <c:v>300</c:v>
                </c:pt>
                <c:pt idx="564">
                  <c:v>300</c:v>
                </c:pt>
                <c:pt idx="565">
                  <c:v>300</c:v>
                </c:pt>
                <c:pt idx="566">
                  <c:v>300</c:v>
                </c:pt>
                <c:pt idx="567">
                  <c:v>300</c:v>
                </c:pt>
                <c:pt idx="568">
                  <c:v>300</c:v>
                </c:pt>
                <c:pt idx="569">
                  <c:v>300</c:v>
                </c:pt>
                <c:pt idx="570">
                  <c:v>300</c:v>
                </c:pt>
                <c:pt idx="571">
                  <c:v>300</c:v>
                </c:pt>
                <c:pt idx="572">
                  <c:v>300</c:v>
                </c:pt>
                <c:pt idx="573">
                  <c:v>300</c:v>
                </c:pt>
                <c:pt idx="574">
                  <c:v>150</c:v>
                </c:pt>
                <c:pt idx="575">
                  <c:v>150</c:v>
                </c:pt>
                <c:pt idx="576">
                  <c:v>150</c:v>
                </c:pt>
                <c:pt idx="577">
                  <c:v>150</c:v>
                </c:pt>
                <c:pt idx="578">
                  <c:v>150</c:v>
                </c:pt>
                <c:pt idx="579">
                  <c:v>150</c:v>
                </c:pt>
                <c:pt idx="580">
                  <c:v>150</c:v>
                </c:pt>
                <c:pt idx="581">
                  <c:v>150</c:v>
                </c:pt>
                <c:pt idx="582">
                  <c:v>150</c:v>
                </c:pt>
                <c:pt idx="583">
                  <c:v>150</c:v>
                </c:pt>
                <c:pt idx="584">
                  <c:v>150</c:v>
                </c:pt>
                <c:pt idx="585">
                  <c:v>150</c:v>
                </c:pt>
                <c:pt idx="586">
                  <c:v>150</c:v>
                </c:pt>
                <c:pt idx="587">
                  <c:v>150</c:v>
                </c:pt>
                <c:pt idx="588">
                  <c:v>150</c:v>
                </c:pt>
                <c:pt idx="589">
                  <c:v>150</c:v>
                </c:pt>
                <c:pt idx="590">
                  <c:v>150</c:v>
                </c:pt>
                <c:pt idx="591">
                  <c:v>150</c:v>
                </c:pt>
                <c:pt idx="592">
                  <c:v>150</c:v>
                </c:pt>
                <c:pt idx="593">
                  <c:v>150</c:v>
                </c:pt>
                <c:pt idx="594">
                  <c:v>150</c:v>
                </c:pt>
                <c:pt idx="595">
                  <c:v>150</c:v>
                </c:pt>
                <c:pt idx="596">
                  <c:v>150</c:v>
                </c:pt>
                <c:pt idx="597">
                  <c:v>150</c:v>
                </c:pt>
                <c:pt idx="598">
                  <c:v>150</c:v>
                </c:pt>
                <c:pt idx="599">
                  <c:v>150</c:v>
                </c:pt>
                <c:pt idx="600">
                  <c:v>150</c:v>
                </c:pt>
                <c:pt idx="601">
                  <c:v>150</c:v>
                </c:pt>
                <c:pt idx="602">
                  <c:v>150</c:v>
                </c:pt>
                <c:pt idx="603">
                  <c:v>150</c:v>
                </c:pt>
                <c:pt idx="604">
                  <c:v>150</c:v>
                </c:pt>
                <c:pt idx="605">
                  <c:v>150</c:v>
                </c:pt>
                <c:pt idx="606">
                  <c:v>150</c:v>
                </c:pt>
                <c:pt idx="607">
                  <c:v>150</c:v>
                </c:pt>
                <c:pt idx="608">
                  <c:v>150</c:v>
                </c:pt>
                <c:pt idx="609">
                  <c:v>150</c:v>
                </c:pt>
                <c:pt idx="610">
                  <c:v>150</c:v>
                </c:pt>
                <c:pt idx="611">
                  <c:v>150</c:v>
                </c:pt>
                <c:pt idx="612">
                  <c:v>150</c:v>
                </c:pt>
                <c:pt idx="613">
                  <c:v>150</c:v>
                </c:pt>
                <c:pt idx="614">
                  <c:v>150</c:v>
                </c:pt>
                <c:pt idx="615">
                  <c:v>150</c:v>
                </c:pt>
                <c:pt idx="616">
                  <c:v>150</c:v>
                </c:pt>
                <c:pt idx="617">
                  <c:v>150</c:v>
                </c:pt>
                <c:pt idx="618">
                  <c:v>150</c:v>
                </c:pt>
                <c:pt idx="619">
                  <c:v>150</c:v>
                </c:pt>
                <c:pt idx="620">
                  <c:v>150</c:v>
                </c:pt>
                <c:pt idx="621">
                  <c:v>150</c:v>
                </c:pt>
                <c:pt idx="622">
                  <c:v>150</c:v>
                </c:pt>
                <c:pt idx="623">
                  <c:v>150</c:v>
                </c:pt>
                <c:pt idx="624">
                  <c:v>150</c:v>
                </c:pt>
                <c:pt idx="625">
                  <c:v>150</c:v>
                </c:pt>
                <c:pt idx="626">
                  <c:v>150</c:v>
                </c:pt>
                <c:pt idx="627">
                  <c:v>150</c:v>
                </c:pt>
                <c:pt idx="628">
                  <c:v>150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150</c:v>
                </c:pt>
                <c:pt idx="663">
                  <c:v>150</c:v>
                </c:pt>
                <c:pt idx="664">
                  <c:v>150</c:v>
                </c:pt>
                <c:pt idx="665">
                  <c:v>150</c:v>
                </c:pt>
                <c:pt idx="666">
                  <c:v>150</c:v>
                </c:pt>
                <c:pt idx="667">
                  <c:v>150</c:v>
                </c:pt>
                <c:pt idx="668">
                  <c:v>150</c:v>
                </c:pt>
                <c:pt idx="669">
                  <c:v>150</c:v>
                </c:pt>
                <c:pt idx="670">
                  <c:v>150</c:v>
                </c:pt>
                <c:pt idx="671">
                  <c:v>150</c:v>
                </c:pt>
                <c:pt idx="672">
                  <c:v>150</c:v>
                </c:pt>
                <c:pt idx="673">
                  <c:v>150</c:v>
                </c:pt>
                <c:pt idx="674">
                  <c:v>150</c:v>
                </c:pt>
                <c:pt idx="675">
                  <c:v>150</c:v>
                </c:pt>
                <c:pt idx="676">
                  <c:v>150</c:v>
                </c:pt>
                <c:pt idx="677">
                  <c:v>150</c:v>
                </c:pt>
                <c:pt idx="678">
                  <c:v>150</c:v>
                </c:pt>
                <c:pt idx="679">
                  <c:v>150</c:v>
                </c:pt>
                <c:pt idx="680">
                  <c:v>150</c:v>
                </c:pt>
                <c:pt idx="681">
                  <c:v>150</c:v>
                </c:pt>
                <c:pt idx="682">
                  <c:v>150</c:v>
                </c:pt>
                <c:pt idx="683">
                  <c:v>150</c:v>
                </c:pt>
                <c:pt idx="684">
                  <c:v>150</c:v>
                </c:pt>
                <c:pt idx="685">
                  <c:v>150</c:v>
                </c:pt>
                <c:pt idx="686">
                  <c:v>150</c:v>
                </c:pt>
                <c:pt idx="687">
                  <c:v>150</c:v>
                </c:pt>
                <c:pt idx="688">
                  <c:v>150</c:v>
                </c:pt>
                <c:pt idx="689">
                  <c:v>150</c:v>
                </c:pt>
                <c:pt idx="690">
                  <c:v>150</c:v>
                </c:pt>
                <c:pt idx="691">
                  <c:v>150</c:v>
                </c:pt>
                <c:pt idx="692">
                  <c:v>150</c:v>
                </c:pt>
                <c:pt idx="693">
                  <c:v>150</c:v>
                </c:pt>
                <c:pt idx="694">
                  <c:v>150</c:v>
                </c:pt>
                <c:pt idx="695">
                  <c:v>150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150</c:v>
                </c:pt>
                <c:pt idx="721">
                  <c:v>150</c:v>
                </c:pt>
                <c:pt idx="722">
                  <c:v>150</c:v>
                </c:pt>
                <c:pt idx="723">
                  <c:v>150</c:v>
                </c:pt>
                <c:pt idx="724">
                  <c:v>150</c:v>
                </c:pt>
                <c:pt idx="725">
                  <c:v>150</c:v>
                </c:pt>
                <c:pt idx="726">
                  <c:v>150</c:v>
                </c:pt>
                <c:pt idx="727">
                  <c:v>150</c:v>
                </c:pt>
                <c:pt idx="728">
                  <c:v>150</c:v>
                </c:pt>
                <c:pt idx="729">
                  <c:v>150</c:v>
                </c:pt>
                <c:pt idx="730">
                  <c:v>150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</c:numCache>
            </c:numRef>
          </c:xVal>
          <c:yVal>
            <c:numRef>
              <c:f>'Regresión lineal'!$M$2:$M$737</c:f>
              <c:numCache>
                <c:formatCode>General</c:formatCode>
                <c:ptCount val="736"/>
                <c:pt idx="0">
                  <c:v>9.9600000000000009</c:v>
                </c:pt>
                <c:pt idx="1">
                  <c:v>9.65</c:v>
                </c:pt>
                <c:pt idx="2">
                  <c:v>6.5</c:v>
                </c:pt>
                <c:pt idx="3">
                  <c:v>9.48</c:v>
                </c:pt>
                <c:pt idx="4">
                  <c:v>10.78</c:v>
                </c:pt>
                <c:pt idx="5">
                  <c:v>12.28</c:v>
                </c:pt>
                <c:pt idx="6">
                  <c:v>9.77</c:v>
                </c:pt>
                <c:pt idx="7">
                  <c:v>11.26</c:v>
                </c:pt>
                <c:pt idx="8">
                  <c:v>6.59</c:v>
                </c:pt>
                <c:pt idx="9">
                  <c:v>9.1300000000000008</c:v>
                </c:pt>
                <c:pt idx="10">
                  <c:v>6.72</c:v>
                </c:pt>
                <c:pt idx="11">
                  <c:v>7.17</c:v>
                </c:pt>
                <c:pt idx="12">
                  <c:v>6.05</c:v>
                </c:pt>
                <c:pt idx="13">
                  <c:v>6.08</c:v>
                </c:pt>
                <c:pt idx="14">
                  <c:v>8.93</c:v>
                </c:pt>
                <c:pt idx="15">
                  <c:v>9.7899999999999991</c:v>
                </c:pt>
                <c:pt idx="16">
                  <c:v>8.32</c:v>
                </c:pt>
                <c:pt idx="17">
                  <c:v>10.9</c:v>
                </c:pt>
                <c:pt idx="18">
                  <c:v>6.5</c:v>
                </c:pt>
                <c:pt idx="19">
                  <c:v>9.2200000000000006</c:v>
                </c:pt>
                <c:pt idx="20">
                  <c:v>5.91</c:v>
                </c:pt>
                <c:pt idx="21">
                  <c:v>8.77</c:v>
                </c:pt>
                <c:pt idx="22">
                  <c:v>6.5</c:v>
                </c:pt>
                <c:pt idx="23">
                  <c:v>8.67</c:v>
                </c:pt>
                <c:pt idx="24">
                  <c:v>8.2200000000000006</c:v>
                </c:pt>
                <c:pt idx="25">
                  <c:v>9.9499999999999993</c:v>
                </c:pt>
                <c:pt idx="26">
                  <c:v>5.79</c:v>
                </c:pt>
                <c:pt idx="27">
                  <c:v>9.99</c:v>
                </c:pt>
                <c:pt idx="28">
                  <c:v>5.55</c:v>
                </c:pt>
                <c:pt idx="29">
                  <c:v>7.79</c:v>
                </c:pt>
                <c:pt idx="30">
                  <c:v>8.64</c:v>
                </c:pt>
                <c:pt idx="31">
                  <c:v>9.6</c:v>
                </c:pt>
                <c:pt idx="32">
                  <c:v>8.35</c:v>
                </c:pt>
                <c:pt idx="33">
                  <c:v>13.32</c:v>
                </c:pt>
                <c:pt idx="34">
                  <c:v>12.33</c:v>
                </c:pt>
                <c:pt idx="35">
                  <c:v>8.82</c:v>
                </c:pt>
                <c:pt idx="36">
                  <c:v>12.12</c:v>
                </c:pt>
                <c:pt idx="37">
                  <c:v>9.93</c:v>
                </c:pt>
                <c:pt idx="38">
                  <c:v>8.23</c:v>
                </c:pt>
                <c:pt idx="39">
                  <c:v>10.47</c:v>
                </c:pt>
                <c:pt idx="40">
                  <c:v>11.69</c:v>
                </c:pt>
                <c:pt idx="41">
                  <c:v>13.82</c:v>
                </c:pt>
                <c:pt idx="42">
                  <c:v>13.32</c:v>
                </c:pt>
                <c:pt idx="43">
                  <c:v>9.9600000000000009</c:v>
                </c:pt>
                <c:pt idx="44">
                  <c:v>10.33</c:v>
                </c:pt>
                <c:pt idx="45">
                  <c:v>5.59</c:v>
                </c:pt>
                <c:pt idx="46">
                  <c:v>9.93</c:v>
                </c:pt>
                <c:pt idx="47">
                  <c:v>10.97</c:v>
                </c:pt>
                <c:pt idx="48">
                  <c:v>7.85</c:v>
                </c:pt>
                <c:pt idx="49">
                  <c:v>12.53</c:v>
                </c:pt>
                <c:pt idx="50">
                  <c:v>12.09</c:v>
                </c:pt>
                <c:pt idx="51">
                  <c:v>7.49</c:v>
                </c:pt>
                <c:pt idx="52">
                  <c:v>10.56</c:v>
                </c:pt>
                <c:pt idx="53">
                  <c:v>11.52</c:v>
                </c:pt>
                <c:pt idx="54">
                  <c:v>8.1999999999999993</c:v>
                </c:pt>
                <c:pt idx="55">
                  <c:v>5.5</c:v>
                </c:pt>
                <c:pt idx="56">
                  <c:v>12.6</c:v>
                </c:pt>
                <c:pt idx="57">
                  <c:v>9.4</c:v>
                </c:pt>
                <c:pt idx="58">
                  <c:v>12</c:v>
                </c:pt>
                <c:pt idx="59">
                  <c:v>10</c:v>
                </c:pt>
                <c:pt idx="60">
                  <c:v>9.3000000000000007</c:v>
                </c:pt>
                <c:pt idx="61">
                  <c:v>4.5</c:v>
                </c:pt>
                <c:pt idx="62">
                  <c:v>5.5</c:v>
                </c:pt>
                <c:pt idx="63">
                  <c:v>10</c:v>
                </c:pt>
                <c:pt idx="64">
                  <c:v>10.199999999999999</c:v>
                </c:pt>
                <c:pt idx="65">
                  <c:v>9.6999999999999993</c:v>
                </c:pt>
                <c:pt idx="66">
                  <c:v>9.8000000000000007</c:v>
                </c:pt>
                <c:pt idx="67">
                  <c:v>7.7</c:v>
                </c:pt>
                <c:pt idx="68">
                  <c:v>12</c:v>
                </c:pt>
                <c:pt idx="69">
                  <c:v>5.8</c:v>
                </c:pt>
                <c:pt idx="70">
                  <c:v>13</c:v>
                </c:pt>
                <c:pt idx="71">
                  <c:v>12</c:v>
                </c:pt>
                <c:pt idx="72">
                  <c:v>9</c:v>
                </c:pt>
                <c:pt idx="73">
                  <c:v>10.199999999999999</c:v>
                </c:pt>
                <c:pt idx="74">
                  <c:v>9</c:v>
                </c:pt>
                <c:pt idx="75">
                  <c:v>5.5</c:v>
                </c:pt>
                <c:pt idx="76">
                  <c:v>5.5</c:v>
                </c:pt>
                <c:pt idx="77">
                  <c:v>12.6</c:v>
                </c:pt>
                <c:pt idx="78">
                  <c:v>10</c:v>
                </c:pt>
                <c:pt idx="79">
                  <c:v>11.4</c:v>
                </c:pt>
                <c:pt idx="80">
                  <c:v>10</c:v>
                </c:pt>
                <c:pt idx="81">
                  <c:v>10.5</c:v>
                </c:pt>
                <c:pt idx="82">
                  <c:v>11.1</c:v>
                </c:pt>
                <c:pt idx="83">
                  <c:v>13.2</c:v>
                </c:pt>
                <c:pt idx="84">
                  <c:v>10.8</c:v>
                </c:pt>
                <c:pt idx="85">
                  <c:v>10.7</c:v>
                </c:pt>
                <c:pt idx="86">
                  <c:v>4.3</c:v>
                </c:pt>
                <c:pt idx="87">
                  <c:v>11.3</c:v>
                </c:pt>
                <c:pt idx="88">
                  <c:v>10.8</c:v>
                </c:pt>
                <c:pt idx="89">
                  <c:v>16</c:v>
                </c:pt>
                <c:pt idx="90">
                  <c:v>6</c:v>
                </c:pt>
                <c:pt idx="91">
                  <c:v>12.8</c:v>
                </c:pt>
                <c:pt idx="92">
                  <c:v>14.8</c:v>
                </c:pt>
                <c:pt idx="93">
                  <c:v>14.1</c:v>
                </c:pt>
                <c:pt idx="94">
                  <c:v>16</c:v>
                </c:pt>
                <c:pt idx="95">
                  <c:v>13.8</c:v>
                </c:pt>
                <c:pt idx="96">
                  <c:v>4.3</c:v>
                </c:pt>
                <c:pt idx="97">
                  <c:v>13.4</c:v>
                </c:pt>
                <c:pt idx="98">
                  <c:v>7.4</c:v>
                </c:pt>
                <c:pt idx="99">
                  <c:v>13.3</c:v>
                </c:pt>
                <c:pt idx="100">
                  <c:v>9.6999999999999993</c:v>
                </c:pt>
                <c:pt idx="101">
                  <c:v>9.4</c:v>
                </c:pt>
                <c:pt idx="102">
                  <c:v>10</c:v>
                </c:pt>
                <c:pt idx="103">
                  <c:v>11</c:v>
                </c:pt>
                <c:pt idx="104">
                  <c:v>12.6</c:v>
                </c:pt>
                <c:pt idx="105">
                  <c:v>16</c:v>
                </c:pt>
                <c:pt idx="106">
                  <c:v>15.3</c:v>
                </c:pt>
                <c:pt idx="107">
                  <c:v>12.6</c:v>
                </c:pt>
                <c:pt idx="108">
                  <c:v>4.4000000000000004</c:v>
                </c:pt>
                <c:pt idx="109">
                  <c:v>6.4</c:v>
                </c:pt>
                <c:pt idx="110">
                  <c:v>8</c:v>
                </c:pt>
                <c:pt idx="111">
                  <c:v>14.6</c:v>
                </c:pt>
                <c:pt idx="112">
                  <c:v>15.4</c:v>
                </c:pt>
                <c:pt idx="113">
                  <c:v>7.5</c:v>
                </c:pt>
                <c:pt idx="114">
                  <c:v>14.4</c:v>
                </c:pt>
                <c:pt idx="115">
                  <c:v>16.600000000000001</c:v>
                </c:pt>
                <c:pt idx="116">
                  <c:v>14.1</c:v>
                </c:pt>
                <c:pt idx="117">
                  <c:v>14</c:v>
                </c:pt>
                <c:pt idx="118">
                  <c:v>5.2</c:v>
                </c:pt>
                <c:pt idx="119">
                  <c:v>7.8</c:v>
                </c:pt>
                <c:pt idx="120">
                  <c:v>12.3</c:v>
                </c:pt>
                <c:pt idx="121">
                  <c:v>6.9</c:v>
                </c:pt>
                <c:pt idx="122">
                  <c:v>4</c:v>
                </c:pt>
                <c:pt idx="123">
                  <c:v>10.8</c:v>
                </c:pt>
                <c:pt idx="124">
                  <c:v>10.6</c:v>
                </c:pt>
                <c:pt idx="125">
                  <c:v>7</c:v>
                </c:pt>
                <c:pt idx="126">
                  <c:v>9</c:v>
                </c:pt>
                <c:pt idx="127">
                  <c:v>13.2</c:v>
                </c:pt>
                <c:pt idx="128">
                  <c:v>13.5</c:v>
                </c:pt>
                <c:pt idx="129">
                  <c:v>12.7</c:v>
                </c:pt>
                <c:pt idx="130">
                  <c:v>12.2</c:v>
                </c:pt>
                <c:pt idx="131">
                  <c:v>12.7</c:v>
                </c:pt>
                <c:pt idx="132">
                  <c:v>5.3</c:v>
                </c:pt>
                <c:pt idx="133">
                  <c:v>10.1</c:v>
                </c:pt>
                <c:pt idx="134">
                  <c:v>12.3</c:v>
                </c:pt>
                <c:pt idx="135">
                  <c:v>13.5</c:v>
                </c:pt>
                <c:pt idx="136">
                  <c:v>13.3</c:v>
                </c:pt>
                <c:pt idx="137">
                  <c:v>7.6</c:v>
                </c:pt>
                <c:pt idx="138">
                  <c:v>10.3</c:v>
                </c:pt>
                <c:pt idx="139">
                  <c:v>13.8</c:v>
                </c:pt>
                <c:pt idx="140">
                  <c:v>12.1</c:v>
                </c:pt>
                <c:pt idx="141">
                  <c:v>12.4</c:v>
                </c:pt>
                <c:pt idx="142">
                  <c:v>4.4000000000000004</c:v>
                </c:pt>
                <c:pt idx="143">
                  <c:v>6.8</c:v>
                </c:pt>
                <c:pt idx="144">
                  <c:v>13.6</c:v>
                </c:pt>
                <c:pt idx="145">
                  <c:v>6.3</c:v>
                </c:pt>
                <c:pt idx="146">
                  <c:v>3.2</c:v>
                </c:pt>
                <c:pt idx="147">
                  <c:v>4.1100000000000003</c:v>
                </c:pt>
                <c:pt idx="148">
                  <c:v>6.68</c:v>
                </c:pt>
                <c:pt idx="149">
                  <c:v>3.05</c:v>
                </c:pt>
                <c:pt idx="150">
                  <c:v>4.07</c:v>
                </c:pt>
                <c:pt idx="151">
                  <c:v>5.39</c:v>
                </c:pt>
                <c:pt idx="152">
                  <c:v>5.39</c:v>
                </c:pt>
                <c:pt idx="153">
                  <c:v>5.07</c:v>
                </c:pt>
                <c:pt idx="154">
                  <c:v>4.3</c:v>
                </c:pt>
                <c:pt idx="155">
                  <c:v>7.37</c:v>
                </c:pt>
                <c:pt idx="156">
                  <c:v>3.91</c:v>
                </c:pt>
                <c:pt idx="157">
                  <c:v>9.26</c:v>
                </c:pt>
                <c:pt idx="158">
                  <c:v>5.0199999999999996</c:v>
                </c:pt>
                <c:pt idx="159">
                  <c:v>5.86</c:v>
                </c:pt>
                <c:pt idx="160">
                  <c:v>4.88</c:v>
                </c:pt>
                <c:pt idx="161">
                  <c:v>9.39</c:v>
                </c:pt>
                <c:pt idx="162">
                  <c:v>3.72</c:v>
                </c:pt>
                <c:pt idx="163">
                  <c:v>6.48</c:v>
                </c:pt>
                <c:pt idx="164">
                  <c:v>4.8499999999999996</c:v>
                </c:pt>
                <c:pt idx="165">
                  <c:v>2.17</c:v>
                </c:pt>
                <c:pt idx="166">
                  <c:v>4.62</c:v>
                </c:pt>
                <c:pt idx="167">
                  <c:v>7.83</c:v>
                </c:pt>
                <c:pt idx="168">
                  <c:v>3.98</c:v>
                </c:pt>
                <c:pt idx="169">
                  <c:v>2.92</c:v>
                </c:pt>
                <c:pt idx="170">
                  <c:v>5.89</c:v>
                </c:pt>
                <c:pt idx="171">
                  <c:v>4.66</c:v>
                </c:pt>
                <c:pt idx="172">
                  <c:v>6.25</c:v>
                </c:pt>
                <c:pt idx="173">
                  <c:v>10.119999999999999</c:v>
                </c:pt>
                <c:pt idx="174">
                  <c:v>6.83</c:v>
                </c:pt>
                <c:pt idx="175">
                  <c:v>9.99</c:v>
                </c:pt>
                <c:pt idx="176">
                  <c:v>3.77</c:v>
                </c:pt>
                <c:pt idx="177">
                  <c:v>2.9</c:v>
                </c:pt>
                <c:pt idx="178">
                  <c:v>8.94</c:v>
                </c:pt>
                <c:pt idx="179">
                  <c:v>8.2100000000000009</c:v>
                </c:pt>
                <c:pt idx="180">
                  <c:v>4.03</c:v>
                </c:pt>
                <c:pt idx="181">
                  <c:v>7.77</c:v>
                </c:pt>
                <c:pt idx="182">
                  <c:v>6.42</c:v>
                </c:pt>
                <c:pt idx="183">
                  <c:v>6.7</c:v>
                </c:pt>
                <c:pt idx="184">
                  <c:v>8.3699999999999992</c:v>
                </c:pt>
                <c:pt idx="185">
                  <c:v>4.2699999999999996</c:v>
                </c:pt>
                <c:pt idx="186">
                  <c:v>3.08</c:v>
                </c:pt>
                <c:pt idx="187">
                  <c:v>5.74</c:v>
                </c:pt>
                <c:pt idx="188">
                  <c:v>3.64</c:v>
                </c:pt>
                <c:pt idx="189">
                  <c:v>5.48</c:v>
                </c:pt>
                <c:pt idx="190">
                  <c:v>4.1100000000000003</c:v>
                </c:pt>
                <c:pt idx="191">
                  <c:v>6.68</c:v>
                </c:pt>
                <c:pt idx="192">
                  <c:v>4.1100000000000003</c:v>
                </c:pt>
                <c:pt idx="193">
                  <c:v>2.67</c:v>
                </c:pt>
                <c:pt idx="194">
                  <c:v>7.45</c:v>
                </c:pt>
                <c:pt idx="195">
                  <c:v>9.93</c:v>
                </c:pt>
                <c:pt idx="196">
                  <c:v>7.84</c:v>
                </c:pt>
                <c:pt idx="197">
                  <c:v>4.7300000000000004</c:v>
                </c:pt>
                <c:pt idx="198">
                  <c:v>8.41</c:v>
                </c:pt>
                <c:pt idx="199">
                  <c:v>8.81</c:v>
                </c:pt>
                <c:pt idx="200">
                  <c:v>5.99</c:v>
                </c:pt>
                <c:pt idx="201">
                  <c:v>0</c:v>
                </c:pt>
                <c:pt idx="202">
                  <c:v>8</c:v>
                </c:pt>
                <c:pt idx="203">
                  <c:v>3.56</c:v>
                </c:pt>
                <c:pt idx="204">
                  <c:v>5.62</c:v>
                </c:pt>
                <c:pt idx="205">
                  <c:v>5.86</c:v>
                </c:pt>
                <c:pt idx="206">
                  <c:v>5.16</c:v>
                </c:pt>
                <c:pt idx="207">
                  <c:v>4.88</c:v>
                </c:pt>
                <c:pt idx="208">
                  <c:v>4.49</c:v>
                </c:pt>
                <c:pt idx="209">
                  <c:v>5.74</c:v>
                </c:pt>
                <c:pt idx="210">
                  <c:v>4.68</c:v>
                </c:pt>
                <c:pt idx="211">
                  <c:v>10.3</c:v>
                </c:pt>
                <c:pt idx="212">
                  <c:v>8.4</c:v>
                </c:pt>
                <c:pt idx="213">
                  <c:v>11.1</c:v>
                </c:pt>
                <c:pt idx="214">
                  <c:v>9.5</c:v>
                </c:pt>
                <c:pt idx="215">
                  <c:v>6.6</c:v>
                </c:pt>
                <c:pt idx="216">
                  <c:v>10</c:v>
                </c:pt>
                <c:pt idx="217">
                  <c:v>8.8000000000000007</c:v>
                </c:pt>
                <c:pt idx="218">
                  <c:v>9.9</c:v>
                </c:pt>
                <c:pt idx="219">
                  <c:v>9.1</c:v>
                </c:pt>
                <c:pt idx="220">
                  <c:v>11.8</c:v>
                </c:pt>
                <c:pt idx="221">
                  <c:v>8.9</c:v>
                </c:pt>
                <c:pt idx="222">
                  <c:v>8.9</c:v>
                </c:pt>
                <c:pt idx="223">
                  <c:v>12.3</c:v>
                </c:pt>
                <c:pt idx="224">
                  <c:v>11.8</c:v>
                </c:pt>
                <c:pt idx="225">
                  <c:v>8.6999999999999993</c:v>
                </c:pt>
                <c:pt idx="226">
                  <c:v>10</c:v>
                </c:pt>
                <c:pt idx="227">
                  <c:v>12.2</c:v>
                </c:pt>
                <c:pt idx="228">
                  <c:v>13</c:v>
                </c:pt>
                <c:pt idx="229">
                  <c:v>9.6</c:v>
                </c:pt>
                <c:pt idx="230">
                  <c:v>12.9</c:v>
                </c:pt>
                <c:pt idx="231">
                  <c:v>5.3</c:v>
                </c:pt>
                <c:pt idx="232">
                  <c:v>7</c:v>
                </c:pt>
                <c:pt idx="233">
                  <c:v>5.7</c:v>
                </c:pt>
                <c:pt idx="234">
                  <c:v>4.9000000000000004</c:v>
                </c:pt>
                <c:pt idx="235">
                  <c:v>6.8</c:v>
                </c:pt>
                <c:pt idx="236">
                  <c:v>5.6</c:v>
                </c:pt>
                <c:pt idx="237">
                  <c:v>6.6</c:v>
                </c:pt>
                <c:pt idx="238">
                  <c:v>5.4</c:v>
                </c:pt>
                <c:pt idx="239">
                  <c:v>5.6</c:v>
                </c:pt>
                <c:pt idx="240">
                  <c:v>10.3</c:v>
                </c:pt>
                <c:pt idx="241">
                  <c:v>15.8</c:v>
                </c:pt>
                <c:pt idx="242">
                  <c:v>11.6</c:v>
                </c:pt>
                <c:pt idx="243">
                  <c:v>11.1</c:v>
                </c:pt>
                <c:pt idx="244">
                  <c:v>12.1</c:v>
                </c:pt>
                <c:pt idx="245">
                  <c:v>8.6</c:v>
                </c:pt>
                <c:pt idx="246">
                  <c:v>5.8</c:v>
                </c:pt>
                <c:pt idx="247">
                  <c:v>12.3</c:v>
                </c:pt>
                <c:pt idx="248">
                  <c:v>12.1</c:v>
                </c:pt>
                <c:pt idx="249">
                  <c:v>3.4</c:v>
                </c:pt>
                <c:pt idx="250">
                  <c:v>12.7</c:v>
                </c:pt>
                <c:pt idx="251">
                  <c:v>9.8000000000000007</c:v>
                </c:pt>
                <c:pt idx="252">
                  <c:v>10.4</c:v>
                </c:pt>
                <c:pt idx="253">
                  <c:v>10.199999999999999</c:v>
                </c:pt>
                <c:pt idx="254">
                  <c:v>10</c:v>
                </c:pt>
                <c:pt idx="255">
                  <c:v>5.9</c:v>
                </c:pt>
                <c:pt idx="256">
                  <c:v>13</c:v>
                </c:pt>
                <c:pt idx="257">
                  <c:v>5.6</c:v>
                </c:pt>
                <c:pt idx="258">
                  <c:v>6.1</c:v>
                </c:pt>
                <c:pt idx="259">
                  <c:v>2.9</c:v>
                </c:pt>
                <c:pt idx="260">
                  <c:v>6</c:v>
                </c:pt>
                <c:pt idx="261">
                  <c:v>1.8</c:v>
                </c:pt>
                <c:pt idx="262">
                  <c:v>3.2</c:v>
                </c:pt>
                <c:pt idx="263">
                  <c:v>2.7</c:v>
                </c:pt>
                <c:pt idx="264">
                  <c:v>8.5</c:v>
                </c:pt>
                <c:pt idx="265">
                  <c:v>8.1</c:v>
                </c:pt>
                <c:pt idx="266">
                  <c:v>5.6</c:v>
                </c:pt>
                <c:pt idx="267">
                  <c:v>9.5</c:v>
                </c:pt>
                <c:pt idx="268">
                  <c:v>7.3</c:v>
                </c:pt>
                <c:pt idx="269">
                  <c:v>9.6</c:v>
                </c:pt>
                <c:pt idx="270">
                  <c:v>9.4</c:v>
                </c:pt>
                <c:pt idx="271">
                  <c:v>2.9</c:v>
                </c:pt>
                <c:pt idx="272">
                  <c:v>5.6</c:v>
                </c:pt>
                <c:pt idx="273">
                  <c:v>7.5</c:v>
                </c:pt>
                <c:pt idx="274">
                  <c:v>3.2</c:v>
                </c:pt>
                <c:pt idx="275">
                  <c:v>7.3</c:v>
                </c:pt>
                <c:pt idx="276">
                  <c:v>8.1999999999999993</c:v>
                </c:pt>
                <c:pt idx="277">
                  <c:v>7.1</c:v>
                </c:pt>
                <c:pt idx="278">
                  <c:v>9</c:v>
                </c:pt>
                <c:pt idx="279">
                  <c:v>2.8</c:v>
                </c:pt>
                <c:pt idx="280">
                  <c:v>7</c:v>
                </c:pt>
                <c:pt idx="281">
                  <c:v>7.4</c:v>
                </c:pt>
                <c:pt idx="282">
                  <c:v>5.3</c:v>
                </c:pt>
                <c:pt idx="283">
                  <c:v>1.8</c:v>
                </c:pt>
                <c:pt idx="284">
                  <c:v>3.63</c:v>
                </c:pt>
                <c:pt idx="285">
                  <c:v>3.2</c:v>
                </c:pt>
                <c:pt idx="286">
                  <c:v>4.34</c:v>
                </c:pt>
                <c:pt idx="287">
                  <c:v>5.01</c:v>
                </c:pt>
                <c:pt idx="288">
                  <c:v>12.21</c:v>
                </c:pt>
                <c:pt idx="289">
                  <c:v>12.82</c:v>
                </c:pt>
                <c:pt idx="290">
                  <c:v>2.4300000000000002</c:v>
                </c:pt>
                <c:pt idx="291">
                  <c:v>5.23</c:v>
                </c:pt>
                <c:pt idx="292">
                  <c:v>8.7200000000000006</c:v>
                </c:pt>
                <c:pt idx="293">
                  <c:v>8.1</c:v>
                </c:pt>
                <c:pt idx="294">
                  <c:v>3.74</c:v>
                </c:pt>
                <c:pt idx="295">
                  <c:v>8.01</c:v>
                </c:pt>
                <c:pt idx="296">
                  <c:v>3.3</c:v>
                </c:pt>
                <c:pt idx="297">
                  <c:v>8.0399999999999991</c:v>
                </c:pt>
                <c:pt idx="298">
                  <c:v>7.14</c:v>
                </c:pt>
                <c:pt idx="299">
                  <c:v>3.43</c:v>
                </c:pt>
                <c:pt idx="300">
                  <c:v>3.38</c:v>
                </c:pt>
                <c:pt idx="301">
                  <c:v>8.08</c:v>
                </c:pt>
                <c:pt idx="302">
                  <c:v>5.19</c:v>
                </c:pt>
                <c:pt idx="303">
                  <c:v>6.81</c:v>
                </c:pt>
                <c:pt idx="304">
                  <c:v>3.43</c:v>
                </c:pt>
                <c:pt idx="305">
                  <c:v>2.63</c:v>
                </c:pt>
                <c:pt idx="306">
                  <c:v>4.8899999999999997</c:v>
                </c:pt>
                <c:pt idx="307">
                  <c:v>8.9499999999999993</c:v>
                </c:pt>
                <c:pt idx="308">
                  <c:v>4.9800000000000004</c:v>
                </c:pt>
                <c:pt idx="309">
                  <c:v>15.38</c:v>
                </c:pt>
                <c:pt idx="310">
                  <c:v>9.9700000000000006</c:v>
                </c:pt>
                <c:pt idx="311">
                  <c:v>4.3600000000000003</c:v>
                </c:pt>
                <c:pt idx="312">
                  <c:v>14.08</c:v>
                </c:pt>
                <c:pt idx="313">
                  <c:v>6.45</c:v>
                </c:pt>
                <c:pt idx="314">
                  <c:v>2.34</c:v>
                </c:pt>
                <c:pt idx="315">
                  <c:v>5.32</c:v>
                </c:pt>
                <c:pt idx="316">
                  <c:v>3.85</c:v>
                </c:pt>
                <c:pt idx="317">
                  <c:v>8.08</c:v>
                </c:pt>
                <c:pt idx="318">
                  <c:v>6.24</c:v>
                </c:pt>
                <c:pt idx="319">
                  <c:v>1.75</c:v>
                </c:pt>
                <c:pt idx="320">
                  <c:v>11.62</c:v>
                </c:pt>
                <c:pt idx="321">
                  <c:v>6.97</c:v>
                </c:pt>
                <c:pt idx="322">
                  <c:v>11.77</c:v>
                </c:pt>
                <c:pt idx="323">
                  <c:v>8.24</c:v>
                </c:pt>
                <c:pt idx="324">
                  <c:v>8.24</c:v>
                </c:pt>
                <c:pt idx="325">
                  <c:v>13.5</c:v>
                </c:pt>
                <c:pt idx="326">
                  <c:v>14.08</c:v>
                </c:pt>
                <c:pt idx="327">
                  <c:v>4.13</c:v>
                </c:pt>
                <c:pt idx="328">
                  <c:v>6.06</c:v>
                </c:pt>
                <c:pt idx="329">
                  <c:v>17.899999999999999</c:v>
                </c:pt>
                <c:pt idx="330">
                  <c:v>14.6</c:v>
                </c:pt>
                <c:pt idx="331">
                  <c:v>14.14</c:v>
                </c:pt>
                <c:pt idx="332">
                  <c:v>15.64</c:v>
                </c:pt>
                <c:pt idx="333">
                  <c:v>16.600000000000001</c:v>
                </c:pt>
                <c:pt idx="334">
                  <c:v>9.92</c:v>
                </c:pt>
                <c:pt idx="335">
                  <c:v>11.8</c:v>
                </c:pt>
                <c:pt idx="336">
                  <c:v>10.23</c:v>
                </c:pt>
                <c:pt idx="337">
                  <c:v>16.71</c:v>
                </c:pt>
                <c:pt idx="338">
                  <c:v>10.66</c:v>
                </c:pt>
                <c:pt idx="339">
                  <c:v>12.2</c:v>
                </c:pt>
                <c:pt idx="340">
                  <c:v>17.3</c:v>
                </c:pt>
                <c:pt idx="341">
                  <c:v>17.420000000000002</c:v>
                </c:pt>
                <c:pt idx="342">
                  <c:v>3.34</c:v>
                </c:pt>
                <c:pt idx="343">
                  <c:v>17.43</c:v>
                </c:pt>
                <c:pt idx="344">
                  <c:v>9.4</c:v>
                </c:pt>
                <c:pt idx="345">
                  <c:v>20.52</c:v>
                </c:pt>
                <c:pt idx="346">
                  <c:v>15.54</c:v>
                </c:pt>
                <c:pt idx="347">
                  <c:v>14.75</c:v>
                </c:pt>
                <c:pt idx="348">
                  <c:v>19.690000000000001</c:v>
                </c:pt>
                <c:pt idx="349">
                  <c:v>16.11</c:v>
                </c:pt>
                <c:pt idx="350">
                  <c:v>19.09</c:v>
                </c:pt>
                <c:pt idx="351">
                  <c:v>11.87</c:v>
                </c:pt>
                <c:pt idx="352">
                  <c:v>12.61</c:v>
                </c:pt>
                <c:pt idx="353">
                  <c:v>16.760000000000002</c:v>
                </c:pt>
                <c:pt idx="354">
                  <c:v>15.82</c:v>
                </c:pt>
                <c:pt idx="355">
                  <c:v>19.260000000000002</c:v>
                </c:pt>
                <c:pt idx="356">
                  <c:v>15.41</c:v>
                </c:pt>
                <c:pt idx="357">
                  <c:v>19.899999999999999</c:v>
                </c:pt>
                <c:pt idx="358">
                  <c:v>16.52</c:v>
                </c:pt>
                <c:pt idx="359">
                  <c:v>20.14</c:v>
                </c:pt>
                <c:pt idx="360">
                  <c:v>14.67</c:v>
                </c:pt>
                <c:pt idx="361">
                  <c:v>17.739999999999998</c:v>
                </c:pt>
                <c:pt idx="362">
                  <c:v>15.98</c:v>
                </c:pt>
                <c:pt idx="363">
                  <c:v>21.06</c:v>
                </c:pt>
                <c:pt idx="364">
                  <c:v>6.03</c:v>
                </c:pt>
                <c:pt idx="365">
                  <c:v>18.88</c:v>
                </c:pt>
                <c:pt idx="366">
                  <c:v>10.53</c:v>
                </c:pt>
                <c:pt idx="367">
                  <c:v>20.329999999999998</c:v>
                </c:pt>
                <c:pt idx="368">
                  <c:v>14.18</c:v>
                </c:pt>
                <c:pt idx="369">
                  <c:v>8.26</c:v>
                </c:pt>
                <c:pt idx="370">
                  <c:v>15.56</c:v>
                </c:pt>
                <c:pt idx="371">
                  <c:v>14.6</c:v>
                </c:pt>
                <c:pt idx="372">
                  <c:v>14.75</c:v>
                </c:pt>
                <c:pt idx="373">
                  <c:v>12.87</c:v>
                </c:pt>
                <c:pt idx="374">
                  <c:v>18.75</c:v>
                </c:pt>
                <c:pt idx="375">
                  <c:v>18.55</c:v>
                </c:pt>
                <c:pt idx="376">
                  <c:v>17.329999999999998</c:v>
                </c:pt>
                <c:pt idx="377">
                  <c:v>15.41</c:v>
                </c:pt>
                <c:pt idx="378">
                  <c:v>13.38</c:v>
                </c:pt>
                <c:pt idx="379">
                  <c:v>19.34</c:v>
                </c:pt>
                <c:pt idx="380">
                  <c:v>16.37</c:v>
                </c:pt>
                <c:pt idx="381">
                  <c:v>17.899999999999999</c:v>
                </c:pt>
                <c:pt idx="382">
                  <c:v>18.59</c:v>
                </c:pt>
                <c:pt idx="383">
                  <c:v>18.45</c:v>
                </c:pt>
                <c:pt idx="384">
                  <c:v>4.82</c:v>
                </c:pt>
                <c:pt idx="385">
                  <c:v>9.0500000000000007</c:v>
                </c:pt>
                <c:pt idx="386">
                  <c:v>21.79</c:v>
                </c:pt>
                <c:pt idx="387">
                  <c:v>20.11</c:v>
                </c:pt>
                <c:pt idx="388">
                  <c:v>12.44</c:v>
                </c:pt>
                <c:pt idx="389">
                  <c:v>11.21</c:v>
                </c:pt>
                <c:pt idx="390">
                  <c:v>7.19</c:v>
                </c:pt>
                <c:pt idx="391">
                  <c:v>4.43</c:v>
                </c:pt>
                <c:pt idx="392">
                  <c:v>6.56</c:v>
                </c:pt>
                <c:pt idx="393">
                  <c:v>11.67</c:v>
                </c:pt>
                <c:pt idx="394">
                  <c:v>7.05</c:v>
                </c:pt>
                <c:pt idx="395">
                  <c:v>5.9</c:v>
                </c:pt>
                <c:pt idx="396">
                  <c:v>14.23</c:v>
                </c:pt>
                <c:pt idx="397">
                  <c:v>7.81</c:v>
                </c:pt>
                <c:pt idx="398">
                  <c:v>4.4400000000000004</c:v>
                </c:pt>
                <c:pt idx="399">
                  <c:v>11.04</c:v>
                </c:pt>
                <c:pt idx="400">
                  <c:v>8.81</c:v>
                </c:pt>
                <c:pt idx="401">
                  <c:v>7.21</c:v>
                </c:pt>
                <c:pt idx="402">
                  <c:v>4.6100000000000003</c:v>
                </c:pt>
                <c:pt idx="403">
                  <c:v>9.81</c:v>
                </c:pt>
                <c:pt idx="404">
                  <c:v>9.9</c:v>
                </c:pt>
                <c:pt idx="405">
                  <c:v>11.82</c:v>
                </c:pt>
                <c:pt idx="406">
                  <c:v>8.66</c:v>
                </c:pt>
                <c:pt idx="407">
                  <c:v>6.79</c:v>
                </c:pt>
                <c:pt idx="408">
                  <c:v>10.34</c:v>
                </c:pt>
                <c:pt idx="409">
                  <c:v>8.01</c:v>
                </c:pt>
                <c:pt idx="410">
                  <c:v>8.57</c:v>
                </c:pt>
                <c:pt idx="411">
                  <c:v>4.93</c:v>
                </c:pt>
                <c:pt idx="412">
                  <c:v>10.98</c:v>
                </c:pt>
                <c:pt idx="413">
                  <c:v>7.91</c:v>
                </c:pt>
                <c:pt idx="414">
                  <c:v>1.53</c:v>
                </c:pt>
                <c:pt idx="415">
                  <c:v>2.96</c:v>
                </c:pt>
                <c:pt idx="416">
                  <c:v>8.42</c:v>
                </c:pt>
                <c:pt idx="417">
                  <c:v>4.3600000000000003</c:v>
                </c:pt>
                <c:pt idx="418">
                  <c:v>6.83</c:v>
                </c:pt>
                <c:pt idx="419">
                  <c:v>10.67</c:v>
                </c:pt>
                <c:pt idx="420">
                  <c:v>11.49</c:v>
                </c:pt>
                <c:pt idx="421">
                  <c:v>7.46</c:v>
                </c:pt>
                <c:pt idx="422">
                  <c:v>5.61</c:v>
                </c:pt>
                <c:pt idx="423">
                  <c:v>9.67</c:v>
                </c:pt>
                <c:pt idx="424">
                  <c:v>5.17</c:v>
                </c:pt>
                <c:pt idx="425">
                  <c:v>13.29</c:v>
                </c:pt>
                <c:pt idx="426">
                  <c:v>2.89</c:v>
                </c:pt>
                <c:pt idx="427">
                  <c:v>5.91</c:v>
                </c:pt>
                <c:pt idx="428">
                  <c:v>14.19</c:v>
                </c:pt>
                <c:pt idx="429">
                  <c:v>7.02</c:v>
                </c:pt>
                <c:pt idx="430">
                  <c:v>2.82</c:v>
                </c:pt>
                <c:pt idx="431">
                  <c:v>3.1</c:v>
                </c:pt>
                <c:pt idx="432">
                  <c:v>14.1</c:v>
                </c:pt>
                <c:pt idx="433">
                  <c:v>7.27</c:v>
                </c:pt>
                <c:pt idx="434">
                  <c:v>3.68</c:v>
                </c:pt>
                <c:pt idx="435">
                  <c:v>7.99</c:v>
                </c:pt>
                <c:pt idx="436">
                  <c:v>4.5999999999999996</c:v>
                </c:pt>
                <c:pt idx="437">
                  <c:v>9.8699999999999992</c:v>
                </c:pt>
                <c:pt idx="438">
                  <c:v>8.67</c:v>
                </c:pt>
                <c:pt idx="439">
                  <c:v>11.02</c:v>
                </c:pt>
                <c:pt idx="440">
                  <c:v>8.85</c:v>
                </c:pt>
                <c:pt idx="441">
                  <c:v>8.83</c:v>
                </c:pt>
                <c:pt idx="442">
                  <c:v>6.24</c:v>
                </c:pt>
                <c:pt idx="443">
                  <c:v>7.67</c:v>
                </c:pt>
                <c:pt idx="444">
                  <c:v>8.74</c:v>
                </c:pt>
                <c:pt idx="445">
                  <c:v>9.6199999999999992</c:v>
                </c:pt>
                <c:pt idx="446">
                  <c:v>7.64</c:v>
                </c:pt>
                <c:pt idx="447">
                  <c:v>7.8</c:v>
                </c:pt>
                <c:pt idx="448">
                  <c:v>8.2100000000000009</c:v>
                </c:pt>
                <c:pt idx="449">
                  <c:v>5.24</c:v>
                </c:pt>
                <c:pt idx="450">
                  <c:v>7.25</c:v>
                </c:pt>
                <c:pt idx="451">
                  <c:v>11.37</c:v>
                </c:pt>
                <c:pt idx="452">
                  <c:v>5.08</c:v>
                </c:pt>
                <c:pt idx="453">
                  <c:v>9.59</c:v>
                </c:pt>
                <c:pt idx="454">
                  <c:v>10.49</c:v>
                </c:pt>
                <c:pt idx="455">
                  <c:v>7.08</c:v>
                </c:pt>
                <c:pt idx="456">
                  <c:v>9.9</c:v>
                </c:pt>
                <c:pt idx="457">
                  <c:v>9.23</c:v>
                </c:pt>
                <c:pt idx="458">
                  <c:v>8.52</c:v>
                </c:pt>
                <c:pt idx="459">
                  <c:v>5.35</c:v>
                </c:pt>
                <c:pt idx="460">
                  <c:v>5.2</c:v>
                </c:pt>
                <c:pt idx="461">
                  <c:v>9.89</c:v>
                </c:pt>
                <c:pt idx="462">
                  <c:v>9.27</c:v>
                </c:pt>
                <c:pt idx="463">
                  <c:v>9.27</c:v>
                </c:pt>
                <c:pt idx="464">
                  <c:v>3.76</c:v>
                </c:pt>
                <c:pt idx="465">
                  <c:v>9.41</c:v>
                </c:pt>
                <c:pt idx="466">
                  <c:v>6.19</c:v>
                </c:pt>
                <c:pt idx="467">
                  <c:v>8.17</c:v>
                </c:pt>
                <c:pt idx="468">
                  <c:v>6.41</c:v>
                </c:pt>
                <c:pt idx="469">
                  <c:v>8.75</c:v>
                </c:pt>
                <c:pt idx="470">
                  <c:v>7.56</c:v>
                </c:pt>
                <c:pt idx="471">
                  <c:v>8.3000000000000007</c:v>
                </c:pt>
                <c:pt idx="472">
                  <c:v>9.1300000000000008</c:v>
                </c:pt>
                <c:pt idx="473">
                  <c:v>9.9</c:v>
                </c:pt>
                <c:pt idx="474">
                  <c:v>7.54</c:v>
                </c:pt>
                <c:pt idx="475">
                  <c:v>8.74</c:v>
                </c:pt>
                <c:pt idx="476">
                  <c:v>3.65</c:v>
                </c:pt>
                <c:pt idx="477">
                  <c:v>7</c:v>
                </c:pt>
                <c:pt idx="478">
                  <c:v>4.79</c:v>
                </c:pt>
                <c:pt idx="479">
                  <c:v>8.2899999999999991</c:v>
                </c:pt>
                <c:pt idx="480">
                  <c:v>9.6300000000000008</c:v>
                </c:pt>
                <c:pt idx="481">
                  <c:v>8.83</c:v>
                </c:pt>
                <c:pt idx="482">
                  <c:v>9.06</c:v>
                </c:pt>
                <c:pt idx="483">
                  <c:v>5.57</c:v>
                </c:pt>
                <c:pt idx="484">
                  <c:v>8.94</c:v>
                </c:pt>
                <c:pt idx="485">
                  <c:v>6.56</c:v>
                </c:pt>
                <c:pt idx="486">
                  <c:v>9.1</c:v>
                </c:pt>
                <c:pt idx="487">
                  <c:v>7.23</c:v>
                </c:pt>
                <c:pt idx="488">
                  <c:v>6.27</c:v>
                </c:pt>
                <c:pt idx="489">
                  <c:v>4.0999999999999996</c:v>
                </c:pt>
                <c:pt idx="490">
                  <c:v>5.77</c:v>
                </c:pt>
                <c:pt idx="491">
                  <c:v>7.27</c:v>
                </c:pt>
                <c:pt idx="492">
                  <c:v>7.2</c:v>
                </c:pt>
                <c:pt idx="493">
                  <c:v>6.25</c:v>
                </c:pt>
                <c:pt idx="494">
                  <c:v>6.72</c:v>
                </c:pt>
                <c:pt idx="495">
                  <c:v>1.74</c:v>
                </c:pt>
                <c:pt idx="496">
                  <c:v>7.47</c:v>
                </c:pt>
                <c:pt idx="497">
                  <c:v>5.81</c:v>
                </c:pt>
                <c:pt idx="498">
                  <c:v>5.69</c:v>
                </c:pt>
                <c:pt idx="499">
                  <c:v>3.45</c:v>
                </c:pt>
                <c:pt idx="500">
                  <c:v>6.56</c:v>
                </c:pt>
                <c:pt idx="501">
                  <c:v>6.62</c:v>
                </c:pt>
                <c:pt idx="502">
                  <c:v>5.88</c:v>
                </c:pt>
                <c:pt idx="503">
                  <c:v>7.48</c:v>
                </c:pt>
                <c:pt idx="504">
                  <c:v>5.44</c:v>
                </c:pt>
                <c:pt idx="505">
                  <c:v>6.76</c:v>
                </c:pt>
                <c:pt idx="506">
                  <c:v>9.09</c:v>
                </c:pt>
                <c:pt idx="507">
                  <c:v>5.95</c:v>
                </c:pt>
                <c:pt idx="508">
                  <c:v>13.17</c:v>
                </c:pt>
                <c:pt idx="509">
                  <c:v>3.06</c:v>
                </c:pt>
                <c:pt idx="510">
                  <c:v>8.68</c:v>
                </c:pt>
                <c:pt idx="511">
                  <c:v>4.05</c:v>
                </c:pt>
                <c:pt idx="512">
                  <c:v>6.14</c:v>
                </c:pt>
                <c:pt idx="513">
                  <c:v>6.6</c:v>
                </c:pt>
                <c:pt idx="514">
                  <c:v>9.0299999999999994</c:v>
                </c:pt>
                <c:pt idx="515">
                  <c:v>5.67</c:v>
                </c:pt>
                <c:pt idx="516">
                  <c:v>5.31</c:v>
                </c:pt>
                <c:pt idx="517">
                  <c:v>4.62</c:v>
                </c:pt>
                <c:pt idx="518">
                  <c:v>10.73</c:v>
                </c:pt>
                <c:pt idx="519">
                  <c:v>5.91</c:v>
                </c:pt>
                <c:pt idx="520">
                  <c:v>4.9800000000000004</c:v>
                </c:pt>
                <c:pt idx="521">
                  <c:v>3.5</c:v>
                </c:pt>
                <c:pt idx="522">
                  <c:v>9.48</c:v>
                </c:pt>
                <c:pt idx="523">
                  <c:v>2.73</c:v>
                </c:pt>
                <c:pt idx="524">
                  <c:v>6.52</c:v>
                </c:pt>
                <c:pt idx="525">
                  <c:v>12.45</c:v>
                </c:pt>
                <c:pt idx="526">
                  <c:v>1.1200000000000001</c:v>
                </c:pt>
                <c:pt idx="527">
                  <c:v>4.5999999999999996</c:v>
                </c:pt>
                <c:pt idx="528">
                  <c:v>8.9499999999999993</c:v>
                </c:pt>
                <c:pt idx="529">
                  <c:v>10.42</c:v>
                </c:pt>
                <c:pt idx="530">
                  <c:v>10.42</c:v>
                </c:pt>
                <c:pt idx="531">
                  <c:v>10.66</c:v>
                </c:pt>
                <c:pt idx="532">
                  <c:v>7.74</c:v>
                </c:pt>
                <c:pt idx="533">
                  <c:v>4.2</c:v>
                </c:pt>
                <c:pt idx="534">
                  <c:v>5.6</c:v>
                </c:pt>
                <c:pt idx="535">
                  <c:v>2.91</c:v>
                </c:pt>
                <c:pt idx="536">
                  <c:v>4.08</c:v>
                </c:pt>
                <c:pt idx="537">
                  <c:v>4.29</c:v>
                </c:pt>
                <c:pt idx="538">
                  <c:v>4.05</c:v>
                </c:pt>
                <c:pt idx="539">
                  <c:v>11</c:v>
                </c:pt>
                <c:pt idx="540">
                  <c:v>10.77</c:v>
                </c:pt>
                <c:pt idx="541">
                  <c:v>13.66</c:v>
                </c:pt>
                <c:pt idx="542">
                  <c:v>12.74</c:v>
                </c:pt>
                <c:pt idx="543">
                  <c:v>3.33</c:v>
                </c:pt>
                <c:pt idx="544">
                  <c:v>2.16</c:v>
                </c:pt>
                <c:pt idx="545">
                  <c:v>10.39</c:v>
                </c:pt>
                <c:pt idx="546">
                  <c:v>8.66</c:v>
                </c:pt>
                <c:pt idx="547">
                  <c:v>7.2</c:v>
                </c:pt>
                <c:pt idx="548">
                  <c:v>2.08</c:v>
                </c:pt>
                <c:pt idx="549">
                  <c:v>2.66</c:v>
                </c:pt>
                <c:pt idx="550">
                  <c:v>5.83</c:v>
                </c:pt>
                <c:pt idx="551">
                  <c:v>9.84</c:v>
                </c:pt>
                <c:pt idx="552">
                  <c:v>10.31</c:v>
                </c:pt>
                <c:pt idx="553">
                  <c:v>10.67</c:v>
                </c:pt>
                <c:pt idx="554">
                  <c:v>10.31</c:v>
                </c:pt>
                <c:pt idx="555">
                  <c:v>3.91</c:v>
                </c:pt>
                <c:pt idx="556">
                  <c:v>4.26</c:v>
                </c:pt>
                <c:pt idx="557">
                  <c:v>7.23</c:v>
                </c:pt>
                <c:pt idx="558">
                  <c:v>7.6</c:v>
                </c:pt>
                <c:pt idx="559">
                  <c:v>7.84</c:v>
                </c:pt>
                <c:pt idx="560">
                  <c:v>8.58</c:v>
                </c:pt>
                <c:pt idx="561">
                  <c:v>8.1</c:v>
                </c:pt>
                <c:pt idx="562">
                  <c:v>2.33</c:v>
                </c:pt>
                <c:pt idx="563">
                  <c:v>6.18</c:v>
                </c:pt>
                <c:pt idx="564">
                  <c:v>1.75</c:v>
                </c:pt>
                <c:pt idx="565">
                  <c:v>3.26</c:v>
                </c:pt>
                <c:pt idx="566">
                  <c:v>6.62</c:v>
                </c:pt>
                <c:pt idx="567">
                  <c:v>8.68</c:v>
                </c:pt>
                <c:pt idx="568">
                  <c:v>13.09</c:v>
                </c:pt>
                <c:pt idx="569">
                  <c:v>14.24</c:v>
                </c:pt>
                <c:pt idx="570">
                  <c:v>11.93</c:v>
                </c:pt>
                <c:pt idx="571">
                  <c:v>9.26</c:v>
                </c:pt>
                <c:pt idx="572">
                  <c:v>5.1100000000000003</c:v>
                </c:pt>
                <c:pt idx="573">
                  <c:v>2.39</c:v>
                </c:pt>
                <c:pt idx="574">
                  <c:v>17.2</c:v>
                </c:pt>
                <c:pt idx="575">
                  <c:v>14.33</c:v>
                </c:pt>
                <c:pt idx="576">
                  <c:v>13.58</c:v>
                </c:pt>
                <c:pt idx="577">
                  <c:v>10.8</c:v>
                </c:pt>
                <c:pt idx="578">
                  <c:v>13.02</c:v>
                </c:pt>
                <c:pt idx="579">
                  <c:v>16.850000000000001</c:v>
                </c:pt>
                <c:pt idx="580">
                  <c:v>14.24</c:v>
                </c:pt>
                <c:pt idx="581">
                  <c:v>17.45</c:v>
                </c:pt>
                <c:pt idx="582">
                  <c:v>13.91</c:v>
                </c:pt>
                <c:pt idx="583">
                  <c:v>13.55</c:v>
                </c:pt>
                <c:pt idx="584">
                  <c:v>14.57</c:v>
                </c:pt>
                <c:pt idx="585">
                  <c:v>18.95</c:v>
                </c:pt>
                <c:pt idx="586">
                  <c:v>10.199999999999999</c:v>
                </c:pt>
                <c:pt idx="587">
                  <c:v>11.66</c:v>
                </c:pt>
                <c:pt idx="588">
                  <c:v>14.75</c:v>
                </c:pt>
                <c:pt idx="589">
                  <c:v>15.25</c:v>
                </c:pt>
                <c:pt idx="590">
                  <c:v>15.67</c:v>
                </c:pt>
                <c:pt idx="591">
                  <c:v>14.24</c:v>
                </c:pt>
                <c:pt idx="592">
                  <c:v>10.66</c:v>
                </c:pt>
                <c:pt idx="593">
                  <c:v>11.32</c:v>
                </c:pt>
                <c:pt idx="594">
                  <c:v>6.77</c:v>
                </c:pt>
                <c:pt idx="595">
                  <c:v>16.48</c:v>
                </c:pt>
                <c:pt idx="596">
                  <c:v>21.5</c:v>
                </c:pt>
                <c:pt idx="597">
                  <c:v>14.42</c:v>
                </c:pt>
                <c:pt idx="598">
                  <c:v>11.88</c:v>
                </c:pt>
                <c:pt idx="599">
                  <c:v>16.850000000000001</c:v>
                </c:pt>
                <c:pt idx="600">
                  <c:v>7.83</c:v>
                </c:pt>
                <c:pt idx="601">
                  <c:v>19.09</c:v>
                </c:pt>
                <c:pt idx="602">
                  <c:v>21</c:v>
                </c:pt>
                <c:pt idx="603">
                  <c:v>17.05</c:v>
                </c:pt>
                <c:pt idx="604">
                  <c:v>17.489999999999998</c:v>
                </c:pt>
                <c:pt idx="605">
                  <c:v>14.57</c:v>
                </c:pt>
                <c:pt idx="606">
                  <c:v>14.05</c:v>
                </c:pt>
                <c:pt idx="607">
                  <c:v>15.45</c:v>
                </c:pt>
                <c:pt idx="608">
                  <c:v>13.86</c:v>
                </c:pt>
                <c:pt idx="609">
                  <c:v>18.02</c:v>
                </c:pt>
                <c:pt idx="610">
                  <c:v>10.17</c:v>
                </c:pt>
                <c:pt idx="611">
                  <c:v>14.65</c:v>
                </c:pt>
                <c:pt idx="612">
                  <c:v>18.25</c:v>
                </c:pt>
                <c:pt idx="613">
                  <c:v>10.62</c:v>
                </c:pt>
                <c:pt idx="614">
                  <c:v>14.56</c:v>
                </c:pt>
                <c:pt idx="615">
                  <c:v>12.15</c:v>
                </c:pt>
                <c:pt idx="616">
                  <c:v>7.66</c:v>
                </c:pt>
                <c:pt idx="617">
                  <c:v>7.12</c:v>
                </c:pt>
                <c:pt idx="618">
                  <c:v>13.91</c:v>
                </c:pt>
                <c:pt idx="619">
                  <c:v>12.27</c:v>
                </c:pt>
                <c:pt idx="620">
                  <c:v>10.93</c:v>
                </c:pt>
                <c:pt idx="621">
                  <c:v>10.199999999999999</c:v>
                </c:pt>
                <c:pt idx="622">
                  <c:v>18.22</c:v>
                </c:pt>
                <c:pt idx="623">
                  <c:v>14.57</c:v>
                </c:pt>
                <c:pt idx="624">
                  <c:v>14.05</c:v>
                </c:pt>
                <c:pt idx="625">
                  <c:v>13.35</c:v>
                </c:pt>
                <c:pt idx="626">
                  <c:v>8.32</c:v>
                </c:pt>
                <c:pt idx="627">
                  <c:v>15.25</c:v>
                </c:pt>
                <c:pt idx="628">
                  <c:v>5.33</c:v>
                </c:pt>
                <c:pt idx="629">
                  <c:v>3.41</c:v>
                </c:pt>
                <c:pt idx="630">
                  <c:v>5.49</c:v>
                </c:pt>
                <c:pt idx="631">
                  <c:v>5.93</c:v>
                </c:pt>
                <c:pt idx="632">
                  <c:v>8.06</c:v>
                </c:pt>
                <c:pt idx="633">
                  <c:v>3.58</c:v>
                </c:pt>
                <c:pt idx="634">
                  <c:v>4.4400000000000004</c:v>
                </c:pt>
                <c:pt idx="635">
                  <c:v>8.1199999999999992</c:v>
                </c:pt>
                <c:pt idx="636">
                  <c:v>14.36</c:v>
                </c:pt>
                <c:pt idx="637">
                  <c:v>9.77</c:v>
                </c:pt>
                <c:pt idx="638">
                  <c:v>10.25</c:v>
                </c:pt>
                <c:pt idx="639">
                  <c:v>9.68</c:v>
                </c:pt>
                <c:pt idx="640">
                  <c:v>7.4</c:v>
                </c:pt>
                <c:pt idx="641">
                  <c:v>6.16</c:v>
                </c:pt>
                <c:pt idx="642">
                  <c:v>6.95</c:v>
                </c:pt>
                <c:pt idx="643">
                  <c:v>11.45</c:v>
                </c:pt>
                <c:pt idx="644">
                  <c:v>7.23</c:v>
                </c:pt>
                <c:pt idx="645">
                  <c:v>4.54</c:v>
                </c:pt>
                <c:pt idx="646">
                  <c:v>8.6</c:v>
                </c:pt>
                <c:pt idx="647">
                  <c:v>9.01</c:v>
                </c:pt>
                <c:pt idx="648">
                  <c:v>9.36</c:v>
                </c:pt>
                <c:pt idx="649">
                  <c:v>9.01</c:v>
                </c:pt>
                <c:pt idx="650">
                  <c:v>9.1300000000000008</c:v>
                </c:pt>
                <c:pt idx="651">
                  <c:v>6.83</c:v>
                </c:pt>
                <c:pt idx="652">
                  <c:v>5.65</c:v>
                </c:pt>
                <c:pt idx="653">
                  <c:v>10.6</c:v>
                </c:pt>
                <c:pt idx="654">
                  <c:v>8.9499999999999993</c:v>
                </c:pt>
                <c:pt idx="655">
                  <c:v>10.02</c:v>
                </c:pt>
                <c:pt idx="656">
                  <c:v>11.73</c:v>
                </c:pt>
                <c:pt idx="657">
                  <c:v>10.82</c:v>
                </c:pt>
                <c:pt idx="658">
                  <c:v>9.91</c:v>
                </c:pt>
                <c:pt idx="659">
                  <c:v>9.68</c:v>
                </c:pt>
                <c:pt idx="660">
                  <c:v>6.16</c:v>
                </c:pt>
                <c:pt idx="661">
                  <c:v>4.03</c:v>
                </c:pt>
                <c:pt idx="662">
                  <c:v>10</c:v>
                </c:pt>
                <c:pt idx="663">
                  <c:v>15.36</c:v>
                </c:pt>
                <c:pt idx="664">
                  <c:v>3.26</c:v>
                </c:pt>
                <c:pt idx="665">
                  <c:v>11.29</c:v>
                </c:pt>
                <c:pt idx="666">
                  <c:v>9.52</c:v>
                </c:pt>
                <c:pt idx="667">
                  <c:v>13.52</c:v>
                </c:pt>
                <c:pt idx="668">
                  <c:v>17.059999999999999</c:v>
                </c:pt>
                <c:pt idx="669">
                  <c:v>12.62</c:v>
                </c:pt>
                <c:pt idx="670">
                  <c:v>8.5299999999999994</c:v>
                </c:pt>
                <c:pt idx="671">
                  <c:v>16.690000000000001</c:v>
                </c:pt>
                <c:pt idx="672">
                  <c:v>11.76</c:v>
                </c:pt>
                <c:pt idx="673">
                  <c:v>1.89</c:v>
                </c:pt>
                <c:pt idx="674">
                  <c:v>11.4</c:v>
                </c:pt>
                <c:pt idx="675">
                  <c:v>4.32</c:v>
                </c:pt>
                <c:pt idx="676">
                  <c:v>10.11</c:v>
                </c:pt>
                <c:pt idx="677">
                  <c:v>9.6199999999999992</c:v>
                </c:pt>
                <c:pt idx="678">
                  <c:v>9.0500000000000007</c:v>
                </c:pt>
                <c:pt idx="679">
                  <c:v>12.03</c:v>
                </c:pt>
                <c:pt idx="680">
                  <c:v>12.75</c:v>
                </c:pt>
                <c:pt idx="681">
                  <c:v>5.72</c:v>
                </c:pt>
                <c:pt idx="682">
                  <c:v>10.08</c:v>
                </c:pt>
                <c:pt idx="683">
                  <c:v>11.75</c:v>
                </c:pt>
                <c:pt idx="684">
                  <c:v>13.63</c:v>
                </c:pt>
                <c:pt idx="685">
                  <c:v>8.08</c:v>
                </c:pt>
                <c:pt idx="686">
                  <c:v>11.74</c:v>
                </c:pt>
                <c:pt idx="687">
                  <c:v>5.14</c:v>
                </c:pt>
                <c:pt idx="688">
                  <c:v>11.8</c:v>
                </c:pt>
                <c:pt idx="689">
                  <c:v>14.17</c:v>
                </c:pt>
                <c:pt idx="690">
                  <c:v>16.29</c:v>
                </c:pt>
                <c:pt idx="691">
                  <c:v>10.68</c:v>
                </c:pt>
                <c:pt idx="692">
                  <c:v>12.65</c:v>
                </c:pt>
                <c:pt idx="693">
                  <c:v>14.98</c:v>
                </c:pt>
                <c:pt idx="694">
                  <c:v>14.64</c:v>
                </c:pt>
                <c:pt idx="695">
                  <c:v>15.14</c:v>
                </c:pt>
                <c:pt idx="696">
                  <c:v>10.58</c:v>
                </c:pt>
                <c:pt idx="697">
                  <c:v>11.83</c:v>
                </c:pt>
                <c:pt idx="698">
                  <c:v>11.96</c:v>
                </c:pt>
                <c:pt idx="699">
                  <c:v>7.99</c:v>
                </c:pt>
                <c:pt idx="700">
                  <c:v>11.22</c:v>
                </c:pt>
                <c:pt idx="701">
                  <c:v>8.2100000000000009</c:v>
                </c:pt>
                <c:pt idx="702">
                  <c:v>10.57</c:v>
                </c:pt>
                <c:pt idx="703">
                  <c:v>7.47</c:v>
                </c:pt>
                <c:pt idx="704">
                  <c:v>9.2100000000000009</c:v>
                </c:pt>
                <c:pt idx="705">
                  <c:v>7.59</c:v>
                </c:pt>
                <c:pt idx="706">
                  <c:v>6.53</c:v>
                </c:pt>
                <c:pt idx="707">
                  <c:v>11.57</c:v>
                </c:pt>
                <c:pt idx="708">
                  <c:v>6.96</c:v>
                </c:pt>
                <c:pt idx="709">
                  <c:v>11.03</c:v>
                </c:pt>
                <c:pt idx="710">
                  <c:v>12.28</c:v>
                </c:pt>
                <c:pt idx="711">
                  <c:v>13.33</c:v>
                </c:pt>
                <c:pt idx="712">
                  <c:v>5.56</c:v>
                </c:pt>
                <c:pt idx="713">
                  <c:v>10.42</c:v>
                </c:pt>
                <c:pt idx="714">
                  <c:v>13.73</c:v>
                </c:pt>
                <c:pt idx="715">
                  <c:v>13.55</c:v>
                </c:pt>
                <c:pt idx="716">
                  <c:v>14.41</c:v>
                </c:pt>
                <c:pt idx="717">
                  <c:v>11.06</c:v>
                </c:pt>
                <c:pt idx="718">
                  <c:v>8.8699999999999992</c:v>
                </c:pt>
                <c:pt idx="719">
                  <c:v>9.7200000000000006</c:v>
                </c:pt>
                <c:pt idx="720">
                  <c:v>8.9700000000000006</c:v>
                </c:pt>
                <c:pt idx="721">
                  <c:v>9.89</c:v>
                </c:pt>
                <c:pt idx="722">
                  <c:v>9.82</c:v>
                </c:pt>
                <c:pt idx="723">
                  <c:v>6.51</c:v>
                </c:pt>
                <c:pt idx="724">
                  <c:v>7.71</c:v>
                </c:pt>
                <c:pt idx="725">
                  <c:v>12.64</c:v>
                </c:pt>
                <c:pt idx="726">
                  <c:v>13.05</c:v>
                </c:pt>
                <c:pt idx="727">
                  <c:v>11.89</c:v>
                </c:pt>
                <c:pt idx="728">
                  <c:v>16.46</c:v>
                </c:pt>
                <c:pt idx="729">
                  <c:v>10.96</c:v>
                </c:pt>
                <c:pt idx="730">
                  <c:v>10.87</c:v>
                </c:pt>
                <c:pt idx="731">
                  <c:v>12.64</c:v>
                </c:pt>
                <c:pt idx="732">
                  <c:v>10.61</c:v>
                </c:pt>
                <c:pt idx="733">
                  <c:v>9.4700000000000006</c:v>
                </c:pt>
                <c:pt idx="734">
                  <c:v>11.49</c:v>
                </c:pt>
                <c:pt idx="735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8F-4114-BCA3-3B0DD09D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636527"/>
        <c:axId val="252644431"/>
      </c:scatterChart>
      <c:valAx>
        <c:axId val="2526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44431"/>
        <c:crosses val="autoZero"/>
        <c:crossBetween val="midCat"/>
      </c:valAx>
      <c:valAx>
        <c:axId val="25264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3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'Regresión lineal'!$O$1</c:f>
              <c:strCache>
                <c:ptCount val="1"/>
                <c:pt idx="0">
                  <c:v>Vol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'Regresión lineal'!$F$2:$F$737</c:f>
              <c:numCache>
                <c:formatCode>General</c:formatCode>
                <c:ptCount val="73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130</c:v>
                </c:pt>
                <c:pt idx="55">
                  <c:v>130</c:v>
                </c:pt>
                <c:pt idx="56">
                  <c:v>130</c:v>
                </c:pt>
                <c:pt idx="57">
                  <c:v>130</c:v>
                </c:pt>
                <c:pt idx="58">
                  <c:v>130</c:v>
                </c:pt>
                <c:pt idx="59">
                  <c:v>130</c:v>
                </c:pt>
                <c:pt idx="60">
                  <c:v>130</c:v>
                </c:pt>
                <c:pt idx="61">
                  <c:v>130</c:v>
                </c:pt>
                <c:pt idx="62">
                  <c:v>130</c:v>
                </c:pt>
                <c:pt idx="63">
                  <c:v>130</c:v>
                </c:pt>
                <c:pt idx="64">
                  <c:v>130</c:v>
                </c:pt>
                <c:pt idx="65">
                  <c:v>130</c:v>
                </c:pt>
                <c:pt idx="66">
                  <c:v>130</c:v>
                </c:pt>
                <c:pt idx="67">
                  <c:v>130</c:v>
                </c:pt>
                <c:pt idx="68">
                  <c:v>130</c:v>
                </c:pt>
                <c:pt idx="69">
                  <c:v>130</c:v>
                </c:pt>
                <c:pt idx="70">
                  <c:v>130</c:v>
                </c:pt>
                <c:pt idx="71">
                  <c:v>130</c:v>
                </c:pt>
                <c:pt idx="72">
                  <c:v>130</c:v>
                </c:pt>
                <c:pt idx="73">
                  <c:v>130</c:v>
                </c:pt>
                <c:pt idx="74">
                  <c:v>130</c:v>
                </c:pt>
                <c:pt idx="75">
                  <c:v>130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180</c:v>
                </c:pt>
                <c:pt idx="147">
                  <c:v>180</c:v>
                </c:pt>
                <c:pt idx="148">
                  <c:v>180</c:v>
                </c:pt>
                <c:pt idx="149">
                  <c:v>180</c:v>
                </c:pt>
                <c:pt idx="150">
                  <c:v>180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  <c:pt idx="167">
                  <c:v>180</c:v>
                </c:pt>
                <c:pt idx="168">
                  <c:v>180</c:v>
                </c:pt>
                <c:pt idx="169">
                  <c:v>180</c:v>
                </c:pt>
                <c:pt idx="170">
                  <c:v>180</c:v>
                </c:pt>
                <c:pt idx="171">
                  <c:v>180</c:v>
                </c:pt>
                <c:pt idx="172">
                  <c:v>180</c:v>
                </c:pt>
                <c:pt idx="173">
                  <c:v>180</c:v>
                </c:pt>
                <c:pt idx="174">
                  <c:v>180</c:v>
                </c:pt>
                <c:pt idx="175">
                  <c:v>180</c:v>
                </c:pt>
                <c:pt idx="176">
                  <c:v>180</c:v>
                </c:pt>
                <c:pt idx="177">
                  <c:v>180</c:v>
                </c:pt>
                <c:pt idx="178">
                  <c:v>180</c:v>
                </c:pt>
                <c:pt idx="179">
                  <c:v>180</c:v>
                </c:pt>
                <c:pt idx="180">
                  <c:v>180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180</c:v>
                </c:pt>
                <c:pt idx="190">
                  <c:v>180</c:v>
                </c:pt>
                <c:pt idx="191">
                  <c:v>180</c:v>
                </c:pt>
                <c:pt idx="192">
                  <c:v>180</c:v>
                </c:pt>
                <c:pt idx="193">
                  <c:v>180</c:v>
                </c:pt>
                <c:pt idx="194">
                  <c:v>180</c:v>
                </c:pt>
                <c:pt idx="195">
                  <c:v>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180</c:v>
                </c:pt>
                <c:pt idx="200">
                  <c:v>180</c:v>
                </c:pt>
                <c:pt idx="201">
                  <c:v>180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180</c:v>
                </c:pt>
                <c:pt idx="208">
                  <c:v>180</c:v>
                </c:pt>
                <c:pt idx="209">
                  <c:v>180</c:v>
                </c:pt>
                <c:pt idx="210">
                  <c:v>180</c:v>
                </c:pt>
                <c:pt idx="211">
                  <c:v>160</c:v>
                </c:pt>
                <c:pt idx="212">
                  <c:v>160</c:v>
                </c:pt>
                <c:pt idx="213">
                  <c:v>160</c:v>
                </c:pt>
                <c:pt idx="214">
                  <c:v>160</c:v>
                </c:pt>
                <c:pt idx="215">
                  <c:v>160</c:v>
                </c:pt>
                <c:pt idx="216">
                  <c:v>160</c:v>
                </c:pt>
                <c:pt idx="217">
                  <c:v>160</c:v>
                </c:pt>
                <c:pt idx="218">
                  <c:v>160</c:v>
                </c:pt>
                <c:pt idx="219">
                  <c:v>160</c:v>
                </c:pt>
                <c:pt idx="220">
                  <c:v>160</c:v>
                </c:pt>
                <c:pt idx="221">
                  <c:v>160</c:v>
                </c:pt>
                <c:pt idx="222">
                  <c:v>160</c:v>
                </c:pt>
                <c:pt idx="223">
                  <c:v>160</c:v>
                </c:pt>
                <c:pt idx="224">
                  <c:v>160</c:v>
                </c:pt>
                <c:pt idx="225">
                  <c:v>160</c:v>
                </c:pt>
                <c:pt idx="226">
                  <c:v>160</c:v>
                </c:pt>
                <c:pt idx="227">
                  <c:v>160</c:v>
                </c:pt>
                <c:pt idx="228">
                  <c:v>160</c:v>
                </c:pt>
                <c:pt idx="229">
                  <c:v>160</c:v>
                </c:pt>
                <c:pt idx="230">
                  <c:v>160</c:v>
                </c:pt>
                <c:pt idx="231">
                  <c:v>160</c:v>
                </c:pt>
                <c:pt idx="232">
                  <c:v>160</c:v>
                </c:pt>
                <c:pt idx="233">
                  <c:v>160</c:v>
                </c:pt>
                <c:pt idx="234">
                  <c:v>160</c:v>
                </c:pt>
                <c:pt idx="235">
                  <c:v>160</c:v>
                </c:pt>
                <c:pt idx="236">
                  <c:v>160</c:v>
                </c:pt>
                <c:pt idx="237">
                  <c:v>160</c:v>
                </c:pt>
                <c:pt idx="238">
                  <c:v>160</c:v>
                </c:pt>
                <c:pt idx="239">
                  <c:v>160</c:v>
                </c:pt>
                <c:pt idx="240">
                  <c:v>160</c:v>
                </c:pt>
                <c:pt idx="241">
                  <c:v>160</c:v>
                </c:pt>
                <c:pt idx="242">
                  <c:v>160</c:v>
                </c:pt>
                <c:pt idx="243">
                  <c:v>160</c:v>
                </c:pt>
                <c:pt idx="244">
                  <c:v>160</c:v>
                </c:pt>
                <c:pt idx="245">
                  <c:v>160</c:v>
                </c:pt>
                <c:pt idx="246">
                  <c:v>160</c:v>
                </c:pt>
                <c:pt idx="247">
                  <c:v>160</c:v>
                </c:pt>
                <c:pt idx="248">
                  <c:v>160</c:v>
                </c:pt>
                <c:pt idx="249">
                  <c:v>160</c:v>
                </c:pt>
                <c:pt idx="250">
                  <c:v>160</c:v>
                </c:pt>
                <c:pt idx="251">
                  <c:v>160</c:v>
                </c:pt>
                <c:pt idx="252">
                  <c:v>160</c:v>
                </c:pt>
                <c:pt idx="253">
                  <c:v>160</c:v>
                </c:pt>
                <c:pt idx="254">
                  <c:v>160</c:v>
                </c:pt>
                <c:pt idx="255">
                  <c:v>160</c:v>
                </c:pt>
                <c:pt idx="256">
                  <c:v>160</c:v>
                </c:pt>
                <c:pt idx="257">
                  <c:v>160</c:v>
                </c:pt>
                <c:pt idx="258">
                  <c:v>160</c:v>
                </c:pt>
                <c:pt idx="259">
                  <c:v>160</c:v>
                </c:pt>
                <c:pt idx="260">
                  <c:v>160</c:v>
                </c:pt>
                <c:pt idx="261">
                  <c:v>160</c:v>
                </c:pt>
                <c:pt idx="262">
                  <c:v>160</c:v>
                </c:pt>
                <c:pt idx="263">
                  <c:v>160</c:v>
                </c:pt>
                <c:pt idx="264">
                  <c:v>160</c:v>
                </c:pt>
                <c:pt idx="265">
                  <c:v>160</c:v>
                </c:pt>
                <c:pt idx="266">
                  <c:v>160</c:v>
                </c:pt>
                <c:pt idx="267">
                  <c:v>160</c:v>
                </c:pt>
                <c:pt idx="268">
                  <c:v>160</c:v>
                </c:pt>
                <c:pt idx="269">
                  <c:v>160</c:v>
                </c:pt>
                <c:pt idx="270">
                  <c:v>160</c:v>
                </c:pt>
                <c:pt idx="271">
                  <c:v>160</c:v>
                </c:pt>
                <c:pt idx="272">
                  <c:v>160</c:v>
                </c:pt>
                <c:pt idx="273">
                  <c:v>160</c:v>
                </c:pt>
                <c:pt idx="274">
                  <c:v>160</c:v>
                </c:pt>
                <c:pt idx="275">
                  <c:v>160</c:v>
                </c:pt>
                <c:pt idx="276">
                  <c:v>160</c:v>
                </c:pt>
                <c:pt idx="277">
                  <c:v>160</c:v>
                </c:pt>
                <c:pt idx="278">
                  <c:v>160</c:v>
                </c:pt>
                <c:pt idx="279">
                  <c:v>160</c:v>
                </c:pt>
                <c:pt idx="280">
                  <c:v>160</c:v>
                </c:pt>
                <c:pt idx="281">
                  <c:v>160</c:v>
                </c:pt>
                <c:pt idx="282">
                  <c:v>160</c:v>
                </c:pt>
                <c:pt idx="283">
                  <c:v>160</c:v>
                </c:pt>
                <c:pt idx="284">
                  <c:v>180</c:v>
                </c:pt>
                <c:pt idx="285">
                  <c:v>180</c:v>
                </c:pt>
                <c:pt idx="286">
                  <c:v>180</c:v>
                </c:pt>
                <c:pt idx="287">
                  <c:v>180</c:v>
                </c:pt>
                <c:pt idx="288">
                  <c:v>180</c:v>
                </c:pt>
                <c:pt idx="289">
                  <c:v>180</c:v>
                </c:pt>
                <c:pt idx="290">
                  <c:v>180</c:v>
                </c:pt>
                <c:pt idx="291">
                  <c:v>180</c:v>
                </c:pt>
                <c:pt idx="292">
                  <c:v>180</c:v>
                </c:pt>
                <c:pt idx="293">
                  <c:v>180</c:v>
                </c:pt>
                <c:pt idx="294">
                  <c:v>180</c:v>
                </c:pt>
                <c:pt idx="295">
                  <c:v>180</c:v>
                </c:pt>
                <c:pt idx="296">
                  <c:v>180</c:v>
                </c:pt>
                <c:pt idx="297">
                  <c:v>180</c:v>
                </c:pt>
                <c:pt idx="298">
                  <c:v>180</c:v>
                </c:pt>
                <c:pt idx="299">
                  <c:v>180</c:v>
                </c:pt>
                <c:pt idx="300">
                  <c:v>180</c:v>
                </c:pt>
                <c:pt idx="301">
                  <c:v>180</c:v>
                </c:pt>
                <c:pt idx="302">
                  <c:v>180</c:v>
                </c:pt>
                <c:pt idx="303">
                  <c:v>180</c:v>
                </c:pt>
                <c:pt idx="304">
                  <c:v>180</c:v>
                </c:pt>
                <c:pt idx="305">
                  <c:v>180</c:v>
                </c:pt>
                <c:pt idx="306">
                  <c:v>180</c:v>
                </c:pt>
                <c:pt idx="307">
                  <c:v>180</c:v>
                </c:pt>
                <c:pt idx="308">
                  <c:v>180</c:v>
                </c:pt>
                <c:pt idx="309">
                  <c:v>180</c:v>
                </c:pt>
                <c:pt idx="310">
                  <c:v>180</c:v>
                </c:pt>
                <c:pt idx="311">
                  <c:v>180</c:v>
                </c:pt>
                <c:pt idx="312">
                  <c:v>180</c:v>
                </c:pt>
                <c:pt idx="313">
                  <c:v>180</c:v>
                </c:pt>
                <c:pt idx="314">
                  <c:v>180</c:v>
                </c:pt>
                <c:pt idx="315">
                  <c:v>180</c:v>
                </c:pt>
                <c:pt idx="316">
                  <c:v>180</c:v>
                </c:pt>
                <c:pt idx="317">
                  <c:v>180</c:v>
                </c:pt>
                <c:pt idx="318">
                  <c:v>180</c:v>
                </c:pt>
                <c:pt idx="319">
                  <c:v>180</c:v>
                </c:pt>
                <c:pt idx="320">
                  <c:v>180</c:v>
                </c:pt>
                <c:pt idx="321">
                  <c:v>180</c:v>
                </c:pt>
                <c:pt idx="322">
                  <c:v>180</c:v>
                </c:pt>
                <c:pt idx="323">
                  <c:v>180</c:v>
                </c:pt>
                <c:pt idx="324">
                  <c:v>180</c:v>
                </c:pt>
                <c:pt idx="325">
                  <c:v>180</c:v>
                </c:pt>
                <c:pt idx="326">
                  <c:v>180</c:v>
                </c:pt>
                <c:pt idx="327">
                  <c:v>180</c:v>
                </c:pt>
                <c:pt idx="328">
                  <c:v>180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150</c:v>
                </c:pt>
                <c:pt idx="367">
                  <c:v>150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150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150</c:v>
                </c:pt>
                <c:pt idx="379">
                  <c:v>150</c:v>
                </c:pt>
                <c:pt idx="380">
                  <c:v>150</c:v>
                </c:pt>
                <c:pt idx="381">
                  <c:v>150</c:v>
                </c:pt>
                <c:pt idx="382">
                  <c:v>150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150</c:v>
                </c:pt>
                <c:pt idx="387">
                  <c:v>150</c:v>
                </c:pt>
                <c:pt idx="388">
                  <c:v>180</c:v>
                </c:pt>
                <c:pt idx="389">
                  <c:v>180</c:v>
                </c:pt>
                <c:pt idx="390">
                  <c:v>180</c:v>
                </c:pt>
                <c:pt idx="391">
                  <c:v>180</c:v>
                </c:pt>
                <c:pt idx="392">
                  <c:v>180</c:v>
                </c:pt>
                <c:pt idx="393">
                  <c:v>180</c:v>
                </c:pt>
                <c:pt idx="394">
                  <c:v>180</c:v>
                </c:pt>
                <c:pt idx="395">
                  <c:v>180</c:v>
                </c:pt>
                <c:pt idx="396">
                  <c:v>180</c:v>
                </c:pt>
                <c:pt idx="397">
                  <c:v>180</c:v>
                </c:pt>
                <c:pt idx="398">
                  <c:v>180</c:v>
                </c:pt>
                <c:pt idx="399">
                  <c:v>180</c:v>
                </c:pt>
                <c:pt idx="400">
                  <c:v>180</c:v>
                </c:pt>
                <c:pt idx="401">
                  <c:v>180</c:v>
                </c:pt>
                <c:pt idx="402">
                  <c:v>180</c:v>
                </c:pt>
                <c:pt idx="403">
                  <c:v>180</c:v>
                </c:pt>
                <c:pt idx="404">
                  <c:v>180</c:v>
                </c:pt>
                <c:pt idx="405">
                  <c:v>180</c:v>
                </c:pt>
                <c:pt idx="406">
                  <c:v>180</c:v>
                </c:pt>
                <c:pt idx="407">
                  <c:v>180</c:v>
                </c:pt>
                <c:pt idx="408">
                  <c:v>180</c:v>
                </c:pt>
                <c:pt idx="409">
                  <c:v>180</c:v>
                </c:pt>
                <c:pt idx="410">
                  <c:v>180</c:v>
                </c:pt>
                <c:pt idx="411">
                  <c:v>180</c:v>
                </c:pt>
                <c:pt idx="412">
                  <c:v>180</c:v>
                </c:pt>
                <c:pt idx="413">
                  <c:v>180</c:v>
                </c:pt>
                <c:pt idx="414">
                  <c:v>180</c:v>
                </c:pt>
                <c:pt idx="415">
                  <c:v>180</c:v>
                </c:pt>
                <c:pt idx="416">
                  <c:v>180</c:v>
                </c:pt>
                <c:pt idx="417">
                  <c:v>180</c:v>
                </c:pt>
                <c:pt idx="418">
                  <c:v>180</c:v>
                </c:pt>
                <c:pt idx="419">
                  <c:v>180</c:v>
                </c:pt>
                <c:pt idx="420">
                  <c:v>180</c:v>
                </c:pt>
                <c:pt idx="421">
                  <c:v>180</c:v>
                </c:pt>
                <c:pt idx="422">
                  <c:v>180</c:v>
                </c:pt>
                <c:pt idx="423">
                  <c:v>180</c:v>
                </c:pt>
                <c:pt idx="424">
                  <c:v>180</c:v>
                </c:pt>
                <c:pt idx="425">
                  <c:v>180</c:v>
                </c:pt>
                <c:pt idx="426">
                  <c:v>180</c:v>
                </c:pt>
                <c:pt idx="427">
                  <c:v>180</c:v>
                </c:pt>
                <c:pt idx="428">
                  <c:v>180</c:v>
                </c:pt>
                <c:pt idx="429">
                  <c:v>180</c:v>
                </c:pt>
                <c:pt idx="430">
                  <c:v>180</c:v>
                </c:pt>
                <c:pt idx="431">
                  <c:v>180</c:v>
                </c:pt>
                <c:pt idx="432">
                  <c:v>180</c:v>
                </c:pt>
                <c:pt idx="433">
                  <c:v>180</c:v>
                </c:pt>
                <c:pt idx="434">
                  <c:v>180</c:v>
                </c:pt>
                <c:pt idx="435">
                  <c:v>180</c:v>
                </c:pt>
                <c:pt idx="436">
                  <c:v>180</c:v>
                </c:pt>
                <c:pt idx="437">
                  <c:v>220</c:v>
                </c:pt>
                <c:pt idx="438">
                  <c:v>220</c:v>
                </c:pt>
                <c:pt idx="439">
                  <c:v>220</c:v>
                </c:pt>
                <c:pt idx="440">
                  <c:v>220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220</c:v>
                </c:pt>
                <c:pt idx="446">
                  <c:v>220</c:v>
                </c:pt>
                <c:pt idx="447">
                  <c:v>220</c:v>
                </c:pt>
                <c:pt idx="448">
                  <c:v>220</c:v>
                </c:pt>
                <c:pt idx="449">
                  <c:v>220</c:v>
                </c:pt>
                <c:pt idx="450">
                  <c:v>220</c:v>
                </c:pt>
                <c:pt idx="451">
                  <c:v>220</c:v>
                </c:pt>
                <c:pt idx="452">
                  <c:v>220</c:v>
                </c:pt>
                <c:pt idx="453">
                  <c:v>220</c:v>
                </c:pt>
                <c:pt idx="454">
                  <c:v>220</c:v>
                </c:pt>
                <c:pt idx="455">
                  <c:v>220</c:v>
                </c:pt>
                <c:pt idx="456">
                  <c:v>220</c:v>
                </c:pt>
                <c:pt idx="457">
                  <c:v>220</c:v>
                </c:pt>
                <c:pt idx="458">
                  <c:v>220</c:v>
                </c:pt>
                <c:pt idx="459">
                  <c:v>220</c:v>
                </c:pt>
                <c:pt idx="460">
                  <c:v>220</c:v>
                </c:pt>
                <c:pt idx="461">
                  <c:v>220</c:v>
                </c:pt>
                <c:pt idx="462">
                  <c:v>220</c:v>
                </c:pt>
                <c:pt idx="463">
                  <c:v>220</c:v>
                </c:pt>
                <c:pt idx="464">
                  <c:v>220</c:v>
                </c:pt>
                <c:pt idx="465">
                  <c:v>220</c:v>
                </c:pt>
                <c:pt idx="466">
                  <c:v>220</c:v>
                </c:pt>
                <c:pt idx="467">
                  <c:v>220</c:v>
                </c:pt>
                <c:pt idx="468">
                  <c:v>220</c:v>
                </c:pt>
                <c:pt idx="469">
                  <c:v>220</c:v>
                </c:pt>
                <c:pt idx="470">
                  <c:v>220</c:v>
                </c:pt>
                <c:pt idx="471">
                  <c:v>220</c:v>
                </c:pt>
                <c:pt idx="472">
                  <c:v>220</c:v>
                </c:pt>
                <c:pt idx="473">
                  <c:v>220</c:v>
                </c:pt>
                <c:pt idx="474">
                  <c:v>220</c:v>
                </c:pt>
                <c:pt idx="475">
                  <c:v>220</c:v>
                </c:pt>
                <c:pt idx="476">
                  <c:v>220</c:v>
                </c:pt>
                <c:pt idx="477">
                  <c:v>220</c:v>
                </c:pt>
                <c:pt idx="478">
                  <c:v>220</c:v>
                </c:pt>
                <c:pt idx="479">
                  <c:v>220</c:v>
                </c:pt>
                <c:pt idx="480">
                  <c:v>220</c:v>
                </c:pt>
                <c:pt idx="481">
                  <c:v>220</c:v>
                </c:pt>
                <c:pt idx="482">
                  <c:v>220</c:v>
                </c:pt>
                <c:pt idx="483">
                  <c:v>220</c:v>
                </c:pt>
                <c:pt idx="484">
                  <c:v>220</c:v>
                </c:pt>
                <c:pt idx="485">
                  <c:v>220</c:v>
                </c:pt>
                <c:pt idx="486">
                  <c:v>220</c:v>
                </c:pt>
                <c:pt idx="487">
                  <c:v>220</c:v>
                </c:pt>
                <c:pt idx="488">
                  <c:v>220</c:v>
                </c:pt>
                <c:pt idx="489">
                  <c:v>220</c:v>
                </c:pt>
                <c:pt idx="490">
                  <c:v>300</c:v>
                </c:pt>
                <c:pt idx="491">
                  <c:v>300</c:v>
                </c:pt>
                <c:pt idx="492">
                  <c:v>300</c:v>
                </c:pt>
                <c:pt idx="493">
                  <c:v>300</c:v>
                </c:pt>
                <c:pt idx="494">
                  <c:v>300</c:v>
                </c:pt>
                <c:pt idx="495">
                  <c:v>300</c:v>
                </c:pt>
                <c:pt idx="496">
                  <c:v>300</c:v>
                </c:pt>
                <c:pt idx="497">
                  <c:v>300</c:v>
                </c:pt>
                <c:pt idx="498">
                  <c:v>300</c:v>
                </c:pt>
                <c:pt idx="499">
                  <c:v>300</c:v>
                </c:pt>
                <c:pt idx="500">
                  <c:v>300</c:v>
                </c:pt>
                <c:pt idx="501">
                  <c:v>300</c:v>
                </c:pt>
                <c:pt idx="502">
                  <c:v>300</c:v>
                </c:pt>
                <c:pt idx="503">
                  <c:v>300</c:v>
                </c:pt>
                <c:pt idx="504">
                  <c:v>300</c:v>
                </c:pt>
                <c:pt idx="505">
                  <c:v>300</c:v>
                </c:pt>
                <c:pt idx="506">
                  <c:v>300</c:v>
                </c:pt>
                <c:pt idx="507">
                  <c:v>300</c:v>
                </c:pt>
                <c:pt idx="508">
                  <c:v>300</c:v>
                </c:pt>
                <c:pt idx="509">
                  <c:v>300</c:v>
                </c:pt>
                <c:pt idx="510">
                  <c:v>300</c:v>
                </c:pt>
                <c:pt idx="511">
                  <c:v>300</c:v>
                </c:pt>
                <c:pt idx="512">
                  <c:v>300</c:v>
                </c:pt>
                <c:pt idx="513">
                  <c:v>300</c:v>
                </c:pt>
                <c:pt idx="514">
                  <c:v>300</c:v>
                </c:pt>
                <c:pt idx="515">
                  <c:v>300</c:v>
                </c:pt>
                <c:pt idx="516">
                  <c:v>300</c:v>
                </c:pt>
                <c:pt idx="517">
                  <c:v>300</c:v>
                </c:pt>
                <c:pt idx="518">
                  <c:v>300</c:v>
                </c:pt>
                <c:pt idx="519">
                  <c:v>300</c:v>
                </c:pt>
                <c:pt idx="520">
                  <c:v>300</c:v>
                </c:pt>
                <c:pt idx="521">
                  <c:v>300</c:v>
                </c:pt>
                <c:pt idx="522">
                  <c:v>300</c:v>
                </c:pt>
                <c:pt idx="523">
                  <c:v>300</c:v>
                </c:pt>
                <c:pt idx="524">
                  <c:v>300</c:v>
                </c:pt>
                <c:pt idx="525">
                  <c:v>300</c:v>
                </c:pt>
                <c:pt idx="526">
                  <c:v>300</c:v>
                </c:pt>
                <c:pt idx="527">
                  <c:v>300</c:v>
                </c:pt>
                <c:pt idx="528">
                  <c:v>300</c:v>
                </c:pt>
                <c:pt idx="529">
                  <c:v>300</c:v>
                </c:pt>
                <c:pt idx="530">
                  <c:v>300</c:v>
                </c:pt>
                <c:pt idx="531">
                  <c:v>300</c:v>
                </c:pt>
                <c:pt idx="532">
                  <c:v>300</c:v>
                </c:pt>
                <c:pt idx="533">
                  <c:v>300</c:v>
                </c:pt>
                <c:pt idx="534">
                  <c:v>300</c:v>
                </c:pt>
                <c:pt idx="535">
                  <c:v>300</c:v>
                </c:pt>
                <c:pt idx="536">
                  <c:v>300</c:v>
                </c:pt>
                <c:pt idx="537">
                  <c:v>300</c:v>
                </c:pt>
                <c:pt idx="538">
                  <c:v>300</c:v>
                </c:pt>
                <c:pt idx="539">
                  <c:v>300</c:v>
                </c:pt>
                <c:pt idx="540">
                  <c:v>300</c:v>
                </c:pt>
                <c:pt idx="541">
                  <c:v>300</c:v>
                </c:pt>
                <c:pt idx="542">
                  <c:v>300</c:v>
                </c:pt>
                <c:pt idx="543">
                  <c:v>300</c:v>
                </c:pt>
                <c:pt idx="544">
                  <c:v>300</c:v>
                </c:pt>
                <c:pt idx="545">
                  <c:v>300</c:v>
                </c:pt>
                <c:pt idx="546">
                  <c:v>300</c:v>
                </c:pt>
                <c:pt idx="547">
                  <c:v>300</c:v>
                </c:pt>
                <c:pt idx="548">
                  <c:v>300</c:v>
                </c:pt>
                <c:pt idx="549">
                  <c:v>300</c:v>
                </c:pt>
                <c:pt idx="550">
                  <c:v>300</c:v>
                </c:pt>
                <c:pt idx="551">
                  <c:v>300</c:v>
                </c:pt>
                <c:pt idx="552">
                  <c:v>300</c:v>
                </c:pt>
                <c:pt idx="553">
                  <c:v>300</c:v>
                </c:pt>
                <c:pt idx="554">
                  <c:v>300</c:v>
                </c:pt>
                <c:pt idx="555">
                  <c:v>300</c:v>
                </c:pt>
                <c:pt idx="556">
                  <c:v>300</c:v>
                </c:pt>
                <c:pt idx="557">
                  <c:v>300</c:v>
                </c:pt>
                <c:pt idx="558">
                  <c:v>300</c:v>
                </c:pt>
                <c:pt idx="559">
                  <c:v>300</c:v>
                </c:pt>
                <c:pt idx="560">
                  <c:v>300</c:v>
                </c:pt>
                <c:pt idx="561">
                  <c:v>300</c:v>
                </c:pt>
                <c:pt idx="562">
                  <c:v>300</c:v>
                </c:pt>
                <c:pt idx="563">
                  <c:v>300</c:v>
                </c:pt>
                <c:pt idx="564">
                  <c:v>300</c:v>
                </c:pt>
                <c:pt idx="565">
                  <c:v>300</c:v>
                </c:pt>
                <c:pt idx="566">
                  <c:v>300</c:v>
                </c:pt>
                <c:pt idx="567">
                  <c:v>300</c:v>
                </c:pt>
                <c:pt idx="568">
                  <c:v>300</c:v>
                </c:pt>
                <c:pt idx="569">
                  <c:v>300</c:v>
                </c:pt>
                <c:pt idx="570">
                  <c:v>300</c:v>
                </c:pt>
                <c:pt idx="571">
                  <c:v>300</c:v>
                </c:pt>
                <c:pt idx="572">
                  <c:v>300</c:v>
                </c:pt>
                <c:pt idx="573">
                  <c:v>300</c:v>
                </c:pt>
                <c:pt idx="574">
                  <c:v>150</c:v>
                </c:pt>
                <c:pt idx="575">
                  <c:v>150</c:v>
                </c:pt>
                <c:pt idx="576">
                  <c:v>150</c:v>
                </c:pt>
                <c:pt idx="577">
                  <c:v>150</c:v>
                </c:pt>
                <c:pt idx="578">
                  <c:v>150</c:v>
                </c:pt>
                <c:pt idx="579">
                  <c:v>150</c:v>
                </c:pt>
                <c:pt idx="580">
                  <c:v>150</c:v>
                </c:pt>
                <c:pt idx="581">
                  <c:v>150</c:v>
                </c:pt>
                <c:pt idx="582">
                  <c:v>150</c:v>
                </c:pt>
                <c:pt idx="583">
                  <c:v>150</c:v>
                </c:pt>
                <c:pt idx="584">
                  <c:v>150</c:v>
                </c:pt>
                <c:pt idx="585">
                  <c:v>150</c:v>
                </c:pt>
                <c:pt idx="586">
                  <c:v>150</c:v>
                </c:pt>
                <c:pt idx="587">
                  <c:v>150</c:v>
                </c:pt>
                <c:pt idx="588">
                  <c:v>150</c:v>
                </c:pt>
                <c:pt idx="589">
                  <c:v>150</c:v>
                </c:pt>
                <c:pt idx="590">
                  <c:v>150</c:v>
                </c:pt>
                <c:pt idx="591">
                  <c:v>150</c:v>
                </c:pt>
                <c:pt idx="592">
                  <c:v>150</c:v>
                </c:pt>
                <c:pt idx="593">
                  <c:v>150</c:v>
                </c:pt>
                <c:pt idx="594">
                  <c:v>150</c:v>
                </c:pt>
                <c:pt idx="595">
                  <c:v>150</c:v>
                </c:pt>
                <c:pt idx="596">
                  <c:v>150</c:v>
                </c:pt>
                <c:pt idx="597">
                  <c:v>150</c:v>
                </c:pt>
                <c:pt idx="598">
                  <c:v>150</c:v>
                </c:pt>
                <c:pt idx="599">
                  <c:v>150</c:v>
                </c:pt>
                <c:pt idx="600">
                  <c:v>150</c:v>
                </c:pt>
                <c:pt idx="601">
                  <c:v>150</c:v>
                </c:pt>
                <c:pt idx="602">
                  <c:v>150</c:v>
                </c:pt>
                <c:pt idx="603">
                  <c:v>150</c:v>
                </c:pt>
                <c:pt idx="604">
                  <c:v>150</c:v>
                </c:pt>
                <c:pt idx="605">
                  <c:v>150</c:v>
                </c:pt>
                <c:pt idx="606">
                  <c:v>150</c:v>
                </c:pt>
                <c:pt idx="607">
                  <c:v>150</c:v>
                </c:pt>
                <c:pt idx="608">
                  <c:v>150</c:v>
                </c:pt>
                <c:pt idx="609">
                  <c:v>150</c:v>
                </c:pt>
                <c:pt idx="610">
                  <c:v>150</c:v>
                </c:pt>
                <c:pt idx="611">
                  <c:v>150</c:v>
                </c:pt>
                <c:pt idx="612">
                  <c:v>150</c:v>
                </c:pt>
                <c:pt idx="613">
                  <c:v>150</c:v>
                </c:pt>
                <c:pt idx="614">
                  <c:v>150</c:v>
                </c:pt>
                <c:pt idx="615">
                  <c:v>150</c:v>
                </c:pt>
                <c:pt idx="616">
                  <c:v>150</c:v>
                </c:pt>
                <c:pt idx="617">
                  <c:v>150</c:v>
                </c:pt>
                <c:pt idx="618">
                  <c:v>150</c:v>
                </c:pt>
                <c:pt idx="619">
                  <c:v>150</c:v>
                </c:pt>
                <c:pt idx="620">
                  <c:v>150</c:v>
                </c:pt>
                <c:pt idx="621">
                  <c:v>150</c:v>
                </c:pt>
                <c:pt idx="622">
                  <c:v>150</c:v>
                </c:pt>
                <c:pt idx="623">
                  <c:v>150</c:v>
                </c:pt>
                <c:pt idx="624">
                  <c:v>150</c:v>
                </c:pt>
                <c:pt idx="625">
                  <c:v>150</c:v>
                </c:pt>
                <c:pt idx="626">
                  <c:v>150</c:v>
                </c:pt>
                <c:pt idx="627">
                  <c:v>150</c:v>
                </c:pt>
                <c:pt idx="628">
                  <c:v>150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150</c:v>
                </c:pt>
                <c:pt idx="663">
                  <c:v>150</c:v>
                </c:pt>
                <c:pt idx="664">
                  <c:v>150</c:v>
                </c:pt>
                <c:pt idx="665">
                  <c:v>150</c:v>
                </c:pt>
                <c:pt idx="666">
                  <c:v>150</c:v>
                </c:pt>
                <c:pt idx="667">
                  <c:v>150</c:v>
                </c:pt>
                <c:pt idx="668">
                  <c:v>150</c:v>
                </c:pt>
                <c:pt idx="669">
                  <c:v>150</c:v>
                </c:pt>
                <c:pt idx="670">
                  <c:v>150</c:v>
                </c:pt>
                <c:pt idx="671">
                  <c:v>150</c:v>
                </c:pt>
                <c:pt idx="672">
                  <c:v>150</c:v>
                </c:pt>
                <c:pt idx="673">
                  <c:v>150</c:v>
                </c:pt>
                <c:pt idx="674">
                  <c:v>150</c:v>
                </c:pt>
                <c:pt idx="675">
                  <c:v>150</c:v>
                </c:pt>
                <c:pt idx="676">
                  <c:v>150</c:v>
                </c:pt>
                <c:pt idx="677">
                  <c:v>150</c:v>
                </c:pt>
                <c:pt idx="678">
                  <c:v>150</c:v>
                </c:pt>
                <c:pt idx="679">
                  <c:v>150</c:v>
                </c:pt>
                <c:pt idx="680">
                  <c:v>150</c:v>
                </c:pt>
                <c:pt idx="681">
                  <c:v>150</c:v>
                </c:pt>
                <c:pt idx="682">
                  <c:v>150</c:v>
                </c:pt>
                <c:pt idx="683">
                  <c:v>150</c:v>
                </c:pt>
                <c:pt idx="684">
                  <c:v>150</c:v>
                </c:pt>
                <c:pt idx="685">
                  <c:v>150</c:v>
                </c:pt>
                <c:pt idx="686">
                  <c:v>150</c:v>
                </c:pt>
                <c:pt idx="687">
                  <c:v>150</c:v>
                </c:pt>
                <c:pt idx="688">
                  <c:v>150</c:v>
                </c:pt>
                <c:pt idx="689">
                  <c:v>150</c:v>
                </c:pt>
                <c:pt idx="690">
                  <c:v>150</c:v>
                </c:pt>
                <c:pt idx="691">
                  <c:v>150</c:v>
                </c:pt>
                <c:pt idx="692">
                  <c:v>150</c:v>
                </c:pt>
                <c:pt idx="693">
                  <c:v>150</c:v>
                </c:pt>
                <c:pt idx="694">
                  <c:v>150</c:v>
                </c:pt>
                <c:pt idx="695">
                  <c:v>150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150</c:v>
                </c:pt>
                <c:pt idx="721">
                  <c:v>150</c:v>
                </c:pt>
                <c:pt idx="722">
                  <c:v>150</c:v>
                </c:pt>
                <c:pt idx="723">
                  <c:v>150</c:v>
                </c:pt>
                <c:pt idx="724">
                  <c:v>150</c:v>
                </c:pt>
                <c:pt idx="725">
                  <c:v>150</c:v>
                </c:pt>
                <c:pt idx="726">
                  <c:v>150</c:v>
                </c:pt>
                <c:pt idx="727">
                  <c:v>150</c:v>
                </c:pt>
                <c:pt idx="728">
                  <c:v>150</c:v>
                </c:pt>
                <c:pt idx="729">
                  <c:v>150</c:v>
                </c:pt>
                <c:pt idx="730">
                  <c:v>150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</c:numCache>
            </c:numRef>
          </c:xVal>
          <c:yVal>
            <c:numRef>
              <c:f>'Regresión lineal'!$O$2:$O$737</c:f>
              <c:numCache>
                <c:formatCode>General</c:formatCode>
                <c:ptCount val="736"/>
                <c:pt idx="0">
                  <c:v>0.26614709865000008</c:v>
                </c:pt>
                <c:pt idx="1">
                  <c:v>0.13099311681250003</c:v>
                </c:pt>
                <c:pt idx="2">
                  <c:v>5.43428496E-2</c:v>
                </c:pt>
                <c:pt idx="3">
                  <c:v>0.16300518720000007</c:v>
                </c:pt>
                <c:pt idx="4">
                  <c:v>0.17791985749999997</c:v>
                </c:pt>
                <c:pt idx="5">
                  <c:v>0.27891806959800008</c:v>
                </c:pt>
                <c:pt idx="6">
                  <c:v>0.14882176583050002</c:v>
                </c:pt>
                <c:pt idx="7">
                  <c:v>0.32077314877500002</c:v>
                </c:pt>
                <c:pt idx="8">
                  <c:v>3.0037585086000001E-2</c:v>
                </c:pt>
                <c:pt idx="9">
                  <c:v>0.15592813156249999</c:v>
                </c:pt>
                <c:pt idx="10">
                  <c:v>3.5039197200000004E-2</c:v>
                </c:pt>
                <c:pt idx="11">
                  <c:v>0.12782485744049998</c:v>
                </c:pt>
                <c:pt idx="12">
                  <c:v>3.8383485992500008E-2</c:v>
                </c:pt>
                <c:pt idx="13">
                  <c:v>8.2281592431999992E-2</c:v>
                </c:pt>
                <c:pt idx="14">
                  <c:v>8.146266944199998E-2</c:v>
                </c:pt>
                <c:pt idx="15">
                  <c:v>0.131482464696</c:v>
                </c:pt>
                <c:pt idx="16">
                  <c:v>6.8217339008000019E-2</c:v>
                </c:pt>
                <c:pt idx="17">
                  <c:v>0.2995323471650001</c:v>
                </c:pt>
                <c:pt idx="18">
                  <c:v>3.4560712224999998E-2</c:v>
                </c:pt>
                <c:pt idx="19">
                  <c:v>0.22216149100800001</c:v>
                </c:pt>
                <c:pt idx="20">
                  <c:v>5.3613488437499995E-2</c:v>
                </c:pt>
                <c:pt idx="21">
                  <c:v>0.31882603932799997</c:v>
                </c:pt>
                <c:pt idx="22">
                  <c:v>0.1181985961</c:v>
                </c:pt>
                <c:pt idx="23">
                  <c:v>6.4433902375500007E-2</c:v>
                </c:pt>
                <c:pt idx="24">
                  <c:v>0.18978842557499997</c:v>
                </c:pt>
                <c:pt idx="25">
                  <c:v>0.2032176721675</c:v>
                </c:pt>
                <c:pt idx="26">
                  <c:v>3.5037834125999992E-2</c:v>
                </c:pt>
                <c:pt idx="27">
                  <c:v>0.23146293936600004</c:v>
                </c:pt>
                <c:pt idx="28">
                  <c:v>6.6881384167500016E-2</c:v>
                </c:pt>
                <c:pt idx="29">
                  <c:v>0.13304273218749998</c:v>
                </c:pt>
                <c:pt idx="30">
                  <c:v>0.53098080249599999</c:v>
                </c:pt>
                <c:pt idx="31">
                  <c:v>0.50904180335999982</c:v>
                </c:pt>
                <c:pt idx="32">
                  <c:v>0.73165961384749989</c:v>
                </c:pt>
                <c:pt idx="33">
                  <c:v>1.1594775617999999</c:v>
                </c:pt>
                <c:pt idx="34">
                  <c:v>1.0623695274945002</c:v>
                </c:pt>
                <c:pt idx="35">
                  <c:v>0.11326072331699999</c:v>
                </c:pt>
                <c:pt idx="36">
                  <c:v>0.63920810188800015</c:v>
                </c:pt>
                <c:pt idx="37">
                  <c:v>0.56573635501800024</c:v>
                </c:pt>
                <c:pt idx="38">
                  <c:v>9.1180584792000016E-2</c:v>
                </c:pt>
                <c:pt idx="39">
                  <c:v>0.49012590547800017</c:v>
                </c:pt>
                <c:pt idx="40">
                  <c:v>0.92448104855399982</c:v>
                </c:pt>
                <c:pt idx="41">
                  <c:v>1.7115759658080001</c:v>
                </c:pt>
                <c:pt idx="42">
                  <c:v>1.0296266147279998</c:v>
                </c:pt>
                <c:pt idx="43">
                  <c:v>0.78667500662400003</c:v>
                </c:pt>
                <c:pt idx="44">
                  <c:v>0.44250242508800003</c:v>
                </c:pt>
                <c:pt idx="45">
                  <c:v>8.5884915681499988E-2</c:v>
                </c:pt>
                <c:pt idx="46">
                  <c:v>7.3563321139199995E-3</c:v>
                </c:pt>
                <c:pt idx="47">
                  <c:v>0.60473907625000012</c:v>
                </c:pt>
                <c:pt idx="48">
                  <c:v>0.36747739809000007</c:v>
                </c:pt>
                <c:pt idx="49">
                  <c:v>1.0704967640605001</c:v>
                </c:pt>
                <c:pt idx="50">
                  <c:v>0.88171023657600001</c:v>
                </c:pt>
                <c:pt idx="51">
                  <c:v>5.8678965796500011E-2</c:v>
                </c:pt>
                <c:pt idx="52">
                  <c:v>1.3032266675999999</c:v>
                </c:pt>
                <c:pt idx="53">
                  <c:v>0.46680853708799996</c:v>
                </c:pt>
                <c:pt idx="54">
                  <c:v>6.5663836999999975E-2</c:v>
                </c:pt>
                <c:pt idx="55">
                  <c:v>9.5373575000000013E-3</c:v>
                </c:pt>
                <c:pt idx="56">
                  <c:v>0.28584990000000005</c:v>
                </c:pt>
                <c:pt idx="57">
                  <c:v>7.8283811000000023E-2</c:v>
                </c:pt>
                <c:pt idx="58">
                  <c:v>0.43949952000000014</c:v>
                </c:pt>
                <c:pt idx="59">
                  <c:v>0.10023665000000001</c:v>
                </c:pt>
                <c:pt idx="60">
                  <c:v>0.11774976450000002</c:v>
                </c:pt>
                <c:pt idx="61">
                  <c:v>1.0300770000000004E-2</c:v>
                </c:pt>
                <c:pt idx="62">
                  <c:v>1.9964120000000002E-2</c:v>
                </c:pt>
                <c:pt idx="63">
                  <c:v>0.24871940000000006</c:v>
                </c:pt>
                <c:pt idx="64">
                  <c:v>0.33321931199999999</c:v>
                </c:pt>
                <c:pt idx="65">
                  <c:v>0.27778457449999999</c:v>
                </c:pt>
                <c:pt idx="66">
                  <c:v>0.18482432500000004</c:v>
                </c:pt>
                <c:pt idx="67">
                  <c:v>0.11016101250000002</c:v>
                </c:pt>
                <c:pt idx="68">
                  <c:v>0.40754688000000017</c:v>
                </c:pt>
                <c:pt idx="69">
                  <c:v>6.0213425000000001E-2</c:v>
                </c:pt>
                <c:pt idx="70">
                  <c:v>1.4427420800000001</c:v>
                </c:pt>
                <c:pt idx="71">
                  <c:v>0.56543549999999998</c:v>
                </c:pt>
                <c:pt idx="72">
                  <c:v>0.21884544000000006</c:v>
                </c:pt>
                <c:pt idx="73">
                  <c:v>0.210135708</c:v>
                </c:pt>
                <c:pt idx="74">
                  <c:v>9.3434625000000007E-2</c:v>
                </c:pt>
                <c:pt idx="75">
                  <c:v>2.4937879999999999E-2</c:v>
                </c:pt>
                <c:pt idx="76">
                  <c:v>4.9910300000000005E-3</c:v>
                </c:pt>
                <c:pt idx="77">
                  <c:v>0.30638361600000008</c:v>
                </c:pt>
                <c:pt idx="78">
                  <c:v>0.15386000000000002</c:v>
                </c:pt>
                <c:pt idx="79">
                  <c:v>6.9301056000000028E-2</c:v>
                </c:pt>
                <c:pt idx="80">
                  <c:v>0.19596740000000001</c:v>
                </c:pt>
                <c:pt idx="81">
                  <c:v>0.19802606250000002</c:v>
                </c:pt>
                <c:pt idx="82">
                  <c:v>0.18573696599999998</c:v>
                </c:pt>
                <c:pt idx="83">
                  <c:v>0.31012429800000002</c:v>
                </c:pt>
                <c:pt idx="84">
                  <c:v>0.14996734200000003</c:v>
                </c:pt>
                <c:pt idx="85">
                  <c:v>0.32929399800000003</c:v>
                </c:pt>
                <c:pt idx="86">
                  <c:v>9.1273520000000035E-3</c:v>
                </c:pt>
                <c:pt idx="87">
                  <c:v>0.19958625000000002</c:v>
                </c:pt>
                <c:pt idx="88">
                  <c:v>0.19846150200000001</c:v>
                </c:pt>
                <c:pt idx="89">
                  <c:v>0.45341600000000004</c:v>
                </c:pt>
                <c:pt idx="90">
                  <c:v>2.441664000000001E-2</c:v>
                </c:pt>
                <c:pt idx="91">
                  <c:v>0.25402348800000002</c:v>
                </c:pt>
                <c:pt idx="92">
                  <c:v>0.3806172980000001</c:v>
                </c:pt>
                <c:pt idx="93">
                  <c:v>0.31987965000000007</c:v>
                </c:pt>
                <c:pt idx="94">
                  <c:v>0.85559976000000004</c:v>
                </c:pt>
                <c:pt idx="95">
                  <c:v>0.16123837200000002</c:v>
                </c:pt>
                <c:pt idx="96">
                  <c:v>2.9194699500000008E-2</c:v>
                </c:pt>
                <c:pt idx="97">
                  <c:v>0.53726844400000007</c:v>
                </c:pt>
                <c:pt idx="98">
                  <c:v>3.5341956000000001E-2</c:v>
                </c:pt>
                <c:pt idx="99">
                  <c:v>0.28080768799999994</c:v>
                </c:pt>
                <c:pt idx="100">
                  <c:v>0.1078289345</c:v>
                </c:pt>
                <c:pt idx="101">
                  <c:v>7.9811264000000035E-2</c:v>
                </c:pt>
                <c:pt idx="102">
                  <c:v>0.14306625000000001</c:v>
                </c:pt>
                <c:pt idx="103">
                  <c:v>0.45679150000000002</c:v>
                </c:pt>
                <c:pt idx="104">
                  <c:v>0.55556757899999998</c:v>
                </c:pt>
                <c:pt idx="105">
                  <c:v>1.4349046399999998</c:v>
                </c:pt>
                <c:pt idx="106">
                  <c:v>0.34710345000000009</c:v>
                </c:pt>
                <c:pt idx="107">
                  <c:v>0.42792422400000013</c:v>
                </c:pt>
                <c:pt idx="108">
                  <c:v>1.4593150000000004E-2</c:v>
                </c:pt>
                <c:pt idx="109">
                  <c:v>5.4339584000000024E-2</c:v>
                </c:pt>
                <c:pt idx="110">
                  <c:v>9.9701280000000017E-2</c:v>
                </c:pt>
                <c:pt idx="111">
                  <c:v>0.56484392400000005</c:v>
                </c:pt>
                <c:pt idx="112">
                  <c:v>0.46441102400000012</c:v>
                </c:pt>
                <c:pt idx="113">
                  <c:v>5.6543550000000012E-2</c:v>
                </c:pt>
                <c:pt idx="114">
                  <c:v>0.26116761599999999</c:v>
                </c:pt>
                <c:pt idx="115">
                  <c:v>0.50059889600000018</c:v>
                </c:pt>
                <c:pt idx="116">
                  <c:v>0.31987965000000007</c:v>
                </c:pt>
                <c:pt idx="117">
                  <c:v>0.74292400000000014</c:v>
                </c:pt>
                <c:pt idx="118">
                  <c:v>3.233352200000001E-2</c:v>
                </c:pt>
                <c:pt idx="119">
                  <c:v>6.4958907000000024E-2</c:v>
                </c:pt>
                <c:pt idx="120">
                  <c:v>0.37092568800000009</c:v>
                </c:pt>
                <c:pt idx="121">
                  <c:v>0.21883201650000009</c:v>
                </c:pt>
                <c:pt idx="122">
                  <c:v>5.7226500000000007E-2</c:v>
                </c:pt>
                <c:pt idx="123">
                  <c:v>0.17095039199999998</c:v>
                </c:pt>
                <c:pt idx="124">
                  <c:v>0.14279668100000001</c:v>
                </c:pt>
                <c:pt idx="125">
                  <c:v>5.064192E-2</c:v>
                </c:pt>
                <c:pt idx="126">
                  <c:v>0.25236886499999994</c:v>
                </c:pt>
                <c:pt idx="127">
                  <c:v>0.41448000000000002</c:v>
                </c:pt>
                <c:pt idx="128">
                  <c:v>0.74983671000000018</c:v>
                </c:pt>
                <c:pt idx="129">
                  <c:v>0.56946780949999998</c:v>
                </c:pt>
                <c:pt idx="130">
                  <c:v>0.30343766800000005</c:v>
                </c:pt>
                <c:pt idx="131">
                  <c:v>0.45656322199999999</c:v>
                </c:pt>
                <c:pt idx="132">
                  <c:v>2.5312482000000001E-2</c:v>
                </c:pt>
                <c:pt idx="133">
                  <c:v>0.13606098850000001</c:v>
                </c:pt>
                <c:pt idx="134">
                  <c:v>0.22015505550000003</c:v>
                </c:pt>
                <c:pt idx="135">
                  <c:v>0.63611493749999992</c:v>
                </c:pt>
                <c:pt idx="136">
                  <c:v>0.58643244449999998</c:v>
                </c:pt>
                <c:pt idx="137">
                  <c:v>6.5775149999999991E-2</c:v>
                </c:pt>
                <c:pt idx="138">
                  <c:v>0.15847580000000003</c:v>
                </c:pt>
                <c:pt idx="139">
                  <c:v>0.514827492</c:v>
                </c:pt>
                <c:pt idx="140">
                  <c:v>0.25547165599999994</c:v>
                </c:pt>
                <c:pt idx="141">
                  <c:v>0.30152038400000009</c:v>
                </c:pt>
                <c:pt idx="142">
                  <c:v>5.1409336000000007E-2</c:v>
                </c:pt>
                <c:pt idx="143">
                  <c:v>4.3237799999999993E-2</c:v>
                </c:pt>
                <c:pt idx="144">
                  <c:v>0.43994728400000005</c:v>
                </c:pt>
                <c:pt idx="145">
                  <c:v>3.829795200000001E-2</c:v>
                </c:pt>
                <c:pt idx="146">
                  <c:v>2.0547155200000005E-3</c:v>
                </c:pt>
                <c:pt idx="147">
                  <c:v>6.5043538635000016E-3</c:v>
                </c:pt>
                <c:pt idx="148">
                  <c:v>5.1290708998000006E-2</c:v>
                </c:pt>
                <c:pt idx="149">
                  <c:v>6.8273475299999989E-3</c:v>
                </c:pt>
                <c:pt idx="150">
                  <c:v>3.4372550079999997E-3</c:v>
                </c:pt>
                <c:pt idx="151">
                  <c:v>2.4567918606000001E-2</c:v>
                </c:pt>
                <c:pt idx="152">
                  <c:v>1.5487066787499998E-2</c:v>
                </c:pt>
                <c:pt idx="153">
                  <c:v>1.6200147678000001E-2</c:v>
                </c:pt>
                <c:pt idx="154">
                  <c:v>1.2808537280000001E-2</c:v>
                </c:pt>
                <c:pt idx="155">
                  <c:v>0.22957035868800002</c:v>
                </c:pt>
                <c:pt idx="156">
                  <c:v>4.6924529735000008E-3</c:v>
                </c:pt>
                <c:pt idx="157">
                  <c:v>8.4003536874999993E-2</c:v>
                </c:pt>
                <c:pt idx="158">
                  <c:v>5.1926209829999993E-3</c:v>
                </c:pt>
                <c:pt idx="159">
                  <c:v>1.7342192996000001E-2</c:v>
                </c:pt>
                <c:pt idx="160">
                  <c:v>1.07607172E-2</c:v>
                </c:pt>
                <c:pt idx="161">
                  <c:v>0.16430654536349998</c:v>
                </c:pt>
                <c:pt idx="162">
                  <c:v>3.0090032819999999E-3</c:v>
                </c:pt>
                <c:pt idx="163">
                  <c:v>1.7887681331999999E-2</c:v>
                </c:pt>
                <c:pt idx="164">
                  <c:v>1.4824517760000001E-2</c:v>
                </c:pt>
                <c:pt idx="165">
                  <c:v>1.8071901050000001E-4</c:v>
                </c:pt>
                <c:pt idx="166">
                  <c:v>1.4348712147E-2</c:v>
                </c:pt>
                <c:pt idx="167">
                  <c:v>8.0301541009500002E-2</c:v>
                </c:pt>
                <c:pt idx="168">
                  <c:v>4.9490161719999998E-3</c:v>
                </c:pt>
                <c:pt idx="169">
                  <c:v>1.7970847999999996E-3</c:v>
                </c:pt>
                <c:pt idx="170">
                  <c:v>1.7035792188500001E-2</c:v>
                </c:pt>
                <c:pt idx="171">
                  <c:v>5.9706044960000006E-3</c:v>
                </c:pt>
                <c:pt idx="172">
                  <c:v>5.9689879062499993E-2</c:v>
                </c:pt>
                <c:pt idx="173">
                  <c:v>0.12392959944199999</c:v>
                </c:pt>
                <c:pt idx="174">
                  <c:v>5.3508322615500009E-2</c:v>
                </c:pt>
                <c:pt idx="175">
                  <c:v>0.24679842053399995</c:v>
                </c:pt>
                <c:pt idx="176">
                  <c:v>2.2056484905000001E-3</c:v>
                </c:pt>
                <c:pt idx="177">
                  <c:v>1.7720503650000003E-3</c:v>
                </c:pt>
                <c:pt idx="178">
                  <c:v>6.8504809776000028E-2</c:v>
                </c:pt>
                <c:pt idx="179">
                  <c:v>4.7999244896500003E-2</c:v>
                </c:pt>
                <c:pt idx="180">
                  <c:v>6.0968251954999992E-3</c:v>
                </c:pt>
                <c:pt idx="181">
                  <c:v>3.8453128601999995E-2</c:v>
                </c:pt>
                <c:pt idx="182">
                  <c:v>2.1161901888000007E-2</c:v>
                </c:pt>
                <c:pt idx="183">
                  <c:v>2.0742626480000009E-2</c:v>
                </c:pt>
                <c:pt idx="184">
                  <c:v>8.8107369137999991E-2</c:v>
                </c:pt>
                <c:pt idx="185">
                  <c:v>4.2481273519999994E-3</c:v>
                </c:pt>
                <c:pt idx="186">
                  <c:v>1.5969327219999998E-3</c:v>
                </c:pt>
                <c:pt idx="187">
                  <c:v>1.2993618771E-2</c:v>
                </c:pt>
                <c:pt idx="188">
                  <c:v>1.9316024000000007E-3</c:v>
                </c:pt>
                <c:pt idx="189">
                  <c:v>1.1902048168000001E-2</c:v>
                </c:pt>
                <c:pt idx="190">
                  <c:v>7.6833589439999983E-3</c:v>
                </c:pt>
                <c:pt idx="191">
                  <c:v>3.2149160981999998E-2</c:v>
                </c:pt>
                <c:pt idx="192">
                  <c:v>6.8864504939999995E-3</c:v>
                </c:pt>
                <c:pt idx="193">
                  <c:v>1.0991371395000001E-3</c:v>
                </c:pt>
                <c:pt idx="194">
                  <c:v>3.0994789280000004E-2</c:v>
                </c:pt>
                <c:pt idx="195">
                  <c:v>0.21325043005799998</c:v>
                </c:pt>
                <c:pt idx="196">
                  <c:v>6.837021430399999E-2</c:v>
                </c:pt>
                <c:pt idx="197">
                  <c:v>5.3899005105000003E-3</c:v>
                </c:pt>
                <c:pt idx="198">
                  <c:v>8.8375599006499994E-2</c:v>
                </c:pt>
                <c:pt idx="199">
                  <c:v>0.12923572820650001</c:v>
                </c:pt>
                <c:pt idx="200">
                  <c:v>2.3238448493500007E-2</c:v>
                </c:pt>
                <c:pt idx="201">
                  <c:v>0</c:v>
                </c:pt>
                <c:pt idx="202">
                  <c:v>3.7040947199999993E-2</c:v>
                </c:pt>
                <c:pt idx="203">
                  <c:v>2.8616703999999999E-3</c:v>
                </c:pt>
                <c:pt idx="204">
                  <c:v>2.0279879027999999E-2</c:v>
                </c:pt>
                <c:pt idx="205">
                  <c:v>1.2248042256E-2</c:v>
                </c:pt>
                <c:pt idx="206">
                  <c:v>4.545785850000001E-3</c:v>
                </c:pt>
                <c:pt idx="207">
                  <c:v>5.444677731999999E-3</c:v>
                </c:pt>
                <c:pt idx="208">
                  <c:v>7.1057296465000018E-3</c:v>
                </c:pt>
                <c:pt idx="209">
                  <c:v>1.6821470939000001E-2</c:v>
                </c:pt>
                <c:pt idx="210">
                  <c:v>4.5261583379999993E-3</c:v>
                </c:pt>
                <c:pt idx="211">
                  <c:v>0.11643120000000001</c:v>
                </c:pt>
                <c:pt idx="212">
                  <c:v>0.14836500000000002</c:v>
                </c:pt>
                <c:pt idx="213">
                  <c:v>0.14725815000000003</c:v>
                </c:pt>
                <c:pt idx="214">
                  <c:v>5.5155669999999997E-2</c:v>
                </c:pt>
                <c:pt idx="215">
                  <c:v>3.4837043999999991E-2</c:v>
                </c:pt>
                <c:pt idx="216">
                  <c:v>0.19349464999999999</c:v>
                </c:pt>
                <c:pt idx="217">
                  <c:v>0.17464114800000002</c:v>
                </c:pt>
                <c:pt idx="218">
                  <c:v>0.14586328349999997</c:v>
                </c:pt>
                <c:pt idx="219">
                  <c:v>8.9608063999999973E-2</c:v>
                </c:pt>
                <c:pt idx="220">
                  <c:v>0.33088362299999996</c:v>
                </c:pt>
                <c:pt idx="221">
                  <c:v>9.4010343999999982E-2</c:v>
                </c:pt>
                <c:pt idx="222">
                  <c:v>5.1672153999999998E-2</c:v>
                </c:pt>
                <c:pt idx="223">
                  <c:v>0.17337415800000003</c:v>
                </c:pt>
                <c:pt idx="224">
                  <c:v>0.35584740800000009</c:v>
                </c:pt>
                <c:pt idx="225">
                  <c:v>8.4146269499999996E-2</c:v>
                </c:pt>
                <c:pt idx="226">
                  <c:v>9.156240000000003E-2</c:v>
                </c:pt>
                <c:pt idx="227">
                  <c:v>0.12013388799999997</c:v>
                </c:pt>
                <c:pt idx="228">
                  <c:v>0.20001800000000003</c:v>
                </c:pt>
                <c:pt idx="229">
                  <c:v>6.1041599999999994E-2</c:v>
                </c:pt>
                <c:pt idx="230">
                  <c:v>0.20998310400000009</c:v>
                </c:pt>
                <c:pt idx="231">
                  <c:v>3.2218912000000009E-2</c:v>
                </c:pt>
                <c:pt idx="232">
                  <c:v>2.3216375000000004E-2</c:v>
                </c:pt>
                <c:pt idx="233">
                  <c:v>1.4537650500000001E-2</c:v>
                </c:pt>
                <c:pt idx="234">
                  <c:v>2.4617600000000007E-2</c:v>
                </c:pt>
                <c:pt idx="235">
                  <c:v>2.8446201999999993E-2</c:v>
                </c:pt>
                <c:pt idx="236">
                  <c:v>2.0929356000000003E-2</c:v>
                </c:pt>
                <c:pt idx="237">
                  <c:v>2.8371156000000012E-2</c:v>
                </c:pt>
                <c:pt idx="238">
                  <c:v>1.8465084000000003E-2</c:v>
                </c:pt>
                <c:pt idx="239">
                  <c:v>2.3426283999999995E-2</c:v>
                </c:pt>
                <c:pt idx="240">
                  <c:v>0.31061256800000009</c:v>
                </c:pt>
                <c:pt idx="241">
                  <c:v>0.29414954800000004</c:v>
                </c:pt>
                <c:pt idx="242">
                  <c:v>0.20488500000000001</c:v>
                </c:pt>
                <c:pt idx="243">
                  <c:v>0.16835353350000004</c:v>
                </c:pt>
                <c:pt idx="244">
                  <c:v>0.23115549600000002</c:v>
                </c:pt>
                <c:pt idx="245">
                  <c:v>4.2132991000000002E-2</c:v>
                </c:pt>
                <c:pt idx="246">
                  <c:v>1.9832868000000003E-2</c:v>
                </c:pt>
                <c:pt idx="247">
                  <c:v>0.22308067200000001</c:v>
                </c:pt>
                <c:pt idx="248">
                  <c:v>0.2777456385</c:v>
                </c:pt>
                <c:pt idx="249">
                  <c:v>8.0737250000000003E-3</c:v>
                </c:pt>
                <c:pt idx="250">
                  <c:v>0.2333760255</c:v>
                </c:pt>
                <c:pt idx="251">
                  <c:v>9.1400533000000006E-2</c:v>
                </c:pt>
                <c:pt idx="252">
                  <c:v>0.13797160000000003</c:v>
                </c:pt>
                <c:pt idx="253">
                  <c:v>8.9966651999999994E-2</c:v>
                </c:pt>
                <c:pt idx="254">
                  <c:v>8.3280650000000025E-2</c:v>
                </c:pt>
                <c:pt idx="255">
                  <c:v>4.7426560000000005E-3</c:v>
                </c:pt>
                <c:pt idx="256">
                  <c:v>0.22961250000000002</c:v>
                </c:pt>
                <c:pt idx="257">
                  <c:v>2.0327104000000002E-2</c:v>
                </c:pt>
                <c:pt idx="258">
                  <c:v>2.8391016500000001E-2</c:v>
                </c:pt>
                <c:pt idx="259">
                  <c:v>2.1877164999999999E-3</c:v>
                </c:pt>
                <c:pt idx="260">
                  <c:v>5.1927749999999995E-2</c:v>
                </c:pt>
                <c:pt idx="261">
                  <c:v>3.6172800000000002E-4</c:v>
                </c:pt>
                <c:pt idx="262">
                  <c:v>4.0192000000000005E-3</c:v>
                </c:pt>
                <c:pt idx="263">
                  <c:v>2.3081355000000004E-3</c:v>
                </c:pt>
                <c:pt idx="264">
                  <c:v>5.8958210000000004E-2</c:v>
                </c:pt>
                <c:pt idx="265">
                  <c:v>7.6937850000000002E-2</c:v>
                </c:pt>
                <c:pt idx="266">
                  <c:v>2.6745264000000001E-2</c:v>
                </c:pt>
                <c:pt idx="267">
                  <c:v>7.6073957499999983E-2</c:v>
                </c:pt>
                <c:pt idx="268">
                  <c:v>2.7282910500000004E-2</c:v>
                </c:pt>
                <c:pt idx="269">
                  <c:v>0.106717296</c:v>
                </c:pt>
                <c:pt idx="270">
                  <c:v>7.9811264000000035E-2</c:v>
                </c:pt>
                <c:pt idx="271">
                  <c:v>2.7887125000000002E-3</c:v>
                </c:pt>
                <c:pt idx="272">
                  <c:v>1.4282603999999999E-2</c:v>
                </c:pt>
                <c:pt idx="273">
                  <c:v>6.4909687499999993E-2</c:v>
                </c:pt>
                <c:pt idx="274">
                  <c:v>4.6446880000000001E-3</c:v>
                </c:pt>
                <c:pt idx="275">
                  <c:v>0.10599132800000001</c:v>
                </c:pt>
                <c:pt idx="276">
                  <c:v>9.7385373000000025E-2</c:v>
                </c:pt>
                <c:pt idx="277">
                  <c:v>5.2441061499999983E-2</c:v>
                </c:pt>
                <c:pt idx="278">
                  <c:v>0.11939850000000002</c:v>
                </c:pt>
                <c:pt idx="279">
                  <c:v>5.2773980000000009E-3</c:v>
                </c:pt>
                <c:pt idx="280">
                  <c:v>1.9782000000000001E-2</c:v>
                </c:pt>
                <c:pt idx="281">
                  <c:v>8.0884516000000017E-2</c:v>
                </c:pt>
                <c:pt idx="282">
                  <c:v>1.5992961999999999E-2</c:v>
                </c:pt>
                <c:pt idx="283">
                  <c:v>3.1792499999999999E-4</c:v>
                </c:pt>
                <c:pt idx="284">
                  <c:v>1.0326883181999999E-2</c:v>
                </c:pt>
                <c:pt idx="285">
                  <c:v>1.3173179200000002E-3</c:v>
                </c:pt>
                <c:pt idx="286">
                  <c:v>3.7326337089999993E-3</c:v>
                </c:pt>
                <c:pt idx="287">
                  <c:v>1.1408802991859999</c:v>
                </c:pt>
                <c:pt idx="288">
                  <c:v>0.37046940486600005</c:v>
                </c:pt>
                <c:pt idx="289">
                  <c:v>0.49732078137299995</c:v>
                </c:pt>
                <c:pt idx="290">
                  <c:v>6.3185686200000011E-4</c:v>
                </c:pt>
                <c:pt idx="291">
                  <c:v>1.99451313995E-2</c:v>
                </c:pt>
                <c:pt idx="292">
                  <c:v>0.10205104813200004</c:v>
                </c:pt>
                <c:pt idx="293">
                  <c:v>2.7697626000000003E-2</c:v>
                </c:pt>
                <c:pt idx="294">
                  <c:v>1.6426477936000005E-2</c:v>
                </c:pt>
                <c:pt idx="295">
                  <c:v>5.8554031162500006E-2</c:v>
                </c:pt>
                <c:pt idx="296">
                  <c:v>3.2279961449999998E-3</c:v>
                </c:pt>
                <c:pt idx="297">
                  <c:v>0.14238543645599999</c:v>
                </c:pt>
                <c:pt idx="298">
                  <c:v>7.1189460320999987E-2</c:v>
                </c:pt>
                <c:pt idx="299">
                  <c:v>1.9920561920000004E-3</c:v>
                </c:pt>
                <c:pt idx="300">
                  <c:v>1.1701053000000002E-3</c:v>
                </c:pt>
                <c:pt idx="301">
                  <c:v>3.5678250000000002E-2</c:v>
                </c:pt>
                <c:pt idx="302">
                  <c:v>7.8517426214999991E-3</c:v>
                </c:pt>
                <c:pt idx="303">
                  <c:v>8.0352188345999997E-2</c:v>
                </c:pt>
                <c:pt idx="304">
                  <c:v>3.3741959580000005E-3</c:v>
                </c:pt>
                <c:pt idx="305">
                  <c:v>1.9712529854999995E-3</c:v>
                </c:pt>
                <c:pt idx="306">
                  <c:v>1.161191625E-2</c:v>
                </c:pt>
                <c:pt idx="307">
                  <c:v>3.4131725817499993E-2</c:v>
                </c:pt>
                <c:pt idx="308">
                  <c:v>1.2835365597000003E-2</c:v>
                </c:pt>
                <c:pt idx="309">
                  <c:v>0.45626642668800016</c:v>
                </c:pt>
                <c:pt idx="310">
                  <c:v>9.4184203680500012E-2</c:v>
                </c:pt>
                <c:pt idx="311">
                  <c:v>1.1753071496000004E-2</c:v>
                </c:pt>
                <c:pt idx="312">
                  <c:v>0.3423715328000001</c:v>
                </c:pt>
                <c:pt idx="313">
                  <c:v>2.035203717E-2</c:v>
                </c:pt>
                <c:pt idx="314">
                  <c:v>2.5145324099999991E-4</c:v>
                </c:pt>
                <c:pt idx="315">
                  <c:v>2.0288355458E-2</c:v>
                </c:pt>
                <c:pt idx="316">
                  <c:v>1.3328122500000001E-3</c:v>
                </c:pt>
                <c:pt idx="317">
                  <c:v>8.7868647811999989E-2</c:v>
                </c:pt>
                <c:pt idx="318">
                  <c:v>4.5615125400000005E-2</c:v>
                </c:pt>
                <c:pt idx="319">
                  <c:v>4.6212949999999996E-5</c:v>
                </c:pt>
                <c:pt idx="320">
                  <c:v>0.12316520694799998</c:v>
                </c:pt>
                <c:pt idx="321">
                  <c:v>4.4911631321999997E-2</c:v>
                </c:pt>
                <c:pt idx="322">
                  <c:v>0.21656910461450005</c:v>
                </c:pt>
                <c:pt idx="323">
                  <c:v>3.78546939E-2</c:v>
                </c:pt>
                <c:pt idx="324">
                  <c:v>2.6660416175999999E-2</c:v>
                </c:pt>
                <c:pt idx="325">
                  <c:v>0.38782282477500002</c:v>
                </c:pt>
                <c:pt idx="326">
                  <c:v>0.25738390092799995</c:v>
                </c:pt>
                <c:pt idx="327">
                  <c:v>7.5946966480000006E-3</c:v>
                </c:pt>
                <c:pt idx="328">
                  <c:v>2.7332584044000002E-2</c:v>
                </c:pt>
                <c:pt idx="329">
                  <c:v>0.82563466463999968</c:v>
                </c:pt>
                <c:pt idx="330">
                  <c:v>0.46950857535999996</c:v>
                </c:pt>
                <c:pt idx="331">
                  <c:v>0.33606057239999998</c:v>
                </c:pt>
                <c:pt idx="332">
                  <c:v>0.37000351270400006</c:v>
                </c:pt>
                <c:pt idx="333">
                  <c:v>2.1947873529600002</c:v>
                </c:pt>
                <c:pt idx="334">
                  <c:v>0.17567954348800002</c:v>
                </c:pt>
                <c:pt idx="335">
                  <c:v>0.29447901406999999</c:v>
                </c:pt>
                <c:pt idx="336">
                  <c:v>0.34743371520000016</c:v>
                </c:pt>
                <c:pt idx="337">
                  <c:v>0.8126357044935002</c:v>
                </c:pt>
                <c:pt idx="338">
                  <c:v>0.30623639348900006</c:v>
                </c:pt>
                <c:pt idx="339">
                  <c:v>0.29632013737000001</c:v>
                </c:pt>
                <c:pt idx="340">
                  <c:v>0.50848447612500014</c:v>
                </c:pt>
                <c:pt idx="341">
                  <c:v>0.64392794830000011</c:v>
                </c:pt>
                <c:pt idx="342">
                  <c:v>1.6115665663999999E-2</c:v>
                </c:pt>
                <c:pt idx="343">
                  <c:v>0.89459918854949982</c:v>
                </c:pt>
                <c:pt idx="344">
                  <c:v>3.4826592509999997E-2</c:v>
                </c:pt>
                <c:pt idx="345">
                  <c:v>1.6361048804579998</c:v>
                </c:pt>
                <c:pt idx="346">
                  <c:v>0.27851564766899989</c:v>
                </c:pt>
                <c:pt idx="347">
                  <c:v>0.54623725739999984</c:v>
                </c:pt>
                <c:pt idx="348">
                  <c:v>0.96218032666250008</c:v>
                </c:pt>
                <c:pt idx="349">
                  <c:v>0.38068358928750007</c:v>
                </c:pt>
                <c:pt idx="350">
                  <c:v>0.53021642389649992</c:v>
                </c:pt>
                <c:pt idx="351">
                  <c:v>0.21955186738749999</c:v>
                </c:pt>
                <c:pt idx="352">
                  <c:v>0.50559366260000005</c:v>
                </c:pt>
                <c:pt idx="353">
                  <c:v>0.60533845515000007</c:v>
                </c:pt>
                <c:pt idx="354">
                  <c:v>0.28503710707500002</c:v>
                </c:pt>
                <c:pt idx="355">
                  <c:v>0.63290306415600017</c:v>
                </c:pt>
                <c:pt idx="356">
                  <c:v>0.52335811840000024</c:v>
                </c:pt>
                <c:pt idx="357">
                  <c:v>0.82494079685999988</c:v>
                </c:pt>
                <c:pt idx="358">
                  <c:v>0.37434019088199999</c:v>
                </c:pt>
                <c:pt idx="359">
                  <c:v>0.61169910181100018</c:v>
                </c:pt>
                <c:pt idx="360">
                  <c:v>1.0001382620354997</c:v>
                </c:pt>
                <c:pt idx="361">
                  <c:v>0.75537437741899993</c:v>
                </c:pt>
                <c:pt idx="362">
                  <c:v>0.75604809707499998</c:v>
                </c:pt>
                <c:pt idx="363">
                  <c:v>0.91531773648900006</c:v>
                </c:pt>
                <c:pt idx="364">
                  <c:v>6.2030332620000017E-3</c:v>
                </c:pt>
                <c:pt idx="365">
                  <c:v>1.4921476212320002</c:v>
                </c:pt>
                <c:pt idx="366">
                  <c:v>0.29464698931200001</c:v>
                </c:pt>
                <c:pt idx="367">
                  <c:v>0.95013800079999999</c:v>
                </c:pt>
                <c:pt idx="368">
                  <c:v>0.37686129279999997</c:v>
                </c:pt>
                <c:pt idx="369">
                  <c:v>0.22408277992100004</c:v>
                </c:pt>
                <c:pt idx="370">
                  <c:v>0.27008544867400003</c:v>
                </c:pt>
                <c:pt idx="371">
                  <c:v>1.9748221026099997</c:v>
                </c:pt>
                <c:pt idx="372">
                  <c:v>0.41975469759999995</c:v>
                </c:pt>
                <c:pt idx="373">
                  <c:v>0.24429185673749998</c:v>
                </c:pt>
                <c:pt idx="374">
                  <c:v>0.94959487500000006</c:v>
                </c:pt>
                <c:pt idx="375">
                  <c:v>3.3173892991574996</c:v>
                </c:pt>
                <c:pt idx="376">
                  <c:v>0.6406011104499999</c:v>
                </c:pt>
                <c:pt idx="377">
                  <c:v>1.4540521361965</c:v>
                </c:pt>
                <c:pt idx="378">
                  <c:v>5.7516070800000027E-2</c:v>
                </c:pt>
                <c:pt idx="379">
                  <c:v>0.73680933717100028</c:v>
                </c:pt>
                <c:pt idx="380">
                  <c:v>1.3782910778125004</c:v>
                </c:pt>
                <c:pt idx="381">
                  <c:v>1.0549304139999998</c:v>
                </c:pt>
                <c:pt idx="382">
                  <c:v>0.77870507715000015</c:v>
                </c:pt>
                <c:pt idx="383">
                  <c:v>0.59919464637000008</c:v>
                </c:pt>
                <c:pt idx="384">
                  <c:v>1.0152575188000001E-2</c:v>
                </c:pt>
                <c:pt idx="385">
                  <c:v>0.1609130385625</c:v>
                </c:pt>
                <c:pt idx="386">
                  <c:v>0.833921220096</c:v>
                </c:pt>
                <c:pt idx="387">
                  <c:v>1.0902659505840002</c:v>
                </c:pt>
                <c:pt idx="388">
                  <c:v>0.29599718397399999</c:v>
                </c:pt>
                <c:pt idx="389">
                  <c:v>0.14780368857600007</c:v>
                </c:pt>
                <c:pt idx="390">
                  <c:v>2.5868776253499998E-2</c:v>
                </c:pt>
                <c:pt idx="391">
                  <c:v>3.0263378875000002E-3</c:v>
                </c:pt>
                <c:pt idx="392">
                  <c:v>3.0373576703999993E-2</c:v>
                </c:pt>
                <c:pt idx="393">
                  <c:v>0.25518385042950004</c:v>
                </c:pt>
                <c:pt idx="394">
                  <c:v>3.9609512730000011E-2</c:v>
                </c:pt>
                <c:pt idx="395">
                  <c:v>1.3256510875E-2</c:v>
                </c:pt>
                <c:pt idx="396">
                  <c:v>0.24534147058199998</c:v>
                </c:pt>
                <c:pt idx="397">
                  <c:v>5.1778768068499993E-2</c:v>
                </c:pt>
                <c:pt idx="398">
                  <c:v>9.3883082940000029E-3</c:v>
                </c:pt>
                <c:pt idx="399">
                  <c:v>8.2047322056000002E-2</c:v>
                </c:pt>
                <c:pt idx="400">
                  <c:v>0.126789384586</c:v>
                </c:pt>
                <c:pt idx="401">
                  <c:v>1.8908653274000001E-2</c:v>
                </c:pt>
                <c:pt idx="402">
                  <c:v>1.0396811296000003E-2</c:v>
                </c:pt>
                <c:pt idx="403">
                  <c:v>0.10868548442400003</c:v>
                </c:pt>
                <c:pt idx="404">
                  <c:v>0.15297490543499997</c:v>
                </c:pt>
                <c:pt idx="405">
                  <c:v>0.51810117420299995</c:v>
                </c:pt>
                <c:pt idx="406">
                  <c:v>7.338691710100001E-2</c:v>
                </c:pt>
                <c:pt idx="407">
                  <c:v>3.2678563333499999E-2</c:v>
                </c:pt>
                <c:pt idx="408">
                  <c:v>0.10236457980100003</c:v>
                </c:pt>
                <c:pt idx="409">
                  <c:v>5.2413568366500012E-2</c:v>
                </c:pt>
                <c:pt idx="410">
                  <c:v>9.1463450122000009E-2</c:v>
                </c:pt>
                <c:pt idx="411">
                  <c:v>5.6178032805000002E-3</c:v>
                </c:pt>
                <c:pt idx="412">
                  <c:v>0.22508922700800002</c:v>
                </c:pt>
                <c:pt idx="413">
                  <c:v>4.8413618921500007E-2</c:v>
                </c:pt>
                <c:pt idx="414">
                  <c:v>2.28727962E-4</c:v>
                </c:pt>
                <c:pt idx="415">
                  <c:v>5.0896134400000008E-4</c:v>
                </c:pt>
                <c:pt idx="416">
                  <c:v>5.5338060824999993E-2</c:v>
                </c:pt>
                <c:pt idx="417">
                  <c:v>7.8528476659999995E-3</c:v>
                </c:pt>
                <c:pt idx="418">
                  <c:v>2.4067997950000003E-2</c:v>
                </c:pt>
                <c:pt idx="419">
                  <c:v>0.2072485598755</c:v>
                </c:pt>
                <c:pt idx="420">
                  <c:v>0.15549596990849998</c:v>
                </c:pt>
                <c:pt idx="421">
                  <c:v>5.7860376195999992E-2</c:v>
                </c:pt>
                <c:pt idx="422">
                  <c:v>1.5122644746000004E-2</c:v>
                </c:pt>
                <c:pt idx="423">
                  <c:v>6.3137271167999998E-2</c:v>
                </c:pt>
                <c:pt idx="424">
                  <c:v>1.9546956242000004E-2</c:v>
                </c:pt>
                <c:pt idx="425">
                  <c:v>0.27548716406250001</c:v>
                </c:pt>
                <c:pt idx="426">
                  <c:v>5.7353740650000005E-4</c:v>
                </c:pt>
                <c:pt idx="427">
                  <c:v>1.3130473944000003E-2</c:v>
                </c:pt>
                <c:pt idx="428">
                  <c:v>0.68124022690349995</c:v>
                </c:pt>
                <c:pt idx="429">
                  <c:v>4.5935486883000011E-2</c:v>
                </c:pt>
                <c:pt idx="430">
                  <c:v>4.4010569700000002E-4</c:v>
                </c:pt>
                <c:pt idx="431">
                  <c:v>1.0834185349999997E-3</c:v>
                </c:pt>
                <c:pt idx="432">
                  <c:v>0.50831521756499998</c:v>
                </c:pt>
                <c:pt idx="433">
                  <c:v>4.3693835937499995E-2</c:v>
                </c:pt>
                <c:pt idx="434">
                  <c:v>3.2807812720000002E-3</c:v>
                </c:pt>
                <c:pt idx="435">
                  <c:v>4.1456967133500007E-2</c:v>
                </c:pt>
                <c:pt idx="436">
                  <c:v>2.49769259E-3</c:v>
                </c:pt>
                <c:pt idx="437">
                  <c:v>0.43116419743949996</c:v>
                </c:pt>
                <c:pt idx="438">
                  <c:v>0.29219195644800006</c:v>
                </c:pt>
                <c:pt idx="439">
                  <c:v>0.33368310507200011</c:v>
                </c:pt>
                <c:pt idx="440">
                  <c:v>0.13870663985250001</c:v>
                </c:pt>
                <c:pt idx="441">
                  <c:v>0.35466273718200009</c:v>
                </c:pt>
                <c:pt idx="442">
                  <c:v>0.12508573833600001</c:v>
                </c:pt>
                <c:pt idx="443">
                  <c:v>0.15762389507800001</c:v>
                </c:pt>
                <c:pt idx="444">
                  <c:v>0.23329365262400004</c:v>
                </c:pt>
                <c:pt idx="445">
                  <c:v>0.341006453125</c:v>
                </c:pt>
                <c:pt idx="446">
                  <c:v>0.16726148859999998</c:v>
                </c:pt>
                <c:pt idx="447">
                  <c:v>0.15150316467</c:v>
                </c:pt>
                <c:pt idx="448">
                  <c:v>0.17652605271250002</c:v>
                </c:pt>
                <c:pt idx="449">
                  <c:v>7.6866653325999998E-2</c:v>
                </c:pt>
                <c:pt idx="450">
                  <c:v>9.3245439999999999E-2</c:v>
                </c:pt>
                <c:pt idx="451">
                  <c:v>0.38689362325799997</c:v>
                </c:pt>
                <c:pt idx="452">
                  <c:v>1.7635048550000004E-2</c:v>
                </c:pt>
                <c:pt idx="453">
                  <c:v>0.26834421913600004</c:v>
                </c:pt>
                <c:pt idx="454">
                  <c:v>0.48624784784999997</c:v>
                </c:pt>
                <c:pt idx="455">
                  <c:v>0.151311105</c:v>
                </c:pt>
                <c:pt idx="456">
                  <c:v>0.24127740846000009</c:v>
                </c:pt>
                <c:pt idx="457">
                  <c:v>0.11357428607200001</c:v>
                </c:pt>
                <c:pt idx="458">
                  <c:v>0.31785001679999997</c:v>
                </c:pt>
                <c:pt idx="459">
                  <c:v>7.882510774999997E-2</c:v>
                </c:pt>
                <c:pt idx="460">
                  <c:v>4.9123155380000005E-2</c:v>
                </c:pt>
                <c:pt idx="461">
                  <c:v>0.33782715555400006</c:v>
                </c:pt>
                <c:pt idx="462">
                  <c:v>0.30017134948949997</c:v>
                </c:pt>
                <c:pt idx="463">
                  <c:v>0.29958046114949999</c:v>
                </c:pt>
                <c:pt idx="464">
                  <c:v>1.7048441599999999E-2</c:v>
                </c:pt>
                <c:pt idx="465">
                  <c:v>0.26694605916850006</c:v>
                </c:pt>
                <c:pt idx="466">
                  <c:v>0.12673756508749995</c:v>
                </c:pt>
                <c:pt idx="467">
                  <c:v>0.13484278624999999</c:v>
                </c:pt>
                <c:pt idx="468">
                  <c:v>6.4024454304E-2</c:v>
                </c:pt>
                <c:pt idx="469">
                  <c:v>0.12168409618750001</c:v>
                </c:pt>
                <c:pt idx="470">
                  <c:v>0.13157726286599999</c:v>
                </c:pt>
                <c:pt idx="471">
                  <c:v>0.24370289517999999</c:v>
                </c:pt>
                <c:pt idx="472">
                  <c:v>0.32424658749450008</c:v>
                </c:pt>
                <c:pt idx="473">
                  <c:v>0.24127740846000009</c:v>
                </c:pt>
                <c:pt idx="474">
                  <c:v>6.3527316944000004E-2</c:v>
                </c:pt>
                <c:pt idx="475">
                  <c:v>0.34363805619600002</c:v>
                </c:pt>
                <c:pt idx="476">
                  <c:v>1.151704429E-2</c:v>
                </c:pt>
                <c:pt idx="477">
                  <c:v>0.11987501855000002</c:v>
                </c:pt>
                <c:pt idx="478">
                  <c:v>3.8433282781500003E-2</c:v>
                </c:pt>
                <c:pt idx="479">
                  <c:v>0.214612925984</c:v>
                </c:pt>
                <c:pt idx="480">
                  <c:v>0.3362397881355001</c:v>
                </c:pt>
                <c:pt idx="481">
                  <c:v>0.22060739196800003</c:v>
                </c:pt>
                <c:pt idx="482">
                  <c:v>0.23817711689999999</c:v>
                </c:pt>
                <c:pt idx="483">
                  <c:v>9.2311557920499984E-2</c:v>
                </c:pt>
                <c:pt idx="484">
                  <c:v>0.12339405140399999</c:v>
                </c:pt>
                <c:pt idx="485">
                  <c:v>6.8696951400000011E-2</c:v>
                </c:pt>
                <c:pt idx="486">
                  <c:v>0.18127695631499999</c:v>
                </c:pt>
                <c:pt idx="487">
                  <c:v>0.11524913718750002</c:v>
                </c:pt>
                <c:pt idx="488">
                  <c:v>7.5070811887500005E-2</c:v>
                </c:pt>
                <c:pt idx="489">
                  <c:v>1.6777525540000001E-2</c:v>
                </c:pt>
                <c:pt idx="490">
                  <c:v>4.8990531200000013E-2</c:v>
                </c:pt>
                <c:pt idx="491">
                  <c:v>7.7589181142000002E-2</c:v>
                </c:pt>
                <c:pt idx="492">
                  <c:v>6.8264912520000012E-2</c:v>
                </c:pt>
                <c:pt idx="493">
                  <c:v>3.0387791562500006E-2</c:v>
                </c:pt>
                <c:pt idx="494">
                  <c:v>3.0791131391999994E-2</c:v>
                </c:pt>
                <c:pt idx="495">
                  <c:v>2.2030601099999998E-4</c:v>
                </c:pt>
                <c:pt idx="496">
                  <c:v>8.2343051887499991E-2</c:v>
                </c:pt>
                <c:pt idx="497">
                  <c:v>1.9388355783999996E-2</c:v>
                </c:pt>
                <c:pt idx="498">
                  <c:v>2.6482767850000005E-2</c:v>
                </c:pt>
                <c:pt idx="499">
                  <c:v>3.1647553282500004E-2</c:v>
                </c:pt>
                <c:pt idx="500">
                  <c:v>0.16371036714399997</c:v>
                </c:pt>
                <c:pt idx="501">
                  <c:v>8.1198437499999998E-2</c:v>
                </c:pt>
                <c:pt idx="502">
                  <c:v>2.9319977021999996E-2</c:v>
                </c:pt>
                <c:pt idx="503">
                  <c:v>4.3226077752000006E-2</c:v>
                </c:pt>
                <c:pt idx="504">
                  <c:v>1.5630731599999999E-2</c:v>
                </c:pt>
                <c:pt idx="505">
                  <c:v>2.4249888415999996E-2</c:v>
                </c:pt>
                <c:pt idx="506">
                  <c:v>0.13965901315649998</c:v>
                </c:pt>
                <c:pt idx="507">
                  <c:v>3.4947719187500004E-2</c:v>
                </c:pt>
                <c:pt idx="508">
                  <c:v>0.29144514426449997</c:v>
                </c:pt>
                <c:pt idx="509">
                  <c:v>1.4418605250000004E-3</c:v>
                </c:pt>
                <c:pt idx="510">
                  <c:v>6.5975027327999994E-2</c:v>
                </c:pt>
                <c:pt idx="511">
                  <c:v>7.8846671699999999E-3</c:v>
                </c:pt>
                <c:pt idx="512">
                  <c:v>3.8350209136000006E-2</c:v>
                </c:pt>
                <c:pt idx="513">
                  <c:v>9.2891237010000016E-2</c:v>
                </c:pt>
                <c:pt idx="514">
                  <c:v>0.1278525611895</c:v>
                </c:pt>
                <c:pt idx="515">
                  <c:v>4.3096590432000002E-2</c:v>
                </c:pt>
                <c:pt idx="516">
                  <c:v>9.3258077715000012E-3</c:v>
                </c:pt>
                <c:pt idx="517">
                  <c:v>1.4623761075000002E-2</c:v>
                </c:pt>
                <c:pt idx="518">
                  <c:v>0.30375211333049995</c:v>
                </c:pt>
                <c:pt idx="519">
                  <c:v>2.4723096149999998E-2</c:v>
                </c:pt>
                <c:pt idx="520">
                  <c:v>2.5712287052999997E-2</c:v>
                </c:pt>
                <c:pt idx="521">
                  <c:v>7.5727968749999992E-3</c:v>
                </c:pt>
                <c:pt idx="522">
                  <c:v>0.20729587849800005</c:v>
                </c:pt>
                <c:pt idx="523">
                  <c:v>1.2037297545000004E-3</c:v>
                </c:pt>
                <c:pt idx="524">
                  <c:v>5.2004187648000001E-2</c:v>
                </c:pt>
                <c:pt idx="525">
                  <c:v>0.28879572593250002</c:v>
                </c:pt>
                <c:pt idx="526">
                  <c:v>1.41806168E-4</c:v>
                </c:pt>
                <c:pt idx="527">
                  <c:v>1.193886875E-2</c:v>
                </c:pt>
                <c:pt idx="528">
                  <c:v>0.17295717345749995</c:v>
                </c:pt>
                <c:pt idx="529">
                  <c:v>0.23722839557300002</c:v>
                </c:pt>
                <c:pt idx="530">
                  <c:v>0.25829275901300003</c:v>
                </c:pt>
                <c:pt idx="531">
                  <c:v>0.25335259560000001</c:v>
                </c:pt>
                <c:pt idx="532">
                  <c:v>6.2718842304000003E-2</c:v>
                </c:pt>
                <c:pt idx="533">
                  <c:v>1.2107770919999997E-2</c:v>
                </c:pt>
                <c:pt idx="534">
                  <c:v>4.7273221239999989E-2</c:v>
                </c:pt>
                <c:pt idx="535">
                  <c:v>1.4970716160000001E-3</c:v>
                </c:pt>
                <c:pt idx="536">
                  <c:v>2.5827507312000005E-2</c:v>
                </c:pt>
                <c:pt idx="537">
                  <c:v>2.0699462783999999E-2</c:v>
                </c:pt>
                <c:pt idx="538">
                  <c:v>9.4085452800000014E-3</c:v>
                </c:pt>
                <c:pt idx="539">
                  <c:v>0.12289755115000002</c:v>
                </c:pt>
                <c:pt idx="540">
                  <c:v>0.12978603738450001</c:v>
                </c:pt>
                <c:pt idx="541">
                  <c:v>0.34550096277499998</c:v>
                </c:pt>
                <c:pt idx="542">
                  <c:v>0.101414026441</c:v>
                </c:pt>
                <c:pt idx="543">
                  <c:v>1.9154085408000003E-2</c:v>
                </c:pt>
                <c:pt idx="544">
                  <c:v>4.1264121600000011E-4</c:v>
                </c:pt>
                <c:pt idx="545">
                  <c:v>0.34042538521350008</c:v>
                </c:pt>
                <c:pt idx="546">
                  <c:v>0.17490260449599998</c:v>
                </c:pt>
                <c:pt idx="547">
                  <c:v>8.0037972000000013E-2</c:v>
                </c:pt>
                <c:pt idx="548">
                  <c:v>1.1553039680000004E-3</c:v>
                </c:pt>
                <c:pt idx="549">
                  <c:v>5.4311480999999998E-3</c:v>
                </c:pt>
                <c:pt idx="550">
                  <c:v>6.8564773728000003E-2</c:v>
                </c:pt>
                <c:pt idx="551">
                  <c:v>0.37148562975600002</c:v>
                </c:pt>
                <c:pt idx="552">
                  <c:v>0.47241337177600007</c:v>
                </c:pt>
                <c:pt idx="553">
                  <c:v>0.51390884127549996</c:v>
                </c:pt>
                <c:pt idx="554">
                  <c:v>0.22924324848149993</c:v>
                </c:pt>
                <c:pt idx="555">
                  <c:v>2.1657333600000005E-2</c:v>
                </c:pt>
                <c:pt idx="556">
                  <c:v>1.1056430625E-2</c:v>
                </c:pt>
                <c:pt idx="557">
                  <c:v>0.155266929438</c:v>
                </c:pt>
                <c:pt idx="558">
                  <c:v>0.11246679614000002</c:v>
                </c:pt>
                <c:pt idx="559">
                  <c:v>0.16351625360000002</c:v>
                </c:pt>
                <c:pt idx="560">
                  <c:v>0.12696909353700003</c:v>
                </c:pt>
                <c:pt idx="561">
                  <c:v>0.18225044266500001</c:v>
                </c:pt>
                <c:pt idx="562">
                  <c:v>1.3136968720000005E-3</c:v>
                </c:pt>
                <c:pt idx="563">
                  <c:v>6.5956140228000004E-2</c:v>
                </c:pt>
                <c:pt idx="564">
                  <c:v>1.2612261374999997E-3</c:v>
                </c:pt>
                <c:pt idx="565">
                  <c:v>1.0514855671000002E-2</c:v>
                </c:pt>
                <c:pt idx="566">
                  <c:v>6.039001922799999E-2</c:v>
                </c:pt>
                <c:pt idx="567">
                  <c:v>0.14504406597799999</c:v>
                </c:pt>
                <c:pt idx="568">
                  <c:v>0.33108401191249998</c:v>
                </c:pt>
                <c:pt idx="569">
                  <c:v>0.39803700189600005</c:v>
                </c:pt>
                <c:pt idx="570">
                  <c:v>0.29406107159200001</c:v>
                </c:pt>
                <c:pt idx="571">
                  <c:v>0.13346249327500001</c:v>
                </c:pt>
                <c:pt idx="572">
                  <c:v>3.7200016381500015E-2</c:v>
                </c:pt>
                <c:pt idx="573">
                  <c:v>1.2977141935E-3</c:v>
                </c:pt>
                <c:pt idx="574">
                  <c:v>2.5303073398200002</c:v>
                </c:pt>
                <c:pt idx="575">
                  <c:v>0.6996949596580001</c:v>
                </c:pt>
                <c:pt idx="576">
                  <c:v>0.91018536865200017</c:v>
                </c:pt>
                <c:pt idx="577">
                  <c:v>0.59941842318000027</c:v>
                </c:pt>
                <c:pt idx="578">
                  <c:v>1.290968031612</c:v>
                </c:pt>
                <c:pt idx="579">
                  <c:v>1.9251237263125003</c:v>
                </c:pt>
                <c:pt idx="580">
                  <c:v>1.2838751226639999</c:v>
                </c:pt>
                <c:pt idx="581">
                  <c:v>1.9252891744825</c:v>
                </c:pt>
                <c:pt idx="582">
                  <c:v>1.0924339051014997</c:v>
                </c:pt>
                <c:pt idx="583">
                  <c:v>0.43016304046750004</c:v>
                </c:pt>
                <c:pt idx="584">
                  <c:v>0.56114703126249987</c:v>
                </c:pt>
                <c:pt idx="585">
                  <c:v>2.44240536028</c:v>
                </c:pt>
                <c:pt idx="586">
                  <c:v>0.33321931199999999</c:v>
                </c:pt>
                <c:pt idx="587">
                  <c:v>0.56613470373899999</c:v>
                </c:pt>
                <c:pt idx="588">
                  <c:v>1.2731826765999996</c:v>
                </c:pt>
                <c:pt idx="589">
                  <c:v>1.1541512053125</c:v>
                </c:pt>
                <c:pt idx="590">
                  <c:v>1.2074229960454999</c:v>
                </c:pt>
                <c:pt idx="591">
                  <c:v>1.215115442856</c:v>
                </c:pt>
                <c:pt idx="592">
                  <c:v>0.34314440062500007</c:v>
                </c:pt>
                <c:pt idx="593">
                  <c:v>0.66908962803200023</c:v>
                </c:pt>
                <c:pt idx="594">
                  <c:v>0.21066910270449998</c:v>
                </c:pt>
                <c:pt idx="595">
                  <c:v>1.5051864599280003</c:v>
                </c:pt>
                <c:pt idx="596">
                  <c:v>2.166714715975</c:v>
                </c:pt>
                <c:pt idx="597">
                  <c:v>1.2469510979169998</c:v>
                </c:pt>
                <c:pt idx="598">
                  <c:v>0.68641329220199987</c:v>
                </c:pt>
                <c:pt idx="599">
                  <c:v>3.2200888290100012</c:v>
                </c:pt>
                <c:pt idx="600">
                  <c:v>0.14805219571200001</c:v>
                </c:pt>
                <c:pt idx="601">
                  <c:v>3.2207902268240001</c:v>
                </c:pt>
                <c:pt idx="602">
                  <c:v>4.5887936135999992</c:v>
                </c:pt>
                <c:pt idx="603">
                  <c:v>2.370547724620625</c:v>
                </c:pt>
                <c:pt idx="604">
                  <c:v>2.1737387357564995</c:v>
                </c:pt>
                <c:pt idx="605">
                  <c:v>1.2080806562500002</c:v>
                </c:pt>
                <c:pt idx="606">
                  <c:v>2.7440932821200006</c:v>
                </c:pt>
                <c:pt idx="607">
                  <c:v>3.3123555749699993</c:v>
                </c:pt>
                <c:pt idx="608">
                  <c:v>1.1748110025960001</c:v>
                </c:pt>
                <c:pt idx="609">
                  <c:v>2.2396096065369995</c:v>
                </c:pt>
                <c:pt idx="610">
                  <c:v>6.0704876448000003E-2</c:v>
                </c:pt>
                <c:pt idx="611">
                  <c:v>0.89968859302250004</c:v>
                </c:pt>
                <c:pt idx="612">
                  <c:v>2.2568085752624998</c:v>
                </c:pt>
                <c:pt idx="613">
                  <c:v>0.15899429108699997</c:v>
                </c:pt>
                <c:pt idx="614">
                  <c:v>1.7197708797359996</c:v>
                </c:pt>
                <c:pt idx="615">
                  <c:v>0.6472340994375001</c:v>
                </c:pt>
                <c:pt idx="616">
                  <c:v>0.42258870193100001</c:v>
                </c:pt>
                <c:pt idx="617">
                  <c:v>0.11333645619199999</c:v>
                </c:pt>
                <c:pt idx="618">
                  <c:v>2.0142952243375003</c:v>
                </c:pt>
                <c:pt idx="619">
                  <c:v>1.5472826124479999</c:v>
                </c:pt>
                <c:pt idx="620">
                  <c:v>0.98079932938050007</c:v>
                </c:pt>
                <c:pt idx="621">
                  <c:v>0.78594221822999988</c:v>
                </c:pt>
                <c:pt idx="622">
                  <c:v>2.3136739770679999</c:v>
                </c:pt>
                <c:pt idx="623">
                  <c:v>1.0814823815624999</c:v>
                </c:pt>
                <c:pt idx="624">
                  <c:v>1.3821414929999998</c:v>
                </c:pt>
                <c:pt idx="625">
                  <c:v>1.8866745275775001</c:v>
                </c:pt>
                <c:pt idx="626">
                  <c:v>0.19615081116799998</c:v>
                </c:pt>
                <c:pt idx="627">
                  <c:v>2.0986761264124998</c:v>
                </c:pt>
                <c:pt idx="628">
                  <c:v>4.175686084050001E-2</c:v>
                </c:pt>
                <c:pt idx="629">
                  <c:v>2.159040136E-3</c:v>
                </c:pt>
                <c:pt idx="630">
                  <c:v>2.75128486965E-2</c:v>
                </c:pt>
                <c:pt idx="631">
                  <c:v>3.2068639450000005E-2</c:v>
                </c:pt>
                <c:pt idx="632">
                  <c:v>0.15358174764399998</c:v>
                </c:pt>
                <c:pt idx="633">
                  <c:v>5.8436254079999991E-3</c:v>
                </c:pt>
                <c:pt idx="634">
                  <c:v>1.0276667045999999E-2</c:v>
                </c:pt>
                <c:pt idx="635">
                  <c:v>0.10888720775800001</c:v>
                </c:pt>
                <c:pt idx="636">
                  <c:v>0.62518121415000005</c:v>
                </c:pt>
                <c:pt idx="637">
                  <c:v>0.20252141406250002</c:v>
                </c:pt>
                <c:pt idx="638">
                  <c:v>0.23473035459999994</c:v>
                </c:pt>
                <c:pt idx="639">
                  <c:v>0.163979140468</c:v>
                </c:pt>
                <c:pt idx="640">
                  <c:v>7.8435673959999994E-2</c:v>
                </c:pt>
                <c:pt idx="641">
                  <c:v>4.3457730624000011E-2</c:v>
                </c:pt>
                <c:pt idx="642">
                  <c:v>5.7207685120000004E-2</c:v>
                </c:pt>
                <c:pt idx="643">
                  <c:v>0.18174996512999997</c:v>
                </c:pt>
                <c:pt idx="644">
                  <c:v>4.7621042808000009E-2</c:v>
                </c:pt>
                <c:pt idx="645">
                  <c:v>1.7066234095999999E-2</c:v>
                </c:pt>
                <c:pt idx="646">
                  <c:v>5.2636804390000007E-2</c:v>
                </c:pt>
                <c:pt idx="647">
                  <c:v>0.21463015987400005</c:v>
                </c:pt>
                <c:pt idx="648">
                  <c:v>0.12493976601599999</c:v>
                </c:pt>
                <c:pt idx="649">
                  <c:v>0.21094980237649999</c:v>
                </c:pt>
                <c:pt idx="650">
                  <c:v>0.10047172044800003</c:v>
                </c:pt>
                <c:pt idx="651">
                  <c:v>4.8796324397999989E-2</c:v>
                </c:pt>
                <c:pt idx="652">
                  <c:v>2.7610362652500001E-2</c:v>
                </c:pt>
                <c:pt idx="653">
                  <c:v>0.13463244864000001</c:v>
                </c:pt>
                <c:pt idx="654">
                  <c:v>8.6096983117499998E-2</c:v>
                </c:pt>
                <c:pt idx="655">
                  <c:v>8.2639010624999981E-2</c:v>
                </c:pt>
                <c:pt idx="656">
                  <c:v>0.19253259073800003</c:v>
                </c:pt>
                <c:pt idx="657">
                  <c:v>0.20065253575300002</c:v>
                </c:pt>
                <c:pt idx="658">
                  <c:v>0.11127706709600003</c:v>
                </c:pt>
                <c:pt idx="659">
                  <c:v>0.117027675028</c:v>
                </c:pt>
                <c:pt idx="660">
                  <c:v>3.0485363216000001E-2</c:v>
                </c:pt>
                <c:pt idx="661">
                  <c:v>1.1312981342000003E-2</c:v>
                </c:pt>
                <c:pt idx="662">
                  <c:v>0.37511978599999996</c:v>
                </c:pt>
                <c:pt idx="663">
                  <c:v>1.3653091775999997</c:v>
                </c:pt>
                <c:pt idx="664">
                  <c:v>8.3006993190999995E-2</c:v>
                </c:pt>
                <c:pt idx="665">
                  <c:v>0.54157739817599981</c:v>
                </c:pt>
                <c:pt idx="666">
                  <c:v>0.32487681870000007</c:v>
                </c:pt>
                <c:pt idx="667">
                  <c:v>0.92988613120000041</c:v>
                </c:pt>
                <c:pt idx="668">
                  <c:v>2.1901354630559999</c:v>
                </c:pt>
                <c:pt idx="669">
                  <c:v>0.76013118429999982</c:v>
                </c:pt>
                <c:pt idx="670">
                  <c:v>0.2349060719045</c:v>
                </c:pt>
                <c:pt idx="671">
                  <c:v>1.7598431067125002</c:v>
                </c:pt>
                <c:pt idx="672">
                  <c:v>0.6163991016960001</c:v>
                </c:pt>
                <c:pt idx="673">
                  <c:v>2.5429167540000001E-3</c:v>
                </c:pt>
                <c:pt idx="674">
                  <c:v>0.63462450980999996</c:v>
                </c:pt>
                <c:pt idx="675">
                  <c:v>3.4593631199999995E-2</c:v>
                </c:pt>
                <c:pt idx="676">
                  <c:v>0.44277245849400004</c:v>
                </c:pt>
                <c:pt idx="677">
                  <c:v>0.33525387013300001</c:v>
                </c:pt>
                <c:pt idx="678">
                  <c:v>0.27879641634250002</c:v>
                </c:pt>
                <c:pt idx="679">
                  <c:v>0.97246665407550015</c:v>
                </c:pt>
                <c:pt idx="680">
                  <c:v>1.1563310050875002</c:v>
                </c:pt>
                <c:pt idx="681">
                  <c:v>0.10442521375</c:v>
                </c:pt>
                <c:pt idx="682">
                  <c:v>0.57130170703200001</c:v>
                </c:pt>
                <c:pt idx="683">
                  <c:v>0.61064259613750016</c:v>
                </c:pt>
                <c:pt idx="684">
                  <c:v>0.42413882863550001</c:v>
                </c:pt>
                <c:pt idx="685">
                  <c:v>0.198489109508</c:v>
                </c:pt>
                <c:pt idx="686">
                  <c:v>0.60917476851899999</c:v>
                </c:pt>
                <c:pt idx="687">
                  <c:v>5.1066703125000001E-2</c:v>
                </c:pt>
                <c:pt idx="688">
                  <c:v>0.61897450175000002</c:v>
                </c:pt>
                <c:pt idx="689">
                  <c:v>1.2557930112000002</c:v>
                </c:pt>
                <c:pt idx="690">
                  <c:v>1.637085694626</c:v>
                </c:pt>
                <c:pt idx="691">
                  <c:v>0.46142054200799998</c:v>
                </c:pt>
                <c:pt idx="692">
                  <c:v>0.76689741840249992</c:v>
                </c:pt>
                <c:pt idx="693">
                  <c:v>1.2712913377920003</c:v>
                </c:pt>
                <c:pt idx="694">
                  <c:v>1.1878803219000003</c:v>
                </c:pt>
                <c:pt idx="695">
                  <c:v>1.4868448452809997</c:v>
                </c:pt>
                <c:pt idx="696">
                  <c:v>0.50751894355199989</c:v>
                </c:pt>
                <c:pt idx="697">
                  <c:v>0.71049128131799999</c:v>
                </c:pt>
                <c:pt idx="698">
                  <c:v>0.64348750866399995</c:v>
                </c:pt>
                <c:pt idx="699">
                  <c:v>0.19208459375</c:v>
                </c:pt>
                <c:pt idx="700">
                  <c:v>0.78794397623700008</c:v>
                </c:pt>
                <c:pt idx="701">
                  <c:v>0.30881923086850011</c:v>
                </c:pt>
                <c:pt idx="702">
                  <c:v>0.65937852059450019</c:v>
                </c:pt>
                <c:pt idx="703">
                  <c:v>0.232685288928</c:v>
                </c:pt>
                <c:pt idx="704">
                  <c:v>0.29383961241600004</c:v>
                </c:pt>
                <c:pt idx="705">
                  <c:v>0.16477674937350001</c:v>
                </c:pt>
                <c:pt idx="706">
                  <c:v>0.10496925274050002</c:v>
                </c:pt>
                <c:pt idx="707">
                  <c:v>0.58319828312200006</c:v>
                </c:pt>
                <c:pt idx="708">
                  <c:v>0.12672978644399999</c:v>
                </c:pt>
                <c:pt idx="709">
                  <c:v>0.50540441228800004</c:v>
                </c:pt>
                <c:pt idx="710">
                  <c:v>0.81686903655799981</c:v>
                </c:pt>
                <c:pt idx="711">
                  <c:v>0.8977151397605001</c:v>
                </c:pt>
                <c:pt idx="712">
                  <c:v>6.49627064E-2</c:v>
                </c:pt>
                <c:pt idx="713">
                  <c:v>0.42857709923699999</c:v>
                </c:pt>
                <c:pt idx="714">
                  <c:v>0.97974899561249995</c:v>
                </c:pt>
                <c:pt idx="715">
                  <c:v>0.94205184768000028</c:v>
                </c:pt>
                <c:pt idx="716">
                  <c:v>1.2831511077440001</c:v>
                </c:pt>
                <c:pt idx="717">
                  <c:v>0.58015745672499996</c:v>
                </c:pt>
                <c:pt idx="718">
                  <c:v>0.298932255328</c:v>
                </c:pt>
                <c:pt idx="719">
                  <c:v>0.34520009095800008</c:v>
                </c:pt>
                <c:pt idx="720">
                  <c:v>0.27133305145050007</c:v>
                </c:pt>
                <c:pt idx="721">
                  <c:v>0.53986628696850003</c:v>
                </c:pt>
                <c:pt idx="722">
                  <c:v>0.5287521440070001</c:v>
                </c:pt>
                <c:pt idx="723">
                  <c:v>0.15383303328750003</c:v>
                </c:pt>
                <c:pt idx="724">
                  <c:v>0.25608999885149997</c:v>
                </c:pt>
                <c:pt idx="725">
                  <c:v>0.76023682457599995</c:v>
                </c:pt>
                <c:pt idx="726">
                  <c:v>0.9800314401825001</c:v>
                </c:pt>
                <c:pt idx="727">
                  <c:v>0.63874423094400012</c:v>
                </c:pt>
                <c:pt idx="728">
                  <c:v>1.9162251014110003</c:v>
                </c:pt>
                <c:pt idx="729">
                  <c:v>0.49556736000000001</c:v>
                </c:pt>
                <c:pt idx="730">
                  <c:v>0.71861125851800001</c:v>
                </c:pt>
                <c:pt idx="731">
                  <c:v>1.7196083784560003</c:v>
                </c:pt>
                <c:pt idx="732">
                  <c:v>0.92635343691250005</c:v>
                </c:pt>
                <c:pt idx="733">
                  <c:v>0.59159678891950007</c:v>
                </c:pt>
                <c:pt idx="734">
                  <c:v>0.67518357926400008</c:v>
                </c:pt>
                <c:pt idx="735">
                  <c:v>0.34632852186399998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8-4CC5-A1DE-55ED795FD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42911"/>
        <c:axId val="317145823"/>
      </c:scatterChart>
      <c:valAx>
        <c:axId val="31714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45823"/>
        <c:crosses val="autoZero"/>
        <c:crossBetween val="midCat"/>
      </c:valAx>
      <c:valAx>
        <c:axId val="3171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4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'Regresión lineal'!$O$1</c:f>
              <c:strCache>
                <c:ptCount val="1"/>
                <c:pt idx="0">
                  <c:v>Vol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'Regresión lineal'!$G$2:$G$737</c:f>
              <c:numCache>
                <c:formatCode>General</c:formatCode>
                <c:ptCount val="736"/>
                <c:pt idx="0">
                  <c:v>850</c:v>
                </c:pt>
                <c:pt idx="1">
                  <c:v>850</c:v>
                </c:pt>
                <c:pt idx="2">
                  <c:v>850</c:v>
                </c:pt>
                <c:pt idx="3">
                  <c:v>850</c:v>
                </c:pt>
                <c:pt idx="4">
                  <c:v>850</c:v>
                </c:pt>
                <c:pt idx="5">
                  <c:v>850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850</c:v>
                </c:pt>
                <c:pt idx="12">
                  <c:v>850</c:v>
                </c:pt>
                <c:pt idx="13">
                  <c:v>850</c:v>
                </c:pt>
                <c:pt idx="14">
                  <c:v>850</c:v>
                </c:pt>
                <c:pt idx="15">
                  <c:v>850</c:v>
                </c:pt>
                <c:pt idx="16">
                  <c:v>850</c:v>
                </c:pt>
                <c:pt idx="17">
                  <c:v>850</c:v>
                </c:pt>
                <c:pt idx="18">
                  <c:v>850</c:v>
                </c:pt>
                <c:pt idx="19">
                  <c:v>850</c:v>
                </c:pt>
                <c:pt idx="20">
                  <c:v>850</c:v>
                </c:pt>
                <c:pt idx="21">
                  <c:v>850</c:v>
                </c:pt>
                <c:pt idx="22">
                  <c:v>850</c:v>
                </c:pt>
                <c:pt idx="23">
                  <c:v>850</c:v>
                </c:pt>
                <c:pt idx="24">
                  <c:v>850</c:v>
                </c:pt>
                <c:pt idx="25">
                  <c:v>850</c:v>
                </c:pt>
                <c:pt idx="26">
                  <c:v>850</c:v>
                </c:pt>
                <c:pt idx="27">
                  <c:v>850</c:v>
                </c:pt>
                <c:pt idx="28">
                  <c:v>850</c:v>
                </c:pt>
                <c:pt idx="29">
                  <c:v>850</c:v>
                </c:pt>
                <c:pt idx="30">
                  <c:v>1400</c:v>
                </c:pt>
                <c:pt idx="31">
                  <c:v>1400</c:v>
                </c:pt>
                <c:pt idx="32">
                  <c:v>1400</c:v>
                </c:pt>
                <c:pt idx="33">
                  <c:v>1400</c:v>
                </c:pt>
                <c:pt idx="34">
                  <c:v>1400</c:v>
                </c:pt>
                <c:pt idx="35">
                  <c:v>1400</c:v>
                </c:pt>
                <c:pt idx="36">
                  <c:v>1400</c:v>
                </c:pt>
                <c:pt idx="37">
                  <c:v>1400</c:v>
                </c:pt>
                <c:pt idx="38">
                  <c:v>1400</c:v>
                </c:pt>
                <c:pt idx="39">
                  <c:v>1400</c:v>
                </c:pt>
                <c:pt idx="40">
                  <c:v>1400</c:v>
                </c:pt>
                <c:pt idx="41">
                  <c:v>1400</c:v>
                </c:pt>
                <c:pt idx="42">
                  <c:v>1400</c:v>
                </c:pt>
                <c:pt idx="43">
                  <c:v>1400</c:v>
                </c:pt>
                <c:pt idx="44">
                  <c:v>1400</c:v>
                </c:pt>
                <c:pt idx="45">
                  <c:v>1400</c:v>
                </c:pt>
                <c:pt idx="46">
                  <c:v>1400</c:v>
                </c:pt>
                <c:pt idx="47">
                  <c:v>1400</c:v>
                </c:pt>
                <c:pt idx="48">
                  <c:v>1400</c:v>
                </c:pt>
                <c:pt idx="49">
                  <c:v>1400</c:v>
                </c:pt>
                <c:pt idx="50">
                  <c:v>1400</c:v>
                </c:pt>
                <c:pt idx="51">
                  <c:v>1400</c:v>
                </c:pt>
                <c:pt idx="52">
                  <c:v>1400</c:v>
                </c:pt>
                <c:pt idx="53">
                  <c:v>1400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1080</c:v>
                </c:pt>
                <c:pt idx="147">
                  <c:v>1080</c:v>
                </c:pt>
                <c:pt idx="148">
                  <c:v>1080</c:v>
                </c:pt>
                <c:pt idx="149">
                  <c:v>1080</c:v>
                </c:pt>
                <c:pt idx="150">
                  <c:v>1080</c:v>
                </c:pt>
                <c:pt idx="151">
                  <c:v>1080</c:v>
                </c:pt>
                <c:pt idx="152">
                  <c:v>1080</c:v>
                </c:pt>
                <c:pt idx="153">
                  <c:v>1080</c:v>
                </c:pt>
                <c:pt idx="154">
                  <c:v>1080</c:v>
                </c:pt>
                <c:pt idx="155">
                  <c:v>1080</c:v>
                </c:pt>
                <c:pt idx="156">
                  <c:v>1080</c:v>
                </c:pt>
                <c:pt idx="157">
                  <c:v>1080</c:v>
                </c:pt>
                <c:pt idx="158">
                  <c:v>1080</c:v>
                </c:pt>
                <c:pt idx="159">
                  <c:v>1080</c:v>
                </c:pt>
                <c:pt idx="160">
                  <c:v>1080</c:v>
                </c:pt>
                <c:pt idx="161">
                  <c:v>1080</c:v>
                </c:pt>
                <c:pt idx="162">
                  <c:v>1080</c:v>
                </c:pt>
                <c:pt idx="163">
                  <c:v>1080</c:v>
                </c:pt>
                <c:pt idx="164">
                  <c:v>1080</c:v>
                </c:pt>
                <c:pt idx="165">
                  <c:v>1080</c:v>
                </c:pt>
                <c:pt idx="166">
                  <c:v>1080</c:v>
                </c:pt>
                <c:pt idx="167">
                  <c:v>1080</c:v>
                </c:pt>
                <c:pt idx="168">
                  <c:v>1080</c:v>
                </c:pt>
                <c:pt idx="169">
                  <c:v>1080</c:v>
                </c:pt>
                <c:pt idx="170">
                  <c:v>1080</c:v>
                </c:pt>
                <c:pt idx="171">
                  <c:v>1080</c:v>
                </c:pt>
                <c:pt idx="172">
                  <c:v>1080</c:v>
                </c:pt>
                <c:pt idx="173">
                  <c:v>1080</c:v>
                </c:pt>
                <c:pt idx="174">
                  <c:v>1080</c:v>
                </c:pt>
                <c:pt idx="175">
                  <c:v>1080</c:v>
                </c:pt>
                <c:pt idx="176">
                  <c:v>1080</c:v>
                </c:pt>
                <c:pt idx="177">
                  <c:v>1080</c:v>
                </c:pt>
                <c:pt idx="178">
                  <c:v>1080</c:v>
                </c:pt>
                <c:pt idx="179">
                  <c:v>1080</c:v>
                </c:pt>
                <c:pt idx="180">
                  <c:v>1080</c:v>
                </c:pt>
                <c:pt idx="181">
                  <c:v>1080</c:v>
                </c:pt>
                <c:pt idx="182">
                  <c:v>1080</c:v>
                </c:pt>
                <c:pt idx="183">
                  <c:v>1080</c:v>
                </c:pt>
                <c:pt idx="184">
                  <c:v>1080</c:v>
                </c:pt>
                <c:pt idx="185">
                  <c:v>1080</c:v>
                </c:pt>
                <c:pt idx="186">
                  <c:v>1080</c:v>
                </c:pt>
                <c:pt idx="187">
                  <c:v>1080</c:v>
                </c:pt>
                <c:pt idx="188">
                  <c:v>1080</c:v>
                </c:pt>
                <c:pt idx="189">
                  <c:v>1080</c:v>
                </c:pt>
                <c:pt idx="190">
                  <c:v>1080</c:v>
                </c:pt>
                <c:pt idx="191">
                  <c:v>1080</c:v>
                </c:pt>
                <c:pt idx="192">
                  <c:v>1080</c:v>
                </c:pt>
                <c:pt idx="193">
                  <c:v>1080</c:v>
                </c:pt>
                <c:pt idx="194">
                  <c:v>1080</c:v>
                </c:pt>
                <c:pt idx="195">
                  <c:v>1080</c:v>
                </c:pt>
                <c:pt idx="196">
                  <c:v>1080</c:v>
                </c:pt>
                <c:pt idx="197">
                  <c:v>1080</c:v>
                </c:pt>
                <c:pt idx="198">
                  <c:v>1080</c:v>
                </c:pt>
                <c:pt idx="199">
                  <c:v>1080</c:v>
                </c:pt>
                <c:pt idx="200">
                  <c:v>1080</c:v>
                </c:pt>
                <c:pt idx="201">
                  <c:v>1080</c:v>
                </c:pt>
                <c:pt idx="202">
                  <c:v>1080</c:v>
                </c:pt>
                <c:pt idx="203">
                  <c:v>1080</c:v>
                </c:pt>
                <c:pt idx="204">
                  <c:v>1080</c:v>
                </c:pt>
                <c:pt idx="205">
                  <c:v>1080</c:v>
                </c:pt>
                <c:pt idx="206">
                  <c:v>1080</c:v>
                </c:pt>
                <c:pt idx="207">
                  <c:v>1080</c:v>
                </c:pt>
                <c:pt idx="208">
                  <c:v>1080</c:v>
                </c:pt>
                <c:pt idx="209">
                  <c:v>1080</c:v>
                </c:pt>
                <c:pt idx="210">
                  <c:v>1080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1080</c:v>
                </c:pt>
                <c:pt idx="285">
                  <c:v>1080</c:v>
                </c:pt>
                <c:pt idx="286">
                  <c:v>1080</c:v>
                </c:pt>
                <c:pt idx="287">
                  <c:v>1080</c:v>
                </c:pt>
                <c:pt idx="288">
                  <c:v>1080</c:v>
                </c:pt>
                <c:pt idx="289">
                  <c:v>1080</c:v>
                </c:pt>
                <c:pt idx="290">
                  <c:v>1080</c:v>
                </c:pt>
                <c:pt idx="291">
                  <c:v>1080</c:v>
                </c:pt>
                <c:pt idx="292">
                  <c:v>1080</c:v>
                </c:pt>
                <c:pt idx="293">
                  <c:v>1080</c:v>
                </c:pt>
                <c:pt idx="294">
                  <c:v>1080</c:v>
                </c:pt>
                <c:pt idx="295">
                  <c:v>1080</c:v>
                </c:pt>
                <c:pt idx="296">
                  <c:v>1080</c:v>
                </c:pt>
                <c:pt idx="297">
                  <c:v>1080</c:v>
                </c:pt>
                <c:pt idx="298">
                  <c:v>1080</c:v>
                </c:pt>
                <c:pt idx="299">
                  <c:v>1080</c:v>
                </c:pt>
                <c:pt idx="300">
                  <c:v>1080</c:v>
                </c:pt>
                <c:pt idx="301">
                  <c:v>1080</c:v>
                </c:pt>
                <c:pt idx="302">
                  <c:v>1080</c:v>
                </c:pt>
                <c:pt idx="303">
                  <c:v>1080</c:v>
                </c:pt>
                <c:pt idx="304">
                  <c:v>1080</c:v>
                </c:pt>
                <c:pt idx="305">
                  <c:v>1080</c:v>
                </c:pt>
                <c:pt idx="306">
                  <c:v>1080</c:v>
                </c:pt>
                <c:pt idx="307">
                  <c:v>1080</c:v>
                </c:pt>
                <c:pt idx="308">
                  <c:v>1080</c:v>
                </c:pt>
                <c:pt idx="309">
                  <c:v>1080</c:v>
                </c:pt>
                <c:pt idx="310">
                  <c:v>1080</c:v>
                </c:pt>
                <c:pt idx="311">
                  <c:v>1080</c:v>
                </c:pt>
                <c:pt idx="312">
                  <c:v>1080</c:v>
                </c:pt>
                <c:pt idx="313">
                  <c:v>1080</c:v>
                </c:pt>
                <c:pt idx="314">
                  <c:v>1080</c:v>
                </c:pt>
                <c:pt idx="315">
                  <c:v>1080</c:v>
                </c:pt>
                <c:pt idx="316">
                  <c:v>1080</c:v>
                </c:pt>
                <c:pt idx="317">
                  <c:v>1080</c:v>
                </c:pt>
                <c:pt idx="318">
                  <c:v>1080</c:v>
                </c:pt>
                <c:pt idx="319">
                  <c:v>1080</c:v>
                </c:pt>
                <c:pt idx="320">
                  <c:v>1080</c:v>
                </c:pt>
                <c:pt idx="321">
                  <c:v>1080</c:v>
                </c:pt>
                <c:pt idx="322">
                  <c:v>1080</c:v>
                </c:pt>
                <c:pt idx="323">
                  <c:v>1080</c:v>
                </c:pt>
                <c:pt idx="324">
                  <c:v>1080</c:v>
                </c:pt>
                <c:pt idx="325">
                  <c:v>1080</c:v>
                </c:pt>
                <c:pt idx="326">
                  <c:v>1080</c:v>
                </c:pt>
                <c:pt idx="327">
                  <c:v>1080</c:v>
                </c:pt>
                <c:pt idx="328">
                  <c:v>1080</c:v>
                </c:pt>
                <c:pt idx="329">
                  <c:v>1250</c:v>
                </c:pt>
                <c:pt idx="330">
                  <c:v>1250</c:v>
                </c:pt>
                <c:pt idx="331">
                  <c:v>1250</c:v>
                </c:pt>
                <c:pt idx="332">
                  <c:v>1250</c:v>
                </c:pt>
                <c:pt idx="333">
                  <c:v>1250</c:v>
                </c:pt>
                <c:pt idx="334">
                  <c:v>1250</c:v>
                </c:pt>
                <c:pt idx="335">
                  <c:v>1250</c:v>
                </c:pt>
                <c:pt idx="336">
                  <c:v>1250</c:v>
                </c:pt>
                <c:pt idx="337">
                  <c:v>1250</c:v>
                </c:pt>
                <c:pt idx="338">
                  <c:v>1250</c:v>
                </c:pt>
                <c:pt idx="339">
                  <c:v>1250</c:v>
                </c:pt>
                <c:pt idx="340">
                  <c:v>1250</c:v>
                </c:pt>
                <c:pt idx="341">
                  <c:v>1250</c:v>
                </c:pt>
                <c:pt idx="342">
                  <c:v>1250</c:v>
                </c:pt>
                <c:pt idx="343">
                  <c:v>1250</c:v>
                </c:pt>
                <c:pt idx="344">
                  <c:v>1250</c:v>
                </c:pt>
                <c:pt idx="345">
                  <c:v>1250</c:v>
                </c:pt>
                <c:pt idx="346">
                  <c:v>1250</c:v>
                </c:pt>
                <c:pt idx="347">
                  <c:v>1250</c:v>
                </c:pt>
                <c:pt idx="348">
                  <c:v>1250</c:v>
                </c:pt>
                <c:pt idx="349">
                  <c:v>1250</c:v>
                </c:pt>
                <c:pt idx="350">
                  <c:v>1250</c:v>
                </c:pt>
                <c:pt idx="351">
                  <c:v>1250</c:v>
                </c:pt>
                <c:pt idx="352">
                  <c:v>1250</c:v>
                </c:pt>
                <c:pt idx="353">
                  <c:v>1250</c:v>
                </c:pt>
                <c:pt idx="354">
                  <c:v>1250</c:v>
                </c:pt>
                <c:pt idx="355">
                  <c:v>1250</c:v>
                </c:pt>
                <c:pt idx="356">
                  <c:v>1250</c:v>
                </c:pt>
                <c:pt idx="357">
                  <c:v>1250</c:v>
                </c:pt>
                <c:pt idx="358">
                  <c:v>1250</c:v>
                </c:pt>
                <c:pt idx="359">
                  <c:v>1250</c:v>
                </c:pt>
                <c:pt idx="360">
                  <c:v>1250</c:v>
                </c:pt>
                <c:pt idx="361">
                  <c:v>1250</c:v>
                </c:pt>
                <c:pt idx="362">
                  <c:v>1250</c:v>
                </c:pt>
                <c:pt idx="363">
                  <c:v>1250</c:v>
                </c:pt>
                <c:pt idx="364">
                  <c:v>1250</c:v>
                </c:pt>
                <c:pt idx="365">
                  <c:v>1250</c:v>
                </c:pt>
                <c:pt idx="366">
                  <c:v>1250</c:v>
                </c:pt>
                <c:pt idx="367">
                  <c:v>1250</c:v>
                </c:pt>
                <c:pt idx="368">
                  <c:v>1250</c:v>
                </c:pt>
                <c:pt idx="369">
                  <c:v>1250</c:v>
                </c:pt>
                <c:pt idx="370">
                  <c:v>1250</c:v>
                </c:pt>
                <c:pt idx="371">
                  <c:v>1250</c:v>
                </c:pt>
                <c:pt idx="372">
                  <c:v>1250</c:v>
                </c:pt>
                <c:pt idx="373">
                  <c:v>1250</c:v>
                </c:pt>
                <c:pt idx="374">
                  <c:v>1250</c:v>
                </c:pt>
                <c:pt idx="375">
                  <c:v>1250</c:v>
                </c:pt>
                <c:pt idx="376">
                  <c:v>1250</c:v>
                </c:pt>
                <c:pt idx="377">
                  <c:v>1250</c:v>
                </c:pt>
                <c:pt idx="378">
                  <c:v>1250</c:v>
                </c:pt>
                <c:pt idx="379">
                  <c:v>1250</c:v>
                </c:pt>
                <c:pt idx="380">
                  <c:v>1250</c:v>
                </c:pt>
                <c:pt idx="381">
                  <c:v>1250</c:v>
                </c:pt>
                <c:pt idx="382">
                  <c:v>1250</c:v>
                </c:pt>
                <c:pt idx="383">
                  <c:v>1250</c:v>
                </c:pt>
                <c:pt idx="384">
                  <c:v>1250</c:v>
                </c:pt>
                <c:pt idx="385">
                  <c:v>1250</c:v>
                </c:pt>
                <c:pt idx="386">
                  <c:v>1250</c:v>
                </c:pt>
                <c:pt idx="387">
                  <c:v>1250</c:v>
                </c:pt>
                <c:pt idx="388">
                  <c:v>1080</c:v>
                </c:pt>
                <c:pt idx="389">
                  <c:v>1080</c:v>
                </c:pt>
                <c:pt idx="390">
                  <c:v>1080</c:v>
                </c:pt>
                <c:pt idx="391">
                  <c:v>1080</c:v>
                </c:pt>
                <c:pt idx="392">
                  <c:v>1080</c:v>
                </c:pt>
                <c:pt idx="393">
                  <c:v>1080</c:v>
                </c:pt>
                <c:pt idx="394">
                  <c:v>1080</c:v>
                </c:pt>
                <c:pt idx="395">
                  <c:v>1080</c:v>
                </c:pt>
                <c:pt idx="396">
                  <c:v>1080</c:v>
                </c:pt>
                <c:pt idx="397">
                  <c:v>1080</c:v>
                </c:pt>
                <c:pt idx="398">
                  <c:v>1080</c:v>
                </c:pt>
                <c:pt idx="399">
                  <c:v>1080</c:v>
                </c:pt>
                <c:pt idx="400">
                  <c:v>1080</c:v>
                </c:pt>
                <c:pt idx="401">
                  <c:v>1080</c:v>
                </c:pt>
                <c:pt idx="402">
                  <c:v>1080</c:v>
                </c:pt>
                <c:pt idx="403">
                  <c:v>1080</c:v>
                </c:pt>
                <c:pt idx="404">
                  <c:v>1080</c:v>
                </c:pt>
                <c:pt idx="405">
                  <c:v>1080</c:v>
                </c:pt>
                <c:pt idx="406">
                  <c:v>1080</c:v>
                </c:pt>
                <c:pt idx="407">
                  <c:v>1080</c:v>
                </c:pt>
                <c:pt idx="408">
                  <c:v>1080</c:v>
                </c:pt>
                <c:pt idx="409">
                  <c:v>1080</c:v>
                </c:pt>
                <c:pt idx="410">
                  <c:v>1080</c:v>
                </c:pt>
                <c:pt idx="411">
                  <c:v>1080</c:v>
                </c:pt>
                <c:pt idx="412">
                  <c:v>1080</c:v>
                </c:pt>
                <c:pt idx="413">
                  <c:v>1080</c:v>
                </c:pt>
                <c:pt idx="414">
                  <c:v>1080</c:v>
                </c:pt>
                <c:pt idx="415">
                  <c:v>1080</c:v>
                </c:pt>
                <c:pt idx="416">
                  <c:v>1080</c:v>
                </c:pt>
                <c:pt idx="417">
                  <c:v>1080</c:v>
                </c:pt>
                <c:pt idx="418">
                  <c:v>1080</c:v>
                </c:pt>
                <c:pt idx="419">
                  <c:v>1080</c:v>
                </c:pt>
                <c:pt idx="420">
                  <c:v>1080</c:v>
                </c:pt>
                <c:pt idx="421">
                  <c:v>1080</c:v>
                </c:pt>
                <c:pt idx="422">
                  <c:v>1080</c:v>
                </c:pt>
                <c:pt idx="423">
                  <c:v>1080</c:v>
                </c:pt>
                <c:pt idx="424">
                  <c:v>1080</c:v>
                </c:pt>
                <c:pt idx="425">
                  <c:v>1080</c:v>
                </c:pt>
                <c:pt idx="426">
                  <c:v>1080</c:v>
                </c:pt>
                <c:pt idx="427">
                  <c:v>1080</c:v>
                </c:pt>
                <c:pt idx="428">
                  <c:v>1080</c:v>
                </c:pt>
                <c:pt idx="429">
                  <c:v>1080</c:v>
                </c:pt>
                <c:pt idx="430">
                  <c:v>1080</c:v>
                </c:pt>
                <c:pt idx="431">
                  <c:v>1080</c:v>
                </c:pt>
                <c:pt idx="432">
                  <c:v>1080</c:v>
                </c:pt>
                <c:pt idx="433">
                  <c:v>1080</c:v>
                </c:pt>
                <c:pt idx="434">
                  <c:v>1080</c:v>
                </c:pt>
                <c:pt idx="435">
                  <c:v>1080</c:v>
                </c:pt>
                <c:pt idx="436">
                  <c:v>1080</c:v>
                </c:pt>
                <c:pt idx="437">
                  <c:v>1050</c:v>
                </c:pt>
                <c:pt idx="438">
                  <c:v>1050</c:v>
                </c:pt>
                <c:pt idx="439">
                  <c:v>1050</c:v>
                </c:pt>
                <c:pt idx="440">
                  <c:v>1050</c:v>
                </c:pt>
                <c:pt idx="441">
                  <c:v>1050</c:v>
                </c:pt>
                <c:pt idx="442">
                  <c:v>1050</c:v>
                </c:pt>
                <c:pt idx="443">
                  <c:v>1050</c:v>
                </c:pt>
                <c:pt idx="444">
                  <c:v>1050</c:v>
                </c:pt>
                <c:pt idx="445">
                  <c:v>1050</c:v>
                </c:pt>
                <c:pt idx="446">
                  <c:v>1050</c:v>
                </c:pt>
                <c:pt idx="447">
                  <c:v>1050</c:v>
                </c:pt>
                <c:pt idx="448">
                  <c:v>1050</c:v>
                </c:pt>
                <c:pt idx="449">
                  <c:v>1050</c:v>
                </c:pt>
                <c:pt idx="450">
                  <c:v>1050</c:v>
                </c:pt>
                <c:pt idx="451">
                  <c:v>1050</c:v>
                </c:pt>
                <c:pt idx="452">
                  <c:v>1050</c:v>
                </c:pt>
                <c:pt idx="453">
                  <c:v>1050</c:v>
                </c:pt>
                <c:pt idx="454">
                  <c:v>1050</c:v>
                </c:pt>
                <c:pt idx="455">
                  <c:v>1050</c:v>
                </c:pt>
                <c:pt idx="456">
                  <c:v>1050</c:v>
                </c:pt>
                <c:pt idx="457">
                  <c:v>1050</c:v>
                </c:pt>
                <c:pt idx="458">
                  <c:v>1050</c:v>
                </c:pt>
                <c:pt idx="459">
                  <c:v>1050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1200</c:v>
                </c:pt>
                <c:pt idx="491">
                  <c:v>1200</c:v>
                </c:pt>
                <c:pt idx="492">
                  <c:v>1200</c:v>
                </c:pt>
                <c:pt idx="493">
                  <c:v>1200</c:v>
                </c:pt>
                <c:pt idx="494">
                  <c:v>1200</c:v>
                </c:pt>
                <c:pt idx="495">
                  <c:v>1200</c:v>
                </c:pt>
                <c:pt idx="496">
                  <c:v>1200</c:v>
                </c:pt>
                <c:pt idx="497">
                  <c:v>1200</c:v>
                </c:pt>
                <c:pt idx="498">
                  <c:v>1200</c:v>
                </c:pt>
                <c:pt idx="499">
                  <c:v>1200</c:v>
                </c:pt>
                <c:pt idx="500">
                  <c:v>1200</c:v>
                </c:pt>
                <c:pt idx="501">
                  <c:v>1200</c:v>
                </c:pt>
                <c:pt idx="502">
                  <c:v>1200</c:v>
                </c:pt>
                <c:pt idx="503">
                  <c:v>1200</c:v>
                </c:pt>
                <c:pt idx="504">
                  <c:v>1200</c:v>
                </c:pt>
                <c:pt idx="505">
                  <c:v>1200</c:v>
                </c:pt>
                <c:pt idx="506">
                  <c:v>1200</c:v>
                </c:pt>
                <c:pt idx="507">
                  <c:v>1200</c:v>
                </c:pt>
                <c:pt idx="508">
                  <c:v>1200</c:v>
                </c:pt>
                <c:pt idx="509">
                  <c:v>1200</c:v>
                </c:pt>
                <c:pt idx="510">
                  <c:v>1200</c:v>
                </c:pt>
                <c:pt idx="511">
                  <c:v>1200</c:v>
                </c:pt>
                <c:pt idx="512">
                  <c:v>1200</c:v>
                </c:pt>
                <c:pt idx="513">
                  <c:v>1200</c:v>
                </c:pt>
                <c:pt idx="514">
                  <c:v>1200</c:v>
                </c:pt>
                <c:pt idx="515">
                  <c:v>1200</c:v>
                </c:pt>
                <c:pt idx="516">
                  <c:v>1200</c:v>
                </c:pt>
                <c:pt idx="517">
                  <c:v>1200</c:v>
                </c:pt>
                <c:pt idx="518">
                  <c:v>1200</c:v>
                </c:pt>
                <c:pt idx="519">
                  <c:v>1200</c:v>
                </c:pt>
                <c:pt idx="520">
                  <c:v>1200</c:v>
                </c:pt>
                <c:pt idx="521">
                  <c:v>1200</c:v>
                </c:pt>
                <c:pt idx="522">
                  <c:v>1200</c:v>
                </c:pt>
                <c:pt idx="523">
                  <c:v>1200</c:v>
                </c:pt>
                <c:pt idx="524">
                  <c:v>1200</c:v>
                </c:pt>
                <c:pt idx="525">
                  <c:v>1200</c:v>
                </c:pt>
                <c:pt idx="526">
                  <c:v>1200</c:v>
                </c:pt>
                <c:pt idx="527">
                  <c:v>1200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1200</c:v>
                </c:pt>
                <c:pt idx="532">
                  <c:v>1200</c:v>
                </c:pt>
                <c:pt idx="533">
                  <c:v>1200</c:v>
                </c:pt>
                <c:pt idx="534">
                  <c:v>1200</c:v>
                </c:pt>
                <c:pt idx="535">
                  <c:v>1200</c:v>
                </c:pt>
                <c:pt idx="536">
                  <c:v>1200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1300</c:v>
                </c:pt>
                <c:pt idx="575">
                  <c:v>1300</c:v>
                </c:pt>
                <c:pt idx="576">
                  <c:v>1300</c:v>
                </c:pt>
                <c:pt idx="577">
                  <c:v>1300</c:v>
                </c:pt>
                <c:pt idx="578">
                  <c:v>1300</c:v>
                </c:pt>
                <c:pt idx="579">
                  <c:v>1300</c:v>
                </c:pt>
                <c:pt idx="580">
                  <c:v>1300</c:v>
                </c:pt>
                <c:pt idx="581">
                  <c:v>1300</c:v>
                </c:pt>
                <c:pt idx="582">
                  <c:v>1300</c:v>
                </c:pt>
                <c:pt idx="583">
                  <c:v>1300</c:v>
                </c:pt>
                <c:pt idx="584">
                  <c:v>1300</c:v>
                </c:pt>
                <c:pt idx="585">
                  <c:v>1300</c:v>
                </c:pt>
                <c:pt idx="586">
                  <c:v>1300</c:v>
                </c:pt>
                <c:pt idx="587">
                  <c:v>1300</c:v>
                </c:pt>
                <c:pt idx="588">
                  <c:v>1300</c:v>
                </c:pt>
                <c:pt idx="589">
                  <c:v>1300</c:v>
                </c:pt>
                <c:pt idx="590">
                  <c:v>1300</c:v>
                </c:pt>
                <c:pt idx="591">
                  <c:v>1300</c:v>
                </c:pt>
                <c:pt idx="592">
                  <c:v>1300</c:v>
                </c:pt>
                <c:pt idx="593">
                  <c:v>1300</c:v>
                </c:pt>
                <c:pt idx="594">
                  <c:v>1300</c:v>
                </c:pt>
                <c:pt idx="595">
                  <c:v>1300</c:v>
                </c:pt>
                <c:pt idx="596">
                  <c:v>1300</c:v>
                </c:pt>
                <c:pt idx="597">
                  <c:v>1300</c:v>
                </c:pt>
                <c:pt idx="598">
                  <c:v>1300</c:v>
                </c:pt>
                <c:pt idx="599">
                  <c:v>1300</c:v>
                </c:pt>
                <c:pt idx="600">
                  <c:v>1300</c:v>
                </c:pt>
                <c:pt idx="601">
                  <c:v>1300</c:v>
                </c:pt>
                <c:pt idx="602">
                  <c:v>1300</c:v>
                </c:pt>
                <c:pt idx="603">
                  <c:v>1300</c:v>
                </c:pt>
                <c:pt idx="604">
                  <c:v>1300</c:v>
                </c:pt>
                <c:pt idx="605">
                  <c:v>1300</c:v>
                </c:pt>
                <c:pt idx="606">
                  <c:v>1300</c:v>
                </c:pt>
                <c:pt idx="607">
                  <c:v>1300</c:v>
                </c:pt>
                <c:pt idx="608">
                  <c:v>1300</c:v>
                </c:pt>
                <c:pt idx="609">
                  <c:v>1300</c:v>
                </c:pt>
                <c:pt idx="610">
                  <c:v>1300</c:v>
                </c:pt>
                <c:pt idx="611">
                  <c:v>1300</c:v>
                </c:pt>
                <c:pt idx="612">
                  <c:v>1300</c:v>
                </c:pt>
                <c:pt idx="613">
                  <c:v>1300</c:v>
                </c:pt>
                <c:pt idx="614">
                  <c:v>1300</c:v>
                </c:pt>
                <c:pt idx="615">
                  <c:v>1300</c:v>
                </c:pt>
                <c:pt idx="616">
                  <c:v>1300</c:v>
                </c:pt>
                <c:pt idx="617">
                  <c:v>1300</c:v>
                </c:pt>
                <c:pt idx="618">
                  <c:v>1300</c:v>
                </c:pt>
                <c:pt idx="619">
                  <c:v>1300</c:v>
                </c:pt>
                <c:pt idx="620">
                  <c:v>1300</c:v>
                </c:pt>
                <c:pt idx="621">
                  <c:v>1300</c:v>
                </c:pt>
                <c:pt idx="622">
                  <c:v>1300</c:v>
                </c:pt>
                <c:pt idx="623">
                  <c:v>1300</c:v>
                </c:pt>
                <c:pt idx="624">
                  <c:v>1300</c:v>
                </c:pt>
                <c:pt idx="625">
                  <c:v>1300</c:v>
                </c:pt>
                <c:pt idx="626">
                  <c:v>1300</c:v>
                </c:pt>
                <c:pt idx="627">
                  <c:v>1300</c:v>
                </c:pt>
                <c:pt idx="628">
                  <c:v>1300</c:v>
                </c:pt>
                <c:pt idx="629">
                  <c:v>1080</c:v>
                </c:pt>
                <c:pt idx="630">
                  <c:v>1080</c:v>
                </c:pt>
                <c:pt idx="631">
                  <c:v>1080</c:v>
                </c:pt>
                <c:pt idx="632">
                  <c:v>1080</c:v>
                </c:pt>
                <c:pt idx="633">
                  <c:v>1080</c:v>
                </c:pt>
                <c:pt idx="634">
                  <c:v>1080</c:v>
                </c:pt>
                <c:pt idx="635">
                  <c:v>1080</c:v>
                </c:pt>
                <c:pt idx="636">
                  <c:v>1080</c:v>
                </c:pt>
                <c:pt idx="637">
                  <c:v>1080</c:v>
                </c:pt>
                <c:pt idx="638">
                  <c:v>1080</c:v>
                </c:pt>
                <c:pt idx="639">
                  <c:v>1080</c:v>
                </c:pt>
                <c:pt idx="640">
                  <c:v>1080</c:v>
                </c:pt>
                <c:pt idx="641">
                  <c:v>1080</c:v>
                </c:pt>
                <c:pt idx="642">
                  <c:v>1080</c:v>
                </c:pt>
                <c:pt idx="643">
                  <c:v>1080</c:v>
                </c:pt>
                <c:pt idx="644">
                  <c:v>1080</c:v>
                </c:pt>
                <c:pt idx="645">
                  <c:v>1080</c:v>
                </c:pt>
                <c:pt idx="646">
                  <c:v>1080</c:v>
                </c:pt>
                <c:pt idx="647">
                  <c:v>1080</c:v>
                </c:pt>
                <c:pt idx="648">
                  <c:v>1080</c:v>
                </c:pt>
                <c:pt idx="649">
                  <c:v>1080</c:v>
                </c:pt>
                <c:pt idx="650">
                  <c:v>1080</c:v>
                </c:pt>
                <c:pt idx="651">
                  <c:v>1080</c:v>
                </c:pt>
                <c:pt idx="652">
                  <c:v>1080</c:v>
                </c:pt>
                <c:pt idx="653">
                  <c:v>1080</c:v>
                </c:pt>
                <c:pt idx="654">
                  <c:v>1080</c:v>
                </c:pt>
                <c:pt idx="655">
                  <c:v>1080</c:v>
                </c:pt>
                <c:pt idx="656">
                  <c:v>1080</c:v>
                </c:pt>
                <c:pt idx="657">
                  <c:v>1080</c:v>
                </c:pt>
                <c:pt idx="658">
                  <c:v>1080</c:v>
                </c:pt>
                <c:pt idx="659">
                  <c:v>1080</c:v>
                </c:pt>
                <c:pt idx="660">
                  <c:v>1080</c:v>
                </c:pt>
                <c:pt idx="661">
                  <c:v>1080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1750</c:v>
                </c:pt>
                <c:pt idx="726">
                  <c:v>1750</c:v>
                </c:pt>
                <c:pt idx="727">
                  <c:v>1750</c:v>
                </c:pt>
                <c:pt idx="728">
                  <c:v>1750</c:v>
                </c:pt>
                <c:pt idx="729">
                  <c:v>1750</c:v>
                </c:pt>
                <c:pt idx="730">
                  <c:v>1750</c:v>
                </c:pt>
                <c:pt idx="731">
                  <c:v>1250</c:v>
                </c:pt>
                <c:pt idx="732">
                  <c:v>1250</c:v>
                </c:pt>
                <c:pt idx="733">
                  <c:v>1250</c:v>
                </c:pt>
                <c:pt idx="734">
                  <c:v>1250</c:v>
                </c:pt>
                <c:pt idx="735">
                  <c:v>1250</c:v>
                </c:pt>
              </c:numCache>
            </c:numRef>
          </c:xVal>
          <c:yVal>
            <c:numRef>
              <c:f>'Regresión lineal'!$O$2:$O$737</c:f>
              <c:numCache>
                <c:formatCode>General</c:formatCode>
                <c:ptCount val="736"/>
                <c:pt idx="0">
                  <c:v>0.26614709865000008</c:v>
                </c:pt>
                <c:pt idx="1">
                  <c:v>0.13099311681250003</c:v>
                </c:pt>
                <c:pt idx="2">
                  <c:v>5.43428496E-2</c:v>
                </c:pt>
                <c:pt idx="3">
                  <c:v>0.16300518720000007</c:v>
                </c:pt>
                <c:pt idx="4">
                  <c:v>0.17791985749999997</c:v>
                </c:pt>
                <c:pt idx="5">
                  <c:v>0.27891806959800008</c:v>
                </c:pt>
                <c:pt idx="6">
                  <c:v>0.14882176583050002</c:v>
                </c:pt>
                <c:pt idx="7">
                  <c:v>0.32077314877500002</c:v>
                </c:pt>
                <c:pt idx="8">
                  <c:v>3.0037585086000001E-2</c:v>
                </c:pt>
                <c:pt idx="9">
                  <c:v>0.15592813156249999</c:v>
                </c:pt>
                <c:pt idx="10">
                  <c:v>3.5039197200000004E-2</c:v>
                </c:pt>
                <c:pt idx="11">
                  <c:v>0.12782485744049998</c:v>
                </c:pt>
                <c:pt idx="12">
                  <c:v>3.8383485992500008E-2</c:v>
                </c:pt>
                <c:pt idx="13">
                  <c:v>8.2281592431999992E-2</c:v>
                </c:pt>
                <c:pt idx="14">
                  <c:v>8.146266944199998E-2</c:v>
                </c:pt>
                <c:pt idx="15">
                  <c:v>0.131482464696</c:v>
                </c:pt>
                <c:pt idx="16">
                  <c:v>6.8217339008000019E-2</c:v>
                </c:pt>
                <c:pt idx="17">
                  <c:v>0.2995323471650001</c:v>
                </c:pt>
                <c:pt idx="18">
                  <c:v>3.4560712224999998E-2</c:v>
                </c:pt>
                <c:pt idx="19">
                  <c:v>0.22216149100800001</c:v>
                </c:pt>
                <c:pt idx="20">
                  <c:v>5.3613488437499995E-2</c:v>
                </c:pt>
                <c:pt idx="21">
                  <c:v>0.31882603932799997</c:v>
                </c:pt>
                <c:pt idx="22">
                  <c:v>0.1181985961</c:v>
                </c:pt>
                <c:pt idx="23">
                  <c:v>6.4433902375500007E-2</c:v>
                </c:pt>
                <c:pt idx="24">
                  <c:v>0.18978842557499997</c:v>
                </c:pt>
                <c:pt idx="25">
                  <c:v>0.2032176721675</c:v>
                </c:pt>
                <c:pt idx="26">
                  <c:v>3.5037834125999992E-2</c:v>
                </c:pt>
                <c:pt idx="27">
                  <c:v>0.23146293936600004</c:v>
                </c:pt>
                <c:pt idx="28">
                  <c:v>6.6881384167500016E-2</c:v>
                </c:pt>
                <c:pt idx="29">
                  <c:v>0.13304273218749998</c:v>
                </c:pt>
                <c:pt idx="30">
                  <c:v>0.53098080249599999</c:v>
                </c:pt>
                <c:pt idx="31">
                  <c:v>0.50904180335999982</c:v>
                </c:pt>
                <c:pt idx="32">
                  <c:v>0.73165961384749989</c:v>
                </c:pt>
                <c:pt idx="33">
                  <c:v>1.1594775617999999</c:v>
                </c:pt>
                <c:pt idx="34">
                  <c:v>1.0623695274945002</c:v>
                </c:pt>
                <c:pt idx="35">
                  <c:v>0.11326072331699999</c:v>
                </c:pt>
                <c:pt idx="36">
                  <c:v>0.63920810188800015</c:v>
                </c:pt>
                <c:pt idx="37">
                  <c:v>0.56573635501800024</c:v>
                </c:pt>
                <c:pt idx="38">
                  <c:v>9.1180584792000016E-2</c:v>
                </c:pt>
                <c:pt idx="39">
                  <c:v>0.49012590547800017</c:v>
                </c:pt>
                <c:pt idx="40">
                  <c:v>0.92448104855399982</c:v>
                </c:pt>
                <c:pt idx="41">
                  <c:v>1.7115759658080001</c:v>
                </c:pt>
                <c:pt idx="42">
                  <c:v>1.0296266147279998</c:v>
                </c:pt>
                <c:pt idx="43">
                  <c:v>0.78667500662400003</c:v>
                </c:pt>
                <c:pt idx="44">
                  <c:v>0.44250242508800003</c:v>
                </c:pt>
                <c:pt idx="45">
                  <c:v>8.5884915681499988E-2</c:v>
                </c:pt>
                <c:pt idx="46">
                  <c:v>7.3563321139199995E-3</c:v>
                </c:pt>
                <c:pt idx="47">
                  <c:v>0.60473907625000012</c:v>
                </c:pt>
                <c:pt idx="48">
                  <c:v>0.36747739809000007</c:v>
                </c:pt>
                <c:pt idx="49">
                  <c:v>1.0704967640605001</c:v>
                </c:pt>
                <c:pt idx="50">
                  <c:v>0.88171023657600001</c:v>
                </c:pt>
                <c:pt idx="51">
                  <c:v>5.8678965796500011E-2</c:v>
                </c:pt>
                <c:pt idx="52">
                  <c:v>1.3032266675999999</c:v>
                </c:pt>
                <c:pt idx="53">
                  <c:v>0.46680853708799996</c:v>
                </c:pt>
                <c:pt idx="54">
                  <c:v>6.5663836999999975E-2</c:v>
                </c:pt>
                <c:pt idx="55">
                  <c:v>9.5373575000000013E-3</c:v>
                </c:pt>
                <c:pt idx="56">
                  <c:v>0.28584990000000005</c:v>
                </c:pt>
                <c:pt idx="57">
                  <c:v>7.8283811000000023E-2</c:v>
                </c:pt>
                <c:pt idx="58">
                  <c:v>0.43949952000000014</c:v>
                </c:pt>
                <c:pt idx="59">
                  <c:v>0.10023665000000001</c:v>
                </c:pt>
                <c:pt idx="60">
                  <c:v>0.11774976450000002</c:v>
                </c:pt>
                <c:pt idx="61">
                  <c:v>1.0300770000000004E-2</c:v>
                </c:pt>
                <c:pt idx="62">
                  <c:v>1.9964120000000002E-2</c:v>
                </c:pt>
                <c:pt idx="63">
                  <c:v>0.24871940000000006</c:v>
                </c:pt>
                <c:pt idx="64">
                  <c:v>0.33321931199999999</c:v>
                </c:pt>
                <c:pt idx="65">
                  <c:v>0.27778457449999999</c:v>
                </c:pt>
                <c:pt idx="66">
                  <c:v>0.18482432500000004</c:v>
                </c:pt>
                <c:pt idx="67">
                  <c:v>0.11016101250000002</c:v>
                </c:pt>
                <c:pt idx="68">
                  <c:v>0.40754688000000017</c:v>
                </c:pt>
                <c:pt idx="69">
                  <c:v>6.0213425000000001E-2</c:v>
                </c:pt>
                <c:pt idx="70">
                  <c:v>1.4427420800000001</c:v>
                </c:pt>
                <c:pt idx="71">
                  <c:v>0.56543549999999998</c:v>
                </c:pt>
                <c:pt idx="72">
                  <c:v>0.21884544000000006</c:v>
                </c:pt>
                <c:pt idx="73">
                  <c:v>0.210135708</c:v>
                </c:pt>
                <c:pt idx="74">
                  <c:v>9.3434625000000007E-2</c:v>
                </c:pt>
                <c:pt idx="75">
                  <c:v>2.4937879999999999E-2</c:v>
                </c:pt>
                <c:pt idx="76">
                  <c:v>4.9910300000000005E-3</c:v>
                </c:pt>
                <c:pt idx="77">
                  <c:v>0.30638361600000008</c:v>
                </c:pt>
                <c:pt idx="78">
                  <c:v>0.15386000000000002</c:v>
                </c:pt>
                <c:pt idx="79">
                  <c:v>6.9301056000000028E-2</c:v>
                </c:pt>
                <c:pt idx="80">
                  <c:v>0.19596740000000001</c:v>
                </c:pt>
                <c:pt idx="81">
                  <c:v>0.19802606250000002</c:v>
                </c:pt>
                <c:pt idx="82">
                  <c:v>0.18573696599999998</c:v>
                </c:pt>
                <c:pt idx="83">
                  <c:v>0.31012429800000002</c:v>
                </c:pt>
                <c:pt idx="84">
                  <c:v>0.14996734200000003</c:v>
                </c:pt>
                <c:pt idx="85">
                  <c:v>0.32929399800000003</c:v>
                </c:pt>
                <c:pt idx="86">
                  <c:v>9.1273520000000035E-3</c:v>
                </c:pt>
                <c:pt idx="87">
                  <c:v>0.19958625000000002</c:v>
                </c:pt>
                <c:pt idx="88">
                  <c:v>0.19846150200000001</c:v>
                </c:pt>
                <c:pt idx="89">
                  <c:v>0.45341600000000004</c:v>
                </c:pt>
                <c:pt idx="90">
                  <c:v>2.441664000000001E-2</c:v>
                </c:pt>
                <c:pt idx="91">
                  <c:v>0.25402348800000002</c:v>
                </c:pt>
                <c:pt idx="92">
                  <c:v>0.3806172980000001</c:v>
                </c:pt>
                <c:pt idx="93">
                  <c:v>0.31987965000000007</c:v>
                </c:pt>
                <c:pt idx="94">
                  <c:v>0.85559976000000004</c:v>
                </c:pt>
                <c:pt idx="95">
                  <c:v>0.16123837200000002</c:v>
                </c:pt>
                <c:pt idx="96">
                  <c:v>2.9194699500000008E-2</c:v>
                </c:pt>
                <c:pt idx="97">
                  <c:v>0.53726844400000007</c:v>
                </c:pt>
                <c:pt idx="98">
                  <c:v>3.5341956000000001E-2</c:v>
                </c:pt>
                <c:pt idx="99">
                  <c:v>0.28080768799999994</c:v>
                </c:pt>
                <c:pt idx="100">
                  <c:v>0.1078289345</c:v>
                </c:pt>
                <c:pt idx="101">
                  <c:v>7.9811264000000035E-2</c:v>
                </c:pt>
                <c:pt idx="102">
                  <c:v>0.14306625000000001</c:v>
                </c:pt>
                <c:pt idx="103">
                  <c:v>0.45679150000000002</c:v>
                </c:pt>
                <c:pt idx="104">
                  <c:v>0.55556757899999998</c:v>
                </c:pt>
                <c:pt idx="105">
                  <c:v>1.4349046399999998</c:v>
                </c:pt>
                <c:pt idx="106">
                  <c:v>0.34710345000000009</c:v>
                </c:pt>
                <c:pt idx="107">
                  <c:v>0.42792422400000013</c:v>
                </c:pt>
                <c:pt idx="108">
                  <c:v>1.4593150000000004E-2</c:v>
                </c:pt>
                <c:pt idx="109">
                  <c:v>5.4339584000000024E-2</c:v>
                </c:pt>
                <c:pt idx="110">
                  <c:v>9.9701280000000017E-2</c:v>
                </c:pt>
                <c:pt idx="111">
                  <c:v>0.56484392400000005</c:v>
                </c:pt>
                <c:pt idx="112">
                  <c:v>0.46441102400000012</c:v>
                </c:pt>
                <c:pt idx="113">
                  <c:v>5.6543550000000012E-2</c:v>
                </c:pt>
                <c:pt idx="114">
                  <c:v>0.26116761599999999</c:v>
                </c:pt>
                <c:pt idx="115">
                  <c:v>0.50059889600000018</c:v>
                </c:pt>
                <c:pt idx="116">
                  <c:v>0.31987965000000007</c:v>
                </c:pt>
                <c:pt idx="117">
                  <c:v>0.74292400000000014</c:v>
                </c:pt>
                <c:pt idx="118">
                  <c:v>3.233352200000001E-2</c:v>
                </c:pt>
                <c:pt idx="119">
                  <c:v>6.4958907000000024E-2</c:v>
                </c:pt>
                <c:pt idx="120">
                  <c:v>0.37092568800000009</c:v>
                </c:pt>
                <c:pt idx="121">
                  <c:v>0.21883201650000009</c:v>
                </c:pt>
                <c:pt idx="122">
                  <c:v>5.7226500000000007E-2</c:v>
                </c:pt>
                <c:pt idx="123">
                  <c:v>0.17095039199999998</c:v>
                </c:pt>
                <c:pt idx="124">
                  <c:v>0.14279668100000001</c:v>
                </c:pt>
                <c:pt idx="125">
                  <c:v>5.064192E-2</c:v>
                </c:pt>
                <c:pt idx="126">
                  <c:v>0.25236886499999994</c:v>
                </c:pt>
                <c:pt idx="127">
                  <c:v>0.41448000000000002</c:v>
                </c:pt>
                <c:pt idx="128">
                  <c:v>0.74983671000000018</c:v>
                </c:pt>
                <c:pt idx="129">
                  <c:v>0.56946780949999998</c:v>
                </c:pt>
                <c:pt idx="130">
                  <c:v>0.30343766800000005</c:v>
                </c:pt>
                <c:pt idx="131">
                  <c:v>0.45656322199999999</c:v>
                </c:pt>
                <c:pt idx="132">
                  <c:v>2.5312482000000001E-2</c:v>
                </c:pt>
                <c:pt idx="133">
                  <c:v>0.13606098850000001</c:v>
                </c:pt>
                <c:pt idx="134">
                  <c:v>0.22015505550000003</c:v>
                </c:pt>
                <c:pt idx="135">
                  <c:v>0.63611493749999992</c:v>
                </c:pt>
                <c:pt idx="136">
                  <c:v>0.58643244449999998</c:v>
                </c:pt>
                <c:pt idx="137">
                  <c:v>6.5775149999999991E-2</c:v>
                </c:pt>
                <c:pt idx="138">
                  <c:v>0.15847580000000003</c:v>
                </c:pt>
                <c:pt idx="139">
                  <c:v>0.514827492</c:v>
                </c:pt>
                <c:pt idx="140">
                  <c:v>0.25547165599999994</c:v>
                </c:pt>
                <c:pt idx="141">
                  <c:v>0.30152038400000009</c:v>
                </c:pt>
                <c:pt idx="142">
                  <c:v>5.1409336000000007E-2</c:v>
                </c:pt>
                <c:pt idx="143">
                  <c:v>4.3237799999999993E-2</c:v>
                </c:pt>
                <c:pt idx="144">
                  <c:v>0.43994728400000005</c:v>
                </c:pt>
                <c:pt idx="145">
                  <c:v>3.829795200000001E-2</c:v>
                </c:pt>
                <c:pt idx="146">
                  <c:v>2.0547155200000005E-3</c:v>
                </c:pt>
                <c:pt idx="147">
                  <c:v>6.5043538635000016E-3</c:v>
                </c:pt>
                <c:pt idx="148">
                  <c:v>5.1290708998000006E-2</c:v>
                </c:pt>
                <c:pt idx="149">
                  <c:v>6.8273475299999989E-3</c:v>
                </c:pt>
                <c:pt idx="150">
                  <c:v>3.4372550079999997E-3</c:v>
                </c:pt>
                <c:pt idx="151">
                  <c:v>2.4567918606000001E-2</c:v>
                </c:pt>
                <c:pt idx="152">
                  <c:v>1.5487066787499998E-2</c:v>
                </c:pt>
                <c:pt idx="153">
                  <c:v>1.6200147678000001E-2</c:v>
                </c:pt>
                <c:pt idx="154">
                  <c:v>1.2808537280000001E-2</c:v>
                </c:pt>
                <c:pt idx="155">
                  <c:v>0.22957035868800002</c:v>
                </c:pt>
                <c:pt idx="156">
                  <c:v>4.6924529735000008E-3</c:v>
                </c:pt>
                <c:pt idx="157">
                  <c:v>8.4003536874999993E-2</c:v>
                </c:pt>
                <c:pt idx="158">
                  <c:v>5.1926209829999993E-3</c:v>
                </c:pt>
                <c:pt idx="159">
                  <c:v>1.7342192996000001E-2</c:v>
                </c:pt>
                <c:pt idx="160">
                  <c:v>1.07607172E-2</c:v>
                </c:pt>
                <c:pt idx="161">
                  <c:v>0.16430654536349998</c:v>
                </c:pt>
                <c:pt idx="162">
                  <c:v>3.0090032819999999E-3</c:v>
                </c:pt>
                <c:pt idx="163">
                  <c:v>1.7887681331999999E-2</c:v>
                </c:pt>
                <c:pt idx="164">
                  <c:v>1.4824517760000001E-2</c:v>
                </c:pt>
                <c:pt idx="165">
                  <c:v>1.8071901050000001E-4</c:v>
                </c:pt>
                <c:pt idx="166">
                  <c:v>1.4348712147E-2</c:v>
                </c:pt>
                <c:pt idx="167">
                  <c:v>8.0301541009500002E-2</c:v>
                </c:pt>
                <c:pt idx="168">
                  <c:v>4.9490161719999998E-3</c:v>
                </c:pt>
                <c:pt idx="169">
                  <c:v>1.7970847999999996E-3</c:v>
                </c:pt>
                <c:pt idx="170">
                  <c:v>1.7035792188500001E-2</c:v>
                </c:pt>
                <c:pt idx="171">
                  <c:v>5.9706044960000006E-3</c:v>
                </c:pt>
                <c:pt idx="172">
                  <c:v>5.9689879062499993E-2</c:v>
                </c:pt>
                <c:pt idx="173">
                  <c:v>0.12392959944199999</c:v>
                </c:pt>
                <c:pt idx="174">
                  <c:v>5.3508322615500009E-2</c:v>
                </c:pt>
                <c:pt idx="175">
                  <c:v>0.24679842053399995</c:v>
                </c:pt>
                <c:pt idx="176">
                  <c:v>2.2056484905000001E-3</c:v>
                </c:pt>
                <c:pt idx="177">
                  <c:v>1.7720503650000003E-3</c:v>
                </c:pt>
                <c:pt idx="178">
                  <c:v>6.8504809776000028E-2</c:v>
                </c:pt>
                <c:pt idx="179">
                  <c:v>4.7999244896500003E-2</c:v>
                </c:pt>
                <c:pt idx="180">
                  <c:v>6.0968251954999992E-3</c:v>
                </c:pt>
                <c:pt idx="181">
                  <c:v>3.8453128601999995E-2</c:v>
                </c:pt>
                <c:pt idx="182">
                  <c:v>2.1161901888000007E-2</c:v>
                </c:pt>
                <c:pt idx="183">
                  <c:v>2.0742626480000009E-2</c:v>
                </c:pt>
                <c:pt idx="184">
                  <c:v>8.8107369137999991E-2</c:v>
                </c:pt>
                <c:pt idx="185">
                  <c:v>4.2481273519999994E-3</c:v>
                </c:pt>
                <c:pt idx="186">
                  <c:v>1.5969327219999998E-3</c:v>
                </c:pt>
                <c:pt idx="187">
                  <c:v>1.2993618771E-2</c:v>
                </c:pt>
                <c:pt idx="188">
                  <c:v>1.9316024000000007E-3</c:v>
                </c:pt>
                <c:pt idx="189">
                  <c:v>1.1902048168000001E-2</c:v>
                </c:pt>
                <c:pt idx="190">
                  <c:v>7.6833589439999983E-3</c:v>
                </c:pt>
                <c:pt idx="191">
                  <c:v>3.2149160981999998E-2</c:v>
                </c:pt>
                <c:pt idx="192">
                  <c:v>6.8864504939999995E-3</c:v>
                </c:pt>
                <c:pt idx="193">
                  <c:v>1.0991371395000001E-3</c:v>
                </c:pt>
                <c:pt idx="194">
                  <c:v>3.0994789280000004E-2</c:v>
                </c:pt>
                <c:pt idx="195">
                  <c:v>0.21325043005799998</c:v>
                </c:pt>
                <c:pt idx="196">
                  <c:v>6.837021430399999E-2</c:v>
                </c:pt>
                <c:pt idx="197">
                  <c:v>5.3899005105000003E-3</c:v>
                </c:pt>
                <c:pt idx="198">
                  <c:v>8.8375599006499994E-2</c:v>
                </c:pt>
                <c:pt idx="199">
                  <c:v>0.12923572820650001</c:v>
                </c:pt>
                <c:pt idx="200">
                  <c:v>2.3238448493500007E-2</c:v>
                </c:pt>
                <c:pt idx="201">
                  <c:v>0</c:v>
                </c:pt>
                <c:pt idx="202">
                  <c:v>3.7040947199999993E-2</c:v>
                </c:pt>
                <c:pt idx="203">
                  <c:v>2.8616703999999999E-3</c:v>
                </c:pt>
                <c:pt idx="204">
                  <c:v>2.0279879027999999E-2</c:v>
                </c:pt>
                <c:pt idx="205">
                  <c:v>1.2248042256E-2</c:v>
                </c:pt>
                <c:pt idx="206">
                  <c:v>4.545785850000001E-3</c:v>
                </c:pt>
                <c:pt idx="207">
                  <c:v>5.444677731999999E-3</c:v>
                </c:pt>
                <c:pt idx="208">
                  <c:v>7.1057296465000018E-3</c:v>
                </c:pt>
                <c:pt idx="209">
                  <c:v>1.6821470939000001E-2</c:v>
                </c:pt>
                <c:pt idx="210">
                  <c:v>4.5261583379999993E-3</c:v>
                </c:pt>
                <c:pt idx="211">
                  <c:v>0.11643120000000001</c:v>
                </c:pt>
                <c:pt idx="212">
                  <c:v>0.14836500000000002</c:v>
                </c:pt>
                <c:pt idx="213">
                  <c:v>0.14725815000000003</c:v>
                </c:pt>
                <c:pt idx="214">
                  <c:v>5.5155669999999997E-2</c:v>
                </c:pt>
                <c:pt idx="215">
                  <c:v>3.4837043999999991E-2</c:v>
                </c:pt>
                <c:pt idx="216">
                  <c:v>0.19349464999999999</c:v>
                </c:pt>
                <c:pt idx="217">
                  <c:v>0.17464114800000002</c:v>
                </c:pt>
                <c:pt idx="218">
                  <c:v>0.14586328349999997</c:v>
                </c:pt>
                <c:pt idx="219">
                  <c:v>8.9608063999999973E-2</c:v>
                </c:pt>
                <c:pt idx="220">
                  <c:v>0.33088362299999996</c:v>
                </c:pt>
                <c:pt idx="221">
                  <c:v>9.4010343999999982E-2</c:v>
                </c:pt>
                <c:pt idx="222">
                  <c:v>5.1672153999999998E-2</c:v>
                </c:pt>
                <c:pt idx="223">
                  <c:v>0.17337415800000003</c:v>
                </c:pt>
                <c:pt idx="224">
                  <c:v>0.35584740800000009</c:v>
                </c:pt>
                <c:pt idx="225">
                  <c:v>8.4146269499999996E-2</c:v>
                </c:pt>
                <c:pt idx="226">
                  <c:v>9.156240000000003E-2</c:v>
                </c:pt>
                <c:pt idx="227">
                  <c:v>0.12013388799999997</c:v>
                </c:pt>
                <c:pt idx="228">
                  <c:v>0.20001800000000003</c:v>
                </c:pt>
                <c:pt idx="229">
                  <c:v>6.1041599999999994E-2</c:v>
                </c:pt>
                <c:pt idx="230">
                  <c:v>0.20998310400000009</c:v>
                </c:pt>
                <c:pt idx="231">
                  <c:v>3.2218912000000009E-2</c:v>
                </c:pt>
                <c:pt idx="232">
                  <c:v>2.3216375000000004E-2</c:v>
                </c:pt>
                <c:pt idx="233">
                  <c:v>1.4537650500000001E-2</c:v>
                </c:pt>
                <c:pt idx="234">
                  <c:v>2.4617600000000007E-2</c:v>
                </c:pt>
                <c:pt idx="235">
                  <c:v>2.8446201999999993E-2</c:v>
                </c:pt>
                <c:pt idx="236">
                  <c:v>2.0929356000000003E-2</c:v>
                </c:pt>
                <c:pt idx="237">
                  <c:v>2.8371156000000012E-2</c:v>
                </c:pt>
                <c:pt idx="238">
                  <c:v>1.8465084000000003E-2</c:v>
                </c:pt>
                <c:pt idx="239">
                  <c:v>2.3426283999999995E-2</c:v>
                </c:pt>
                <c:pt idx="240">
                  <c:v>0.31061256800000009</c:v>
                </c:pt>
                <c:pt idx="241">
                  <c:v>0.29414954800000004</c:v>
                </c:pt>
                <c:pt idx="242">
                  <c:v>0.20488500000000001</c:v>
                </c:pt>
                <c:pt idx="243">
                  <c:v>0.16835353350000004</c:v>
                </c:pt>
                <c:pt idx="244">
                  <c:v>0.23115549600000002</c:v>
                </c:pt>
                <c:pt idx="245">
                  <c:v>4.2132991000000002E-2</c:v>
                </c:pt>
                <c:pt idx="246">
                  <c:v>1.9832868000000003E-2</c:v>
                </c:pt>
                <c:pt idx="247">
                  <c:v>0.22308067200000001</c:v>
                </c:pt>
                <c:pt idx="248">
                  <c:v>0.2777456385</c:v>
                </c:pt>
                <c:pt idx="249">
                  <c:v>8.0737250000000003E-3</c:v>
                </c:pt>
                <c:pt idx="250">
                  <c:v>0.2333760255</c:v>
                </c:pt>
                <c:pt idx="251">
                  <c:v>9.1400533000000006E-2</c:v>
                </c:pt>
                <c:pt idx="252">
                  <c:v>0.13797160000000003</c:v>
                </c:pt>
                <c:pt idx="253">
                  <c:v>8.9966651999999994E-2</c:v>
                </c:pt>
                <c:pt idx="254">
                  <c:v>8.3280650000000025E-2</c:v>
                </c:pt>
                <c:pt idx="255">
                  <c:v>4.7426560000000005E-3</c:v>
                </c:pt>
                <c:pt idx="256">
                  <c:v>0.22961250000000002</c:v>
                </c:pt>
                <c:pt idx="257">
                  <c:v>2.0327104000000002E-2</c:v>
                </c:pt>
                <c:pt idx="258">
                  <c:v>2.8391016500000001E-2</c:v>
                </c:pt>
                <c:pt idx="259">
                  <c:v>2.1877164999999999E-3</c:v>
                </c:pt>
                <c:pt idx="260">
                  <c:v>5.1927749999999995E-2</c:v>
                </c:pt>
                <c:pt idx="261">
                  <c:v>3.6172800000000002E-4</c:v>
                </c:pt>
                <c:pt idx="262">
                  <c:v>4.0192000000000005E-3</c:v>
                </c:pt>
                <c:pt idx="263">
                  <c:v>2.3081355000000004E-3</c:v>
                </c:pt>
                <c:pt idx="264">
                  <c:v>5.8958210000000004E-2</c:v>
                </c:pt>
                <c:pt idx="265">
                  <c:v>7.6937850000000002E-2</c:v>
                </c:pt>
                <c:pt idx="266">
                  <c:v>2.6745264000000001E-2</c:v>
                </c:pt>
                <c:pt idx="267">
                  <c:v>7.6073957499999983E-2</c:v>
                </c:pt>
                <c:pt idx="268">
                  <c:v>2.7282910500000004E-2</c:v>
                </c:pt>
                <c:pt idx="269">
                  <c:v>0.106717296</c:v>
                </c:pt>
                <c:pt idx="270">
                  <c:v>7.9811264000000035E-2</c:v>
                </c:pt>
                <c:pt idx="271">
                  <c:v>2.7887125000000002E-3</c:v>
                </c:pt>
                <c:pt idx="272">
                  <c:v>1.4282603999999999E-2</c:v>
                </c:pt>
                <c:pt idx="273">
                  <c:v>6.4909687499999993E-2</c:v>
                </c:pt>
                <c:pt idx="274">
                  <c:v>4.6446880000000001E-3</c:v>
                </c:pt>
                <c:pt idx="275">
                  <c:v>0.10599132800000001</c:v>
                </c:pt>
                <c:pt idx="276">
                  <c:v>9.7385373000000025E-2</c:v>
                </c:pt>
                <c:pt idx="277">
                  <c:v>5.2441061499999983E-2</c:v>
                </c:pt>
                <c:pt idx="278">
                  <c:v>0.11939850000000002</c:v>
                </c:pt>
                <c:pt idx="279">
                  <c:v>5.2773980000000009E-3</c:v>
                </c:pt>
                <c:pt idx="280">
                  <c:v>1.9782000000000001E-2</c:v>
                </c:pt>
                <c:pt idx="281">
                  <c:v>8.0884516000000017E-2</c:v>
                </c:pt>
                <c:pt idx="282">
                  <c:v>1.5992961999999999E-2</c:v>
                </c:pt>
                <c:pt idx="283">
                  <c:v>3.1792499999999999E-4</c:v>
                </c:pt>
                <c:pt idx="284">
                  <c:v>1.0326883181999999E-2</c:v>
                </c:pt>
                <c:pt idx="285">
                  <c:v>1.3173179200000002E-3</c:v>
                </c:pt>
                <c:pt idx="286">
                  <c:v>3.7326337089999993E-3</c:v>
                </c:pt>
                <c:pt idx="287">
                  <c:v>1.1408802991859999</c:v>
                </c:pt>
                <c:pt idx="288">
                  <c:v>0.37046940486600005</c:v>
                </c:pt>
                <c:pt idx="289">
                  <c:v>0.49732078137299995</c:v>
                </c:pt>
                <c:pt idx="290">
                  <c:v>6.3185686200000011E-4</c:v>
                </c:pt>
                <c:pt idx="291">
                  <c:v>1.99451313995E-2</c:v>
                </c:pt>
                <c:pt idx="292">
                  <c:v>0.10205104813200004</c:v>
                </c:pt>
                <c:pt idx="293">
                  <c:v>2.7697626000000003E-2</c:v>
                </c:pt>
                <c:pt idx="294">
                  <c:v>1.6426477936000005E-2</c:v>
                </c:pt>
                <c:pt idx="295">
                  <c:v>5.8554031162500006E-2</c:v>
                </c:pt>
                <c:pt idx="296">
                  <c:v>3.2279961449999998E-3</c:v>
                </c:pt>
                <c:pt idx="297">
                  <c:v>0.14238543645599999</c:v>
                </c:pt>
                <c:pt idx="298">
                  <c:v>7.1189460320999987E-2</c:v>
                </c:pt>
                <c:pt idx="299">
                  <c:v>1.9920561920000004E-3</c:v>
                </c:pt>
                <c:pt idx="300">
                  <c:v>1.1701053000000002E-3</c:v>
                </c:pt>
                <c:pt idx="301">
                  <c:v>3.5678250000000002E-2</c:v>
                </c:pt>
                <c:pt idx="302">
                  <c:v>7.8517426214999991E-3</c:v>
                </c:pt>
                <c:pt idx="303">
                  <c:v>8.0352188345999997E-2</c:v>
                </c:pt>
                <c:pt idx="304">
                  <c:v>3.3741959580000005E-3</c:v>
                </c:pt>
                <c:pt idx="305">
                  <c:v>1.9712529854999995E-3</c:v>
                </c:pt>
                <c:pt idx="306">
                  <c:v>1.161191625E-2</c:v>
                </c:pt>
                <c:pt idx="307">
                  <c:v>3.4131725817499993E-2</c:v>
                </c:pt>
                <c:pt idx="308">
                  <c:v>1.2835365597000003E-2</c:v>
                </c:pt>
                <c:pt idx="309">
                  <c:v>0.45626642668800016</c:v>
                </c:pt>
                <c:pt idx="310">
                  <c:v>9.4184203680500012E-2</c:v>
                </c:pt>
                <c:pt idx="311">
                  <c:v>1.1753071496000004E-2</c:v>
                </c:pt>
                <c:pt idx="312">
                  <c:v>0.3423715328000001</c:v>
                </c:pt>
                <c:pt idx="313">
                  <c:v>2.035203717E-2</c:v>
                </c:pt>
                <c:pt idx="314">
                  <c:v>2.5145324099999991E-4</c:v>
                </c:pt>
                <c:pt idx="315">
                  <c:v>2.0288355458E-2</c:v>
                </c:pt>
                <c:pt idx="316">
                  <c:v>1.3328122500000001E-3</c:v>
                </c:pt>
                <c:pt idx="317">
                  <c:v>8.7868647811999989E-2</c:v>
                </c:pt>
                <c:pt idx="318">
                  <c:v>4.5615125400000005E-2</c:v>
                </c:pt>
                <c:pt idx="319">
                  <c:v>4.6212949999999996E-5</c:v>
                </c:pt>
                <c:pt idx="320">
                  <c:v>0.12316520694799998</c:v>
                </c:pt>
                <c:pt idx="321">
                  <c:v>4.4911631321999997E-2</c:v>
                </c:pt>
                <c:pt idx="322">
                  <c:v>0.21656910461450005</c:v>
                </c:pt>
                <c:pt idx="323">
                  <c:v>3.78546939E-2</c:v>
                </c:pt>
                <c:pt idx="324">
                  <c:v>2.6660416175999999E-2</c:v>
                </c:pt>
                <c:pt idx="325">
                  <c:v>0.38782282477500002</c:v>
                </c:pt>
                <c:pt idx="326">
                  <c:v>0.25738390092799995</c:v>
                </c:pt>
                <c:pt idx="327">
                  <c:v>7.5946966480000006E-3</c:v>
                </c:pt>
                <c:pt idx="328">
                  <c:v>2.7332584044000002E-2</c:v>
                </c:pt>
                <c:pt idx="329">
                  <c:v>0.82563466463999968</c:v>
                </c:pt>
                <c:pt idx="330">
                  <c:v>0.46950857535999996</c:v>
                </c:pt>
                <c:pt idx="331">
                  <c:v>0.33606057239999998</c:v>
                </c:pt>
                <c:pt idx="332">
                  <c:v>0.37000351270400006</c:v>
                </c:pt>
                <c:pt idx="333">
                  <c:v>2.1947873529600002</c:v>
                </c:pt>
                <c:pt idx="334">
                  <c:v>0.17567954348800002</c:v>
                </c:pt>
                <c:pt idx="335">
                  <c:v>0.29447901406999999</c:v>
                </c:pt>
                <c:pt idx="336">
                  <c:v>0.34743371520000016</c:v>
                </c:pt>
                <c:pt idx="337">
                  <c:v>0.8126357044935002</c:v>
                </c:pt>
                <c:pt idx="338">
                  <c:v>0.30623639348900006</c:v>
                </c:pt>
                <c:pt idx="339">
                  <c:v>0.29632013737000001</c:v>
                </c:pt>
                <c:pt idx="340">
                  <c:v>0.50848447612500014</c:v>
                </c:pt>
                <c:pt idx="341">
                  <c:v>0.64392794830000011</c:v>
                </c:pt>
                <c:pt idx="342">
                  <c:v>1.6115665663999999E-2</c:v>
                </c:pt>
                <c:pt idx="343">
                  <c:v>0.89459918854949982</c:v>
                </c:pt>
                <c:pt idx="344">
                  <c:v>3.4826592509999997E-2</c:v>
                </c:pt>
                <c:pt idx="345">
                  <c:v>1.6361048804579998</c:v>
                </c:pt>
                <c:pt idx="346">
                  <c:v>0.27851564766899989</c:v>
                </c:pt>
                <c:pt idx="347">
                  <c:v>0.54623725739999984</c:v>
                </c:pt>
                <c:pt idx="348">
                  <c:v>0.96218032666250008</c:v>
                </c:pt>
                <c:pt idx="349">
                  <c:v>0.38068358928750007</c:v>
                </c:pt>
                <c:pt idx="350">
                  <c:v>0.53021642389649992</c:v>
                </c:pt>
                <c:pt idx="351">
                  <c:v>0.21955186738749999</c:v>
                </c:pt>
                <c:pt idx="352">
                  <c:v>0.50559366260000005</c:v>
                </c:pt>
                <c:pt idx="353">
                  <c:v>0.60533845515000007</c:v>
                </c:pt>
                <c:pt idx="354">
                  <c:v>0.28503710707500002</c:v>
                </c:pt>
                <c:pt idx="355">
                  <c:v>0.63290306415600017</c:v>
                </c:pt>
                <c:pt idx="356">
                  <c:v>0.52335811840000024</c:v>
                </c:pt>
                <c:pt idx="357">
                  <c:v>0.82494079685999988</c:v>
                </c:pt>
                <c:pt idx="358">
                  <c:v>0.37434019088199999</c:v>
                </c:pt>
                <c:pt idx="359">
                  <c:v>0.61169910181100018</c:v>
                </c:pt>
                <c:pt idx="360">
                  <c:v>1.0001382620354997</c:v>
                </c:pt>
                <c:pt idx="361">
                  <c:v>0.75537437741899993</c:v>
                </c:pt>
                <c:pt idx="362">
                  <c:v>0.75604809707499998</c:v>
                </c:pt>
                <c:pt idx="363">
                  <c:v>0.91531773648900006</c:v>
                </c:pt>
                <c:pt idx="364">
                  <c:v>6.2030332620000017E-3</c:v>
                </c:pt>
                <c:pt idx="365">
                  <c:v>1.4921476212320002</c:v>
                </c:pt>
                <c:pt idx="366">
                  <c:v>0.29464698931200001</c:v>
                </c:pt>
                <c:pt idx="367">
                  <c:v>0.95013800079999999</c:v>
                </c:pt>
                <c:pt idx="368">
                  <c:v>0.37686129279999997</c:v>
                </c:pt>
                <c:pt idx="369">
                  <c:v>0.22408277992100004</c:v>
                </c:pt>
                <c:pt idx="370">
                  <c:v>0.27008544867400003</c:v>
                </c:pt>
                <c:pt idx="371">
                  <c:v>1.9748221026099997</c:v>
                </c:pt>
                <c:pt idx="372">
                  <c:v>0.41975469759999995</c:v>
                </c:pt>
                <c:pt idx="373">
                  <c:v>0.24429185673749998</c:v>
                </c:pt>
                <c:pt idx="374">
                  <c:v>0.94959487500000006</c:v>
                </c:pt>
                <c:pt idx="375">
                  <c:v>3.3173892991574996</c:v>
                </c:pt>
                <c:pt idx="376">
                  <c:v>0.6406011104499999</c:v>
                </c:pt>
                <c:pt idx="377">
                  <c:v>1.4540521361965</c:v>
                </c:pt>
                <c:pt idx="378">
                  <c:v>5.7516070800000027E-2</c:v>
                </c:pt>
                <c:pt idx="379">
                  <c:v>0.73680933717100028</c:v>
                </c:pt>
                <c:pt idx="380">
                  <c:v>1.3782910778125004</c:v>
                </c:pt>
                <c:pt idx="381">
                  <c:v>1.0549304139999998</c:v>
                </c:pt>
                <c:pt idx="382">
                  <c:v>0.77870507715000015</c:v>
                </c:pt>
                <c:pt idx="383">
                  <c:v>0.59919464637000008</c:v>
                </c:pt>
                <c:pt idx="384">
                  <c:v>1.0152575188000001E-2</c:v>
                </c:pt>
                <c:pt idx="385">
                  <c:v>0.1609130385625</c:v>
                </c:pt>
                <c:pt idx="386">
                  <c:v>0.833921220096</c:v>
                </c:pt>
                <c:pt idx="387">
                  <c:v>1.0902659505840002</c:v>
                </c:pt>
                <c:pt idx="388">
                  <c:v>0.29599718397399999</c:v>
                </c:pt>
                <c:pt idx="389">
                  <c:v>0.14780368857600007</c:v>
                </c:pt>
                <c:pt idx="390">
                  <c:v>2.5868776253499998E-2</c:v>
                </c:pt>
                <c:pt idx="391">
                  <c:v>3.0263378875000002E-3</c:v>
                </c:pt>
                <c:pt idx="392">
                  <c:v>3.0373576703999993E-2</c:v>
                </c:pt>
                <c:pt idx="393">
                  <c:v>0.25518385042950004</c:v>
                </c:pt>
                <c:pt idx="394">
                  <c:v>3.9609512730000011E-2</c:v>
                </c:pt>
                <c:pt idx="395">
                  <c:v>1.3256510875E-2</c:v>
                </c:pt>
                <c:pt idx="396">
                  <c:v>0.24534147058199998</c:v>
                </c:pt>
                <c:pt idx="397">
                  <c:v>5.1778768068499993E-2</c:v>
                </c:pt>
                <c:pt idx="398">
                  <c:v>9.3883082940000029E-3</c:v>
                </c:pt>
                <c:pt idx="399">
                  <c:v>8.2047322056000002E-2</c:v>
                </c:pt>
                <c:pt idx="400">
                  <c:v>0.126789384586</c:v>
                </c:pt>
                <c:pt idx="401">
                  <c:v>1.8908653274000001E-2</c:v>
                </c:pt>
                <c:pt idx="402">
                  <c:v>1.0396811296000003E-2</c:v>
                </c:pt>
                <c:pt idx="403">
                  <c:v>0.10868548442400003</c:v>
                </c:pt>
                <c:pt idx="404">
                  <c:v>0.15297490543499997</c:v>
                </c:pt>
                <c:pt idx="405">
                  <c:v>0.51810117420299995</c:v>
                </c:pt>
                <c:pt idx="406">
                  <c:v>7.338691710100001E-2</c:v>
                </c:pt>
                <c:pt idx="407">
                  <c:v>3.2678563333499999E-2</c:v>
                </c:pt>
                <c:pt idx="408">
                  <c:v>0.10236457980100003</c:v>
                </c:pt>
                <c:pt idx="409">
                  <c:v>5.2413568366500012E-2</c:v>
                </c:pt>
                <c:pt idx="410">
                  <c:v>9.1463450122000009E-2</c:v>
                </c:pt>
                <c:pt idx="411">
                  <c:v>5.6178032805000002E-3</c:v>
                </c:pt>
                <c:pt idx="412">
                  <c:v>0.22508922700800002</c:v>
                </c:pt>
                <c:pt idx="413">
                  <c:v>4.8413618921500007E-2</c:v>
                </c:pt>
                <c:pt idx="414">
                  <c:v>2.28727962E-4</c:v>
                </c:pt>
                <c:pt idx="415">
                  <c:v>5.0896134400000008E-4</c:v>
                </c:pt>
                <c:pt idx="416">
                  <c:v>5.5338060824999993E-2</c:v>
                </c:pt>
                <c:pt idx="417">
                  <c:v>7.8528476659999995E-3</c:v>
                </c:pt>
                <c:pt idx="418">
                  <c:v>2.4067997950000003E-2</c:v>
                </c:pt>
                <c:pt idx="419">
                  <c:v>0.2072485598755</c:v>
                </c:pt>
                <c:pt idx="420">
                  <c:v>0.15549596990849998</c:v>
                </c:pt>
                <c:pt idx="421">
                  <c:v>5.7860376195999992E-2</c:v>
                </c:pt>
                <c:pt idx="422">
                  <c:v>1.5122644746000004E-2</c:v>
                </c:pt>
                <c:pt idx="423">
                  <c:v>6.3137271167999998E-2</c:v>
                </c:pt>
                <c:pt idx="424">
                  <c:v>1.9546956242000004E-2</c:v>
                </c:pt>
                <c:pt idx="425">
                  <c:v>0.27548716406250001</c:v>
                </c:pt>
                <c:pt idx="426">
                  <c:v>5.7353740650000005E-4</c:v>
                </c:pt>
                <c:pt idx="427">
                  <c:v>1.3130473944000003E-2</c:v>
                </c:pt>
                <c:pt idx="428">
                  <c:v>0.68124022690349995</c:v>
                </c:pt>
                <c:pt idx="429">
                  <c:v>4.5935486883000011E-2</c:v>
                </c:pt>
                <c:pt idx="430">
                  <c:v>4.4010569700000002E-4</c:v>
                </c:pt>
                <c:pt idx="431">
                  <c:v>1.0834185349999997E-3</c:v>
                </c:pt>
                <c:pt idx="432">
                  <c:v>0.50831521756499998</c:v>
                </c:pt>
                <c:pt idx="433">
                  <c:v>4.3693835937499995E-2</c:v>
                </c:pt>
                <c:pt idx="434">
                  <c:v>3.2807812720000002E-3</c:v>
                </c:pt>
                <c:pt idx="435">
                  <c:v>4.1456967133500007E-2</c:v>
                </c:pt>
                <c:pt idx="436">
                  <c:v>2.49769259E-3</c:v>
                </c:pt>
                <c:pt idx="437">
                  <c:v>0.43116419743949996</c:v>
                </c:pt>
                <c:pt idx="438">
                  <c:v>0.29219195644800006</c:v>
                </c:pt>
                <c:pt idx="439">
                  <c:v>0.33368310507200011</c:v>
                </c:pt>
                <c:pt idx="440">
                  <c:v>0.13870663985250001</c:v>
                </c:pt>
                <c:pt idx="441">
                  <c:v>0.35466273718200009</c:v>
                </c:pt>
                <c:pt idx="442">
                  <c:v>0.12508573833600001</c:v>
                </c:pt>
                <c:pt idx="443">
                  <c:v>0.15762389507800001</c:v>
                </c:pt>
                <c:pt idx="444">
                  <c:v>0.23329365262400004</c:v>
                </c:pt>
                <c:pt idx="445">
                  <c:v>0.341006453125</c:v>
                </c:pt>
                <c:pt idx="446">
                  <c:v>0.16726148859999998</c:v>
                </c:pt>
                <c:pt idx="447">
                  <c:v>0.15150316467</c:v>
                </c:pt>
                <c:pt idx="448">
                  <c:v>0.17652605271250002</c:v>
                </c:pt>
                <c:pt idx="449">
                  <c:v>7.6866653325999998E-2</c:v>
                </c:pt>
                <c:pt idx="450">
                  <c:v>9.3245439999999999E-2</c:v>
                </c:pt>
                <c:pt idx="451">
                  <c:v>0.38689362325799997</c:v>
                </c:pt>
                <c:pt idx="452">
                  <c:v>1.7635048550000004E-2</c:v>
                </c:pt>
                <c:pt idx="453">
                  <c:v>0.26834421913600004</c:v>
                </c:pt>
                <c:pt idx="454">
                  <c:v>0.48624784784999997</c:v>
                </c:pt>
                <c:pt idx="455">
                  <c:v>0.151311105</c:v>
                </c:pt>
                <c:pt idx="456">
                  <c:v>0.24127740846000009</c:v>
                </c:pt>
                <c:pt idx="457">
                  <c:v>0.11357428607200001</c:v>
                </c:pt>
                <c:pt idx="458">
                  <c:v>0.31785001679999997</c:v>
                </c:pt>
                <c:pt idx="459">
                  <c:v>7.882510774999997E-2</c:v>
                </c:pt>
                <c:pt idx="460">
                  <c:v>4.9123155380000005E-2</c:v>
                </c:pt>
                <c:pt idx="461">
                  <c:v>0.33782715555400006</c:v>
                </c:pt>
                <c:pt idx="462">
                  <c:v>0.30017134948949997</c:v>
                </c:pt>
                <c:pt idx="463">
                  <c:v>0.29958046114949999</c:v>
                </c:pt>
                <c:pt idx="464">
                  <c:v>1.7048441599999999E-2</c:v>
                </c:pt>
                <c:pt idx="465">
                  <c:v>0.26694605916850006</c:v>
                </c:pt>
                <c:pt idx="466">
                  <c:v>0.12673756508749995</c:v>
                </c:pt>
                <c:pt idx="467">
                  <c:v>0.13484278624999999</c:v>
                </c:pt>
                <c:pt idx="468">
                  <c:v>6.4024454304E-2</c:v>
                </c:pt>
                <c:pt idx="469">
                  <c:v>0.12168409618750001</c:v>
                </c:pt>
                <c:pt idx="470">
                  <c:v>0.13157726286599999</c:v>
                </c:pt>
                <c:pt idx="471">
                  <c:v>0.24370289517999999</c:v>
                </c:pt>
                <c:pt idx="472">
                  <c:v>0.32424658749450008</c:v>
                </c:pt>
                <c:pt idx="473">
                  <c:v>0.24127740846000009</c:v>
                </c:pt>
                <c:pt idx="474">
                  <c:v>6.3527316944000004E-2</c:v>
                </c:pt>
                <c:pt idx="475">
                  <c:v>0.34363805619600002</c:v>
                </c:pt>
                <c:pt idx="476">
                  <c:v>1.151704429E-2</c:v>
                </c:pt>
                <c:pt idx="477">
                  <c:v>0.11987501855000002</c:v>
                </c:pt>
                <c:pt idx="478">
                  <c:v>3.8433282781500003E-2</c:v>
                </c:pt>
                <c:pt idx="479">
                  <c:v>0.214612925984</c:v>
                </c:pt>
                <c:pt idx="480">
                  <c:v>0.3362397881355001</c:v>
                </c:pt>
                <c:pt idx="481">
                  <c:v>0.22060739196800003</c:v>
                </c:pt>
                <c:pt idx="482">
                  <c:v>0.23817711689999999</c:v>
                </c:pt>
                <c:pt idx="483">
                  <c:v>9.2311557920499984E-2</c:v>
                </c:pt>
                <c:pt idx="484">
                  <c:v>0.12339405140399999</c:v>
                </c:pt>
                <c:pt idx="485">
                  <c:v>6.8696951400000011E-2</c:v>
                </c:pt>
                <c:pt idx="486">
                  <c:v>0.18127695631499999</c:v>
                </c:pt>
                <c:pt idx="487">
                  <c:v>0.11524913718750002</c:v>
                </c:pt>
                <c:pt idx="488">
                  <c:v>7.5070811887500005E-2</c:v>
                </c:pt>
                <c:pt idx="489">
                  <c:v>1.6777525540000001E-2</c:v>
                </c:pt>
                <c:pt idx="490">
                  <c:v>4.8990531200000013E-2</c:v>
                </c:pt>
                <c:pt idx="491">
                  <c:v>7.7589181142000002E-2</c:v>
                </c:pt>
                <c:pt idx="492">
                  <c:v>6.8264912520000012E-2</c:v>
                </c:pt>
                <c:pt idx="493">
                  <c:v>3.0387791562500006E-2</c:v>
                </c:pt>
                <c:pt idx="494">
                  <c:v>3.0791131391999994E-2</c:v>
                </c:pt>
                <c:pt idx="495">
                  <c:v>2.2030601099999998E-4</c:v>
                </c:pt>
                <c:pt idx="496">
                  <c:v>8.2343051887499991E-2</c:v>
                </c:pt>
                <c:pt idx="497">
                  <c:v>1.9388355783999996E-2</c:v>
                </c:pt>
                <c:pt idx="498">
                  <c:v>2.6482767850000005E-2</c:v>
                </c:pt>
                <c:pt idx="499">
                  <c:v>3.1647553282500004E-2</c:v>
                </c:pt>
                <c:pt idx="500">
                  <c:v>0.16371036714399997</c:v>
                </c:pt>
                <c:pt idx="501">
                  <c:v>8.1198437499999998E-2</c:v>
                </c:pt>
                <c:pt idx="502">
                  <c:v>2.9319977021999996E-2</c:v>
                </c:pt>
                <c:pt idx="503">
                  <c:v>4.3226077752000006E-2</c:v>
                </c:pt>
                <c:pt idx="504">
                  <c:v>1.5630731599999999E-2</c:v>
                </c:pt>
                <c:pt idx="505">
                  <c:v>2.4249888415999996E-2</c:v>
                </c:pt>
                <c:pt idx="506">
                  <c:v>0.13965901315649998</c:v>
                </c:pt>
                <c:pt idx="507">
                  <c:v>3.4947719187500004E-2</c:v>
                </c:pt>
                <c:pt idx="508">
                  <c:v>0.29144514426449997</c:v>
                </c:pt>
                <c:pt idx="509">
                  <c:v>1.4418605250000004E-3</c:v>
                </c:pt>
                <c:pt idx="510">
                  <c:v>6.5975027327999994E-2</c:v>
                </c:pt>
                <c:pt idx="511">
                  <c:v>7.8846671699999999E-3</c:v>
                </c:pt>
                <c:pt idx="512">
                  <c:v>3.8350209136000006E-2</c:v>
                </c:pt>
                <c:pt idx="513">
                  <c:v>9.2891237010000016E-2</c:v>
                </c:pt>
                <c:pt idx="514">
                  <c:v>0.1278525611895</c:v>
                </c:pt>
                <c:pt idx="515">
                  <c:v>4.3096590432000002E-2</c:v>
                </c:pt>
                <c:pt idx="516">
                  <c:v>9.3258077715000012E-3</c:v>
                </c:pt>
                <c:pt idx="517">
                  <c:v>1.4623761075000002E-2</c:v>
                </c:pt>
                <c:pt idx="518">
                  <c:v>0.30375211333049995</c:v>
                </c:pt>
                <c:pt idx="519">
                  <c:v>2.4723096149999998E-2</c:v>
                </c:pt>
                <c:pt idx="520">
                  <c:v>2.5712287052999997E-2</c:v>
                </c:pt>
                <c:pt idx="521">
                  <c:v>7.5727968749999992E-3</c:v>
                </c:pt>
                <c:pt idx="522">
                  <c:v>0.20729587849800005</c:v>
                </c:pt>
                <c:pt idx="523">
                  <c:v>1.2037297545000004E-3</c:v>
                </c:pt>
                <c:pt idx="524">
                  <c:v>5.2004187648000001E-2</c:v>
                </c:pt>
                <c:pt idx="525">
                  <c:v>0.28879572593250002</c:v>
                </c:pt>
                <c:pt idx="526">
                  <c:v>1.41806168E-4</c:v>
                </c:pt>
                <c:pt idx="527">
                  <c:v>1.193886875E-2</c:v>
                </c:pt>
                <c:pt idx="528">
                  <c:v>0.17295717345749995</c:v>
                </c:pt>
                <c:pt idx="529">
                  <c:v>0.23722839557300002</c:v>
                </c:pt>
                <c:pt idx="530">
                  <c:v>0.25829275901300003</c:v>
                </c:pt>
                <c:pt idx="531">
                  <c:v>0.25335259560000001</c:v>
                </c:pt>
                <c:pt idx="532">
                  <c:v>6.2718842304000003E-2</c:v>
                </c:pt>
                <c:pt idx="533">
                  <c:v>1.2107770919999997E-2</c:v>
                </c:pt>
                <c:pt idx="534">
                  <c:v>4.7273221239999989E-2</c:v>
                </c:pt>
                <c:pt idx="535">
                  <c:v>1.4970716160000001E-3</c:v>
                </c:pt>
                <c:pt idx="536">
                  <c:v>2.5827507312000005E-2</c:v>
                </c:pt>
                <c:pt idx="537">
                  <c:v>2.0699462783999999E-2</c:v>
                </c:pt>
                <c:pt idx="538">
                  <c:v>9.4085452800000014E-3</c:v>
                </c:pt>
                <c:pt idx="539">
                  <c:v>0.12289755115000002</c:v>
                </c:pt>
                <c:pt idx="540">
                  <c:v>0.12978603738450001</c:v>
                </c:pt>
                <c:pt idx="541">
                  <c:v>0.34550096277499998</c:v>
                </c:pt>
                <c:pt idx="542">
                  <c:v>0.101414026441</c:v>
                </c:pt>
                <c:pt idx="543">
                  <c:v>1.9154085408000003E-2</c:v>
                </c:pt>
                <c:pt idx="544">
                  <c:v>4.1264121600000011E-4</c:v>
                </c:pt>
                <c:pt idx="545">
                  <c:v>0.34042538521350008</c:v>
                </c:pt>
                <c:pt idx="546">
                  <c:v>0.17490260449599998</c:v>
                </c:pt>
                <c:pt idx="547">
                  <c:v>8.0037972000000013E-2</c:v>
                </c:pt>
                <c:pt idx="548">
                  <c:v>1.1553039680000004E-3</c:v>
                </c:pt>
                <c:pt idx="549">
                  <c:v>5.4311480999999998E-3</c:v>
                </c:pt>
                <c:pt idx="550">
                  <c:v>6.8564773728000003E-2</c:v>
                </c:pt>
                <c:pt idx="551">
                  <c:v>0.37148562975600002</c:v>
                </c:pt>
                <c:pt idx="552">
                  <c:v>0.47241337177600007</c:v>
                </c:pt>
                <c:pt idx="553">
                  <c:v>0.51390884127549996</c:v>
                </c:pt>
                <c:pt idx="554">
                  <c:v>0.22924324848149993</c:v>
                </c:pt>
                <c:pt idx="555">
                  <c:v>2.1657333600000005E-2</c:v>
                </c:pt>
                <c:pt idx="556">
                  <c:v>1.1056430625E-2</c:v>
                </c:pt>
                <c:pt idx="557">
                  <c:v>0.155266929438</c:v>
                </c:pt>
                <c:pt idx="558">
                  <c:v>0.11246679614000002</c:v>
                </c:pt>
                <c:pt idx="559">
                  <c:v>0.16351625360000002</c:v>
                </c:pt>
                <c:pt idx="560">
                  <c:v>0.12696909353700003</c:v>
                </c:pt>
                <c:pt idx="561">
                  <c:v>0.18225044266500001</c:v>
                </c:pt>
                <c:pt idx="562">
                  <c:v>1.3136968720000005E-3</c:v>
                </c:pt>
                <c:pt idx="563">
                  <c:v>6.5956140228000004E-2</c:v>
                </c:pt>
                <c:pt idx="564">
                  <c:v>1.2612261374999997E-3</c:v>
                </c:pt>
                <c:pt idx="565">
                  <c:v>1.0514855671000002E-2</c:v>
                </c:pt>
                <c:pt idx="566">
                  <c:v>6.039001922799999E-2</c:v>
                </c:pt>
                <c:pt idx="567">
                  <c:v>0.14504406597799999</c:v>
                </c:pt>
                <c:pt idx="568">
                  <c:v>0.33108401191249998</c:v>
                </c:pt>
                <c:pt idx="569">
                  <c:v>0.39803700189600005</c:v>
                </c:pt>
                <c:pt idx="570">
                  <c:v>0.29406107159200001</c:v>
                </c:pt>
                <c:pt idx="571">
                  <c:v>0.13346249327500001</c:v>
                </c:pt>
                <c:pt idx="572">
                  <c:v>3.7200016381500015E-2</c:v>
                </c:pt>
                <c:pt idx="573">
                  <c:v>1.2977141935E-3</c:v>
                </c:pt>
                <c:pt idx="574">
                  <c:v>2.5303073398200002</c:v>
                </c:pt>
                <c:pt idx="575">
                  <c:v>0.6996949596580001</c:v>
                </c:pt>
                <c:pt idx="576">
                  <c:v>0.91018536865200017</c:v>
                </c:pt>
                <c:pt idx="577">
                  <c:v>0.59941842318000027</c:v>
                </c:pt>
                <c:pt idx="578">
                  <c:v>1.290968031612</c:v>
                </c:pt>
                <c:pt idx="579">
                  <c:v>1.9251237263125003</c:v>
                </c:pt>
                <c:pt idx="580">
                  <c:v>1.2838751226639999</c:v>
                </c:pt>
                <c:pt idx="581">
                  <c:v>1.9252891744825</c:v>
                </c:pt>
                <c:pt idx="582">
                  <c:v>1.0924339051014997</c:v>
                </c:pt>
                <c:pt idx="583">
                  <c:v>0.43016304046750004</c:v>
                </c:pt>
                <c:pt idx="584">
                  <c:v>0.56114703126249987</c:v>
                </c:pt>
                <c:pt idx="585">
                  <c:v>2.44240536028</c:v>
                </c:pt>
                <c:pt idx="586">
                  <c:v>0.33321931199999999</c:v>
                </c:pt>
                <c:pt idx="587">
                  <c:v>0.56613470373899999</c:v>
                </c:pt>
                <c:pt idx="588">
                  <c:v>1.2731826765999996</c:v>
                </c:pt>
                <c:pt idx="589">
                  <c:v>1.1541512053125</c:v>
                </c:pt>
                <c:pt idx="590">
                  <c:v>1.2074229960454999</c:v>
                </c:pt>
                <c:pt idx="591">
                  <c:v>1.215115442856</c:v>
                </c:pt>
                <c:pt idx="592">
                  <c:v>0.34314440062500007</c:v>
                </c:pt>
                <c:pt idx="593">
                  <c:v>0.66908962803200023</c:v>
                </c:pt>
                <c:pt idx="594">
                  <c:v>0.21066910270449998</c:v>
                </c:pt>
                <c:pt idx="595">
                  <c:v>1.5051864599280003</c:v>
                </c:pt>
                <c:pt idx="596">
                  <c:v>2.166714715975</c:v>
                </c:pt>
                <c:pt idx="597">
                  <c:v>1.2469510979169998</c:v>
                </c:pt>
                <c:pt idx="598">
                  <c:v>0.68641329220199987</c:v>
                </c:pt>
                <c:pt idx="599">
                  <c:v>3.2200888290100012</c:v>
                </c:pt>
                <c:pt idx="600">
                  <c:v>0.14805219571200001</c:v>
                </c:pt>
                <c:pt idx="601">
                  <c:v>3.2207902268240001</c:v>
                </c:pt>
                <c:pt idx="602">
                  <c:v>4.5887936135999992</c:v>
                </c:pt>
                <c:pt idx="603">
                  <c:v>2.370547724620625</c:v>
                </c:pt>
                <c:pt idx="604">
                  <c:v>2.1737387357564995</c:v>
                </c:pt>
                <c:pt idx="605">
                  <c:v>1.2080806562500002</c:v>
                </c:pt>
                <c:pt idx="606">
                  <c:v>2.7440932821200006</c:v>
                </c:pt>
                <c:pt idx="607">
                  <c:v>3.3123555749699993</c:v>
                </c:pt>
                <c:pt idx="608">
                  <c:v>1.1748110025960001</c:v>
                </c:pt>
                <c:pt idx="609">
                  <c:v>2.2396096065369995</c:v>
                </c:pt>
                <c:pt idx="610">
                  <c:v>6.0704876448000003E-2</c:v>
                </c:pt>
                <c:pt idx="611">
                  <c:v>0.89968859302250004</c:v>
                </c:pt>
                <c:pt idx="612">
                  <c:v>2.2568085752624998</c:v>
                </c:pt>
                <c:pt idx="613">
                  <c:v>0.15899429108699997</c:v>
                </c:pt>
                <c:pt idx="614">
                  <c:v>1.7197708797359996</c:v>
                </c:pt>
                <c:pt idx="615">
                  <c:v>0.6472340994375001</c:v>
                </c:pt>
                <c:pt idx="616">
                  <c:v>0.42258870193100001</c:v>
                </c:pt>
                <c:pt idx="617">
                  <c:v>0.11333645619199999</c:v>
                </c:pt>
                <c:pt idx="618">
                  <c:v>2.0142952243375003</c:v>
                </c:pt>
                <c:pt idx="619">
                  <c:v>1.5472826124479999</c:v>
                </c:pt>
                <c:pt idx="620">
                  <c:v>0.98079932938050007</c:v>
                </c:pt>
                <c:pt idx="621">
                  <c:v>0.78594221822999988</c:v>
                </c:pt>
                <c:pt idx="622">
                  <c:v>2.3136739770679999</c:v>
                </c:pt>
                <c:pt idx="623">
                  <c:v>1.0814823815624999</c:v>
                </c:pt>
                <c:pt idx="624">
                  <c:v>1.3821414929999998</c:v>
                </c:pt>
                <c:pt idx="625">
                  <c:v>1.8866745275775001</c:v>
                </c:pt>
                <c:pt idx="626">
                  <c:v>0.19615081116799998</c:v>
                </c:pt>
                <c:pt idx="627">
                  <c:v>2.0986761264124998</c:v>
                </c:pt>
                <c:pt idx="628">
                  <c:v>4.175686084050001E-2</c:v>
                </c:pt>
                <c:pt idx="629">
                  <c:v>2.159040136E-3</c:v>
                </c:pt>
                <c:pt idx="630">
                  <c:v>2.75128486965E-2</c:v>
                </c:pt>
                <c:pt idx="631">
                  <c:v>3.2068639450000005E-2</c:v>
                </c:pt>
                <c:pt idx="632">
                  <c:v>0.15358174764399998</c:v>
                </c:pt>
                <c:pt idx="633">
                  <c:v>5.8436254079999991E-3</c:v>
                </c:pt>
                <c:pt idx="634">
                  <c:v>1.0276667045999999E-2</c:v>
                </c:pt>
                <c:pt idx="635">
                  <c:v>0.10888720775800001</c:v>
                </c:pt>
                <c:pt idx="636">
                  <c:v>0.62518121415000005</c:v>
                </c:pt>
                <c:pt idx="637">
                  <c:v>0.20252141406250002</c:v>
                </c:pt>
                <c:pt idx="638">
                  <c:v>0.23473035459999994</c:v>
                </c:pt>
                <c:pt idx="639">
                  <c:v>0.163979140468</c:v>
                </c:pt>
                <c:pt idx="640">
                  <c:v>7.8435673959999994E-2</c:v>
                </c:pt>
                <c:pt idx="641">
                  <c:v>4.3457730624000011E-2</c:v>
                </c:pt>
                <c:pt idx="642">
                  <c:v>5.7207685120000004E-2</c:v>
                </c:pt>
                <c:pt idx="643">
                  <c:v>0.18174996512999997</c:v>
                </c:pt>
                <c:pt idx="644">
                  <c:v>4.7621042808000009E-2</c:v>
                </c:pt>
                <c:pt idx="645">
                  <c:v>1.7066234095999999E-2</c:v>
                </c:pt>
                <c:pt idx="646">
                  <c:v>5.2636804390000007E-2</c:v>
                </c:pt>
                <c:pt idx="647">
                  <c:v>0.21463015987400005</c:v>
                </c:pt>
                <c:pt idx="648">
                  <c:v>0.12493976601599999</c:v>
                </c:pt>
                <c:pt idx="649">
                  <c:v>0.21094980237649999</c:v>
                </c:pt>
                <c:pt idx="650">
                  <c:v>0.10047172044800003</c:v>
                </c:pt>
                <c:pt idx="651">
                  <c:v>4.8796324397999989E-2</c:v>
                </c:pt>
                <c:pt idx="652">
                  <c:v>2.7610362652500001E-2</c:v>
                </c:pt>
                <c:pt idx="653">
                  <c:v>0.13463244864000001</c:v>
                </c:pt>
                <c:pt idx="654">
                  <c:v>8.6096983117499998E-2</c:v>
                </c:pt>
                <c:pt idx="655">
                  <c:v>8.2639010624999981E-2</c:v>
                </c:pt>
                <c:pt idx="656">
                  <c:v>0.19253259073800003</c:v>
                </c:pt>
                <c:pt idx="657">
                  <c:v>0.20065253575300002</c:v>
                </c:pt>
                <c:pt idx="658">
                  <c:v>0.11127706709600003</c:v>
                </c:pt>
                <c:pt idx="659">
                  <c:v>0.117027675028</c:v>
                </c:pt>
                <c:pt idx="660">
                  <c:v>3.0485363216000001E-2</c:v>
                </c:pt>
                <c:pt idx="661">
                  <c:v>1.1312981342000003E-2</c:v>
                </c:pt>
                <c:pt idx="662">
                  <c:v>0.37511978599999996</c:v>
                </c:pt>
                <c:pt idx="663">
                  <c:v>1.3653091775999997</c:v>
                </c:pt>
                <c:pt idx="664">
                  <c:v>8.3006993190999995E-2</c:v>
                </c:pt>
                <c:pt idx="665">
                  <c:v>0.54157739817599981</c:v>
                </c:pt>
                <c:pt idx="666">
                  <c:v>0.32487681870000007</c:v>
                </c:pt>
                <c:pt idx="667">
                  <c:v>0.92988613120000041</c:v>
                </c:pt>
                <c:pt idx="668">
                  <c:v>2.1901354630559999</c:v>
                </c:pt>
                <c:pt idx="669">
                  <c:v>0.76013118429999982</c:v>
                </c:pt>
                <c:pt idx="670">
                  <c:v>0.2349060719045</c:v>
                </c:pt>
                <c:pt idx="671">
                  <c:v>1.7598431067125002</c:v>
                </c:pt>
                <c:pt idx="672">
                  <c:v>0.6163991016960001</c:v>
                </c:pt>
                <c:pt idx="673">
                  <c:v>2.5429167540000001E-3</c:v>
                </c:pt>
                <c:pt idx="674">
                  <c:v>0.63462450980999996</c:v>
                </c:pt>
                <c:pt idx="675">
                  <c:v>3.4593631199999995E-2</c:v>
                </c:pt>
                <c:pt idx="676">
                  <c:v>0.44277245849400004</c:v>
                </c:pt>
                <c:pt idx="677">
                  <c:v>0.33525387013300001</c:v>
                </c:pt>
                <c:pt idx="678">
                  <c:v>0.27879641634250002</c:v>
                </c:pt>
                <c:pt idx="679">
                  <c:v>0.97246665407550015</c:v>
                </c:pt>
                <c:pt idx="680">
                  <c:v>1.1563310050875002</c:v>
                </c:pt>
                <c:pt idx="681">
                  <c:v>0.10442521375</c:v>
                </c:pt>
                <c:pt idx="682">
                  <c:v>0.57130170703200001</c:v>
                </c:pt>
                <c:pt idx="683">
                  <c:v>0.61064259613750016</c:v>
                </c:pt>
                <c:pt idx="684">
                  <c:v>0.42413882863550001</c:v>
                </c:pt>
                <c:pt idx="685">
                  <c:v>0.198489109508</c:v>
                </c:pt>
                <c:pt idx="686">
                  <c:v>0.60917476851899999</c:v>
                </c:pt>
                <c:pt idx="687">
                  <c:v>5.1066703125000001E-2</c:v>
                </c:pt>
                <c:pt idx="688">
                  <c:v>0.61897450175000002</c:v>
                </c:pt>
                <c:pt idx="689">
                  <c:v>1.2557930112000002</c:v>
                </c:pt>
                <c:pt idx="690">
                  <c:v>1.637085694626</c:v>
                </c:pt>
                <c:pt idx="691">
                  <c:v>0.46142054200799998</c:v>
                </c:pt>
                <c:pt idx="692">
                  <c:v>0.76689741840249992</c:v>
                </c:pt>
                <c:pt idx="693">
                  <c:v>1.2712913377920003</c:v>
                </c:pt>
                <c:pt idx="694">
                  <c:v>1.1878803219000003</c:v>
                </c:pt>
                <c:pt idx="695">
                  <c:v>1.4868448452809997</c:v>
                </c:pt>
                <c:pt idx="696">
                  <c:v>0.50751894355199989</c:v>
                </c:pt>
                <c:pt idx="697">
                  <c:v>0.71049128131799999</c:v>
                </c:pt>
                <c:pt idx="698">
                  <c:v>0.64348750866399995</c:v>
                </c:pt>
                <c:pt idx="699">
                  <c:v>0.19208459375</c:v>
                </c:pt>
                <c:pt idx="700">
                  <c:v>0.78794397623700008</c:v>
                </c:pt>
                <c:pt idx="701">
                  <c:v>0.30881923086850011</c:v>
                </c:pt>
                <c:pt idx="702">
                  <c:v>0.65937852059450019</c:v>
                </c:pt>
                <c:pt idx="703">
                  <c:v>0.232685288928</c:v>
                </c:pt>
                <c:pt idx="704">
                  <c:v>0.29383961241600004</c:v>
                </c:pt>
                <c:pt idx="705">
                  <c:v>0.16477674937350001</c:v>
                </c:pt>
                <c:pt idx="706">
                  <c:v>0.10496925274050002</c:v>
                </c:pt>
                <c:pt idx="707">
                  <c:v>0.58319828312200006</c:v>
                </c:pt>
                <c:pt idx="708">
                  <c:v>0.12672978644399999</c:v>
                </c:pt>
                <c:pt idx="709">
                  <c:v>0.50540441228800004</c:v>
                </c:pt>
                <c:pt idx="710">
                  <c:v>0.81686903655799981</c:v>
                </c:pt>
                <c:pt idx="711">
                  <c:v>0.8977151397605001</c:v>
                </c:pt>
                <c:pt idx="712">
                  <c:v>6.49627064E-2</c:v>
                </c:pt>
                <c:pt idx="713">
                  <c:v>0.42857709923699999</c:v>
                </c:pt>
                <c:pt idx="714">
                  <c:v>0.97974899561249995</c:v>
                </c:pt>
                <c:pt idx="715">
                  <c:v>0.94205184768000028</c:v>
                </c:pt>
                <c:pt idx="716">
                  <c:v>1.2831511077440001</c:v>
                </c:pt>
                <c:pt idx="717">
                  <c:v>0.58015745672499996</c:v>
                </c:pt>
                <c:pt idx="718">
                  <c:v>0.298932255328</c:v>
                </c:pt>
                <c:pt idx="719">
                  <c:v>0.34520009095800008</c:v>
                </c:pt>
                <c:pt idx="720">
                  <c:v>0.27133305145050007</c:v>
                </c:pt>
                <c:pt idx="721">
                  <c:v>0.53986628696850003</c:v>
                </c:pt>
                <c:pt idx="722">
                  <c:v>0.5287521440070001</c:v>
                </c:pt>
                <c:pt idx="723">
                  <c:v>0.15383303328750003</c:v>
                </c:pt>
                <c:pt idx="724">
                  <c:v>0.25608999885149997</c:v>
                </c:pt>
                <c:pt idx="725">
                  <c:v>0.76023682457599995</c:v>
                </c:pt>
                <c:pt idx="726">
                  <c:v>0.9800314401825001</c:v>
                </c:pt>
                <c:pt idx="727">
                  <c:v>0.63874423094400012</c:v>
                </c:pt>
                <c:pt idx="728">
                  <c:v>1.9162251014110003</c:v>
                </c:pt>
                <c:pt idx="729">
                  <c:v>0.49556736000000001</c:v>
                </c:pt>
                <c:pt idx="730">
                  <c:v>0.71861125851800001</c:v>
                </c:pt>
                <c:pt idx="731">
                  <c:v>1.7196083784560003</c:v>
                </c:pt>
                <c:pt idx="732">
                  <c:v>0.92635343691250005</c:v>
                </c:pt>
                <c:pt idx="733">
                  <c:v>0.59159678891950007</c:v>
                </c:pt>
                <c:pt idx="734">
                  <c:v>0.67518357926400008</c:v>
                </c:pt>
                <c:pt idx="735">
                  <c:v>0.34632852186399998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4-4360-AF38-8ABC6D6A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38335"/>
        <c:axId val="317136255"/>
      </c:scatterChart>
      <c:valAx>
        <c:axId val="3171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36255"/>
        <c:crosses val="autoZero"/>
        <c:crossBetween val="midCat"/>
      </c:valAx>
      <c:valAx>
        <c:axId val="3171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3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'Regresión lineal'!$O$1</c:f>
              <c:strCache>
                <c:ptCount val="1"/>
                <c:pt idx="0">
                  <c:v>Vol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'Regresión lineal'!$L$2:$L$737</c:f>
              <c:numCache>
                <c:formatCode>General</c:formatCode>
                <c:ptCount val="736"/>
                <c:pt idx="0">
                  <c:v>18.45</c:v>
                </c:pt>
                <c:pt idx="1">
                  <c:v>13.15</c:v>
                </c:pt>
                <c:pt idx="2">
                  <c:v>10.32</c:v>
                </c:pt>
                <c:pt idx="3">
                  <c:v>14.8</c:v>
                </c:pt>
                <c:pt idx="4">
                  <c:v>14.5</c:v>
                </c:pt>
                <c:pt idx="5">
                  <c:v>17.010000000000002</c:v>
                </c:pt>
                <c:pt idx="6">
                  <c:v>13.93</c:v>
                </c:pt>
                <c:pt idx="7">
                  <c:v>19.05</c:v>
                </c:pt>
                <c:pt idx="8">
                  <c:v>7.62</c:v>
                </c:pt>
                <c:pt idx="9">
                  <c:v>14.75</c:v>
                </c:pt>
                <c:pt idx="10">
                  <c:v>8.15</c:v>
                </c:pt>
                <c:pt idx="11">
                  <c:v>15.07</c:v>
                </c:pt>
                <c:pt idx="12">
                  <c:v>8.99</c:v>
                </c:pt>
                <c:pt idx="13">
                  <c:v>13.13</c:v>
                </c:pt>
                <c:pt idx="14">
                  <c:v>10.78</c:v>
                </c:pt>
                <c:pt idx="15">
                  <c:v>13.08</c:v>
                </c:pt>
                <c:pt idx="16">
                  <c:v>10.220000000000001</c:v>
                </c:pt>
                <c:pt idx="17">
                  <c:v>18.71</c:v>
                </c:pt>
                <c:pt idx="18">
                  <c:v>8.23</c:v>
                </c:pt>
                <c:pt idx="19">
                  <c:v>17.52</c:v>
                </c:pt>
                <c:pt idx="20">
                  <c:v>10.75</c:v>
                </c:pt>
                <c:pt idx="21">
                  <c:v>21.52</c:v>
                </c:pt>
                <c:pt idx="22">
                  <c:v>15.22</c:v>
                </c:pt>
                <c:pt idx="23">
                  <c:v>9.73</c:v>
                </c:pt>
                <c:pt idx="24">
                  <c:v>17.149999999999999</c:v>
                </c:pt>
                <c:pt idx="25">
                  <c:v>16.13</c:v>
                </c:pt>
                <c:pt idx="26">
                  <c:v>8.7799999999999994</c:v>
                </c:pt>
                <c:pt idx="27">
                  <c:v>17.18</c:v>
                </c:pt>
                <c:pt idx="28">
                  <c:v>12.39</c:v>
                </c:pt>
                <c:pt idx="29">
                  <c:v>14.75</c:v>
                </c:pt>
                <c:pt idx="30">
                  <c:v>27.98</c:v>
                </c:pt>
                <c:pt idx="31">
                  <c:v>25.99</c:v>
                </c:pt>
                <c:pt idx="32">
                  <c:v>33.409999999999997</c:v>
                </c:pt>
                <c:pt idx="33">
                  <c:v>33.299999999999997</c:v>
                </c:pt>
                <c:pt idx="34">
                  <c:v>33.130000000000003</c:v>
                </c:pt>
                <c:pt idx="35">
                  <c:v>12.79</c:v>
                </c:pt>
                <c:pt idx="36">
                  <c:v>25.92</c:v>
                </c:pt>
                <c:pt idx="37">
                  <c:v>26.94</c:v>
                </c:pt>
                <c:pt idx="38">
                  <c:v>11.88</c:v>
                </c:pt>
                <c:pt idx="39">
                  <c:v>24.42</c:v>
                </c:pt>
                <c:pt idx="40">
                  <c:v>31.74</c:v>
                </c:pt>
                <c:pt idx="41">
                  <c:v>39.72</c:v>
                </c:pt>
                <c:pt idx="42">
                  <c:v>31.38</c:v>
                </c:pt>
                <c:pt idx="43">
                  <c:v>31.72</c:v>
                </c:pt>
                <c:pt idx="44">
                  <c:v>23.36</c:v>
                </c:pt>
                <c:pt idx="45">
                  <c:v>13.99</c:v>
                </c:pt>
                <c:pt idx="46">
                  <c:v>3.0720000000000001</c:v>
                </c:pt>
                <c:pt idx="47">
                  <c:v>26.5</c:v>
                </c:pt>
                <c:pt idx="48">
                  <c:v>24.42</c:v>
                </c:pt>
                <c:pt idx="49">
                  <c:v>32.99</c:v>
                </c:pt>
                <c:pt idx="50">
                  <c:v>30.48</c:v>
                </c:pt>
                <c:pt idx="51">
                  <c:v>9.99</c:v>
                </c:pt>
                <c:pt idx="52">
                  <c:v>39.65</c:v>
                </c:pt>
                <c:pt idx="53">
                  <c:v>22.72</c:v>
                </c:pt>
                <c:pt idx="54">
                  <c:v>10.1</c:v>
                </c:pt>
                <c:pt idx="55">
                  <c:v>4.7</c:v>
                </c:pt>
                <c:pt idx="56">
                  <c:v>17</c:v>
                </c:pt>
                <c:pt idx="57">
                  <c:v>10.3</c:v>
                </c:pt>
                <c:pt idx="58">
                  <c:v>21.6</c:v>
                </c:pt>
                <c:pt idx="59">
                  <c:v>11.3</c:v>
                </c:pt>
                <c:pt idx="60">
                  <c:v>12.7</c:v>
                </c:pt>
                <c:pt idx="61">
                  <c:v>5.4</c:v>
                </c:pt>
                <c:pt idx="62">
                  <c:v>6.8</c:v>
                </c:pt>
                <c:pt idx="63">
                  <c:v>17.8</c:v>
                </c:pt>
                <c:pt idx="64">
                  <c:v>20.399999999999999</c:v>
                </c:pt>
                <c:pt idx="65">
                  <c:v>19.100000000000001</c:v>
                </c:pt>
                <c:pt idx="66">
                  <c:v>15.5</c:v>
                </c:pt>
                <c:pt idx="67">
                  <c:v>13.5</c:v>
                </c:pt>
                <c:pt idx="68">
                  <c:v>20.8</c:v>
                </c:pt>
                <c:pt idx="69">
                  <c:v>11.5</c:v>
                </c:pt>
                <c:pt idx="70">
                  <c:v>37.6</c:v>
                </c:pt>
                <c:pt idx="71">
                  <c:v>24.5</c:v>
                </c:pt>
                <c:pt idx="72">
                  <c:v>17.600000000000001</c:v>
                </c:pt>
                <c:pt idx="73">
                  <c:v>16.2</c:v>
                </c:pt>
                <c:pt idx="74">
                  <c:v>11.5</c:v>
                </c:pt>
                <c:pt idx="75">
                  <c:v>7.6</c:v>
                </c:pt>
                <c:pt idx="76">
                  <c:v>3.4</c:v>
                </c:pt>
                <c:pt idx="77">
                  <c:v>17.600000000000001</c:v>
                </c:pt>
                <c:pt idx="78">
                  <c:v>14</c:v>
                </c:pt>
                <c:pt idx="79">
                  <c:v>8.8000000000000007</c:v>
                </c:pt>
                <c:pt idx="80">
                  <c:v>15.8</c:v>
                </c:pt>
                <c:pt idx="81">
                  <c:v>15.5</c:v>
                </c:pt>
                <c:pt idx="82">
                  <c:v>14.6</c:v>
                </c:pt>
                <c:pt idx="83">
                  <c:v>17.3</c:v>
                </c:pt>
                <c:pt idx="84">
                  <c:v>13.3</c:v>
                </c:pt>
                <c:pt idx="85">
                  <c:v>19.8</c:v>
                </c:pt>
                <c:pt idx="86">
                  <c:v>5.2</c:v>
                </c:pt>
                <c:pt idx="87">
                  <c:v>15</c:v>
                </c:pt>
                <c:pt idx="88">
                  <c:v>15.3</c:v>
                </c:pt>
                <c:pt idx="89">
                  <c:v>19</c:v>
                </c:pt>
                <c:pt idx="90">
                  <c:v>7.2</c:v>
                </c:pt>
                <c:pt idx="91">
                  <c:v>15.9</c:v>
                </c:pt>
                <c:pt idx="92">
                  <c:v>18.100000000000001</c:v>
                </c:pt>
                <c:pt idx="93">
                  <c:v>17</c:v>
                </c:pt>
                <c:pt idx="94">
                  <c:v>26.1</c:v>
                </c:pt>
                <c:pt idx="95">
                  <c:v>12.2</c:v>
                </c:pt>
                <c:pt idx="96">
                  <c:v>9.3000000000000007</c:v>
                </c:pt>
                <c:pt idx="97">
                  <c:v>22.6</c:v>
                </c:pt>
                <c:pt idx="98">
                  <c:v>7.8</c:v>
                </c:pt>
                <c:pt idx="99">
                  <c:v>16.399999999999999</c:v>
                </c:pt>
                <c:pt idx="100">
                  <c:v>11.9</c:v>
                </c:pt>
                <c:pt idx="101">
                  <c:v>10.4</c:v>
                </c:pt>
                <c:pt idx="102">
                  <c:v>13.5</c:v>
                </c:pt>
                <c:pt idx="103">
                  <c:v>23</c:v>
                </c:pt>
                <c:pt idx="104">
                  <c:v>23.7</c:v>
                </c:pt>
                <c:pt idx="105">
                  <c:v>33.799999999999997</c:v>
                </c:pt>
                <c:pt idx="106">
                  <c:v>17</c:v>
                </c:pt>
                <c:pt idx="107">
                  <c:v>20.8</c:v>
                </c:pt>
                <c:pt idx="108">
                  <c:v>6.5</c:v>
                </c:pt>
                <c:pt idx="109">
                  <c:v>10.4</c:v>
                </c:pt>
                <c:pt idx="110">
                  <c:v>12.6</c:v>
                </c:pt>
                <c:pt idx="111">
                  <c:v>22.2</c:v>
                </c:pt>
                <c:pt idx="112">
                  <c:v>19.600000000000001</c:v>
                </c:pt>
                <c:pt idx="113">
                  <c:v>9.8000000000000007</c:v>
                </c:pt>
                <c:pt idx="114">
                  <c:v>15.2</c:v>
                </c:pt>
                <c:pt idx="115">
                  <c:v>19.600000000000001</c:v>
                </c:pt>
                <c:pt idx="116">
                  <c:v>17</c:v>
                </c:pt>
                <c:pt idx="117">
                  <c:v>26</c:v>
                </c:pt>
                <c:pt idx="118">
                  <c:v>8.9</c:v>
                </c:pt>
                <c:pt idx="119">
                  <c:v>10.3</c:v>
                </c:pt>
                <c:pt idx="120">
                  <c:v>19.600000000000001</c:v>
                </c:pt>
                <c:pt idx="121">
                  <c:v>20.100000000000001</c:v>
                </c:pt>
                <c:pt idx="122">
                  <c:v>13.5</c:v>
                </c:pt>
                <c:pt idx="123">
                  <c:v>14.2</c:v>
                </c:pt>
                <c:pt idx="124">
                  <c:v>13.1</c:v>
                </c:pt>
                <c:pt idx="125">
                  <c:v>9.6</c:v>
                </c:pt>
                <c:pt idx="126">
                  <c:v>18.899999999999999</c:v>
                </c:pt>
                <c:pt idx="127">
                  <c:v>20</c:v>
                </c:pt>
                <c:pt idx="128">
                  <c:v>26.6</c:v>
                </c:pt>
                <c:pt idx="129">
                  <c:v>23.9</c:v>
                </c:pt>
                <c:pt idx="130">
                  <c:v>17.8</c:v>
                </c:pt>
                <c:pt idx="131">
                  <c:v>21.4</c:v>
                </c:pt>
                <c:pt idx="132">
                  <c:v>7.8</c:v>
                </c:pt>
                <c:pt idx="133">
                  <c:v>13.1</c:v>
                </c:pt>
                <c:pt idx="134">
                  <c:v>15.1</c:v>
                </c:pt>
                <c:pt idx="135">
                  <c:v>24.5</c:v>
                </c:pt>
                <c:pt idx="136">
                  <c:v>23.7</c:v>
                </c:pt>
                <c:pt idx="137">
                  <c:v>10.5</c:v>
                </c:pt>
                <c:pt idx="138">
                  <c:v>14</c:v>
                </c:pt>
                <c:pt idx="139">
                  <c:v>21.8</c:v>
                </c:pt>
                <c:pt idx="140">
                  <c:v>16.399999999999999</c:v>
                </c:pt>
                <c:pt idx="141">
                  <c:v>17.600000000000001</c:v>
                </c:pt>
                <c:pt idx="142">
                  <c:v>12.2</c:v>
                </c:pt>
                <c:pt idx="143">
                  <c:v>9</c:v>
                </c:pt>
                <c:pt idx="144">
                  <c:v>20.3</c:v>
                </c:pt>
                <c:pt idx="145">
                  <c:v>8.8000000000000007</c:v>
                </c:pt>
                <c:pt idx="146">
                  <c:v>2.86</c:v>
                </c:pt>
                <c:pt idx="147">
                  <c:v>4.49</c:v>
                </c:pt>
                <c:pt idx="148">
                  <c:v>9.89</c:v>
                </c:pt>
                <c:pt idx="149">
                  <c:v>5.34</c:v>
                </c:pt>
                <c:pt idx="150">
                  <c:v>3.28</c:v>
                </c:pt>
                <c:pt idx="151">
                  <c:v>7.62</c:v>
                </c:pt>
                <c:pt idx="152">
                  <c:v>6.05</c:v>
                </c:pt>
                <c:pt idx="153">
                  <c:v>6.38</c:v>
                </c:pt>
                <c:pt idx="154">
                  <c:v>6.16</c:v>
                </c:pt>
                <c:pt idx="155">
                  <c:v>19.920000000000002</c:v>
                </c:pt>
                <c:pt idx="156">
                  <c:v>3.91</c:v>
                </c:pt>
                <c:pt idx="157">
                  <c:v>10.75</c:v>
                </c:pt>
                <c:pt idx="158">
                  <c:v>3.63</c:v>
                </c:pt>
                <c:pt idx="159">
                  <c:v>6.14</c:v>
                </c:pt>
                <c:pt idx="160">
                  <c:v>5.3</c:v>
                </c:pt>
                <c:pt idx="161">
                  <c:v>14.93</c:v>
                </c:pt>
                <c:pt idx="162">
                  <c:v>3.21</c:v>
                </c:pt>
                <c:pt idx="163">
                  <c:v>5.93</c:v>
                </c:pt>
                <c:pt idx="164">
                  <c:v>6.24</c:v>
                </c:pt>
                <c:pt idx="165">
                  <c:v>1.03</c:v>
                </c:pt>
                <c:pt idx="166">
                  <c:v>6.29</c:v>
                </c:pt>
                <c:pt idx="167">
                  <c:v>11.43</c:v>
                </c:pt>
                <c:pt idx="168">
                  <c:v>3.98</c:v>
                </c:pt>
                <c:pt idx="169">
                  <c:v>2.8</c:v>
                </c:pt>
                <c:pt idx="170">
                  <c:v>6.07</c:v>
                </c:pt>
                <c:pt idx="171">
                  <c:v>4.04</c:v>
                </c:pt>
                <c:pt idx="172">
                  <c:v>11.03</c:v>
                </c:pt>
                <c:pt idx="173">
                  <c:v>12.49</c:v>
                </c:pt>
                <c:pt idx="174">
                  <c:v>9.99</c:v>
                </c:pt>
                <c:pt idx="175">
                  <c:v>17.739999999999998</c:v>
                </c:pt>
                <c:pt idx="176">
                  <c:v>2.73</c:v>
                </c:pt>
                <c:pt idx="177">
                  <c:v>2.79</c:v>
                </c:pt>
                <c:pt idx="178">
                  <c:v>9.8800000000000008</c:v>
                </c:pt>
                <c:pt idx="179">
                  <c:v>8.6300000000000008</c:v>
                </c:pt>
                <c:pt idx="180">
                  <c:v>4.3899999999999997</c:v>
                </c:pt>
                <c:pt idx="181">
                  <c:v>7.94</c:v>
                </c:pt>
                <c:pt idx="182">
                  <c:v>6.48</c:v>
                </c:pt>
                <c:pt idx="183">
                  <c:v>6.28</c:v>
                </c:pt>
                <c:pt idx="184">
                  <c:v>11.58</c:v>
                </c:pt>
                <c:pt idx="185">
                  <c:v>3.56</c:v>
                </c:pt>
                <c:pt idx="186">
                  <c:v>2.57</c:v>
                </c:pt>
                <c:pt idx="187">
                  <c:v>5.37</c:v>
                </c:pt>
                <c:pt idx="188">
                  <c:v>2.6</c:v>
                </c:pt>
                <c:pt idx="189">
                  <c:v>5.26</c:v>
                </c:pt>
                <c:pt idx="190">
                  <c:v>4.88</c:v>
                </c:pt>
                <c:pt idx="191">
                  <c:v>7.83</c:v>
                </c:pt>
                <c:pt idx="192">
                  <c:v>4.62</c:v>
                </c:pt>
                <c:pt idx="193">
                  <c:v>2.29</c:v>
                </c:pt>
                <c:pt idx="194">
                  <c:v>7.28</c:v>
                </c:pt>
                <c:pt idx="195">
                  <c:v>16.54</c:v>
                </c:pt>
                <c:pt idx="196">
                  <c:v>10.54</c:v>
                </c:pt>
                <c:pt idx="197">
                  <c:v>3.81</c:v>
                </c:pt>
                <c:pt idx="198">
                  <c:v>11.57</c:v>
                </c:pt>
                <c:pt idx="199">
                  <c:v>13.67</c:v>
                </c:pt>
                <c:pt idx="200">
                  <c:v>7.03</c:v>
                </c:pt>
                <c:pt idx="201">
                  <c:v>0</c:v>
                </c:pt>
                <c:pt idx="202">
                  <c:v>7.68</c:v>
                </c:pt>
                <c:pt idx="203">
                  <c:v>3.2</c:v>
                </c:pt>
                <c:pt idx="204">
                  <c:v>6.78</c:v>
                </c:pt>
                <c:pt idx="205">
                  <c:v>5.16</c:v>
                </c:pt>
                <c:pt idx="206">
                  <c:v>3.35</c:v>
                </c:pt>
                <c:pt idx="207">
                  <c:v>3.77</c:v>
                </c:pt>
                <c:pt idx="208">
                  <c:v>4.49</c:v>
                </c:pt>
                <c:pt idx="209">
                  <c:v>6.11</c:v>
                </c:pt>
                <c:pt idx="210">
                  <c:v>3.51</c:v>
                </c:pt>
                <c:pt idx="211">
                  <c:v>12</c:v>
                </c:pt>
                <c:pt idx="212">
                  <c:v>15</c:v>
                </c:pt>
                <c:pt idx="213">
                  <c:v>13</c:v>
                </c:pt>
                <c:pt idx="214">
                  <c:v>8.6</c:v>
                </c:pt>
                <c:pt idx="215">
                  <c:v>8.1999999999999993</c:v>
                </c:pt>
                <c:pt idx="216">
                  <c:v>15.7</c:v>
                </c:pt>
                <c:pt idx="217">
                  <c:v>15.9</c:v>
                </c:pt>
                <c:pt idx="218">
                  <c:v>13.7</c:v>
                </c:pt>
                <c:pt idx="219">
                  <c:v>11.2</c:v>
                </c:pt>
                <c:pt idx="220">
                  <c:v>18.899999999999999</c:v>
                </c:pt>
                <c:pt idx="221">
                  <c:v>11.6</c:v>
                </c:pt>
                <c:pt idx="222">
                  <c:v>8.6</c:v>
                </c:pt>
                <c:pt idx="223">
                  <c:v>13.4</c:v>
                </c:pt>
                <c:pt idx="224">
                  <c:v>19.600000000000001</c:v>
                </c:pt>
                <c:pt idx="225">
                  <c:v>11.1</c:v>
                </c:pt>
                <c:pt idx="226">
                  <c:v>10.8</c:v>
                </c:pt>
                <c:pt idx="227">
                  <c:v>11.2</c:v>
                </c:pt>
                <c:pt idx="228">
                  <c:v>14</c:v>
                </c:pt>
                <c:pt idx="229">
                  <c:v>9</c:v>
                </c:pt>
                <c:pt idx="230">
                  <c:v>14.4</c:v>
                </c:pt>
                <c:pt idx="231">
                  <c:v>8.8000000000000007</c:v>
                </c:pt>
                <c:pt idx="232">
                  <c:v>6.5</c:v>
                </c:pt>
                <c:pt idx="233">
                  <c:v>5.7</c:v>
                </c:pt>
                <c:pt idx="234">
                  <c:v>8</c:v>
                </c:pt>
                <c:pt idx="235">
                  <c:v>7.3</c:v>
                </c:pt>
                <c:pt idx="236">
                  <c:v>6.9</c:v>
                </c:pt>
                <c:pt idx="237">
                  <c:v>7.4</c:v>
                </c:pt>
                <c:pt idx="238">
                  <c:v>6.6</c:v>
                </c:pt>
                <c:pt idx="239">
                  <c:v>7.3</c:v>
                </c:pt>
                <c:pt idx="240">
                  <c:v>19.600000000000001</c:v>
                </c:pt>
                <c:pt idx="241">
                  <c:v>15.4</c:v>
                </c:pt>
                <c:pt idx="242">
                  <c:v>15</c:v>
                </c:pt>
                <c:pt idx="243">
                  <c:v>13.9</c:v>
                </c:pt>
                <c:pt idx="244">
                  <c:v>15.6</c:v>
                </c:pt>
                <c:pt idx="245">
                  <c:v>7.9</c:v>
                </c:pt>
                <c:pt idx="246">
                  <c:v>6.6</c:v>
                </c:pt>
                <c:pt idx="247">
                  <c:v>15.2</c:v>
                </c:pt>
                <c:pt idx="248">
                  <c:v>17.100000000000001</c:v>
                </c:pt>
                <c:pt idx="249">
                  <c:v>5.5</c:v>
                </c:pt>
                <c:pt idx="250">
                  <c:v>15.3</c:v>
                </c:pt>
                <c:pt idx="251">
                  <c:v>10.9</c:v>
                </c:pt>
                <c:pt idx="252">
                  <c:v>13</c:v>
                </c:pt>
                <c:pt idx="253">
                  <c:v>10.6</c:v>
                </c:pt>
                <c:pt idx="254">
                  <c:v>10.3</c:v>
                </c:pt>
                <c:pt idx="255">
                  <c:v>3.2</c:v>
                </c:pt>
                <c:pt idx="256">
                  <c:v>15</c:v>
                </c:pt>
                <c:pt idx="257">
                  <c:v>6.8</c:v>
                </c:pt>
                <c:pt idx="258">
                  <c:v>7.7</c:v>
                </c:pt>
                <c:pt idx="259">
                  <c:v>3.1</c:v>
                </c:pt>
                <c:pt idx="260">
                  <c:v>10.5</c:v>
                </c:pt>
                <c:pt idx="261">
                  <c:v>1.6</c:v>
                </c:pt>
                <c:pt idx="262">
                  <c:v>4</c:v>
                </c:pt>
                <c:pt idx="263">
                  <c:v>3.3</c:v>
                </c:pt>
                <c:pt idx="264">
                  <c:v>9.4</c:v>
                </c:pt>
                <c:pt idx="265">
                  <c:v>11</c:v>
                </c:pt>
                <c:pt idx="266">
                  <c:v>7.8</c:v>
                </c:pt>
                <c:pt idx="267">
                  <c:v>10.1</c:v>
                </c:pt>
                <c:pt idx="268">
                  <c:v>6.9</c:v>
                </c:pt>
                <c:pt idx="269">
                  <c:v>11.9</c:v>
                </c:pt>
                <c:pt idx="270">
                  <c:v>10.4</c:v>
                </c:pt>
                <c:pt idx="271">
                  <c:v>3.5</c:v>
                </c:pt>
                <c:pt idx="272">
                  <c:v>5.7</c:v>
                </c:pt>
                <c:pt idx="273">
                  <c:v>10.5</c:v>
                </c:pt>
                <c:pt idx="274">
                  <c:v>4.3</c:v>
                </c:pt>
                <c:pt idx="275">
                  <c:v>13.6</c:v>
                </c:pt>
                <c:pt idx="276">
                  <c:v>12.3</c:v>
                </c:pt>
                <c:pt idx="277">
                  <c:v>9.6999999999999993</c:v>
                </c:pt>
                <c:pt idx="278">
                  <c:v>13</c:v>
                </c:pt>
                <c:pt idx="279">
                  <c:v>4.9000000000000004</c:v>
                </c:pt>
                <c:pt idx="280">
                  <c:v>6</c:v>
                </c:pt>
                <c:pt idx="281">
                  <c:v>11.8</c:v>
                </c:pt>
                <c:pt idx="282">
                  <c:v>6.2</c:v>
                </c:pt>
                <c:pt idx="283">
                  <c:v>1.5</c:v>
                </c:pt>
                <c:pt idx="284">
                  <c:v>6.02</c:v>
                </c:pt>
                <c:pt idx="285">
                  <c:v>2.29</c:v>
                </c:pt>
                <c:pt idx="286">
                  <c:v>3.31</c:v>
                </c:pt>
                <c:pt idx="287">
                  <c:v>53.86</c:v>
                </c:pt>
                <c:pt idx="288">
                  <c:v>19.66</c:v>
                </c:pt>
                <c:pt idx="289">
                  <c:v>22.23</c:v>
                </c:pt>
                <c:pt idx="290">
                  <c:v>1.82</c:v>
                </c:pt>
                <c:pt idx="291">
                  <c:v>6.97</c:v>
                </c:pt>
                <c:pt idx="292">
                  <c:v>12.21</c:v>
                </c:pt>
                <c:pt idx="293">
                  <c:v>6.6</c:v>
                </c:pt>
                <c:pt idx="294">
                  <c:v>7.48</c:v>
                </c:pt>
                <c:pt idx="295">
                  <c:v>9.65</c:v>
                </c:pt>
                <c:pt idx="296">
                  <c:v>3.53</c:v>
                </c:pt>
                <c:pt idx="297">
                  <c:v>15.02</c:v>
                </c:pt>
                <c:pt idx="298">
                  <c:v>11.27</c:v>
                </c:pt>
                <c:pt idx="299">
                  <c:v>2.72</c:v>
                </c:pt>
                <c:pt idx="300">
                  <c:v>2.1</c:v>
                </c:pt>
                <c:pt idx="301">
                  <c:v>7.5</c:v>
                </c:pt>
                <c:pt idx="302">
                  <c:v>4.3899999999999997</c:v>
                </c:pt>
                <c:pt idx="303">
                  <c:v>12.26</c:v>
                </c:pt>
                <c:pt idx="304">
                  <c:v>3.54</c:v>
                </c:pt>
                <c:pt idx="305">
                  <c:v>3.09</c:v>
                </c:pt>
                <c:pt idx="306">
                  <c:v>5.5</c:v>
                </c:pt>
                <c:pt idx="307">
                  <c:v>6.97</c:v>
                </c:pt>
                <c:pt idx="308">
                  <c:v>5.73</c:v>
                </c:pt>
                <c:pt idx="309">
                  <c:v>19.440000000000001</c:v>
                </c:pt>
                <c:pt idx="310">
                  <c:v>10.97</c:v>
                </c:pt>
                <c:pt idx="311">
                  <c:v>5.86</c:v>
                </c:pt>
                <c:pt idx="312">
                  <c:v>17.600000000000001</c:v>
                </c:pt>
                <c:pt idx="313">
                  <c:v>6.34</c:v>
                </c:pt>
                <c:pt idx="314">
                  <c:v>1.17</c:v>
                </c:pt>
                <c:pt idx="315">
                  <c:v>6.97</c:v>
                </c:pt>
                <c:pt idx="316">
                  <c:v>2.1</c:v>
                </c:pt>
                <c:pt idx="317">
                  <c:v>11.77</c:v>
                </c:pt>
                <c:pt idx="318">
                  <c:v>9.65</c:v>
                </c:pt>
                <c:pt idx="319">
                  <c:v>0.57999999999999996</c:v>
                </c:pt>
                <c:pt idx="320">
                  <c:v>11.62</c:v>
                </c:pt>
                <c:pt idx="321">
                  <c:v>9.06</c:v>
                </c:pt>
                <c:pt idx="322">
                  <c:v>15.31</c:v>
                </c:pt>
                <c:pt idx="323">
                  <c:v>7.65</c:v>
                </c:pt>
                <c:pt idx="324">
                  <c:v>6.42</c:v>
                </c:pt>
                <c:pt idx="325">
                  <c:v>19.13</c:v>
                </c:pt>
                <c:pt idx="326">
                  <c:v>15.26</c:v>
                </c:pt>
                <c:pt idx="327">
                  <c:v>4.84</c:v>
                </c:pt>
                <c:pt idx="328">
                  <c:v>7.58</c:v>
                </c:pt>
                <c:pt idx="329">
                  <c:v>24.24</c:v>
                </c:pt>
                <c:pt idx="330">
                  <c:v>20.239999999999998</c:v>
                </c:pt>
                <c:pt idx="331">
                  <c:v>17.399999999999999</c:v>
                </c:pt>
                <c:pt idx="332">
                  <c:v>17.36</c:v>
                </c:pt>
                <c:pt idx="333">
                  <c:v>41.04</c:v>
                </c:pt>
                <c:pt idx="334">
                  <c:v>15.02</c:v>
                </c:pt>
                <c:pt idx="335">
                  <c:v>17.829999999999998</c:v>
                </c:pt>
                <c:pt idx="336">
                  <c:v>20.8</c:v>
                </c:pt>
                <c:pt idx="337">
                  <c:v>24.89</c:v>
                </c:pt>
                <c:pt idx="338">
                  <c:v>19.13</c:v>
                </c:pt>
                <c:pt idx="339">
                  <c:v>17.59</c:v>
                </c:pt>
                <c:pt idx="340">
                  <c:v>19.350000000000001</c:v>
                </c:pt>
                <c:pt idx="341">
                  <c:v>21.7</c:v>
                </c:pt>
                <c:pt idx="342">
                  <c:v>7.84</c:v>
                </c:pt>
                <c:pt idx="343">
                  <c:v>25.57</c:v>
                </c:pt>
                <c:pt idx="344">
                  <c:v>6.87</c:v>
                </c:pt>
                <c:pt idx="345">
                  <c:v>31.87</c:v>
                </c:pt>
                <c:pt idx="346">
                  <c:v>15.11</c:v>
                </c:pt>
                <c:pt idx="347">
                  <c:v>21.72</c:v>
                </c:pt>
                <c:pt idx="348">
                  <c:v>24.95</c:v>
                </c:pt>
                <c:pt idx="349">
                  <c:v>17.350000000000001</c:v>
                </c:pt>
                <c:pt idx="350">
                  <c:v>18.809999999999999</c:v>
                </c:pt>
                <c:pt idx="351">
                  <c:v>15.35</c:v>
                </c:pt>
                <c:pt idx="352">
                  <c:v>22.6</c:v>
                </c:pt>
                <c:pt idx="353">
                  <c:v>21.45</c:v>
                </c:pt>
                <c:pt idx="354">
                  <c:v>15.15</c:v>
                </c:pt>
                <c:pt idx="355">
                  <c:v>20.46</c:v>
                </c:pt>
                <c:pt idx="356">
                  <c:v>20.8</c:v>
                </c:pt>
                <c:pt idx="357">
                  <c:v>22.98</c:v>
                </c:pt>
                <c:pt idx="358">
                  <c:v>16.989999999999998</c:v>
                </c:pt>
                <c:pt idx="359">
                  <c:v>19.670000000000002</c:v>
                </c:pt>
                <c:pt idx="360">
                  <c:v>29.47</c:v>
                </c:pt>
                <c:pt idx="361">
                  <c:v>23.29</c:v>
                </c:pt>
                <c:pt idx="362">
                  <c:v>24.55</c:v>
                </c:pt>
                <c:pt idx="363">
                  <c:v>23.53</c:v>
                </c:pt>
                <c:pt idx="364">
                  <c:v>3.62</c:v>
                </c:pt>
                <c:pt idx="365">
                  <c:v>31.73</c:v>
                </c:pt>
                <c:pt idx="366">
                  <c:v>18.88</c:v>
                </c:pt>
                <c:pt idx="367">
                  <c:v>24.4</c:v>
                </c:pt>
                <c:pt idx="368">
                  <c:v>18.399999999999999</c:v>
                </c:pt>
                <c:pt idx="369">
                  <c:v>18.59</c:v>
                </c:pt>
                <c:pt idx="370">
                  <c:v>14.87</c:v>
                </c:pt>
                <c:pt idx="371">
                  <c:v>41.51</c:v>
                </c:pt>
                <c:pt idx="372">
                  <c:v>19.04</c:v>
                </c:pt>
                <c:pt idx="373">
                  <c:v>15.55</c:v>
                </c:pt>
                <c:pt idx="374">
                  <c:v>25.4</c:v>
                </c:pt>
                <c:pt idx="375">
                  <c:v>47.73</c:v>
                </c:pt>
                <c:pt idx="376">
                  <c:v>21.7</c:v>
                </c:pt>
                <c:pt idx="377">
                  <c:v>34.67</c:v>
                </c:pt>
                <c:pt idx="378">
                  <c:v>7.4</c:v>
                </c:pt>
                <c:pt idx="379">
                  <c:v>22.03</c:v>
                </c:pt>
                <c:pt idx="380">
                  <c:v>32.75</c:v>
                </c:pt>
                <c:pt idx="381">
                  <c:v>27.4</c:v>
                </c:pt>
                <c:pt idx="382">
                  <c:v>23.1</c:v>
                </c:pt>
                <c:pt idx="383">
                  <c:v>20.34</c:v>
                </c:pt>
                <c:pt idx="384">
                  <c:v>5.18</c:v>
                </c:pt>
                <c:pt idx="385">
                  <c:v>15.05</c:v>
                </c:pt>
                <c:pt idx="386">
                  <c:v>22.08</c:v>
                </c:pt>
                <c:pt idx="387">
                  <c:v>26.28</c:v>
                </c:pt>
                <c:pt idx="388">
                  <c:v>17.41</c:v>
                </c:pt>
                <c:pt idx="389">
                  <c:v>12.96</c:v>
                </c:pt>
                <c:pt idx="390">
                  <c:v>6.77</c:v>
                </c:pt>
                <c:pt idx="391">
                  <c:v>2.95</c:v>
                </c:pt>
                <c:pt idx="392">
                  <c:v>7.68</c:v>
                </c:pt>
                <c:pt idx="393">
                  <c:v>16.690000000000001</c:v>
                </c:pt>
                <c:pt idx="394">
                  <c:v>8.4600000000000009</c:v>
                </c:pt>
                <c:pt idx="395">
                  <c:v>5.35</c:v>
                </c:pt>
                <c:pt idx="396">
                  <c:v>14.82</c:v>
                </c:pt>
                <c:pt idx="397">
                  <c:v>9.19</c:v>
                </c:pt>
                <c:pt idx="398">
                  <c:v>5.19</c:v>
                </c:pt>
                <c:pt idx="399">
                  <c:v>9.73</c:v>
                </c:pt>
                <c:pt idx="400">
                  <c:v>13.54</c:v>
                </c:pt>
                <c:pt idx="401">
                  <c:v>5.78</c:v>
                </c:pt>
                <c:pt idx="402">
                  <c:v>5.36</c:v>
                </c:pt>
                <c:pt idx="403">
                  <c:v>11.88</c:v>
                </c:pt>
                <c:pt idx="404">
                  <c:v>14.03</c:v>
                </c:pt>
                <c:pt idx="405">
                  <c:v>23.63</c:v>
                </c:pt>
                <c:pt idx="406">
                  <c:v>10.39</c:v>
                </c:pt>
                <c:pt idx="407">
                  <c:v>7.83</c:v>
                </c:pt>
                <c:pt idx="408">
                  <c:v>11.23</c:v>
                </c:pt>
                <c:pt idx="409">
                  <c:v>9.1300000000000008</c:v>
                </c:pt>
                <c:pt idx="410">
                  <c:v>11.66</c:v>
                </c:pt>
                <c:pt idx="411">
                  <c:v>3.81</c:v>
                </c:pt>
                <c:pt idx="412">
                  <c:v>16.16</c:v>
                </c:pt>
                <c:pt idx="413">
                  <c:v>8.83</c:v>
                </c:pt>
                <c:pt idx="414">
                  <c:v>1.38</c:v>
                </c:pt>
                <c:pt idx="415">
                  <c:v>1.48</c:v>
                </c:pt>
                <c:pt idx="416">
                  <c:v>9.15</c:v>
                </c:pt>
                <c:pt idx="417">
                  <c:v>4.79</c:v>
                </c:pt>
                <c:pt idx="418">
                  <c:v>6.7</c:v>
                </c:pt>
                <c:pt idx="419">
                  <c:v>15.73</c:v>
                </c:pt>
                <c:pt idx="420">
                  <c:v>13.13</c:v>
                </c:pt>
                <c:pt idx="421">
                  <c:v>9.94</c:v>
                </c:pt>
                <c:pt idx="422">
                  <c:v>5.86</c:v>
                </c:pt>
                <c:pt idx="423">
                  <c:v>9.1199999999999992</c:v>
                </c:pt>
                <c:pt idx="424">
                  <c:v>6.94</c:v>
                </c:pt>
                <c:pt idx="425">
                  <c:v>16.25</c:v>
                </c:pt>
                <c:pt idx="426">
                  <c:v>1.59</c:v>
                </c:pt>
                <c:pt idx="427">
                  <c:v>5.32</c:v>
                </c:pt>
                <c:pt idx="428">
                  <c:v>24.73</c:v>
                </c:pt>
                <c:pt idx="429">
                  <c:v>9.1300000000000008</c:v>
                </c:pt>
                <c:pt idx="430">
                  <c:v>1.41</c:v>
                </c:pt>
                <c:pt idx="431">
                  <c:v>2.11</c:v>
                </c:pt>
                <c:pt idx="432">
                  <c:v>21.43</c:v>
                </c:pt>
                <c:pt idx="433">
                  <c:v>8.75</c:v>
                </c:pt>
                <c:pt idx="434">
                  <c:v>3.37</c:v>
                </c:pt>
                <c:pt idx="435">
                  <c:v>8.1300000000000008</c:v>
                </c:pt>
                <c:pt idx="436">
                  <c:v>2.63</c:v>
                </c:pt>
                <c:pt idx="437">
                  <c:v>23.59</c:v>
                </c:pt>
                <c:pt idx="438">
                  <c:v>20.72</c:v>
                </c:pt>
                <c:pt idx="439">
                  <c:v>19.64</c:v>
                </c:pt>
                <c:pt idx="440">
                  <c:v>14.13</c:v>
                </c:pt>
                <c:pt idx="441">
                  <c:v>22.62</c:v>
                </c:pt>
                <c:pt idx="442">
                  <c:v>15.98</c:v>
                </c:pt>
                <c:pt idx="443">
                  <c:v>16.18</c:v>
                </c:pt>
                <c:pt idx="444">
                  <c:v>18.440000000000001</c:v>
                </c:pt>
                <c:pt idx="445">
                  <c:v>21.25</c:v>
                </c:pt>
                <c:pt idx="446">
                  <c:v>16.7</c:v>
                </c:pt>
                <c:pt idx="447">
                  <c:v>15.73</c:v>
                </c:pt>
                <c:pt idx="448">
                  <c:v>16.55</c:v>
                </c:pt>
                <c:pt idx="449">
                  <c:v>13.67</c:v>
                </c:pt>
                <c:pt idx="450">
                  <c:v>12.8</c:v>
                </c:pt>
                <c:pt idx="451">
                  <c:v>20.82</c:v>
                </c:pt>
                <c:pt idx="452">
                  <c:v>6.65</c:v>
                </c:pt>
                <c:pt idx="453">
                  <c:v>18.88</c:v>
                </c:pt>
                <c:pt idx="454">
                  <c:v>24.3</c:v>
                </c:pt>
                <c:pt idx="455">
                  <c:v>16.5</c:v>
                </c:pt>
                <c:pt idx="456">
                  <c:v>17.62</c:v>
                </c:pt>
                <c:pt idx="457">
                  <c:v>12.52</c:v>
                </c:pt>
                <c:pt idx="458">
                  <c:v>21.8</c:v>
                </c:pt>
                <c:pt idx="459">
                  <c:v>13.7</c:v>
                </c:pt>
                <c:pt idx="460">
                  <c:v>10.97</c:v>
                </c:pt>
                <c:pt idx="461">
                  <c:v>20.86</c:v>
                </c:pt>
                <c:pt idx="462">
                  <c:v>20.309999999999999</c:v>
                </c:pt>
                <c:pt idx="463">
                  <c:v>20.29</c:v>
                </c:pt>
                <c:pt idx="464">
                  <c:v>7.6</c:v>
                </c:pt>
                <c:pt idx="465">
                  <c:v>19.010000000000002</c:v>
                </c:pt>
                <c:pt idx="466">
                  <c:v>16.149999999999999</c:v>
                </c:pt>
                <c:pt idx="467">
                  <c:v>14.5</c:v>
                </c:pt>
                <c:pt idx="468">
                  <c:v>11.28</c:v>
                </c:pt>
                <c:pt idx="469">
                  <c:v>13.31</c:v>
                </c:pt>
                <c:pt idx="470">
                  <c:v>14.89</c:v>
                </c:pt>
                <c:pt idx="471">
                  <c:v>19.34</c:v>
                </c:pt>
                <c:pt idx="472">
                  <c:v>21.27</c:v>
                </c:pt>
                <c:pt idx="473">
                  <c:v>17.62</c:v>
                </c:pt>
                <c:pt idx="474">
                  <c:v>10.36</c:v>
                </c:pt>
                <c:pt idx="475">
                  <c:v>22.38</c:v>
                </c:pt>
                <c:pt idx="476">
                  <c:v>6.34</c:v>
                </c:pt>
                <c:pt idx="477">
                  <c:v>14.77</c:v>
                </c:pt>
                <c:pt idx="478">
                  <c:v>10.11</c:v>
                </c:pt>
                <c:pt idx="479">
                  <c:v>18.16</c:v>
                </c:pt>
                <c:pt idx="480">
                  <c:v>21.09</c:v>
                </c:pt>
                <c:pt idx="481">
                  <c:v>17.84</c:v>
                </c:pt>
                <c:pt idx="482">
                  <c:v>18.3</c:v>
                </c:pt>
                <c:pt idx="483">
                  <c:v>14.53</c:v>
                </c:pt>
                <c:pt idx="484">
                  <c:v>13.26</c:v>
                </c:pt>
                <c:pt idx="485">
                  <c:v>11.55</c:v>
                </c:pt>
                <c:pt idx="486">
                  <c:v>15.93</c:v>
                </c:pt>
                <c:pt idx="487">
                  <c:v>14.25</c:v>
                </c:pt>
                <c:pt idx="488">
                  <c:v>12.35</c:v>
                </c:pt>
                <c:pt idx="489">
                  <c:v>7.22</c:v>
                </c:pt>
                <c:pt idx="490">
                  <c:v>10.4</c:v>
                </c:pt>
                <c:pt idx="491">
                  <c:v>11.66</c:v>
                </c:pt>
                <c:pt idx="492">
                  <c:v>10.99</c:v>
                </c:pt>
                <c:pt idx="493">
                  <c:v>7.87</c:v>
                </c:pt>
                <c:pt idx="494">
                  <c:v>7.64</c:v>
                </c:pt>
                <c:pt idx="495">
                  <c:v>1.27</c:v>
                </c:pt>
                <c:pt idx="496">
                  <c:v>11.85</c:v>
                </c:pt>
                <c:pt idx="497">
                  <c:v>6.52</c:v>
                </c:pt>
                <c:pt idx="498">
                  <c:v>7.7</c:v>
                </c:pt>
                <c:pt idx="499">
                  <c:v>10.81</c:v>
                </c:pt>
                <c:pt idx="500">
                  <c:v>17.829999999999998</c:v>
                </c:pt>
                <c:pt idx="501">
                  <c:v>12.5</c:v>
                </c:pt>
                <c:pt idx="502">
                  <c:v>7.97</c:v>
                </c:pt>
                <c:pt idx="503">
                  <c:v>8.58</c:v>
                </c:pt>
                <c:pt idx="504">
                  <c:v>6.05</c:v>
                </c:pt>
                <c:pt idx="505">
                  <c:v>6.76</c:v>
                </c:pt>
                <c:pt idx="506">
                  <c:v>13.99</c:v>
                </c:pt>
                <c:pt idx="507">
                  <c:v>8.65</c:v>
                </c:pt>
                <c:pt idx="508">
                  <c:v>16.79</c:v>
                </c:pt>
                <c:pt idx="509">
                  <c:v>2.4500000000000002</c:v>
                </c:pt>
                <c:pt idx="510">
                  <c:v>9.84</c:v>
                </c:pt>
                <c:pt idx="511">
                  <c:v>4.9800000000000004</c:v>
                </c:pt>
                <c:pt idx="512">
                  <c:v>8.92</c:v>
                </c:pt>
                <c:pt idx="513">
                  <c:v>13.39</c:v>
                </c:pt>
                <c:pt idx="514">
                  <c:v>13.43</c:v>
                </c:pt>
                <c:pt idx="515">
                  <c:v>9.84</c:v>
                </c:pt>
                <c:pt idx="516">
                  <c:v>4.7300000000000004</c:v>
                </c:pt>
                <c:pt idx="517">
                  <c:v>6.35</c:v>
                </c:pt>
                <c:pt idx="518">
                  <c:v>18.989999999999998</c:v>
                </c:pt>
                <c:pt idx="519">
                  <c:v>7.3</c:v>
                </c:pt>
                <c:pt idx="520">
                  <c:v>8.11</c:v>
                </c:pt>
                <c:pt idx="521">
                  <c:v>5.25</c:v>
                </c:pt>
                <c:pt idx="522">
                  <c:v>16.690000000000001</c:v>
                </c:pt>
                <c:pt idx="523">
                  <c:v>2.37</c:v>
                </c:pt>
                <c:pt idx="524">
                  <c:v>10.08</c:v>
                </c:pt>
                <c:pt idx="525">
                  <c:v>17.190000000000001</c:v>
                </c:pt>
                <c:pt idx="526">
                  <c:v>1.27</c:v>
                </c:pt>
                <c:pt idx="527">
                  <c:v>5.75</c:v>
                </c:pt>
                <c:pt idx="528">
                  <c:v>15.69</c:v>
                </c:pt>
                <c:pt idx="529">
                  <c:v>17.03</c:v>
                </c:pt>
                <c:pt idx="530">
                  <c:v>17.77</c:v>
                </c:pt>
                <c:pt idx="531">
                  <c:v>17.399999999999999</c:v>
                </c:pt>
                <c:pt idx="532">
                  <c:v>10.16</c:v>
                </c:pt>
                <c:pt idx="533">
                  <c:v>6.06</c:v>
                </c:pt>
                <c:pt idx="534">
                  <c:v>10.37</c:v>
                </c:pt>
                <c:pt idx="535">
                  <c:v>2.56</c:v>
                </c:pt>
                <c:pt idx="536">
                  <c:v>8.98</c:v>
                </c:pt>
                <c:pt idx="537">
                  <c:v>7.84</c:v>
                </c:pt>
                <c:pt idx="538">
                  <c:v>5.44</c:v>
                </c:pt>
                <c:pt idx="539">
                  <c:v>11.93</c:v>
                </c:pt>
                <c:pt idx="540">
                  <c:v>12.39</c:v>
                </c:pt>
                <c:pt idx="541">
                  <c:v>17.95</c:v>
                </c:pt>
                <c:pt idx="542">
                  <c:v>10.07</c:v>
                </c:pt>
                <c:pt idx="543">
                  <c:v>8.56</c:v>
                </c:pt>
                <c:pt idx="544">
                  <c:v>1.56</c:v>
                </c:pt>
                <c:pt idx="545">
                  <c:v>20.43</c:v>
                </c:pt>
                <c:pt idx="546">
                  <c:v>16.04</c:v>
                </c:pt>
                <c:pt idx="547">
                  <c:v>11.9</c:v>
                </c:pt>
                <c:pt idx="548">
                  <c:v>2.66</c:v>
                </c:pt>
                <c:pt idx="549">
                  <c:v>5.0999999999999996</c:v>
                </c:pt>
                <c:pt idx="550">
                  <c:v>12.24</c:v>
                </c:pt>
                <c:pt idx="551">
                  <c:v>21.93</c:v>
                </c:pt>
                <c:pt idx="552">
                  <c:v>24.16</c:v>
                </c:pt>
                <c:pt idx="553">
                  <c:v>24.77</c:v>
                </c:pt>
                <c:pt idx="554">
                  <c:v>16.829999999999998</c:v>
                </c:pt>
                <c:pt idx="555">
                  <c:v>8.4</c:v>
                </c:pt>
                <c:pt idx="556">
                  <c:v>5.75</c:v>
                </c:pt>
                <c:pt idx="557">
                  <c:v>16.54</c:v>
                </c:pt>
                <c:pt idx="558">
                  <c:v>13.73</c:v>
                </c:pt>
                <c:pt idx="559">
                  <c:v>16.3</c:v>
                </c:pt>
                <c:pt idx="560">
                  <c:v>13.73</c:v>
                </c:pt>
                <c:pt idx="561">
                  <c:v>16.93</c:v>
                </c:pt>
                <c:pt idx="562">
                  <c:v>2.68</c:v>
                </c:pt>
                <c:pt idx="563">
                  <c:v>11.66</c:v>
                </c:pt>
                <c:pt idx="564">
                  <c:v>3.03</c:v>
                </c:pt>
                <c:pt idx="565">
                  <c:v>6.41</c:v>
                </c:pt>
                <c:pt idx="566">
                  <c:v>10.78</c:v>
                </c:pt>
                <c:pt idx="567">
                  <c:v>14.59</c:v>
                </c:pt>
                <c:pt idx="568">
                  <c:v>17.95</c:v>
                </c:pt>
                <c:pt idx="569">
                  <c:v>18.87</c:v>
                </c:pt>
                <c:pt idx="570">
                  <c:v>17.72</c:v>
                </c:pt>
                <c:pt idx="571">
                  <c:v>13.55</c:v>
                </c:pt>
                <c:pt idx="572">
                  <c:v>9.6300000000000008</c:v>
                </c:pt>
                <c:pt idx="573">
                  <c:v>2.63</c:v>
                </c:pt>
                <c:pt idx="574">
                  <c:v>43.29</c:v>
                </c:pt>
                <c:pt idx="575">
                  <c:v>24.94</c:v>
                </c:pt>
                <c:pt idx="576">
                  <c:v>29.22</c:v>
                </c:pt>
                <c:pt idx="577">
                  <c:v>26.59</c:v>
                </c:pt>
                <c:pt idx="578">
                  <c:v>35.54</c:v>
                </c:pt>
                <c:pt idx="579">
                  <c:v>38.15</c:v>
                </c:pt>
                <c:pt idx="580">
                  <c:v>33.89</c:v>
                </c:pt>
                <c:pt idx="581">
                  <c:v>37.49</c:v>
                </c:pt>
                <c:pt idx="582">
                  <c:v>31.63</c:v>
                </c:pt>
                <c:pt idx="583">
                  <c:v>20.11</c:v>
                </c:pt>
                <c:pt idx="584">
                  <c:v>22.15</c:v>
                </c:pt>
                <c:pt idx="585">
                  <c:v>40.520000000000003</c:v>
                </c:pt>
                <c:pt idx="586">
                  <c:v>20.399999999999999</c:v>
                </c:pt>
                <c:pt idx="587">
                  <c:v>24.87</c:v>
                </c:pt>
                <c:pt idx="588">
                  <c:v>33.159999999999997</c:v>
                </c:pt>
                <c:pt idx="589">
                  <c:v>31.05</c:v>
                </c:pt>
                <c:pt idx="590">
                  <c:v>31.33</c:v>
                </c:pt>
                <c:pt idx="591">
                  <c:v>32.97</c:v>
                </c:pt>
                <c:pt idx="592">
                  <c:v>20.25</c:v>
                </c:pt>
                <c:pt idx="593">
                  <c:v>27.44</c:v>
                </c:pt>
                <c:pt idx="594">
                  <c:v>19.91</c:v>
                </c:pt>
                <c:pt idx="595">
                  <c:v>34.11</c:v>
                </c:pt>
                <c:pt idx="596">
                  <c:v>35.83</c:v>
                </c:pt>
                <c:pt idx="597">
                  <c:v>33.19</c:v>
                </c:pt>
                <c:pt idx="598">
                  <c:v>27.13</c:v>
                </c:pt>
                <c:pt idx="599">
                  <c:v>49.34</c:v>
                </c:pt>
                <c:pt idx="600">
                  <c:v>15.52</c:v>
                </c:pt>
                <c:pt idx="601">
                  <c:v>46.36</c:v>
                </c:pt>
                <c:pt idx="602">
                  <c:v>52.76</c:v>
                </c:pt>
                <c:pt idx="603">
                  <c:v>42.085000000000001</c:v>
                </c:pt>
                <c:pt idx="604">
                  <c:v>39.79</c:v>
                </c:pt>
                <c:pt idx="605">
                  <c:v>32.5</c:v>
                </c:pt>
                <c:pt idx="606">
                  <c:v>49.88</c:v>
                </c:pt>
                <c:pt idx="607">
                  <c:v>52.26</c:v>
                </c:pt>
                <c:pt idx="608">
                  <c:v>32.86</c:v>
                </c:pt>
                <c:pt idx="609">
                  <c:v>39.79</c:v>
                </c:pt>
                <c:pt idx="610">
                  <c:v>8.7200000000000006</c:v>
                </c:pt>
                <c:pt idx="611">
                  <c:v>27.97</c:v>
                </c:pt>
                <c:pt idx="612">
                  <c:v>39.69</c:v>
                </c:pt>
                <c:pt idx="613">
                  <c:v>13.81</c:v>
                </c:pt>
                <c:pt idx="614">
                  <c:v>38.79</c:v>
                </c:pt>
                <c:pt idx="615">
                  <c:v>26.05</c:v>
                </c:pt>
                <c:pt idx="616">
                  <c:v>26.51</c:v>
                </c:pt>
                <c:pt idx="617">
                  <c:v>14.24</c:v>
                </c:pt>
                <c:pt idx="618">
                  <c:v>42.95</c:v>
                </c:pt>
                <c:pt idx="619">
                  <c:v>40.08</c:v>
                </c:pt>
                <c:pt idx="620">
                  <c:v>33.81</c:v>
                </c:pt>
                <c:pt idx="621">
                  <c:v>31.33</c:v>
                </c:pt>
                <c:pt idx="622">
                  <c:v>40.22</c:v>
                </c:pt>
                <c:pt idx="623">
                  <c:v>30.75</c:v>
                </c:pt>
                <c:pt idx="624">
                  <c:v>35.4</c:v>
                </c:pt>
                <c:pt idx="625">
                  <c:v>42.43</c:v>
                </c:pt>
                <c:pt idx="626">
                  <c:v>17.329999999999998</c:v>
                </c:pt>
                <c:pt idx="627">
                  <c:v>41.87</c:v>
                </c:pt>
                <c:pt idx="628">
                  <c:v>9.99</c:v>
                </c:pt>
                <c:pt idx="629">
                  <c:v>2.84</c:v>
                </c:pt>
                <c:pt idx="630">
                  <c:v>7.99</c:v>
                </c:pt>
                <c:pt idx="631">
                  <c:v>8.3000000000000007</c:v>
                </c:pt>
                <c:pt idx="632">
                  <c:v>15.58</c:v>
                </c:pt>
                <c:pt idx="633">
                  <c:v>4.5599999999999996</c:v>
                </c:pt>
                <c:pt idx="634">
                  <c:v>5.43</c:v>
                </c:pt>
                <c:pt idx="635">
                  <c:v>13.07</c:v>
                </c:pt>
                <c:pt idx="636">
                  <c:v>23.55</c:v>
                </c:pt>
                <c:pt idx="637">
                  <c:v>16.25</c:v>
                </c:pt>
                <c:pt idx="638">
                  <c:v>17.079999999999998</c:v>
                </c:pt>
                <c:pt idx="639">
                  <c:v>14.69</c:v>
                </c:pt>
                <c:pt idx="640">
                  <c:v>11.62</c:v>
                </c:pt>
                <c:pt idx="641">
                  <c:v>9.48</c:v>
                </c:pt>
                <c:pt idx="642">
                  <c:v>10.24</c:v>
                </c:pt>
                <c:pt idx="643">
                  <c:v>14.22</c:v>
                </c:pt>
                <c:pt idx="644">
                  <c:v>9.16</c:v>
                </c:pt>
                <c:pt idx="645">
                  <c:v>6.92</c:v>
                </c:pt>
                <c:pt idx="646">
                  <c:v>8.83</c:v>
                </c:pt>
                <c:pt idx="647">
                  <c:v>17.420000000000002</c:v>
                </c:pt>
                <c:pt idx="648">
                  <c:v>13.04</c:v>
                </c:pt>
                <c:pt idx="649">
                  <c:v>17.27</c:v>
                </c:pt>
                <c:pt idx="650">
                  <c:v>11.84</c:v>
                </c:pt>
                <c:pt idx="651">
                  <c:v>9.5399999999999991</c:v>
                </c:pt>
                <c:pt idx="652">
                  <c:v>7.89</c:v>
                </c:pt>
                <c:pt idx="653">
                  <c:v>12.72</c:v>
                </c:pt>
                <c:pt idx="654">
                  <c:v>11.07</c:v>
                </c:pt>
                <c:pt idx="655">
                  <c:v>10.25</c:v>
                </c:pt>
                <c:pt idx="656">
                  <c:v>14.46</c:v>
                </c:pt>
                <c:pt idx="657">
                  <c:v>15.37</c:v>
                </c:pt>
                <c:pt idx="658">
                  <c:v>11.96</c:v>
                </c:pt>
                <c:pt idx="659">
                  <c:v>12.41</c:v>
                </c:pt>
                <c:pt idx="660">
                  <c:v>7.94</c:v>
                </c:pt>
                <c:pt idx="661">
                  <c:v>5.98</c:v>
                </c:pt>
                <c:pt idx="662">
                  <c:v>21.86</c:v>
                </c:pt>
                <c:pt idx="663">
                  <c:v>33.65</c:v>
                </c:pt>
                <c:pt idx="664">
                  <c:v>18.010000000000002</c:v>
                </c:pt>
                <c:pt idx="665">
                  <c:v>24.72</c:v>
                </c:pt>
                <c:pt idx="666">
                  <c:v>20.85</c:v>
                </c:pt>
                <c:pt idx="667">
                  <c:v>29.6</c:v>
                </c:pt>
                <c:pt idx="668">
                  <c:v>40.44</c:v>
                </c:pt>
                <c:pt idx="669">
                  <c:v>27.7</c:v>
                </c:pt>
                <c:pt idx="670">
                  <c:v>18.73</c:v>
                </c:pt>
                <c:pt idx="671">
                  <c:v>36.65</c:v>
                </c:pt>
                <c:pt idx="672">
                  <c:v>25.84</c:v>
                </c:pt>
                <c:pt idx="673">
                  <c:v>4.1399999999999997</c:v>
                </c:pt>
                <c:pt idx="674">
                  <c:v>26.63</c:v>
                </c:pt>
                <c:pt idx="675">
                  <c:v>10.1</c:v>
                </c:pt>
                <c:pt idx="676">
                  <c:v>23.62</c:v>
                </c:pt>
                <c:pt idx="677">
                  <c:v>21.07</c:v>
                </c:pt>
                <c:pt idx="678">
                  <c:v>19.809999999999999</c:v>
                </c:pt>
                <c:pt idx="679">
                  <c:v>32.090000000000003</c:v>
                </c:pt>
                <c:pt idx="680">
                  <c:v>33.99</c:v>
                </c:pt>
                <c:pt idx="681">
                  <c:v>15.25</c:v>
                </c:pt>
                <c:pt idx="682">
                  <c:v>26.87</c:v>
                </c:pt>
                <c:pt idx="683">
                  <c:v>25.73</c:v>
                </c:pt>
                <c:pt idx="684">
                  <c:v>19.91</c:v>
                </c:pt>
                <c:pt idx="685">
                  <c:v>17.690000000000001</c:v>
                </c:pt>
                <c:pt idx="686">
                  <c:v>25.71</c:v>
                </c:pt>
                <c:pt idx="687">
                  <c:v>11.25</c:v>
                </c:pt>
                <c:pt idx="688">
                  <c:v>25.85</c:v>
                </c:pt>
                <c:pt idx="689">
                  <c:v>33.6</c:v>
                </c:pt>
                <c:pt idx="690">
                  <c:v>35.78</c:v>
                </c:pt>
                <c:pt idx="691">
                  <c:v>23.46</c:v>
                </c:pt>
                <c:pt idx="692">
                  <c:v>27.79</c:v>
                </c:pt>
                <c:pt idx="693">
                  <c:v>32.880000000000003</c:v>
                </c:pt>
                <c:pt idx="694">
                  <c:v>32.15</c:v>
                </c:pt>
                <c:pt idx="695">
                  <c:v>35.369999999999997</c:v>
                </c:pt>
                <c:pt idx="696">
                  <c:v>24.72</c:v>
                </c:pt>
                <c:pt idx="697">
                  <c:v>27.66</c:v>
                </c:pt>
                <c:pt idx="698">
                  <c:v>26.18</c:v>
                </c:pt>
                <c:pt idx="699">
                  <c:v>17.5</c:v>
                </c:pt>
                <c:pt idx="700">
                  <c:v>29.91</c:v>
                </c:pt>
                <c:pt idx="701">
                  <c:v>21.89</c:v>
                </c:pt>
                <c:pt idx="702">
                  <c:v>28.19</c:v>
                </c:pt>
                <c:pt idx="703">
                  <c:v>19.920000000000002</c:v>
                </c:pt>
                <c:pt idx="704">
                  <c:v>20.16</c:v>
                </c:pt>
                <c:pt idx="705">
                  <c:v>16.63</c:v>
                </c:pt>
                <c:pt idx="706">
                  <c:v>14.31</c:v>
                </c:pt>
                <c:pt idx="707">
                  <c:v>25.34</c:v>
                </c:pt>
                <c:pt idx="708">
                  <c:v>15.23</c:v>
                </c:pt>
                <c:pt idx="709">
                  <c:v>24.16</c:v>
                </c:pt>
                <c:pt idx="710">
                  <c:v>29.11</c:v>
                </c:pt>
                <c:pt idx="711">
                  <c:v>29.29</c:v>
                </c:pt>
                <c:pt idx="712">
                  <c:v>12.2</c:v>
                </c:pt>
                <c:pt idx="713">
                  <c:v>22.89</c:v>
                </c:pt>
                <c:pt idx="714">
                  <c:v>30.15</c:v>
                </c:pt>
                <c:pt idx="715">
                  <c:v>29.76</c:v>
                </c:pt>
                <c:pt idx="716">
                  <c:v>33.68</c:v>
                </c:pt>
                <c:pt idx="717">
                  <c:v>25.85</c:v>
                </c:pt>
                <c:pt idx="718">
                  <c:v>20.72</c:v>
                </c:pt>
                <c:pt idx="719">
                  <c:v>21.27</c:v>
                </c:pt>
                <c:pt idx="720">
                  <c:v>19.63</c:v>
                </c:pt>
                <c:pt idx="721">
                  <c:v>26.37</c:v>
                </c:pt>
                <c:pt idx="722">
                  <c:v>26.19</c:v>
                </c:pt>
                <c:pt idx="723">
                  <c:v>17.350000000000001</c:v>
                </c:pt>
                <c:pt idx="724">
                  <c:v>20.57</c:v>
                </c:pt>
                <c:pt idx="725">
                  <c:v>27.68</c:v>
                </c:pt>
                <c:pt idx="726">
                  <c:v>30.93</c:v>
                </c:pt>
                <c:pt idx="727">
                  <c:v>26.16</c:v>
                </c:pt>
                <c:pt idx="728">
                  <c:v>38.51</c:v>
                </c:pt>
                <c:pt idx="729">
                  <c:v>24</c:v>
                </c:pt>
                <c:pt idx="730">
                  <c:v>29.02</c:v>
                </c:pt>
                <c:pt idx="731">
                  <c:v>41.63</c:v>
                </c:pt>
                <c:pt idx="732">
                  <c:v>33.35</c:v>
                </c:pt>
                <c:pt idx="733">
                  <c:v>28.21</c:v>
                </c:pt>
                <c:pt idx="734">
                  <c:v>27.36</c:v>
                </c:pt>
                <c:pt idx="735">
                  <c:v>22.34</c:v>
                </c:pt>
              </c:numCache>
            </c:numRef>
          </c:xVal>
          <c:yVal>
            <c:numRef>
              <c:f>'Regresión lineal'!$O$2:$O$737</c:f>
              <c:numCache>
                <c:formatCode>General</c:formatCode>
                <c:ptCount val="736"/>
                <c:pt idx="0">
                  <c:v>0.26614709865000008</c:v>
                </c:pt>
                <c:pt idx="1">
                  <c:v>0.13099311681250003</c:v>
                </c:pt>
                <c:pt idx="2">
                  <c:v>5.43428496E-2</c:v>
                </c:pt>
                <c:pt idx="3">
                  <c:v>0.16300518720000007</c:v>
                </c:pt>
                <c:pt idx="4">
                  <c:v>0.17791985749999997</c:v>
                </c:pt>
                <c:pt idx="5">
                  <c:v>0.27891806959800008</c:v>
                </c:pt>
                <c:pt idx="6">
                  <c:v>0.14882176583050002</c:v>
                </c:pt>
                <c:pt idx="7">
                  <c:v>0.32077314877500002</c:v>
                </c:pt>
                <c:pt idx="8">
                  <c:v>3.0037585086000001E-2</c:v>
                </c:pt>
                <c:pt idx="9">
                  <c:v>0.15592813156249999</c:v>
                </c:pt>
                <c:pt idx="10">
                  <c:v>3.5039197200000004E-2</c:v>
                </c:pt>
                <c:pt idx="11">
                  <c:v>0.12782485744049998</c:v>
                </c:pt>
                <c:pt idx="12">
                  <c:v>3.8383485992500008E-2</c:v>
                </c:pt>
                <c:pt idx="13">
                  <c:v>8.2281592431999992E-2</c:v>
                </c:pt>
                <c:pt idx="14">
                  <c:v>8.146266944199998E-2</c:v>
                </c:pt>
                <c:pt idx="15">
                  <c:v>0.131482464696</c:v>
                </c:pt>
                <c:pt idx="16">
                  <c:v>6.8217339008000019E-2</c:v>
                </c:pt>
                <c:pt idx="17">
                  <c:v>0.2995323471650001</c:v>
                </c:pt>
                <c:pt idx="18">
                  <c:v>3.4560712224999998E-2</c:v>
                </c:pt>
                <c:pt idx="19">
                  <c:v>0.22216149100800001</c:v>
                </c:pt>
                <c:pt idx="20">
                  <c:v>5.3613488437499995E-2</c:v>
                </c:pt>
                <c:pt idx="21">
                  <c:v>0.31882603932799997</c:v>
                </c:pt>
                <c:pt idx="22">
                  <c:v>0.1181985961</c:v>
                </c:pt>
                <c:pt idx="23">
                  <c:v>6.4433902375500007E-2</c:v>
                </c:pt>
                <c:pt idx="24">
                  <c:v>0.18978842557499997</c:v>
                </c:pt>
                <c:pt idx="25">
                  <c:v>0.2032176721675</c:v>
                </c:pt>
                <c:pt idx="26">
                  <c:v>3.5037834125999992E-2</c:v>
                </c:pt>
                <c:pt idx="27">
                  <c:v>0.23146293936600004</c:v>
                </c:pt>
                <c:pt idx="28">
                  <c:v>6.6881384167500016E-2</c:v>
                </c:pt>
                <c:pt idx="29">
                  <c:v>0.13304273218749998</c:v>
                </c:pt>
                <c:pt idx="30">
                  <c:v>0.53098080249599999</c:v>
                </c:pt>
                <c:pt idx="31">
                  <c:v>0.50904180335999982</c:v>
                </c:pt>
                <c:pt idx="32">
                  <c:v>0.73165961384749989</c:v>
                </c:pt>
                <c:pt idx="33">
                  <c:v>1.1594775617999999</c:v>
                </c:pt>
                <c:pt idx="34">
                  <c:v>1.0623695274945002</c:v>
                </c:pt>
                <c:pt idx="35">
                  <c:v>0.11326072331699999</c:v>
                </c:pt>
                <c:pt idx="36">
                  <c:v>0.63920810188800015</c:v>
                </c:pt>
                <c:pt idx="37">
                  <c:v>0.56573635501800024</c:v>
                </c:pt>
                <c:pt idx="38">
                  <c:v>9.1180584792000016E-2</c:v>
                </c:pt>
                <c:pt idx="39">
                  <c:v>0.49012590547800017</c:v>
                </c:pt>
                <c:pt idx="40">
                  <c:v>0.92448104855399982</c:v>
                </c:pt>
                <c:pt idx="41">
                  <c:v>1.7115759658080001</c:v>
                </c:pt>
                <c:pt idx="42">
                  <c:v>1.0296266147279998</c:v>
                </c:pt>
                <c:pt idx="43">
                  <c:v>0.78667500662400003</c:v>
                </c:pt>
                <c:pt idx="44">
                  <c:v>0.44250242508800003</c:v>
                </c:pt>
                <c:pt idx="45">
                  <c:v>8.5884915681499988E-2</c:v>
                </c:pt>
                <c:pt idx="46">
                  <c:v>7.3563321139199995E-3</c:v>
                </c:pt>
                <c:pt idx="47">
                  <c:v>0.60473907625000012</c:v>
                </c:pt>
                <c:pt idx="48">
                  <c:v>0.36747739809000007</c:v>
                </c:pt>
                <c:pt idx="49">
                  <c:v>1.0704967640605001</c:v>
                </c:pt>
                <c:pt idx="50">
                  <c:v>0.88171023657600001</c:v>
                </c:pt>
                <c:pt idx="51">
                  <c:v>5.8678965796500011E-2</c:v>
                </c:pt>
                <c:pt idx="52">
                  <c:v>1.3032266675999999</c:v>
                </c:pt>
                <c:pt idx="53">
                  <c:v>0.46680853708799996</c:v>
                </c:pt>
                <c:pt idx="54">
                  <c:v>6.5663836999999975E-2</c:v>
                </c:pt>
                <c:pt idx="55">
                  <c:v>9.5373575000000013E-3</c:v>
                </c:pt>
                <c:pt idx="56">
                  <c:v>0.28584990000000005</c:v>
                </c:pt>
                <c:pt idx="57">
                  <c:v>7.8283811000000023E-2</c:v>
                </c:pt>
                <c:pt idx="58">
                  <c:v>0.43949952000000014</c:v>
                </c:pt>
                <c:pt idx="59">
                  <c:v>0.10023665000000001</c:v>
                </c:pt>
                <c:pt idx="60">
                  <c:v>0.11774976450000002</c:v>
                </c:pt>
                <c:pt idx="61">
                  <c:v>1.0300770000000004E-2</c:v>
                </c:pt>
                <c:pt idx="62">
                  <c:v>1.9964120000000002E-2</c:v>
                </c:pt>
                <c:pt idx="63">
                  <c:v>0.24871940000000006</c:v>
                </c:pt>
                <c:pt idx="64">
                  <c:v>0.33321931199999999</c:v>
                </c:pt>
                <c:pt idx="65">
                  <c:v>0.27778457449999999</c:v>
                </c:pt>
                <c:pt idx="66">
                  <c:v>0.18482432500000004</c:v>
                </c:pt>
                <c:pt idx="67">
                  <c:v>0.11016101250000002</c:v>
                </c:pt>
                <c:pt idx="68">
                  <c:v>0.40754688000000017</c:v>
                </c:pt>
                <c:pt idx="69">
                  <c:v>6.0213425000000001E-2</c:v>
                </c:pt>
                <c:pt idx="70">
                  <c:v>1.4427420800000001</c:v>
                </c:pt>
                <c:pt idx="71">
                  <c:v>0.56543549999999998</c:v>
                </c:pt>
                <c:pt idx="72">
                  <c:v>0.21884544000000006</c:v>
                </c:pt>
                <c:pt idx="73">
                  <c:v>0.210135708</c:v>
                </c:pt>
                <c:pt idx="74">
                  <c:v>9.3434625000000007E-2</c:v>
                </c:pt>
                <c:pt idx="75">
                  <c:v>2.4937879999999999E-2</c:v>
                </c:pt>
                <c:pt idx="76">
                  <c:v>4.9910300000000005E-3</c:v>
                </c:pt>
                <c:pt idx="77">
                  <c:v>0.30638361600000008</c:v>
                </c:pt>
                <c:pt idx="78">
                  <c:v>0.15386000000000002</c:v>
                </c:pt>
                <c:pt idx="79">
                  <c:v>6.9301056000000028E-2</c:v>
                </c:pt>
                <c:pt idx="80">
                  <c:v>0.19596740000000001</c:v>
                </c:pt>
                <c:pt idx="81">
                  <c:v>0.19802606250000002</c:v>
                </c:pt>
                <c:pt idx="82">
                  <c:v>0.18573696599999998</c:v>
                </c:pt>
                <c:pt idx="83">
                  <c:v>0.31012429800000002</c:v>
                </c:pt>
                <c:pt idx="84">
                  <c:v>0.14996734200000003</c:v>
                </c:pt>
                <c:pt idx="85">
                  <c:v>0.32929399800000003</c:v>
                </c:pt>
                <c:pt idx="86">
                  <c:v>9.1273520000000035E-3</c:v>
                </c:pt>
                <c:pt idx="87">
                  <c:v>0.19958625000000002</c:v>
                </c:pt>
                <c:pt idx="88">
                  <c:v>0.19846150200000001</c:v>
                </c:pt>
                <c:pt idx="89">
                  <c:v>0.45341600000000004</c:v>
                </c:pt>
                <c:pt idx="90">
                  <c:v>2.441664000000001E-2</c:v>
                </c:pt>
                <c:pt idx="91">
                  <c:v>0.25402348800000002</c:v>
                </c:pt>
                <c:pt idx="92">
                  <c:v>0.3806172980000001</c:v>
                </c:pt>
                <c:pt idx="93">
                  <c:v>0.31987965000000007</c:v>
                </c:pt>
                <c:pt idx="94">
                  <c:v>0.85559976000000004</c:v>
                </c:pt>
                <c:pt idx="95">
                  <c:v>0.16123837200000002</c:v>
                </c:pt>
                <c:pt idx="96">
                  <c:v>2.9194699500000008E-2</c:v>
                </c:pt>
                <c:pt idx="97">
                  <c:v>0.53726844400000007</c:v>
                </c:pt>
                <c:pt idx="98">
                  <c:v>3.5341956000000001E-2</c:v>
                </c:pt>
                <c:pt idx="99">
                  <c:v>0.28080768799999994</c:v>
                </c:pt>
                <c:pt idx="100">
                  <c:v>0.1078289345</c:v>
                </c:pt>
                <c:pt idx="101">
                  <c:v>7.9811264000000035E-2</c:v>
                </c:pt>
                <c:pt idx="102">
                  <c:v>0.14306625000000001</c:v>
                </c:pt>
                <c:pt idx="103">
                  <c:v>0.45679150000000002</c:v>
                </c:pt>
                <c:pt idx="104">
                  <c:v>0.55556757899999998</c:v>
                </c:pt>
                <c:pt idx="105">
                  <c:v>1.4349046399999998</c:v>
                </c:pt>
                <c:pt idx="106">
                  <c:v>0.34710345000000009</c:v>
                </c:pt>
                <c:pt idx="107">
                  <c:v>0.42792422400000013</c:v>
                </c:pt>
                <c:pt idx="108">
                  <c:v>1.4593150000000004E-2</c:v>
                </c:pt>
                <c:pt idx="109">
                  <c:v>5.4339584000000024E-2</c:v>
                </c:pt>
                <c:pt idx="110">
                  <c:v>9.9701280000000017E-2</c:v>
                </c:pt>
                <c:pt idx="111">
                  <c:v>0.56484392400000005</c:v>
                </c:pt>
                <c:pt idx="112">
                  <c:v>0.46441102400000012</c:v>
                </c:pt>
                <c:pt idx="113">
                  <c:v>5.6543550000000012E-2</c:v>
                </c:pt>
                <c:pt idx="114">
                  <c:v>0.26116761599999999</c:v>
                </c:pt>
                <c:pt idx="115">
                  <c:v>0.50059889600000018</c:v>
                </c:pt>
                <c:pt idx="116">
                  <c:v>0.31987965000000007</c:v>
                </c:pt>
                <c:pt idx="117">
                  <c:v>0.74292400000000014</c:v>
                </c:pt>
                <c:pt idx="118">
                  <c:v>3.233352200000001E-2</c:v>
                </c:pt>
                <c:pt idx="119">
                  <c:v>6.4958907000000024E-2</c:v>
                </c:pt>
                <c:pt idx="120">
                  <c:v>0.37092568800000009</c:v>
                </c:pt>
                <c:pt idx="121">
                  <c:v>0.21883201650000009</c:v>
                </c:pt>
                <c:pt idx="122">
                  <c:v>5.7226500000000007E-2</c:v>
                </c:pt>
                <c:pt idx="123">
                  <c:v>0.17095039199999998</c:v>
                </c:pt>
                <c:pt idx="124">
                  <c:v>0.14279668100000001</c:v>
                </c:pt>
                <c:pt idx="125">
                  <c:v>5.064192E-2</c:v>
                </c:pt>
                <c:pt idx="126">
                  <c:v>0.25236886499999994</c:v>
                </c:pt>
                <c:pt idx="127">
                  <c:v>0.41448000000000002</c:v>
                </c:pt>
                <c:pt idx="128">
                  <c:v>0.74983671000000018</c:v>
                </c:pt>
                <c:pt idx="129">
                  <c:v>0.56946780949999998</c:v>
                </c:pt>
                <c:pt idx="130">
                  <c:v>0.30343766800000005</c:v>
                </c:pt>
                <c:pt idx="131">
                  <c:v>0.45656322199999999</c:v>
                </c:pt>
                <c:pt idx="132">
                  <c:v>2.5312482000000001E-2</c:v>
                </c:pt>
                <c:pt idx="133">
                  <c:v>0.13606098850000001</c:v>
                </c:pt>
                <c:pt idx="134">
                  <c:v>0.22015505550000003</c:v>
                </c:pt>
                <c:pt idx="135">
                  <c:v>0.63611493749999992</c:v>
                </c:pt>
                <c:pt idx="136">
                  <c:v>0.58643244449999998</c:v>
                </c:pt>
                <c:pt idx="137">
                  <c:v>6.5775149999999991E-2</c:v>
                </c:pt>
                <c:pt idx="138">
                  <c:v>0.15847580000000003</c:v>
                </c:pt>
                <c:pt idx="139">
                  <c:v>0.514827492</c:v>
                </c:pt>
                <c:pt idx="140">
                  <c:v>0.25547165599999994</c:v>
                </c:pt>
                <c:pt idx="141">
                  <c:v>0.30152038400000009</c:v>
                </c:pt>
                <c:pt idx="142">
                  <c:v>5.1409336000000007E-2</c:v>
                </c:pt>
                <c:pt idx="143">
                  <c:v>4.3237799999999993E-2</c:v>
                </c:pt>
                <c:pt idx="144">
                  <c:v>0.43994728400000005</c:v>
                </c:pt>
                <c:pt idx="145">
                  <c:v>3.829795200000001E-2</c:v>
                </c:pt>
                <c:pt idx="146">
                  <c:v>2.0547155200000005E-3</c:v>
                </c:pt>
                <c:pt idx="147">
                  <c:v>6.5043538635000016E-3</c:v>
                </c:pt>
                <c:pt idx="148">
                  <c:v>5.1290708998000006E-2</c:v>
                </c:pt>
                <c:pt idx="149">
                  <c:v>6.8273475299999989E-3</c:v>
                </c:pt>
                <c:pt idx="150">
                  <c:v>3.4372550079999997E-3</c:v>
                </c:pt>
                <c:pt idx="151">
                  <c:v>2.4567918606000001E-2</c:v>
                </c:pt>
                <c:pt idx="152">
                  <c:v>1.5487066787499998E-2</c:v>
                </c:pt>
                <c:pt idx="153">
                  <c:v>1.6200147678000001E-2</c:v>
                </c:pt>
                <c:pt idx="154">
                  <c:v>1.2808537280000001E-2</c:v>
                </c:pt>
                <c:pt idx="155">
                  <c:v>0.22957035868800002</c:v>
                </c:pt>
                <c:pt idx="156">
                  <c:v>4.6924529735000008E-3</c:v>
                </c:pt>
                <c:pt idx="157">
                  <c:v>8.4003536874999993E-2</c:v>
                </c:pt>
                <c:pt idx="158">
                  <c:v>5.1926209829999993E-3</c:v>
                </c:pt>
                <c:pt idx="159">
                  <c:v>1.7342192996000001E-2</c:v>
                </c:pt>
                <c:pt idx="160">
                  <c:v>1.07607172E-2</c:v>
                </c:pt>
                <c:pt idx="161">
                  <c:v>0.16430654536349998</c:v>
                </c:pt>
                <c:pt idx="162">
                  <c:v>3.0090032819999999E-3</c:v>
                </c:pt>
                <c:pt idx="163">
                  <c:v>1.7887681331999999E-2</c:v>
                </c:pt>
                <c:pt idx="164">
                  <c:v>1.4824517760000001E-2</c:v>
                </c:pt>
                <c:pt idx="165">
                  <c:v>1.8071901050000001E-4</c:v>
                </c:pt>
                <c:pt idx="166">
                  <c:v>1.4348712147E-2</c:v>
                </c:pt>
                <c:pt idx="167">
                  <c:v>8.0301541009500002E-2</c:v>
                </c:pt>
                <c:pt idx="168">
                  <c:v>4.9490161719999998E-3</c:v>
                </c:pt>
                <c:pt idx="169">
                  <c:v>1.7970847999999996E-3</c:v>
                </c:pt>
                <c:pt idx="170">
                  <c:v>1.7035792188500001E-2</c:v>
                </c:pt>
                <c:pt idx="171">
                  <c:v>5.9706044960000006E-3</c:v>
                </c:pt>
                <c:pt idx="172">
                  <c:v>5.9689879062499993E-2</c:v>
                </c:pt>
                <c:pt idx="173">
                  <c:v>0.12392959944199999</c:v>
                </c:pt>
                <c:pt idx="174">
                  <c:v>5.3508322615500009E-2</c:v>
                </c:pt>
                <c:pt idx="175">
                  <c:v>0.24679842053399995</c:v>
                </c:pt>
                <c:pt idx="176">
                  <c:v>2.2056484905000001E-3</c:v>
                </c:pt>
                <c:pt idx="177">
                  <c:v>1.7720503650000003E-3</c:v>
                </c:pt>
                <c:pt idx="178">
                  <c:v>6.8504809776000028E-2</c:v>
                </c:pt>
                <c:pt idx="179">
                  <c:v>4.7999244896500003E-2</c:v>
                </c:pt>
                <c:pt idx="180">
                  <c:v>6.0968251954999992E-3</c:v>
                </c:pt>
                <c:pt idx="181">
                  <c:v>3.8453128601999995E-2</c:v>
                </c:pt>
                <c:pt idx="182">
                  <c:v>2.1161901888000007E-2</c:v>
                </c:pt>
                <c:pt idx="183">
                  <c:v>2.0742626480000009E-2</c:v>
                </c:pt>
                <c:pt idx="184">
                  <c:v>8.8107369137999991E-2</c:v>
                </c:pt>
                <c:pt idx="185">
                  <c:v>4.2481273519999994E-3</c:v>
                </c:pt>
                <c:pt idx="186">
                  <c:v>1.5969327219999998E-3</c:v>
                </c:pt>
                <c:pt idx="187">
                  <c:v>1.2993618771E-2</c:v>
                </c:pt>
                <c:pt idx="188">
                  <c:v>1.9316024000000007E-3</c:v>
                </c:pt>
                <c:pt idx="189">
                  <c:v>1.1902048168000001E-2</c:v>
                </c:pt>
                <c:pt idx="190">
                  <c:v>7.6833589439999983E-3</c:v>
                </c:pt>
                <c:pt idx="191">
                  <c:v>3.2149160981999998E-2</c:v>
                </c:pt>
                <c:pt idx="192">
                  <c:v>6.8864504939999995E-3</c:v>
                </c:pt>
                <c:pt idx="193">
                  <c:v>1.0991371395000001E-3</c:v>
                </c:pt>
                <c:pt idx="194">
                  <c:v>3.0994789280000004E-2</c:v>
                </c:pt>
                <c:pt idx="195">
                  <c:v>0.21325043005799998</c:v>
                </c:pt>
                <c:pt idx="196">
                  <c:v>6.837021430399999E-2</c:v>
                </c:pt>
                <c:pt idx="197">
                  <c:v>5.3899005105000003E-3</c:v>
                </c:pt>
                <c:pt idx="198">
                  <c:v>8.8375599006499994E-2</c:v>
                </c:pt>
                <c:pt idx="199">
                  <c:v>0.12923572820650001</c:v>
                </c:pt>
                <c:pt idx="200">
                  <c:v>2.3238448493500007E-2</c:v>
                </c:pt>
                <c:pt idx="201">
                  <c:v>0</c:v>
                </c:pt>
                <c:pt idx="202">
                  <c:v>3.7040947199999993E-2</c:v>
                </c:pt>
                <c:pt idx="203">
                  <c:v>2.8616703999999999E-3</c:v>
                </c:pt>
                <c:pt idx="204">
                  <c:v>2.0279879027999999E-2</c:v>
                </c:pt>
                <c:pt idx="205">
                  <c:v>1.2248042256E-2</c:v>
                </c:pt>
                <c:pt idx="206">
                  <c:v>4.545785850000001E-3</c:v>
                </c:pt>
                <c:pt idx="207">
                  <c:v>5.444677731999999E-3</c:v>
                </c:pt>
                <c:pt idx="208">
                  <c:v>7.1057296465000018E-3</c:v>
                </c:pt>
                <c:pt idx="209">
                  <c:v>1.6821470939000001E-2</c:v>
                </c:pt>
                <c:pt idx="210">
                  <c:v>4.5261583379999993E-3</c:v>
                </c:pt>
                <c:pt idx="211">
                  <c:v>0.11643120000000001</c:v>
                </c:pt>
                <c:pt idx="212">
                  <c:v>0.14836500000000002</c:v>
                </c:pt>
                <c:pt idx="213">
                  <c:v>0.14725815000000003</c:v>
                </c:pt>
                <c:pt idx="214">
                  <c:v>5.5155669999999997E-2</c:v>
                </c:pt>
                <c:pt idx="215">
                  <c:v>3.4837043999999991E-2</c:v>
                </c:pt>
                <c:pt idx="216">
                  <c:v>0.19349464999999999</c:v>
                </c:pt>
                <c:pt idx="217">
                  <c:v>0.17464114800000002</c:v>
                </c:pt>
                <c:pt idx="218">
                  <c:v>0.14586328349999997</c:v>
                </c:pt>
                <c:pt idx="219">
                  <c:v>8.9608063999999973E-2</c:v>
                </c:pt>
                <c:pt idx="220">
                  <c:v>0.33088362299999996</c:v>
                </c:pt>
                <c:pt idx="221">
                  <c:v>9.4010343999999982E-2</c:v>
                </c:pt>
                <c:pt idx="222">
                  <c:v>5.1672153999999998E-2</c:v>
                </c:pt>
                <c:pt idx="223">
                  <c:v>0.17337415800000003</c:v>
                </c:pt>
                <c:pt idx="224">
                  <c:v>0.35584740800000009</c:v>
                </c:pt>
                <c:pt idx="225">
                  <c:v>8.4146269499999996E-2</c:v>
                </c:pt>
                <c:pt idx="226">
                  <c:v>9.156240000000003E-2</c:v>
                </c:pt>
                <c:pt idx="227">
                  <c:v>0.12013388799999997</c:v>
                </c:pt>
                <c:pt idx="228">
                  <c:v>0.20001800000000003</c:v>
                </c:pt>
                <c:pt idx="229">
                  <c:v>6.1041599999999994E-2</c:v>
                </c:pt>
                <c:pt idx="230">
                  <c:v>0.20998310400000009</c:v>
                </c:pt>
                <c:pt idx="231">
                  <c:v>3.2218912000000009E-2</c:v>
                </c:pt>
                <c:pt idx="232">
                  <c:v>2.3216375000000004E-2</c:v>
                </c:pt>
                <c:pt idx="233">
                  <c:v>1.4537650500000001E-2</c:v>
                </c:pt>
                <c:pt idx="234">
                  <c:v>2.4617600000000007E-2</c:v>
                </c:pt>
                <c:pt idx="235">
                  <c:v>2.8446201999999993E-2</c:v>
                </c:pt>
                <c:pt idx="236">
                  <c:v>2.0929356000000003E-2</c:v>
                </c:pt>
                <c:pt idx="237">
                  <c:v>2.8371156000000012E-2</c:v>
                </c:pt>
                <c:pt idx="238">
                  <c:v>1.8465084000000003E-2</c:v>
                </c:pt>
                <c:pt idx="239">
                  <c:v>2.3426283999999995E-2</c:v>
                </c:pt>
                <c:pt idx="240">
                  <c:v>0.31061256800000009</c:v>
                </c:pt>
                <c:pt idx="241">
                  <c:v>0.29414954800000004</c:v>
                </c:pt>
                <c:pt idx="242">
                  <c:v>0.20488500000000001</c:v>
                </c:pt>
                <c:pt idx="243">
                  <c:v>0.16835353350000004</c:v>
                </c:pt>
                <c:pt idx="244">
                  <c:v>0.23115549600000002</c:v>
                </c:pt>
                <c:pt idx="245">
                  <c:v>4.2132991000000002E-2</c:v>
                </c:pt>
                <c:pt idx="246">
                  <c:v>1.9832868000000003E-2</c:v>
                </c:pt>
                <c:pt idx="247">
                  <c:v>0.22308067200000001</c:v>
                </c:pt>
                <c:pt idx="248">
                  <c:v>0.2777456385</c:v>
                </c:pt>
                <c:pt idx="249">
                  <c:v>8.0737250000000003E-3</c:v>
                </c:pt>
                <c:pt idx="250">
                  <c:v>0.2333760255</c:v>
                </c:pt>
                <c:pt idx="251">
                  <c:v>9.1400533000000006E-2</c:v>
                </c:pt>
                <c:pt idx="252">
                  <c:v>0.13797160000000003</c:v>
                </c:pt>
                <c:pt idx="253">
                  <c:v>8.9966651999999994E-2</c:v>
                </c:pt>
                <c:pt idx="254">
                  <c:v>8.3280650000000025E-2</c:v>
                </c:pt>
                <c:pt idx="255">
                  <c:v>4.7426560000000005E-3</c:v>
                </c:pt>
                <c:pt idx="256">
                  <c:v>0.22961250000000002</c:v>
                </c:pt>
                <c:pt idx="257">
                  <c:v>2.0327104000000002E-2</c:v>
                </c:pt>
                <c:pt idx="258">
                  <c:v>2.8391016500000001E-2</c:v>
                </c:pt>
                <c:pt idx="259">
                  <c:v>2.1877164999999999E-3</c:v>
                </c:pt>
                <c:pt idx="260">
                  <c:v>5.1927749999999995E-2</c:v>
                </c:pt>
                <c:pt idx="261">
                  <c:v>3.6172800000000002E-4</c:v>
                </c:pt>
                <c:pt idx="262">
                  <c:v>4.0192000000000005E-3</c:v>
                </c:pt>
                <c:pt idx="263">
                  <c:v>2.3081355000000004E-3</c:v>
                </c:pt>
                <c:pt idx="264">
                  <c:v>5.8958210000000004E-2</c:v>
                </c:pt>
                <c:pt idx="265">
                  <c:v>7.6937850000000002E-2</c:v>
                </c:pt>
                <c:pt idx="266">
                  <c:v>2.6745264000000001E-2</c:v>
                </c:pt>
                <c:pt idx="267">
                  <c:v>7.6073957499999983E-2</c:v>
                </c:pt>
                <c:pt idx="268">
                  <c:v>2.7282910500000004E-2</c:v>
                </c:pt>
                <c:pt idx="269">
                  <c:v>0.106717296</c:v>
                </c:pt>
                <c:pt idx="270">
                  <c:v>7.9811264000000035E-2</c:v>
                </c:pt>
                <c:pt idx="271">
                  <c:v>2.7887125000000002E-3</c:v>
                </c:pt>
                <c:pt idx="272">
                  <c:v>1.4282603999999999E-2</c:v>
                </c:pt>
                <c:pt idx="273">
                  <c:v>6.4909687499999993E-2</c:v>
                </c:pt>
                <c:pt idx="274">
                  <c:v>4.6446880000000001E-3</c:v>
                </c:pt>
                <c:pt idx="275">
                  <c:v>0.10599132800000001</c:v>
                </c:pt>
                <c:pt idx="276">
                  <c:v>9.7385373000000025E-2</c:v>
                </c:pt>
                <c:pt idx="277">
                  <c:v>5.2441061499999983E-2</c:v>
                </c:pt>
                <c:pt idx="278">
                  <c:v>0.11939850000000002</c:v>
                </c:pt>
                <c:pt idx="279">
                  <c:v>5.2773980000000009E-3</c:v>
                </c:pt>
                <c:pt idx="280">
                  <c:v>1.9782000000000001E-2</c:v>
                </c:pt>
                <c:pt idx="281">
                  <c:v>8.0884516000000017E-2</c:v>
                </c:pt>
                <c:pt idx="282">
                  <c:v>1.5992961999999999E-2</c:v>
                </c:pt>
                <c:pt idx="283">
                  <c:v>3.1792499999999999E-4</c:v>
                </c:pt>
                <c:pt idx="284">
                  <c:v>1.0326883181999999E-2</c:v>
                </c:pt>
                <c:pt idx="285">
                  <c:v>1.3173179200000002E-3</c:v>
                </c:pt>
                <c:pt idx="286">
                  <c:v>3.7326337089999993E-3</c:v>
                </c:pt>
                <c:pt idx="287">
                  <c:v>1.1408802991859999</c:v>
                </c:pt>
                <c:pt idx="288">
                  <c:v>0.37046940486600005</c:v>
                </c:pt>
                <c:pt idx="289">
                  <c:v>0.49732078137299995</c:v>
                </c:pt>
                <c:pt idx="290">
                  <c:v>6.3185686200000011E-4</c:v>
                </c:pt>
                <c:pt idx="291">
                  <c:v>1.99451313995E-2</c:v>
                </c:pt>
                <c:pt idx="292">
                  <c:v>0.10205104813200004</c:v>
                </c:pt>
                <c:pt idx="293">
                  <c:v>2.7697626000000003E-2</c:v>
                </c:pt>
                <c:pt idx="294">
                  <c:v>1.6426477936000005E-2</c:v>
                </c:pt>
                <c:pt idx="295">
                  <c:v>5.8554031162500006E-2</c:v>
                </c:pt>
                <c:pt idx="296">
                  <c:v>3.2279961449999998E-3</c:v>
                </c:pt>
                <c:pt idx="297">
                  <c:v>0.14238543645599999</c:v>
                </c:pt>
                <c:pt idx="298">
                  <c:v>7.1189460320999987E-2</c:v>
                </c:pt>
                <c:pt idx="299">
                  <c:v>1.9920561920000004E-3</c:v>
                </c:pt>
                <c:pt idx="300">
                  <c:v>1.1701053000000002E-3</c:v>
                </c:pt>
                <c:pt idx="301">
                  <c:v>3.5678250000000002E-2</c:v>
                </c:pt>
                <c:pt idx="302">
                  <c:v>7.8517426214999991E-3</c:v>
                </c:pt>
                <c:pt idx="303">
                  <c:v>8.0352188345999997E-2</c:v>
                </c:pt>
                <c:pt idx="304">
                  <c:v>3.3741959580000005E-3</c:v>
                </c:pt>
                <c:pt idx="305">
                  <c:v>1.9712529854999995E-3</c:v>
                </c:pt>
                <c:pt idx="306">
                  <c:v>1.161191625E-2</c:v>
                </c:pt>
                <c:pt idx="307">
                  <c:v>3.4131725817499993E-2</c:v>
                </c:pt>
                <c:pt idx="308">
                  <c:v>1.2835365597000003E-2</c:v>
                </c:pt>
                <c:pt idx="309">
                  <c:v>0.45626642668800016</c:v>
                </c:pt>
                <c:pt idx="310">
                  <c:v>9.4184203680500012E-2</c:v>
                </c:pt>
                <c:pt idx="311">
                  <c:v>1.1753071496000004E-2</c:v>
                </c:pt>
                <c:pt idx="312">
                  <c:v>0.3423715328000001</c:v>
                </c:pt>
                <c:pt idx="313">
                  <c:v>2.035203717E-2</c:v>
                </c:pt>
                <c:pt idx="314">
                  <c:v>2.5145324099999991E-4</c:v>
                </c:pt>
                <c:pt idx="315">
                  <c:v>2.0288355458E-2</c:v>
                </c:pt>
                <c:pt idx="316">
                  <c:v>1.3328122500000001E-3</c:v>
                </c:pt>
                <c:pt idx="317">
                  <c:v>8.7868647811999989E-2</c:v>
                </c:pt>
                <c:pt idx="318">
                  <c:v>4.5615125400000005E-2</c:v>
                </c:pt>
                <c:pt idx="319">
                  <c:v>4.6212949999999996E-5</c:v>
                </c:pt>
                <c:pt idx="320">
                  <c:v>0.12316520694799998</c:v>
                </c:pt>
                <c:pt idx="321">
                  <c:v>4.4911631321999997E-2</c:v>
                </c:pt>
                <c:pt idx="322">
                  <c:v>0.21656910461450005</c:v>
                </c:pt>
                <c:pt idx="323">
                  <c:v>3.78546939E-2</c:v>
                </c:pt>
                <c:pt idx="324">
                  <c:v>2.6660416175999999E-2</c:v>
                </c:pt>
                <c:pt idx="325">
                  <c:v>0.38782282477500002</c:v>
                </c:pt>
                <c:pt idx="326">
                  <c:v>0.25738390092799995</c:v>
                </c:pt>
                <c:pt idx="327">
                  <c:v>7.5946966480000006E-3</c:v>
                </c:pt>
                <c:pt idx="328">
                  <c:v>2.7332584044000002E-2</c:v>
                </c:pt>
                <c:pt idx="329">
                  <c:v>0.82563466463999968</c:v>
                </c:pt>
                <c:pt idx="330">
                  <c:v>0.46950857535999996</c:v>
                </c:pt>
                <c:pt idx="331">
                  <c:v>0.33606057239999998</c:v>
                </c:pt>
                <c:pt idx="332">
                  <c:v>0.37000351270400006</c:v>
                </c:pt>
                <c:pt idx="333">
                  <c:v>2.1947873529600002</c:v>
                </c:pt>
                <c:pt idx="334">
                  <c:v>0.17567954348800002</c:v>
                </c:pt>
                <c:pt idx="335">
                  <c:v>0.29447901406999999</c:v>
                </c:pt>
                <c:pt idx="336">
                  <c:v>0.34743371520000016</c:v>
                </c:pt>
                <c:pt idx="337">
                  <c:v>0.8126357044935002</c:v>
                </c:pt>
                <c:pt idx="338">
                  <c:v>0.30623639348900006</c:v>
                </c:pt>
                <c:pt idx="339">
                  <c:v>0.29632013737000001</c:v>
                </c:pt>
                <c:pt idx="340">
                  <c:v>0.50848447612500014</c:v>
                </c:pt>
                <c:pt idx="341">
                  <c:v>0.64392794830000011</c:v>
                </c:pt>
                <c:pt idx="342">
                  <c:v>1.6115665663999999E-2</c:v>
                </c:pt>
                <c:pt idx="343">
                  <c:v>0.89459918854949982</c:v>
                </c:pt>
                <c:pt idx="344">
                  <c:v>3.4826592509999997E-2</c:v>
                </c:pt>
                <c:pt idx="345">
                  <c:v>1.6361048804579998</c:v>
                </c:pt>
                <c:pt idx="346">
                  <c:v>0.27851564766899989</c:v>
                </c:pt>
                <c:pt idx="347">
                  <c:v>0.54623725739999984</c:v>
                </c:pt>
                <c:pt idx="348">
                  <c:v>0.96218032666250008</c:v>
                </c:pt>
                <c:pt idx="349">
                  <c:v>0.38068358928750007</c:v>
                </c:pt>
                <c:pt idx="350">
                  <c:v>0.53021642389649992</c:v>
                </c:pt>
                <c:pt idx="351">
                  <c:v>0.21955186738749999</c:v>
                </c:pt>
                <c:pt idx="352">
                  <c:v>0.50559366260000005</c:v>
                </c:pt>
                <c:pt idx="353">
                  <c:v>0.60533845515000007</c:v>
                </c:pt>
                <c:pt idx="354">
                  <c:v>0.28503710707500002</c:v>
                </c:pt>
                <c:pt idx="355">
                  <c:v>0.63290306415600017</c:v>
                </c:pt>
                <c:pt idx="356">
                  <c:v>0.52335811840000024</c:v>
                </c:pt>
                <c:pt idx="357">
                  <c:v>0.82494079685999988</c:v>
                </c:pt>
                <c:pt idx="358">
                  <c:v>0.37434019088199999</c:v>
                </c:pt>
                <c:pt idx="359">
                  <c:v>0.61169910181100018</c:v>
                </c:pt>
                <c:pt idx="360">
                  <c:v>1.0001382620354997</c:v>
                </c:pt>
                <c:pt idx="361">
                  <c:v>0.75537437741899993</c:v>
                </c:pt>
                <c:pt idx="362">
                  <c:v>0.75604809707499998</c:v>
                </c:pt>
                <c:pt idx="363">
                  <c:v>0.91531773648900006</c:v>
                </c:pt>
                <c:pt idx="364">
                  <c:v>6.2030332620000017E-3</c:v>
                </c:pt>
                <c:pt idx="365">
                  <c:v>1.4921476212320002</c:v>
                </c:pt>
                <c:pt idx="366">
                  <c:v>0.29464698931200001</c:v>
                </c:pt>
                <c:pt idx="367">
                  <c:v>0.95013800079999999</c:v>
                </c:pt>
                <c:pt idx="368">
                  <c:v>0.37686129279999997</c:v>
                </c:pt>
                <c:pt idx="369">
                  <c:v>0.22408277992100004</c:v>
                </c:pt>
                <c:pt idx="370">
                  <c:v>0.27008544867400003</c:v>
                </c:pt>
                <c:pt idx="371">
                  <c:v>1.9748221026099997</c:v>
                </c:pt>
                <c:pt idx="372">
                  <c:v>0.41975469759999995</c:v>
                </c:pt>
                <c:pt idx="373">
                  <c:v>0.24429185673749998</c:v>
                </c:pt>
                <c:pt idx="374">
                  <c:v>0.94959487500000006</c:v>
                </c:pt>
                <c:pt idx="375">
                  <c:v>3.3173892991574996</c:v>
                </c:pt>
                <c:pt idx="376">
                  <c:v>0.6406011104499999</c:v>
                </c:pt>
                <c:pt idx="377">
                  <c:v>1.4540521361965</c:v>
                </c:pt>
                <c:pt idx="378">
                  <c:v>5.7516070800000027E-2</c:v>
                </c:pt>
                <c:pt idx="379">
                  <c:v>0.73680933717100028</c:v>
                </c:pt>
                <c:pt idx="380">
                  <c:v>1.3782910778125004</c:v>
                </c:pt>
                <c:pt idx="381">
                  <c:v>1.0549304139999998</c:v>
                </c:pt>
                <c:pt idx="382">
                  <c:v>0.77870507715000015</c:v>
                </c:pt>
                <c:pt idx="383">
                  <c:v>0.59919464637000008</c:v>
                </c:pt>
                <c:pt idx="384">
                  <c:v>1.0152575188000001E-2</c:v>
                </c:pt>
                <c:pt idx="385">
                  <c:v>0.1609130385625</c:v>
                </c:pt>
                <c:pt idx="386">
                  <c:v>0.833921220096</c:v>
                </c:pt>
                <c:pt idx="387">
                  <c:v>1.0902659505840002</c:v>
                </c:pt>
                <c:pt idx="388">
                  <c:v>0.29599718397399999</c:v>
                </c:pt>
                <c:pt idx="389">
                  <c:v>0.14780368857600007</c:v>
                </c:pt>
                <c:pt idx="390">
                  <c:v>2.5868776253499998E-2</c:v>
                </c:pt>
                <c:pt idx="391">
                  <c:v>3.0263378875000002E-3</c:v>
                </c:pt>
                <c:pt idx="392">
                  <c:v>3.0373576703999993E-2</c:v>
                </c:pt>
                <c:pt idx="393">
                  <c:v>0.25518385042950004</c:v>
                </c:pt>
                <c:pt idx="394">
                  <c:v>3.9609512730000011E-2</c:v>
                </c:pt>
                <c:pt idx="395">
                  <c:v>1.3256510875E-2</c:v>
                </c:pt>
                <c:pt idx="396">
                  <c:v>0.24534147058199998</c:v>
                </c:pt>
                <c:pt idx="397">
                  <c:v>5.1778768068499993E-2</c:v>
                </c:pt>
                <c:pt idx="398">
                  <c:v>9.3883082940000029E-3</c:v>
                </c:pt>
                <c:pt idx="399">
                  <c:v>8.2047322056000002E-2</c:v>
                </c:pt>
                <c:pt idx="400">
                  <c:v>0.126789384586</c:v>
                </c:pt>
                <c:pt idx="401">
                  <c:v>1.8908653274000001E-2</c:v>
                </c:pt>
                <c:pt idx="402">
                  <c:v>1.0396811296000003E-2</c:v>
                </c:pt>
                <c:pt idx="403">
                  <c:v>0.10868548442400003</c:v>
                </c:pt>
                <c:pt idx="404">
                  <c:v>0.15297490543499997</c:v>
                </c:pt>
                <c:pt idx="405">
                  <c:v>0.51810117420299995</c:v>
                </c:pt>
                <c:pt idx="406">
                  <c:v>7.338691710100001E-2</c:v>
                </c:pt>
                <c:pt idx="407">
                  <c:v>3.2678563333499999E-2</c:v>
                </c:pt>
                <c:pt idx="408">
                  <c:v>0.10236457980100003</c:v>
                </c:pt>
                <c:pt idx="409">
                  <c:v>5.2413568366500012E-2</c:v>
                </c:pt>
                <c:pt idx="410">
                  <c:v>9.1463450122000009E-2</c:v>
                </c:pt>
                <c:pt idx="411">
                  <c:v>5.6178032805000002E-3</c:v>
                </c:pt>
                <c:pt idx="412">
                  <c:v>0.22508922700800002</c:v>
                </c:pt>
                <c:pt idx="413">
                  <c:v>4.8413618921500007E-2</c:v>
                </c:pt>
                <c:pt idx="414">
                  <c:v>2.28727962E-4</c:v>
                </c:pt>
                <c:pt idx="415">
                  <c:v>5.0896134400000008E-4</c:v>
                </c:pt>
                <c:pt idx="416">
                  <c:v>5.5338060824999993E-2</c:v>
                </c:pt>
                <c:pt idx="417">
                  <c:v>7.8528476659999995E-3</c:v>
                </c:pt>
                <c:pt idx="418">
                  <c:v>2.4067997950000003E-2</c:v>
                </c:pt>
                <c:pt idx="419">
                  <c:v>0.2072485598755</c:v>
                </c:pt>
                <c:pt idx="420">
                  <c:v>0.15549596990849998</c:v>
                </c:pt>
                <c:pt idx="421">
                  <c:v>5.7860376195999992E-2</c:v>
                </c:pt>
                <c:pt idx="422">
                  <c:v>1.5122644746000004E-2</c:v>
                </c:pt>
                <c:pt idx="423">
                  <c:v>6.3137271167999998E-2</c:v>
                </c:pt>
                <c:pt idx="424">
                  <c:v>1.9546956242000004E-2</c:v>
                </c:pt>
                <c:pt idx="425">
                  <c:v>0.27548716406250001</c:v>
                </c:pt>
                <c:pt idx="426">
                  <c:v>5.7353740650000005E-4</c:v>
                </c:pt>
                <c:pt idx="427">
                  <c:v>1.3130473944000003E-2</c:v>
                </c:pt>
                <c:pt idx="428">
                  <c:v>0.68124022690349995</c:v>
                </c:pt>
                <c:pt idx="429">
                  <c:v>4.5935486883000011E-2</c:v>
                </c:pt>
                <c:pt idx="430">
                  <c:v>4.4010569700000002E-4</c:v>
                </c:pt>
                <c:pt idx="431">
                  <c:v>1.0834185349999997E-3</c:v>
                </c:pt>
                <c:pt idx="432">
                  <c:v>0.50831521756499998</c:v>
                </c:pt>
                <c:pt idx="433">
                  <c:v>4.3693835937499995E-2</c:v>
                </c:pt>
                <c:pt idx="434">
                  <c:v>3.2807812720000002E-3</c:v>
                </c:pt>
                <c:pt idx="435">
                  <c:v>4.1456967133500007E-2</c:v>
                </c:pt>
                <c:pt idx="436">
                  <c:v>2.49769259E-3</c:v>
                </c:pt>
                <c:pt idx="437">
                  <c:v>0.43116419743949996</c:v>
                </c:pt>
                <c:pt idx="438">
                  <c:v>0.29219195644800006</c:v>
                </c:pt>
                <c:pt idx="439">
                  <c:v>0.33368310507200011</c:v>
                </c:pt>
                <c:pt idx="440">
                  <c:v>0.13870663985250001</c:v>
                </c:pt>
                <c:pt idx="441">
                  <c:v>0.35466273718200009</c:v>
                </c:pt>
                <c:pt idx="442">
                  <c:v>0.12508573833600001</c:v>
                </c:pt>
                <c:pt idx="443">
                  <c:v>0.15762389507800001</c:v>
                </c:pt>
                <c:pt idx="444">
                  <c:v>0.23329365262400004</c:v>
                </c:pt>
                <c:pt idx="445">
                  <c:v>0.341006453125</c:v>
                </c:pt>
                <c:pt idx="446">
                  <c:v>0.16726148859999998</c:v>
                </c:pt>
                <c:pt idx="447">
                  <c:v>0.15150316467</c:v>
                </c:pt>
                <c:pt idx="448">
                  <c:v>0.17652605271250002</c:v>
                </c:pt>
                <c:pt idx="449">
                  <c:v>7.6866653325999998E-2</c:v>
                </c:pt>
                <c:pt idx="450">
                  <c:v>9.3245439999999999E-2</c:v>
                </c:pt>
                <c:pt idx="451">
                  <c:v>0.38689362325799997</c:v>
                </c:pt>
                <c:pt idx="452">
                  <c:v>1.7635048550000004E-2</c:v>
                </c:pt>
                <c:pt idx="453">
                  <c:v>0.26834421913600004</c:v>
                </c:pt>
                <c:pt idx="454">
                  <c:v>0.48624784784999997</c:v>
                </c:pt>
                <c:pt idx="455">
                  <c:v>0.151311105</c:v>
                </c:pt>
                <c:pt idx="456">
                  <c:v>0.24127740846000009</c:v>
                </c:pt>
                <c:pt idx="457">
                  <c:v>0.11357428607200001</c:v>
                </c:pt>
                <c:pt idx="458">
                  <c:v>0.31785001679999997</c:v>
                </c:pt>
                <c:pt idx="459">
                  <c:v>7.882510774999997E-2</c:v>
                </c:pt>
                <c:pt idx="460">
                  <c:v>4.9123155380000005E-2</c:v>
                </c:pt>
                <c:pt idx="461">
                  <c:v>0.33782715555400006</c:v>
                </c:pt>
                <c:pt idx="462">
                  <c:v>0.30017134948949997</c:v>
                </c:pt>
                <c:pt idx="463">
                  <c:v>0.29958046114949999</c:v>
                </c:pt>
                <c:pt idx="464">
                  <c:v>1.7048441599999999E-2</c:v>
                </c:pt>
                <c:pt idx="465">
                  <c:v>0.26694605916850006</c:v>
                </c:pt>
                <c:pt idx="466">
                  <c:v>0.12673756508749995</c:v>
                </c:pt>
                <c:pt idx="467">
                  <c:v>0.13484278624999999</c:v>
                </c:pt>
                <c:pt idx="468">
                  <c:v>6.4024454304E-2</c:v>
                </c:pt>
                <c:pt idx="469">
                  <c:v>0.12168409618750001</c:v>
                </c:pt>
                <c:pt idx="470">
                  <c:v>0.13157726286599999</c:v>
                </c:pt>
                <c:pt idx="471">
                  <c:v>0.24370289517999999</c:v>
                </c:pt>
                <c:pt idx="472">
                  <c:v>0.32424658749450008</c:v>
                </c:pt>
                <c:pt idx="473">
                  <c:v>0.24127740846000009</c:v>
                </c:pt>
                <c:pt idx="474">
                  <c:v>6.3527316944000004E-2</c:v>
                </c:pt>
                <c:pt idx="475">
                  <c:v>0.34363805619600002</c:v>
                </c:pt>
                <c:pt idx="476">
                  <c:v>1.151704429E-2</c:v>
                </c:pt>
                <c:pt idx="477">
                  <c:v>0.11987501855000002</c:v>
                </c:pt>
                <c:pt idx="478">
                  <c:v>3.8433282781500003E-2</c:v>
                </c:pt>
                <c:pt idx="479">
                  <c:v>0.214612925984</c:v>
                </c:pt>
                <c:pt idx="480">
                  <c:v>0.3362397881355001</c:v>
                </c:pt>
                <c:pt idx="481">
                  <c:v>0.22060739196800003</c:v>
                </c:pt>
                <c:pt idx="482">
                  <c:v>0.23817711689999999</c:v>
                </c:pt>
                <c:pt idx="483">
                  <c:v>9.2311557920499984E-2</c:v>
                </c:pt>
                <c:pt idx="484">
                  <c:v>0.12339405140399999</c:v>
                </c:pt>
                <c:pt idx="485">
                  <c:v>6.8696951400000011E-2</c:v>
                </c:pt>
                <c:pt idx="486">
                  <c:v>0.18127695631499999</c:v>
                </c:pt>
                <c:pt idx="487">
                  <c:v>0.11524913718750002</c:v>
                </c:pt>
                <c:pt idx="488">
                  <c:v>7.5070811887500005E-2</c:v>
                </c:pt>
                <c:pt idx="489">
                  <c:v>1.6777525540000001E-2</c:v>
                </c:pt>
                <c:pt idx="490">
                  <c:v>4.8990531200000013E-2</c:v>
                </c:pt>
                <c:pt idx="491">
                  <c:v>7.7589181142000002E-2</c:v>
                </c:pt>
                <c:pt idx="492">
                  <c:v>6.8264912520000012E-2</c:v>
                </c:pt>
                <c:pt idx="493">
                  <c:v>3.0387791562500006E-2</c:v>
                </c:pt>
                <c:pt idx="494">
                  <c:v>3.0791131391999994E-2</c:v>
                </c:pt>
                <c:pt idx="495">
                  <c:v>2.2030601099999998E-4</c:v>
                </c:pt>
                <c:pt idx="496">
                  <c:v>8.2343051887499991E-2</c:v>
                </c:pt>
                <c:pt idx="497">
                  <c:v>1.9388355783999996E-2</c:v>
                </c:pt>
                <c:pt idx="498">
                  <c:v>2.6482767850000005E-2</c:v>
                </c:pt>
                <c:pt idx="499">
                  <c:v>3.1647553282500004E-2</c:v>
                </c:pt>
                <c:pt idx="500">
                  <c:v>0.16371036714399997</c:v>
                </c:pt>
                <c:pt idx="501">
                  <c:v>8.1198437499999998E-2</c:v>
                </c:pt>
                <c:pt idx="502">
                  <c:v>2.9319977021999996E-2</c:v>
                </c:pt>
                <c:pt idx="503">
                  <c:v>4.3226077752000006E-2</c:v>
                </c:pt>
                <c:pt idx="504">
                  <c:v>1.5630731599999999E-2</c:v>
                </c:pt>
                <c:pt idx="505">
                  <c:v>2.4249888415999996E-2</c:v>
                </c:pt>
                <c:pt idx="506">
                  <c:v>0.13965901315649998</c:v>
                </c:pt>
                <c:pt idx="507">
                  <c:v>3.4947719187500004E-2</c:v>
                </c:pt>
                <c:pt idx="508">
                  <c:v>0.29144514426449997</c:v>
                </c:pt>
                <c:pt idx="509">
                  <c:v>1.4418605250000004E-3</c:v>
                </c:pt>
                <c:pt idx="510">
                  <c:v>6.5975027327999994E-2</c:v>
                </c:pt>
                <c:pt idx="511">
                  <c:v>7.8846671699999999E-3</c:v>
                </c:pt>
                <c:pt idx="512">
                  <c:v>3.8350209136000006E-2</c:v>
                </c:pt>
                <c:pt idx="513">
                  <c:v>9.2891237010000016E-2</c:v>
                </c:pt>
                <c:pt idx="514">
                  <c:v>0.1278525611895</c:v>
                </c:pt>
                <c:pt idx="515">
                  <c:v>4.3096590432000002E-2</c:v>
                </c:pt>
                <c:pt idx="516">
                  <c:v>9.3258077715000012E-3</c:v>
                </c:pt>
                <c:pt idx="517">
                  <c:v>1.4623761075000002E-2</c:v>
                </c:pt>
                <c:pt idx="518">
                  <c:v>0.30375211333049995</c:v>
                </c:pt>
                <c:pt idx="519">
                  <c:v>2.4723096149999998E-2</c:v>
                </c:pt>
                <c:pt idx="520">
                  <c:v>2.5712287052999997E-2</c:v>
                </c:pt>
                <c:pt idx="521">
                  <c:v>7.5727968749999992E-3</c:v>
                </c:pt>
                <c:pt idx="522">
                  <c:v>0.20729587849800005</c:v>
                </c:pt>
                <c:pt idx="523">
                  <c:v>1.2037297545000004E-3</c:v>
                </c:pt>
                <c:pt idx="524">
                  <c:v>5.2004187648000001E-2</c:v>
                </c:pt>
                <c:pt idx="525">
                  <c:v>0.28879572593250002</c:v>
                </c:pt>
                <c:pt idx="526">
                  <c:v>1.41806168E-4</c:v>
                </c:pt>
                <c:pt idx="527">
                  <c:v>1.193886875E-2</c:v>
                </c:pt>
                <c:pt idx="528">
                  <c:v>0.17295717345749995</c:v>
                </c:pt>
                <c:pt idx="529">
                  <c:v>0.23722839557300002</c:v>
                </c:pt>
                <c:pt idx="530">
                  <c:v>0.25829275901300003</c:v>
                </c:pt>
                <c:pt idx="531">
                  <c:v>0.25335259560000001</c:v>
                </c:pt>
                <c:pt idx="532">
                  <c:v>6.2718842304000003E-2</c:v>
                </c:pt>
                <c:pt idx="533">
                  <c:v>1.2107770919999997E-2</c:v>
                </c:pt>
                <c:pt idx="534">
                  <c:v>4.7273221239999989E-2</c:v>
                </c:pt>
                <c:pt idx="535">
                  <c:v>1.4970716160000001E-3</c:v>
                </c:pt>
                <c:pt idx="536">
                  <c:v>2.5827507312000005E-2</c:v>
                </c:pt>
                <c:pt idx="537">
                  <c:v>2.0699462783999999E-2</c:v>
                </c:pt>
                <c:pt idx="538">
                  <c:v>9.4085452800000014E-3</c:v>
                </c:pt>
                <c:pt idx="539">
                  <c:v>0.12289755115000002</c:v>
                </c:pt>
                <c:pt idx="540">
                  <c:v>0.12978603738450001</c:v>
                </c:pt>
                <c:pt idx="541">
                  <c:v>0.34550096277499998</c:v>
                </c:pt>
                <c:pt idx="542">
                  <c:v>0.101414026441</c:v>
                </c:pt>
                <c:pt idx="543">
                  <c:v>1.9154085408000003E-2</c:v>
                </c:pt>
                <c:pt idx="544">
                  <c:v>4.1264121600000011E-4</c:v>
                </c:pt>
                <c:pt idx="545">
                  <c:v>0.34042538521350008</c:v>
                </c:pt>
                <c:pt idx="546">
                  <c:v>0.17490260449599998</c:v>
                </c:pt>
                <c:pt idx="547">
                  <c:v>8.0037972000000013E-2</c:v>
                </c:pt>
                <c:pt idx="548">
                  <c:v>1.1553039680000004E-3</c:v>
                </c:pt>
                <c:pt idx="549">
                  <c:v>5.4311480999999998E-3</c:v>
                </c:pt>
                <c:pt idx="550">
                  <c:v>6.8564773728000003E-2</c:v>
                </c:pt>
                <c:pt idx="551">
                  <c:v>0.37148562975600002</c:v>
                </c:pt>
                <c:pt idx="552">
                  <c:v>0.47241337177600007</c:v>
                </c:pt>
                <c:pt idx="553">
                  <c:v>0.51390884127549996</c:v>
                </c:pt>
                <c:pt idx="554">
                  <c:v>0.22924324848149993</c:v>
                </c:pt>
                <c:pt idx="555">
                  <c:v>2.1657333600000005E-2</c:v>
                </c:pt>
                <c:pt idx="556">
                  <c:v>1.1056430625E-2</c:v>
                </c:pt>
                <c:pt idx="557">
                  <c:v>0.155266929438</c:v>
                </c:pt>
                <c:pt idx="558">
                  <c:v>0.11246679614000002</c:v>
                </c:pt>
                <c:pt idx="559">
                  <c:v>0.16351625360000002</c:v>
                </c:pt>
                <c:pt idx="560">
                  <c:v>0.12696909353700003</c:v>
                </c:pt>
                <c:pt idx="561">
                  <c:v>0.18225044266500001</c:v>
                </c:pt>
                <c:pt idx="562">
                  <c:v>1.3136968720000005E-3</c:v>
                </c:pt>
                <c:pt idx="563">
                  <c:v>6.5956140228000004E-2</c:v>
                </c:pt>
                <c:pt idx="564">
                  <c:v>1.2612261374999997E-3</c:v>
                </c:pt>
                <c:pt idx="565">
                  <c:v>1.0514855671000002E-2</c:v>
                </c:pt>
                <c:pt idx="566">
                  <c:v>6.039001922799999E-2</c:v>
                </c:pt>
                <c:pt idx="567">
                  <c:v>0.14504406597799999</c:v>
                </c:pt>
                <c:pt idx="568">
                  <c:v>0.33108401191249998</c:v>
                </c:pt>
                <c:pt idx="569">
                  <c:v>0.39803700189600005</c:v>
                </c:pt>
                <c:pt idx="570">
                  <c:v>0.29406107159200001</c:v>
                </c:pt>
                <c:pt idx="571">
                  <c:v>0.13346249327500001</c:v>
                </c:pt>
                <c:pt idx="572">
                  <c:v>3.7200016381500015E-2</c:v>
                </c:pt>
                <c:pt idx="573">
                  <c:v>1.2977141935E-3</c:v>
                </c:pt>
                <c:pt idx="574">
                  <c:v>2.5303073398200002</c:v>
                </c:pt>
                <c:pt idx="575">
                  <c:v>0.6996949596580001</c:v>
                </c:pt>
                <c:pt idx="576">
                  <c:v>0.91018536865200017</c:v>
                </c:pt>
                <c:pt idx="577">
                  <c:v>0.59941842318000027</c:v>
                </c:pt>
                <c:pt idx="578">
                  <c:v>1.290968031612</c:v>
                </c:pt>
                <c:pt idx="579">
                  <c:v>1.9251237263125003</c:v>
                </c:pt>
                <c:pt idx="580">
                  <c:v>1.2838751226639999</c:v>
                </c:pt>
                <c:pt idx="581">
                  <c:v>1.9252891744825</c:v>
                </c:pt>
                <c:pt idx="582">
                  <c:v>1.0924339051014997</c:v>
                </c:pt>
                <c:pt idx="583">
                  <c:v>0.43016304046750004</c:v>
                </c:pt>
                <c:pt idx="584">
                  <c:v>0.56114703126249987</c:v>
                </c:pt>
                <c:pt idx="585">
                  <c:v>2.44240536028</c:v>
                </c:pt>
                <c:pt idx="586">
                  <c:v>0.33321931199999999</c:v>
                </c:pt>
                <c:pt idx="587">
                  <c:v>0.56613470373899999</c:v>
                </c:pt>
                <c:pt idx="588">
                  <c:v>1.2731826765999996</c:v>
                </c:pt>
                <c:pt idx="589">
                  <c:v>1.1541512053125</c:v>
                </c:pt>
                <c:pt idx="590">
                  <c:v>1.2074229960454999</c:v>
                </c:pt>
                <c:pt idx="591">
                  <c:v>1.215115442856</c:v>
                </c:pt>
                <c:pt idx="592">
                  <c:v>0.34314440062500007</c:v>
                </c:pt>
                <c:pt idx="593">
                  <c:v>0.66908962803200023</c:v>
                </c:pt>
                <c:pt idx="594">
                  <c:v>0.21066910270449998</c:v>
                </c:pt>
                <c:pt idx="595">
                  <c:v>1.5051864599280003</c:v>
                </c:pt>
                <c:pt idx="596">
                  <c:v>2.166714715975</c:v>
                </c:pt>
                <c:pt idx="597">
                  <c:v>1.2469510979169998</c:v>
                </c:pt>
                <c:pt idx="598">
                  <c:v>0.68641329220199987</c:v>
                </c:pt>
                <c:pt idx="599">
                  <c:v>3.2200888290100012</c:v>
                </c:pt>
                <c:pt idx="600">
                  <c:v>0.14805219571200001</c:v>
                </c:pt>
                <c:pt idx="601">
                  <c:v>3.2207902268240001</c:v>
                </c:pt>
                <c:pt idx="602">
                  <c:v>4.5887936135999992</c:v>
                </c:pt>
                <c:pt idx="603">
                  <c:v>2.370547724620625</c:v>
                </c:pt>
                <c:pt idx="604">
                  <c:v>2.1737387357564995</c:v>
                </c:pt>
                <c:pt idx="605">
                  <c:v>1.2080806562500002</c:v>
                </c:pt>
                <c:pt idx="606">
                  <c:v>2.7440932821200006</c:v>
                </c:pt>
                <c:pt idx="607">
                  <c:v>3.3123555749699993</c:v>
                </c:pt>
                <c:pt idx="608">
                  <c:v>1.1748110025960001</c:v>
                </c:pt>
                <c:pt idx="609">
                  <c:v>2.2396096065369995</c:v>
                </c:pt>
                <c:pt idx="610">
                  <c:v>6.0704876448000003E-2</c:v>
                </c:pt>
                <c:pt idx="611">
                  <c:v>0.89968859302250004</c:v>
                </c:pt>
                <c:pt idx="612">
                  <c:v>2.2568085752624998</c:v>
                </c:pt>
                <c:pt idx="613">
                  <c:v>0.15899429108699997</c:v>
                </c:pt>
                <c:pt idx="614">
                  <c:v>1.7197708797359996</c:v>
                </c:pt>
                <c:pt idx="615">
                  <c:v>0.6472340994375001</c:v>
                </c:pt>
                <c:pt idx="616">
                  <c:v>0.42258870193100001</c:v>
                </c:pt>
                <c:pt idx="617">
                  <c:v>0.11333645619199999</c:v>
                </c:pt>
                <c:pt idx="618">
                  <c:v>2.0142952243375003</c:v>
                </c:pt>
                <c:pt idx="619">
                  <c:v>1.5472826124479999</c:v>
                </c:pt>
                <c:pt idx="620">
                  <c:v>0.98079932938050007</c:v>
                </c:pt>
                <c:pt idx="621">
                  <c:v>0.78594221822999988</c:v>
                </c:pt>
                <c:pt idx="622">
                  <c:v>2.3136739770679999</c:v>
                </c:pt>
                <c:pt idx="623">
                  <c:v>1.0814823815624999</c:v>
                </c:pt>
                <c:pt idx="624">
                  <c:v>1.3821414929999998</c:v>
                </c:pt>
                <c:pt idx="625">
                  <c:v>1.8866745275775001</c:v>
                </c:pt>
                <c:pt idx="626">
                  <c:v>0.19615081116799998</c:v>
                </c:pt>
                <c:pt idx="627">
                  <c:v>2.0986761264124998</c:v>
                </c:pt>
                <c:pt idx="628">
                  <c:v>4.175686084050001E-2</c:v>
                </c:pt>
                <c:pt idx="629">
                  <c:v>2.159040136E-3</c:v>
                </c:pt>
                <c:pt idx="630">
                  <c:v>2.75128486965E-2</c:v>
                </c:pt>
                <c:pt idx="631">
                  <c:v>3.2068639450000005E-2</c:v>
                </c:pt>
                <c:pt idx="632">
                  <c:v>0.15358174764399998</c:v>
                </c:pt>
                <c:pt idx="633">
                  <c:v>5.8436254079999991E-3</c:v>
                </c:pt>
                <c:pt idx="634">
                  <c:v>1.0276667045999999E-2</c:v>
                </c:pt>
                <c:pt idx="635">
                  <c:v>0.10888720775800001</c:v>
                </c:pt>
                <c:pt idx="636">
                  <c:v>0.62518121415000005</c:v>
                </c:pt>
                <c:pt idx="637">
                  <c:v>0.20252141406250002</c:v>
                </c:pt>
                <c:pt idx="638">
                  <c:v>0.23473035459999994</c:v>
                </c:pt>
                <c:pt idx="639">
                  <c:v>0.163979140468</c:v>
                </c:pt>
                <c:pt idx="640">
                  <c:v>7.8435673959999994E-2</c:v>
                </c:pt>
                <c:pt idx="641">
                  <c:v>4.3457730624000011E-2</c:v>
                </c:pt>
                <c:pt idx="642">
                  <c:v>5.7207685120000004E-2</c:v>
                </c:pt>
                <c:pt idx="643">
                  <c:v>0.18174996512999997</c:v>
                </c:pt>
                <c:pt idx="644">
                  <c:v>4.7621042808000009E-2</c:v>
                </c:pt>
                <c:pt idx="645">
                  <c:v>1.7066234095999999E-2</c:v>
                </c:pt>
                <c:pt idx="646">
                  <c:v>5.2636804390000007E-2</c:v>
                </c:pt>
                <c:pt idx="647">
                  <c:v>0.21463015987400005</c:v>
                </c:pt>
                <c:pt idx="648">
                  <c:v>0.12493976601599999</c:v>
                </c:pt>
                <c:pt idx="649">
                  <c:v>0.21094980237649999</c:v>
                </c:pt>
                <c:pt idx="650">
                  <c:v>0.10047172044800003</c:v>
                </c:pt>
                <c:pt idx="651">
                  <c:v>4.8796324397999989E-2</c:v>
                </c:pt>
                <c:pt idx="652">
                  <c:v>2.7610362652500001E-2</c:v>
                </c:pt>
                <c:pt idx="653">
                  <c:v>0.13463244864000001</c:v>
                </c:pt>
                <c:pt idx="654">
                  <c:v>8.6096983117499998E-2</c:v>
                </c:pt>
                <c:pt idx="655">
                  <c:v>8.2639010624999981E-2</c:v>
                </c:pt>
                <c:pt idx="656">
                  <c:v>0.19253259073800003</c:v>
                </c:pt>
                <c:pt idx="657">
                  <c:v>0.20065253575300002</c:v>
                </c:pt>
                <c:pt idx="658">
                  <c:v>0.11127706709600003</c:v>
                </c:pt>
                <c:pt idx="659">
                  <c:v>0.117027675028</c:v>
                </c:pt>
                <c:pt idx="660">
                  <c:v>3.0485363216000001E-2</c:v>
                </c:pt>
                <c:pt idx="661">
                  <c:v>1.1312981342000003E-2</c:v>
                </c:pt>
                <c:pt idx="662">
                  <c:v>0.37511978599999996</c:v>
                </c:pt>
                <c:pt idx="663">
                  <c:v>1.3653091775999997</c:v>
                </c:pt>
                <c:pt idx="664">
                  <c:v>8.3006993190999995E-2</c:v>
                </c:pt>
                <c:pt idx="665">
                  <c:v>0.54157739817599981</c:v>
                </c:pt>
                <c:pt idx="666">
                  <c:v>0.32487681870000007</c:v>
                </c:pt>
                <c:pt idx="667">
                  <c:v>0.92988613120000041</c:v>
                </c:pt>
                <c:pt idx="668">
                  <c:v>2.1901354630559999</c:v>
                </c:pt>
                <c:pt idx="669">
                  <c:v>0.76013118429999982</c:v>
                </c:pt>
                <c:pt idx="670">
                  <c:v>0.2349060719045</c:v>
                </c:pt>
                <c:pt idx="671">
                  <c:v>1.7598431067125002</c:v>
                </c:pt>
                <c:pt idx="672">
                  <c:v>0.6163991016960001</c:v>
                </c:pt>
                <c:pt idx="673">
                  <c:v>2.5429167540000001E-3</c:v>
                </c:pt>
                <c:pt idx="674">
                  <c:v>0.63462450980999996</c:v>
                </c:pt>
                <c:pt idx="675">
                  <c:v>3.4593631199999995E-2</c:v>
                </c:pt>
                <c:pt idx="676">
                  <c:v>0.44277245849400004</c:v>
                </c:pt>
                <c:pt idx="677">
                  <c:v>0.33525387013300001</c:v>
                </c:pt>
                <c:pt idx="678">
                  <c:v>0.27879641634250002</c:v>
                </c:pt>
                <c:pt idx="679">
                  <c:v>0.97246665407550015</c:v>
                </c:pt>
                <c:pt idx="680">
                  <c:v>1.1563310050875002</c:v>
                </c:pt>
                <c:pt idx="681">
                  <c:v>0.10442521375</c:v>
                </c:pt>
                <c:pt idx="682">
                  <c:v>0.57130170703200001</c:v>
                </c:pt>
                <c:pt idx="683">
                  <c:v>0.61064259613750016</c:v>
                </c:pt>
                <c:pt idx="684">
                  <c:v>0.42413882863550001</c:v>
                </c:pt>
                <c:pt idx="685">
                  <c:v>0.198489109508</c:v>
                </c:pt>
                <c:pt idx="686">
                  <c:v>0.60917476851899999</c:v>
                </c:pt>
                <c:pt idx="687">
                  <c:v>5.1066703125000001E-2</c:v>
                </c:pt>
                <c:pt idx="688">
                  <c:v>0.61897450175000002</c:v>
                </c:pt>
                <c:pt idx="689">
                  <c:v>1.2557930112000002</c:v>
                </c:pt>
                <c:pt idx="690">
                  <c:v>1.637085694626</c:v>
                </c:pt>
                <c:pt idx="691">
                  <c:v>0.46142054200799998</c:v>
                </c:pt>
                <c:pt idx="692">
                  <c:v>0.76689741840249992</c:v>
                </c:pt>
                <c:pt idx="693">
                  <c:v>1.2712913377920003</c:v>
                </c:pt>
                <c:pt idx="694">
                  <c:v>1.1878803219000003</c:v>
                </c:pt>
                <c:pt idx="695">
                  <c:v>1.4868448452809997</c:v>
                </c:pt>
                <c:pt idx="696">
                  <c:v>0.50751894355199989</c:v>
                </c:pt>
                <c:pt idx="697">
                  <c:v>0.71049128131799999</c:v>
                </c:pt>
                <c:pt idx="698">
                  <c:v>0.64348750866399995</c:v>
                </c:pt>
                <c:pt idx="699">
                  <c:v>0.19208459375</c:v>
                </c:pt>
                <c:pt idx="700">
                  <c:v>0.78794397623700008</c:v>
                </c:pt>
                <c:pt idx="701">
                  <c:v>0.30881923086850011</c:v>
                </c:pt>
                <c:pt idx="702">
                  <c:v>0.65937852059450019</c:v>
                </c:pt>
                <c:pt idx="703">
                  <c:v>0.232685288928</c:v>
                </c:pt>
                <c:pt idx="704">
                  <c:v>0.29383961241600004</c:v>
                </c:pt>
                <c:pt idx="705">
                  <c:v>0.16477674937350001</c:v>
                </c:pt>
                <c:pt idx="706">
                  <c:v>0.10496925274050002</c:v>
                </c:pt>
                <c:pt idx="707">
                  <c:v>0.58319828312200006</c:v>
                </c:pt>
                <c:pt idx="708">
                  <c:v>0.12672978644399999</c:v>
                </c:pt>
                <c:pt idx="709">
                  <c:v>0.50540441228800004</c:v>
                </c:pt>
                <c:pt idx="710">
                  <c:v>0.81686903655799981</c:v>
                </c:pt>
                <c:pt idx="711">
                  <c:v>0.8977151397605001</c:v>
                </c:pt>
                <c:pt idx="712">
                  <c:v>6.49627064E-2</c:v>
                </c:pt>
                <c:pt idx="713">
                  <c:v>0.42857709923699999</c:v>
                </c:pt>
                <c:pt idx="714">
                  <c:v>0.97974899561249995</c:v>
                </c:pt>
                <c:pt idx="715">
                  <c:v>0.94205184768000028</c:v>
                </c:pt>
                <c:pt idx="716">
                  <c:v>1.2831511077440001</c:v>
                </c:pt>
                <c:pt idx="717">
                  <c:v>0.58015745672499996</c:v>
                </c:pt>
                <c:pt idx="718">
                  <c:v>0.298932255328</c:v>
                </c:pt>
                <c:pt idx="719">
                  <c:v>0.34520009095800008</c:v>
                </c:pt>
                <c:pt idx="720">
                  <c:v>0.27133305145050007</c:v>
                </c:pt>
                <c:pt idx="721">
                  <c:v>0.53986628696850003</c:v>
                </c:pt>
                <c:pt idx="722">
                  <c:v>0.5287521440070001</c:v>
                </c:pt>
                <c:pt idx="723">
                  <c:v>0.15383303328750003</c:v>
                </c:pt>
                <c:pt idx="724">
                  <c:v>0.25608999885149997</c:v>
                </c:pt>
                <c:pt idx="725">
                  <c:v>0.76023682457599995</c:v>
                </c:pt>
                <c:pt idx="726">
                  <c:v>0.9800314401825001</c:v>
                </c:pt>
                <c:pt idx="727">
                  <c:v>0.63874423094400012</c:v>
                </c:pt>
                <c:pt idx="728">
                  <c:v>1.9162251014110003</c:v>
                </c:pt>
                <c:pt idx="729">
                  <c:v>0.49556736000000001</c:v>
                </c:pt>
                <c:pt idx="730">
                  <c:v>0.71861125851800001</c:v>
                </c:pt>
                <c:pt idx="731">
                  <c:v>1.7196083784560003</c:v>
                </c:pt>
                <c:pt idx="732">
                  <c:v>0.92635343691250005</c:v>
                </c:pt>
                <c:pt idx="733">
                  <c:v>0.59159678891950007</c:v>
                </c:pt>
                <c:pt idx="734">
                  <c:v>0.67518357926400008</c:v>
                </c:pt>
                <c:pt idx="735">
                  <c:v>0.34632852186399998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F-4BE7-932F-A1A85DB4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35839"/>
        <c:axId val="317147071"/>
      </c:scatterChart>
      <c:valAx>
        <c:axId val="31713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47071"/>
        <c:crosses val="autoZero"/>
        <c:crossBetween val="midCat"/>
      </c:valAx>
      <c:valAx>
        <c:axId val="3171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3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342900</xdr:colOff>
      <xdr:row>1</xdr:row>
      <xdr:rowOff>19050</xdr:rowOff>
    </xdr:from>
    <xdr:to>
      <xdr:col>41</xdr:col>
      <xdr:colOff>200025</xdr:colOff>
      <xdr:row>15</xdr:row>
      <xdr:rowOff>95250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34</xdr:col>
      <xdr:colOff>115167</xdr:colOff>
      <xdr:row>20</xdr:row>
      <xdr:rowOff>10005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625" y="381000"/>
          <a:ext cx="6211167" cy="34390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342900</xdr:colOff>
      <xdr:row>21</xdr:row>
      <xdr:rowOff>19050</xdr:rowOff>
    </xdr:from>
    <xdr:to>
      <xdr:col>26</xdr:col>
      <xdr:colOff>276225</xdr:colOff>
      <xdr:row>35</xdr:row>
      <xdr:rowOff>95250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</xdr:colOff>
      <xdr:row>57</xdr:row>
      <xdr:rowOff>28575</xdr:rowOff>
    </xdr:from>
    <xdr:to>
      <xdr:col>25</xdr:col>
      <xdr:colOff>1219200</xdr:colOff>
      <xdr:row>71</xdr:row>
      <xdr:rowOff>104775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9525</xdr:colOff>
      <xdr:row>93</xdr:row>
      <xdr:rowOff>9525</xdr:rowOff>
    </xdr:from>
    <xdr:to>
      <xdr:col>25</xdr:col>
      <xdr:colOff>1209675</xdr:colOff>
      <xdr:row>107</xdr:row>
      <xdr:rowOff>85725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128</xdr:row>
      <xdr:rowOff>152400</xdr:rowOff>
    </xdr:from>
    <xdr:to>
      <xdr:col>25</xdr:col>
      <xdr:colOff>1200150</xdr:colOff>
      <xdr:row>143</xdr:row>
      <xdr:rowOff>38100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ldelino LANGE" refreshedDate="45010.395504282409" createdVersion="6" refreshedVersion="6" minRefreshableVersion="3" recordCount="736">
  <cacheSource type="worksheet">
    <worksheetSource ref="A1:V737" sheet="Tabla &amp; Graf Dinam"/>
  </cacheSource>
  <cacheFields count="22">
    <cacheField name="Abbrev" numFmtId="0">
      <sharedItems/>
    </cacheField>
    <cacheField name="Rep" numFmtId="0">
      <sharedItems containsSemiMixedTypes="0" containsString="0" containsNumber="1" containsInteger="1" minValue="1" maxValue="22"/>
    </cacheField>
    <cacheField name="Locality" numFmtId="0">
      <sharedItems/>
    </cacheField>
    <cacheField name="Map_Ref" numFmtId="0">
      <sharedItems/>
    </cacheField>
    <cacheField name="Latitude" numFmtId="0">
      <sharedItems count="12">
        <s v="39__38"/>
        <s v="39__00"/>
        <s v="40__11"/>
        <s v="39__50"/>
        <s v="40__57"/>
        <s v="41__12"/>
        <s v="40__36"/>
        <s v="41__08"/>
        <s v="41__16"/>
        <s v="40__00"/>
        <s v="39__43"/>
        <s v="82__32"/>
      </sharedItems>
    </cacheField>
    <cacheField name="Altitude" numFmtId="0">
      <sharedItems containsSemiMixedTypes="0" containsString="0" containsNumber="1" containsInteger="1" minValue="70" maxValue="300" count="9">
        <n v="100"/>
        <n v="200"/>
        <n v="130"/>
        <n v="70"/>
        <n v="180"/>
        <n v="160"/>
        <n v="150"/>
        <n v="220"/>
        <n v="300"/>
      </sharedItems>
    </cacheField>
    <cacheField name="Rainfall" numFmtId="0">
      <sharedItems containsSemiMixedTypes="0" containsString="0" containsNumber="1" containsInteger="1" minValue="850" maxValue="1750"/>
    </cacheField>
    <cacheField name="Frosts" numFmtId="0">
      <sharedItems containsSemiMixedTypes="0" containsString="0" containsNumber="1" containsInteger="1" minValue="-3" maxValue="-2"/>
    </cacheField>
    <cacheField name="Year" numFmtId="0">
      <sharedItems containsSemiMixedTypes="0" containsString="0" containsNumber="1" containsInteger="1" minValue="1980" maxValue="1986"/>
    </cacheField>
    <cacheField name="Sp" numFmtId="0">
      <sharedItems/>
    </cacheField>
    <cacheField name="PMCno" numFmtId="0">
      <sharedItems containsMixedTypes="1" containsNumber="1" containsInteger="1" minValue="1" maxValue="3275"/>
    </cacheField>
    <cacheField name="DBH" numFmtId="0">
      <sharedItems containsString="0" containsBlank="1" containsNumber="1" minValue="0.57999999999999996" maxValue="53.86"/>
    </cacheField>
    <cacheField name="Ht" numFmtId="0">
      <sharedItems containsString="0" containsBlank="1" containsNumber="1" minValue="1.1200000000000001" maxValue="21.79"/>
    </cacheField>
    <cacheField name="AB" numFmtId="0">
      <sharedItems containsSemiMixedTypes="0" containsString="0" containsNumber="1" minValue="0" maxValue="0.22772061859999998"/>
    </cacheField>
    <cacheField name="Vol" numFmtId="0">
      <sharedItems containsSemiMixedTypes="0" containsString="0" containsNumber="1" minValue="0" maxValue="4.5887936135999992"/>
    </cacheField>
    <cacheField name="Surv" numFmtId="0">
      <sharedItems containsMixedTypes="1" containsNumber="1" minValue="1.5" maxValue="100"/>
    </cacheField>
    <cacheField name="Vig" numFmtId="0">
      <sharedItems containsMixedTypes="1" containsNumber="1" minValue="0.5" maxValue="5"/>
    </cacheField>
    <cacheField name="Ins_res" numFmtId="0">
      <sharedItems containsMixedTypes="1" containsNumber="1" minValue="0" maxValue="4.5"/>
    </cacheField>
    <cacheField name="Stem_Fm" numFmtId="0">
      <sharedItems containsMixedTypes="1" containsNumber="1" minValue="0" maxValue="5"/>
    </cacheField>
    <cacheField name="Crown_Fm" numFmtId="0">
      <sharedItems containsMixedTypes="1" containsNumber="1" minValue="0" maxValue="5"/>
    </cacheField>
    <cacheField name="Brnch_Fm" numFmtId="0">
      <sharedItems containsMixedTypes="1" containsNumber="1" minValue="0" maxValue="5"/>
    </cacheField>
    <cacheField name="Uti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6">
  <r>
    <s v="Cra"/>
    <n v="1"/>
    <s v="Central_Hawkes_Bay"/>
    <s v="N135_382/137"/>
    <x v="0"/>
    <x v="0"/>
    <n v="850"/>
    <n v="-2"/>
    <n v="1980"/>
    <s v="co"/>
    <n v="1520"/>
    <n v="18.45"/>
    <n v="9.9600000000000009"/>
    <n v="2.6721596250000004E-2"/>
    <n v="0.26614709865000008"/>
    <n v="40"/>
    <n v="4"/>
    <n v="3"/>
    <n v="3.5"/>
    <n v="4"/>
    <n v="3.5"/>
    <s v="good"/>
  </r>
  <r>
    <s v="Cra"/>
    <n v="1"/>
    <s v="Central_Hawkes_Bay"/>
    <s v="N135_382/137"/>
    <x v="0"/>
    <x v="0"/>
    <n v="850"/>
    <n v="-2"/>
    <n v="1980"/>
    <s v="fr"/>
    <n v="1487"/>
    <n v="13.15"/>
    <n v="9.65"/>
    <n v="1.3574416250000002E-2"/>
    <n v="0.13099311681250003"/>
    <n v="90"/>
    <n v="4.5"/>
    <n v="4"/>
    <n v="3.5"/>
    <n v="3.5"/>
    <n v="3"/>
    <s v="best"/>
  </r>
  <r>
    <s v="Cra"/>
    <n v="1"/>
    <s v="Central_Hawkes_Bay"/>
    <s v="N135_382/137"/>
    <x v="0"/>
    <x v="0"/>
    <n v="850"/>
    <n v="-2"/>
    <n v="1980"/>
    <s v="ma"/>
    <n v="1362"/>
    <n v="10.32"/>
    <n v="6.5"/>
    <n v="8.3604383999999997E-3"/>
    <n v="5.43428496E-2"/>
    <n v="50"/>
    <n v="2.2999999999999998"/>
    <n v="2.5"/>
    <n v="3"/>
    <n v="3.5"/>
    <n v="3"/>
    <s v="low"/>
  </r>
  <r>
    <s v="Cra"/>
    <n v="1"/>
    <s v="Central_Hawkes_Bay"/>
    <s v="N135_382/137"/>
    <x v="0"/>
    <x v="0"/>
    <n v="850"/>
    <n v="-2"/>
    <n v="1980"/>
    <s v="nd"/>
    <n v="1596"/>
    <n v="14.8"/>
    <n v="9.48"/>
    <n v="1.7194640000000008E-2"/>
    <n v="0.16300518720000007"/>
    <n v="70"/>
    <n v="3.7"/>
    <n v="3"/>
    <n v="3.3"/>
    <n v="4"/>
    <n v="3.5"/>
    <s v="good"/>
  </r>
  <r>
    <s v="Cra"/>
    <n v="1"/>
    <s v="Central_Hawkes_Bay"/>
    <s v="N135_382/137"/>
    <x v="0"/>
    <x v="0"/>
    <n v="850"/>
    <n v="-2"/>
    <n v="1980"/>
    <s v="ni"/>
    <n v="2088"/>
    <n v="14.5"/>
    <n v="10.78"/>
    <n v="1.6504624999999998E-2"/>
    <n v="0.17791985749999997"/>
    <n v="90"/>
    <n v="4"/>
    <n v="2.7"/>
    <n v="3.3"/>
    <n v="3"/>
    <n v="3"/>
    <s v="good"/>
  </r>
  <r>
    <s v="Cra"/>
    <n v="1"/>
    <s v="Central_Hawkes_Bay"/>
    <s v="N135_382/137"/>
    <x v="0"/>
    <x v="0"/>
    <n v="850"/>
    <n v="-2"/>
    <n v="1980"/>
    <s v="ob"/>
    <n v="1522"/>
    <n v="17.010000000000002"/>
    <n v="12.28"/>
    <n v="2.2713197850000009E-2"/>
    <n v="0.27891806959800008"/>
    <n v="70"/>
    <n v="5"/>
    <n v="4"/>
    <n v="5"/>
    <n v="4"/>
    <n v="4.5"/>
    <s v="best"/>
  </r>
  <r>
    <s v="Cra"/>
    <n v="1"/>
    <s v="Central_Hawkes_Bay"/>
    <s v="N135_382/137"/>
    <x v="0"/>
    <x v="0"/>
    <n v="850"/>
    <n v="-2"/>
    <n v="1980"/>
    <s v="ov"/>
    <n v="1521"/>
    <n v="13.93"/>
    <n v="9.77"/>
    <n v="1.5232524650000002E-2"/>
    <n v="0.14882176583050002"/>
    <n v="80"/>
    <n v="4"/>
    <n v="2"/>
    <n v="3"/>
    <n v="3"/>
    <n v="3"/>
    <s v="good"/>
  </r>
  <r>
    <s v="Cra"/>
    <n v="1"/>
    <s v="Central_Hawkes_Bay"/>
    <s v="N135_382/137"/>
    <x v="0"/>
    <x v="0"/>
    <n v="850"/>
    <n v="-2"/>
    <n v="1980"/>
    <s v="pu"/>
    <n v="1523"/>
    <n v="19.05"/>
    <n v="11.26"/>
    <n v="2.8487846250000004E-2"/>
    <n v="0.32077314877500002"/>
    <n v="100"/>
    <n v="5"/>
    <n v="4.5"/>
    <n v="3.5"/>
    <n v="4"/>
    <n v="2"/>
    <s v="best"/>
  </r>
  <r>
    <s v="Cra"/>
    <n v="1"/>
    <s v="Central_Hawkes_Bay"/>
    <s v="N135_382/137"/>
    <x v="0"/>
    <x v="0"/>
    <n v="850"/>
    <n v="-2"/>
    <n v="1980"/>
    <s v="rd"/>
    <n v="1524"/>
    <n v="7.62"/>
    <n v="6.59"/>
    <n v="4.5580554000000002E-3"/>
    <n v="3.0037585086000001E-2"/>
    <n v="80"/>
    <n v="2.5"/>
    <n v="2.5"/>
    <n v="3.3"/>
    <n v="3.5"/>
    <n v="3.5"/>
    <s v="average"/>
  </r>
  <r>
    <s v="Cra"/>
    <n v="1"/>
    <s v="Central_Hawkes_Bay"/>
    <s v="N135_382/137"/>
    <x v="0"/>
    <x v="0"/>
    <n v="850"/>
    <n v="-2"/>
    <n v="1980"/>
    <s v="si"/>
    <n v="1525"/>
    <n v="14.75"/>
    <n v="9.1300000000000008"/>
    <n v="1.7078656249999997E-2"/>
    <n v="0.15592813156249999"/>
    <n v="50"/>
    <n v="4"/>
    <n v="4"/>
    <n v="3.3"/>
    <n v="3"/>
    <n v="3"/>
    <s v="good"/>
  </r>
  <r>
    <s v="Cra"/>
    <n v="2"/>
    <s v="Central_Hawkes_Bay"/>
    <s v="N135_382/137"/>
    <x v="0"/>
    <x v="0"/>
    <n v="850"/>
    <n v="-2"/>
    <n v="1980"/>
    <s v="co"/>
    <n v="1520"/>
    <n v="8.15"/>
    <n v="6.72"/>
    <n v="5.2141662500000008E-3"/>
    <n v="3.5039197200000004E-2"/>
    <n v="70"/>
    <n v="1.5"/>
    <n v="3"/>
    <n v="3"/>
    <n v="3"/>
    <n v="3"/>
    <s v="low"/>
  </r>
  <r>
    <s v="Cra"/>
    <n v="2"/>
    <s v="Central_Hawkes_Bay"/>
    <s v="N135_382/137"/>
    <x v="0"/>
    <x v="0"/>
    <n v="850"/>
    <n v="-2"/>
    <n v="1980"/>
    <s v="fr"/>
    <n v="1487"/>
    <n v="15.07"/>
    <n v="7.17"/>
    <n v="1.782773465E-2"/>
    <n v="0.12782485744049998"/>
    <n v="10"/>
    <n v="4"/>
    <n v="4"/>
    <n v="3.3"/>
    <n v="3"/>
    <n v="2"/>
    <s v="good"/>
  </r>
  <r>
    <s v="Cra"/>
    <n v="2"/>
    <s v="Central_Hawkes_Bay"/>
    <s v="N135_382/137"/>
    <x v="0"/>
    <x v="0"/>
    <n v="850"/>
    <n v="-2"/>
    <n v="1980"/>
    <s v="ma"/>
    <n v="1362"/>
    <n v="8.99"/>
    <n v="6.05"/>
    <n v="6.3443778500000009E-3"/>
    <n v="3.8383485992500008E-2"/>
    <n v="60"/>
    <n v="2.5"/>
    <n v="3"/>
    <n v="3"/>
    <n v="4"/>
    <n v="4"/>
    <s v="low"/>
  </r>
  <r>
    <s v="Cra"/>
    <n v="2"/>
    <s v="Central_Hawkes_Bay"/>
    <s v="N135_382/137"/>
    <x v="0"/>
    <x v="0"/>
    <n v="850"/>
    <n v="-2"/>
    <n v="1980"/>
    <s v="nd"/>
    <n v="1596"/>
    <n v="13.13"/>
    <n v="6.08"/>
    <n v="1.3533156649999999E-2"/>
    <n v="8.2281592431999992E-2"/>
    <n v="80"/>
    <n v="3.5"/>
    <n v="4"/>
    <n v="4"/>
    <n v="3.5"/>
    <n v="3.5"/>
    <s v="best"/>
  </r>
  <r>
    <s v="Cra"/>
    <n v="2"/>
    <s v="Central_Hawkes_Bay"/>
    <s v="N135_382/137"/>
    <x v="0"/>
    <x v="0"/>
    <n v="850"/>
    <n v="-2"/>
    <n v="1980"/>
    <s v="ni"/>
    <n v="2088"/>
    <n v="10.78"/>
    <n v="8.93"/>
    <n v="9.1223593999999984E-3"/>
    <n v="8.146266944199998E-2"/>
    <n v="100"/>
    <n v="3"/>
    <n v="2"/>
    <n v="3"/>
    <n v="3"/>
    <n v="3"/>
    <s v="good"/>
  </r>
  <r>
    <s v="Cra"/>
    <n v="2"/>
    <s v="Central_Hawkes_Bay"/>
    <s v="N135_382/137"/>
    <x v="0"/>
    <x v="0"/>
    <n v="850"/>
    <n v="-2"/>
    <n v="1980"/>
    <s v="ob"/>
    <n v="1522"/>
    <n v="13.08"/>
    <n v="9.7899999999999991"/>
    <n v="1.3430282400000002E-2"/>
    <n v="0.131482464696"/>
    <n v="90"/>
    <n v="5"/>
    <n v="4.5"/>
    <n v="5"/>
    <n v="4"/>
    <n v="4"/>
    <s v="best"/>
  </r>
  <r>
    <s v="Cra"/>
    <n v="2"/>
    <s v="Central_Hawkes_Bay"/>
    <s v="N135_382/137"/>
    <x v="0"/>
    <x v="0"/>
    <n v="850"/>
    <n v="-2"/>
    <n v="1980"/>
    <s v="ov"/>
    <n v="1521"/>
    <n v="10.220000000000001"/>
    <n v="8.32"/>
    <n v="8.1991994000000026E-3"/>
    <n v="6.8217339008000019E-2"/>
    <n v="100"/>
    <n v="3"/>
    <n v="1.8"/>
    <n v="3"/>
    <n v="3"/>
    <n v="3"/>
    <s v="average"/>
  </r>
  <r>
    <s v="Cra"/>
    <n v="2"/>
    <s v="Central_Hawkes_Bay"/>
    <s v="N135_382/137"/>
    <x v="0"/>
    <x v="0"/>
    <n v="850"/>
    <n v="-2"/>
    <n v="1980"/>
    <s v="pu"/>
    <n v="1523"/>
    <n v="18.71"/>
    <n v="10.9"/>
    <n v="2.7480031850000006E-2"/>
    <n v="0.2995323471650001"/>
    <n v="100"/>
    <n v="4"/>
    <n v="4"/>
    <n v="3.3"/>
    <n v="4"/>
    <n v="3"/>
    <s v="best"/>
  </r>
  <r>
    <s v="Cra"/>
    <n v="2"/>
    <s v="Central_Hawkes_Bay"/>
    <s v="N135_382/137"/>
    <x v="0"/>
    <x v="0"/>
    <n v="850"/>
    <n v="-2"/>
    <n v="1980"/>
    <s v="rd"/>
    <n v="1524"/>
    <n v="8.23"/>
    <n v="6.5"/>
    <n v="5.3170326500000002E-3"/>
    <n v="3.4560712224999998E-2"/>
    <n v="70"/>
    <n v="2"/>
    <n v="2"/>
    <n v="3.3"/>
    <n v="4"/>
    <n v="3.5"/>
    <s v="low"/>
  </r>
  <r>
    <s v="Cra"/>
    <n v="2"/>
    <s v="Central_Hawkes_Bay"/>
    <s v="N135_382/137"/>
    <x v="0"/>
    <x v="0"/>
    <n v="850"/>
    <n v="-2"/>
    <n v="1980"/>
    <s v="si"/>
    <n v="1525"/>
    <n v="17.52"/>
    <n v="9.2200000000000006"/>
    <n v="2.40956064E-2"/>
    <n v="0.22216149100800001"/>
    <n v="60"/>
    <n v="4"/>
    <n v="3"/>
    <n v="3"/>
    <n v="3"/>
    <n v="2"/>
    <s v="good"/>
  </r>
  <r>
    <s v="Cra"/>
    <n v="3"/>
    <s v="Central_Hawkes_Bay"/>
    <s v="N135_382/137"/>
    <x v="0"/>
    <x v="0"/>
    <n v="850"/>
    <n v="-2"/>
    <n v="1980"/>
    <s v="co"/>
    <n v="1520"/>
    <n v="10.75"/>
    <n v="5.91"/>
    <n v="9.071656249999999E-3"/>
    <n v="5.3613488437499995E-2"/>
    <n v="50"/>
    <n v="2.7"/>
    <n v="4"/>
    <n v="3.3"/>
    <n v="3.5"/>
    <n v="3"/>
    <s v="average"/>
  </r>
  <r>
    <s v="Cra"/>
    <n v="3"/>
    <s v="Central_Hawkes_Bay"/>
    <s v="N135_382/137"/>
    <x v="0"/>
    <x v="0"/>
    <n v="850"/>
    <n v="-2"/>
    <n v="1980"/>
    <s v="fr"/>
    <n v="1487"/>
    <n v="21.52"/>
    <n v="8.77"/>
    <n v="3.6354166399999999E-2"/>
    <n v="0.31882603932799997"/>
    <n v="20"/>
    <n v="4"/>
    <n v="3.5"/>
    <n v="3"/>
    <n v="3"/>
    <n v="1"/>
    <s v="average"/>
  </r>
  <r>
    <s v="Cra"/>
    <n v="3"/>
    <s v="Central_Hawkes_Bay"/>
    <s v="N135_382/137"/>
    <x v="0"/>
    <x v="0"/>
    <n v="850"/>
    <n v="-2"/>
    <n v="1980"/>
    <s v="ma"/>
    <n v="1362"/>
    <n v="15.22"/>
    <n v="6.5"/>
    <n v="1.8184399399999999E-2"/>
    <n v="0.1181985961"/>
    <n v="30"/>
    <n v="3"/>
    <n v="4"/>
    <n v="3"/>
    <n v="3"/>
    <n v="3"/>
    <s v="average"/>
  </r>
  <r>
    <s v="Cra"/>
    <n v="3"/>
    <s v="Central_Hawkes_Bay"/>
    <s v="N135_382/137"/>
    <x v="0"/>
    <x v="0"/>
    <n v="850"/>
    <n v="-2"/>
    <n v="1980"/>
    <s v="nd"/>
    <n v="1596"/>
    <n v="9.73"/>
    <n v="8.67"/>
    <n v="7.4318226500000003E-3"/>
    <n v="6.4433902375500007E-2"/>
    <n v="70"/>
    <n v="2.7"/>
    <n v="4"/>
    <n v="3.5"/>
    <n v="3.5"/>
    <n v="3.5"/>
    <s v="good"/>
  </r>
  <r>
    <s v="Cra"/>
    <n v="3"/>
    <s v="Central_Hawkes_Bay"/>
    <s v="N135_382/137"/>
    <x v="0"/>
    <x v="0"/>
    <n v="850"/>
    <n v="-2"/>
    <n v="1980"/>
    <s v="ni"/>
    <n v="2088"/>
    <n v="17.149999999999999"/>
    <n v="8.2200000000000006"/>
    <n v="2.3088616249999996E-2"/>
    <n v="0.18978842557499997"/>
    <n v="60"/>
    <n v="5"/>
    <n v="2.7"/>
    <n v="3.5"/>
    <n v="3"/>
    <n v="2"/>
    <s v="good"/>
  </r>
  <r>
    <s v="Cra"/>
    <n v="3"/>
    <s v="Central_Hawkes_Bay"/>
    <s v="N135_382/137"/>
    <x v="0"/>
    <x v="0"/>
    <n v="850"/>
    <n v="-2"/>
    <n v="1980"/>
    <s v="ob"/>
    <n v="1522"/>
    <n v="16.13"/>
    <n v="9.9499999999999993"/>
    <n v="2.042388665E-2"/>
    <n v="0.2032176721675"/>
    <n v="50"/>
    <n v="4.3"/>
    <n v="4.5"/>
    <n v="3.3"/>
    <n v="3.5"/>
    <n v="3"/>
    <s v="good"/>
  </r>
  <r>
    <s v="Cra"/>
    <n v="3"/>
    <s v="Central_Hawkes_Bay"/>
    <s v="N135_382/137"/>
    <x v="0"/>
    <x v="0"/>
    <n v="850"/>
    <n v="-2"/>
    <n v="1980"/>
    <s v="ov"/>
    <n v="1521"/>
    <n v="8.7799999999999994"/>
    <n v="5.79"/>
    <n v="6.0514393999999989E-3"/>
    <n v="3.5037834125999992E-2"/>
    <n v="50"/>
    <n v="2.5"/>
    <n v="2"/>
    <n v="3.2"/>
    <n v="3.3"/>
    <n v="3"/>
    <s v="average"/>
  </r>
  <r>
    <s v="Cra"/>
    <n v="3"/>
    <s v="Central_Hawkes_Bay"/>
    <s v="N135_382/137"/>
    <x v="0"/>
    <x v="0"/>
    <n v="850"/>
    <n v="-2"/>
    <n v="1980"/>
    <s v="pu"/>
    <n v="1523"/>
    <n v="17.18"/>
    <n v="9.99"/>
    <n v="2.3169463400000003E-2"/>
    <n v="0.23146293936600004"/>
    <n v="90"/>
    <n v="4.3"/>
    <n v="4.5"/>
    <n v="3.5"/>
    <n v="4"/>
    <n v="3.3"/>
    <s v="good"/>
  </r>
  <r>
    <s v="Cra"/>
    <n v="3"/>
    <s v="Central_Hawkes_Bay"/>
    <s v="N135_382/137"/>
    <x v="0"/>
    <x v="0"/>
    <n v="850"/>
    <n v="-2"/>
    <n v="1980"/>
    <s v="rd"/>
    <n v="1524"/>
    <n v="12.39"/>
    <n v="5.55"/>
    <n v="1.2050699850000002E-2"/>
    <n v="6.6881384167500016E-2"/>
    <n v="80"/>
    <n v="3"/>
    <n v="2.5"/>
    <n v="2"/>
    <n v="2"/>
    <n v="2"/>
    <s v="average"/>
  </r>
  <r>
    <s v="Cra"/>
    <n v="3"/>
    <s v="Central_Hawkes_Bay"/>
    <s v="N135_382/137"/>
    <x v="0"/>
    <x v="0"/>
    <n v="850"/>
    <n v="-2"/>
    <n v="1980"/>
    <s v="si"/>
    <n v="1525"/>
    <n v="14.75"/>
    <n v="7.79"/>
    <n v="1.7078656249999997E-2"/>
    <n v="0.13304273218749998"/>
    <n v="30"/>
    <n v="4"/>
    <n v="4"/>
    <n v="4"/>
    <n v="2.5"/>
    <n v="2"/>
    <s v="good"/>
  </r>
  <r>
    <s v="Cly"/>
    <n v="1"/>
    <s v="Northern_Hawkes_Bay"/>
    <s v="N116_848/985"/>
    <x v="1"/>
    <x v="1"/>
    <n v="1400"/>
    <n v="-2"/>
    <n v="1980"/>
    <s v="fr"/>
    <n v="1487"/>
    <n v="27.98"/>
    <n v="8.64"/>
    <n v="6.1456111399999992E-2"/>
    <n v="0.53098080249599999"/>
    <s v="?"/>
    <n v="2.2999999999999998"/>
    <n v="4"/>
    <n v="2"/>
    <n v="2"/>
    <n v="2"/>
    <s v="low"/>
  </r>
  <r>
    <s v="Cly"/>
    <n v="1"/>
    <s v="Northern_Hawkes_Bay"/>
    <s v="N116_848/985"/>
    <x v="1"/>
    <x v="1"/>
    <n v="1400"/>
    <n v="-2"/>
    <n v="1980"/>
    <s v="nd"/>
    <n v="1596"/>
    <n v="25.99"/>
    <n v="9.6"/>
    <n v="5.3025187849999982E-2"/>
    <n v="0.50904180335999982"/>
    <s v="?"/>
    <n v="4"/>
    <n v="4"/>
    <n v="3"/>
    <n v="4"/>
    <n v="2.7"/>
    <s v="best"/>
  </r>
  <r>
    <s v="Cly"/>
    <n v="1"/>
    <s v="Northern_Hawkes_Bay"/>
    <s v="N116_848/985"/>
    <x v="1"/>
    <x v="1"/>
    <n v="1400"/>
    <n v="-2"/>
    <n v="1980"/>
    <s v="ni"/>
    <n v="2088"/>
    <n v="33.409999999999997"/>
    <n v="8.35"/>
    <n v="8.7623905849999989E-2"/>
    <n v="0.73165961384749989"/>
    <s v="?"/>
    <n v="4"/>
    <n v="2.8"/>
    <n v="2.5"/>
    <n v="1.5"/>
    <n v="1.5"/>
    <s v="average"/>
  </r>
  <r>
    <s v="Cly"/>
    <n v="1"/>
    <s v="Northern_Hawkes_Bay"/>
    <s v="N116_848/985"/>
    <x v="1"/>
    <x v="1"/>
    <n v="1400"/>
    <n v="-2"/>
    <n v="1980"/>
    <s v="ov"/>
    <n v="1521"/>
    <n v="33.299999999999997"/>
    <n v="13.32"/>
    <n v="8.7047864999999988E-2"/>
    <n v="1.1594775617999999"/>
    <s v="?"/>
    <n v="4"/>
    <n v="2.2999999999999998"/>
    <n v="3.3"/>
    <n v="2"/>
    <n v="1"/>
    <s v="good"/>
  </r>
  <r>
    <s v="Cly"/>
    <n v="1"/>
    <s v="Northern_Hawkes_Bay"/>
    <s v="N116_848/985"/>
    <x v="1"/>
    <x v="1"/>
    <n v="1400"/>
    <n v="-2"/>
    <n v="1980"/>
    <s v="pu"/>
    <n v="1523"/>
    <n v="33.130000000000003"/>
    <n v="12.33"/>
    <n v="8.6161356650000021E-2"/>
    <n v="1.0623695274945002"/>
    <s v="?"/>
    <n v="4"/>
    <n v="4"/>
    <n v="3.5"/>
    <n v="4"/>
    <n v="2.7"/>
    <s v="good"/>
  </r>
  <r>
    <s v="Cly"/>
    <n v="1"/>
    <s v="Northern_Hawkes_Bay"/>
    <s v="N116_848/985"/>
    <x v="1"/>
    <x v="1"/>
    <n v="1400"/>
    <n v="-2"/>
    <n v="1980"/>
    <s v="rd"/>
    <n v="1524"/>
    <n v="12.79"/>
    <n v="8.82"/>
    <n v="1.2841351849999998E-2"/>
    <n v="0.11326072331699999"/>
    <s v="?"/>
    <n v="2.5"/>
    <n v="3"/>
    <n v="3.3"/>
    <n v="4"/>
    <n v="4"/>
    <s v="low"/>
  </r>
  <r>
    <s v="Cly"/>
    <n v="2"/>
    <s v="Northern_Hawkes_Bay"/>
    <s v="N116_848/985"/>
    <x v="1"/>
    <x v="1"/>
    <n v="1400"/>
    <n v="-2"/>
    <n v="1980"/>
    <s v="co"/>
    <n v="1520"/>
    <n v="25.92"/>
    <n v="12.12"/>
    <n v="5.2739942400000017E-2"/>
    <n v="0.63920810188800015"/>
    <s v="?"/>
    <n v="3.3"/>
    <n v="3"/>
    <n v="4"/>
    <n v="3.5"/>
    <n v="3.5"/>
    <s v="good"/>
  </r>
  <r>
    <s v="Cly"/>
    <n v="2"/>
    <s v="Northern_Hawkes_Bay"/>
    <s v="N116_848/985"/>
    <x v="1"/>
    <x v="1"/>
    <n v="1400"/>
    <n v="-2"/>
    <n v="1980"/>
    <s v="fr"/>
    <n v="1487"/>
    <n v="26.94"/>
    <n v="9.93"/>
    <n v="5.697244260000002E-2"/>
    <n v="0.56573635501800024"/>
    <s v="?"/>
    <n v="3.3"/>
    <n v="4"/>
    <n v="3"/>
    <n v="3.5"/>
    <n v="3"/>
    <s v="good"/>
  </r>
  <r>
    <s v="Cly"/>
    <n v="2"/>
    <s v="Northern_Hawkes_Bay"/>
    <s v="N116_848/985"/>
    <x v="1"/>
    <x v="1"/>
    <n v="1400"/>
    <n v="-2"/>
    <n v="1980"/>
    <s v="mn"/>
    <n v="1362"/>
    <n v="11.88"/>
    <n v="8.23"/>
    <n v="1.1079050400000002E-2"/>
    <n v="9.1180584792000016E-2"/>
    <s v="?"/>
    <n v="2"/>
    <n v="4"/>
    <n v="4"/>
    <n v="4"/>
    <n v="4"/>
    <s v="low"/>
  </r>
  <r>
    <s v="Cly"/>
    <n v="2"/>
    <s v="Northern_Hawkes_Bay"/>
    <s v="N116_848/985"/>
    <x v="1"/>
    <x v="1"/>
    <n v="1400"/>
    <n v="-2"/>
    <n v="1980"/>
    <s v="nd"/>
    <n v="1596"/>
    <n v="24.42"/>
    <n v="10.47"/>
    <n v="4.6812407400000013E-2"/>
    <n v="0.49012590547800017"/>
    <s v="?"/>
    <n v="4.5"/>
    <n v="4"/>
    <n v="4.3"/>
    <n v="3.7"/>
    <n v="3.3"/>
    <s v="best"/>
  </r>
  <r>
    <s v="Cly"/>
    <n v="2"/>
    <s v="Northern_Hawkes_Bay"/>
    <s v="N116_848/985"/>
    <x v="1"/>
    <x v="1"/>
    <n v="1400"/>
    <n v="-2"/>
    <n v="1980"/>
    <s v="ni"/>
    <n v="2088"/>
    <n v="31.74"/>
    <n v="11.69"/>
    <n v="7.9083066599999988E-2"/>
    <n v="0.92448104855399982"/>
    <s v="?"/>
    <n v="4"/>
    <n v="2.5"/>
    <n v="3"/>
    <n v="3"/>
    <n v="2"/>
    <s v="good"/>
  </r>
  <r>
    <s v="Cly"/>
    <n v="2"/>
    <s v="Northern_Hawkes_Bay"/>
    <s v="N116_848/985"/>
    <x v="1"/>
    <x v="1"/>
    <n v="1400"/>
    <n v="-2"/>
    <n v="1980"/>
    <s v="ob"/>
    <n v="1522"/>
    <n v="39.72"/>
    <n v="13.82"/>
    <n v="0.1238477544"/>
    <n v="1.7115759658080001"/>
    <s v="?"/>
    <n v="5"/>
    <n v="4"/>
    <n v="3.3"/>
    <n v="3"/>
    <n v="2"/>
    <s v="best"/>
  </r>
  <r>
    <s v="Cly"/>
    <n v="2"/>
    <s v="Northern_Hawkes_Bay"/>
    <s v="N116_848/985"/>
    <x v="1"/>
    <x v="1"/>
    <n v="1400"/>
    <n v="-2"/>
    <n v="1980"/>
    <s v="ov"/>
    <n v="1521"/>
    <n v="31.38"/>
    <n v="13.32"/>
    <n v="7.7299295399999982E-2"/>
    <n v="1.0296266147279998"/>
    <s v="?"/>
    <n v="4.3"/>
    <n v="2.7"/>
    <n v="4"/>
    <n v="3.5"/>
    <n v="3.3"/>
    <s v="best"/>
  </r>
  <r>
    <s v="Cly"/>
    <n v="2"/>
    <s v="Northern_Hawkes_Bay"/>
    <s v="N116_848/985"/>
    <x v="1"/>
    <x v="1"/>
    <n v="1400"/>
    <n v="-2"/>
    <n v="1980"/>
    <s v="pu"/>
    <n v="1523"/>
    <n v="31.72"/>
    <n v="9.9600000000000009"/>
    <n v="7.8983434399999997E-2"/>
    <n v="0.78667500662400003"/>
    <s v="?"/>
    <n v="4.5"/>
    <n v="4"/>
    <n v="3.5"/>
    <n v="3.5"/>
    <n v="3"/>
    <s v="best"/>
  </r>
  <r>
    <s v="Cly"/>
    <n v="2"/>
    <s v="Northern_Hawkes_Bay"/>
    <s v="N116_848/985"/>
    <x v="1"/>
    <x v="1"/>
    <n v="1400"/>
    <n v="-2"/>
    <n v="1980"/>
    <s v="rd"/>
    <n v="1524"/>
    <n v="23.36"/>
    <n v="10.33"/>
    <n v="4.28366336E-2"/>
    <n v="0.44250242508800003"/>
    <s v="?"/>
    <n v="3.3"/>
    <n v="3"/>
    <n v="3"/>
    <n v="4"/>
    <n v="4"/>
    <s v="good"/>
  </r>
  <r>
    <s v="Cly"/>
    <n v="3"/>
    <s v="Northern_Hawkes_Bay"/>
    <s v="N116_848/985"/>
    <x v="1"/>
    <x v="1"/>
    <n v="1400"/>
    <n v="-2"/>
    <n v="1980"/>
    <s v="co"/>
    <n v="1520"/>
    <n v="13.99"/>
    <n v="5.59"/>
    <n v="1.5364027849999998E-2"/>
    <n v="8.5884915681499988E-2"/>
    <s v="?"/>
    <n v="2"/>
    <n v="4"/>
    <n v="3"/>
    <n v="4"/>
    <n v="3"/>
    <s v="low"/>
  </r>
  <r>
    <s v="Cly"/>
    <n v="3"/>
    <s v="Northern_Hawkes_Bay"/>
    <s v="N116_848/985"/>
    <x v="1"/>
    <x v="1"/>
    <n v="1400"/>
    <n v="-2"/>
    <n v="1980"/>
    <s v="fr"/>
    <n v="1487"/>
    <n v="3.0720000000000001"/>
    <n v="9.93"/>
    <n v="7.4081894399999999E-4"/>
    <n v="7.3563321139199995E-3"/>
    <s v="?"/>
    <n v="3"/>
    <n v="4"/>
    <n v="2"/>
    <n v="2"/>
    <n v="1"/>
    <s v="good"/>
  </r>
  <r>
    <s v="Cly"/>
    <n v="3"/>
    <s v="Northern_Hawkes_Bay"/>
    <s v="N116_848/985"/>
    <x v="1"/>
    <x v="1"/>
    <n v="1400"/>
    <n v="-2"/>
    <n v="1980"/>
    <s v="mn"/>
    <n v="1362"/>
    <n v="26.5"/>
    <n v="10.97"/>
    <n v="5.5126625000000012E-2"/>
    <n v="0.60473907625000012"/>
    <s v="?"/>
    <n v="3.5"/>
    <n v="3.5"/>
    <n v="3.7"/>
    <n v="4"/>
    <n v="3.7"/>
    <s v="good"/>
  </r>
  <r>
    <s v="Cly"/>
    <n v="3"/>
    <s v="Northern_Hawkes_Bay"/>
    <s v="N116_848/985"/>
    <x v="1"/>
    <x v="1"/>
    <n v="1400"/>
    <n v="-2"/>
    <n v="1980"/>
    <s v="nd"/>
    <n v="1596"/>
    <n v="24.42"/>
    <n v="7.85"/>
    <n v="4.6812407400000013E-2"/>
    <n v="0.36747739809000007"/>
    <s v="?"/>
    <n v="3"/>
    <n v="3.5"/>
    <n v="3.3"/>
    <n v="3.3"/>
    <n v="3.3"/>
    <s v="good"/>
  </r>
  <r>
    <s v="Cly"/>
    <n v="3"/>
    <s v="Northern_Hawkes_Bay"/>
    <s v="N116_848/985"/>
    <x v="1"/>
    <x v="1"/>
    <n v="1400"/>
    <n v="-2"/>
    <n v="1980"/>
    <s v="ni"/>
    <n v="2088"/>
    <n v="32.99"/>
    <n v="12.53"/>
    <n v="8.5434697850000019E-2"/>
    <n v="1.0704967640605001"/>
    <s v="?"/>
    <n v="5"/>
    <n v="2.5"/>
    <n v="4"/>
    <n v="3"/>
    <n v="2"/>
    <s v="good"/>
  </r>
  <r>
    <s v="Cly"/>
    <n v="3"/>
    <s v="Northern_Hawkes_Bay"/>
    <s v="N116_848/985"/>
    <x v="1"/>
    <x v="1"/>
    <n v="1400"/>
    <n v="-2"/>
    <n v="1980"/>
    <s v="ob"/>
    <n v="1522"/>
    <n v="30.48"/>
    <n v="12.09"/>
    <n v="7.2928886400000004E-2"/>
    <n v="0.88171023657600001"/>
    <s v="?"/>
    <n v="4.5"/>
    <n v="4"/>
    <n v="3.5"/>
    <n v="3.5"/>
    <n v="2.5"/>
    <s v="best"/>
  </r>
  <r>
    <s v="Cly"/>
    <n v="3"/>
    <s v="Northern_Hawkes_Bay"/>
    <s v="N116_848/985"/>
    <x v="1"/>
    <x v="1"/>
    <n v="1400"/>
    <n v="-2"/>
    <n v="1980"/>
    <s v="ov"/>
    <n v="1521"/>
    <n v="9.99"/>
    <n v="7.49"/>
    <n v="7.8343078500000014E-3"/>
    <n v="5.8678965796500011E-2"/>
    <s v="?"/>
    <n v="2"/>
    <n v="2"/>
    <n v="3"/>
    <n v="4"/>
    <n v="4"/>
    <s v="low"/>
  </r>
  <r>
    <s v="Cly"/>
    <n v="3"/>
    <s v="Northern_Hawkes_Bay"/>
    <s v="N116_848/985"/>
    <x v="1"/>
    <x v="1"/>
    <n v="1400"/>
    <n v="-2"/>
    <n v="1980"/>
    <s v="pu"/>
    <n v="1523"/>
    <n v="39.65"/>
    <n v="10.56"/>
    <n v="0.12341161624999998"/>
    <n v="1.3032266675999999"/>
    <s v="?"/>
    <n v="4"/>
    <n v="4.5"/>
    <n v="3"/>
    <n v="3"/>
    <n v="1"/>
    <s v="best"/>
  </r>
  <r>
    <s v="Cly"/>
    <n v="3"/>
    <s v="Northern_Hawkes_Bay"/>
    <s v="N116_848/985"/>
    <x v="1"/>
    <x v="1"/>
    <n v="1400"/>
    <n v="-2"/>
    <n v="1980"/>
    <s v="rd"/>
    <n v="1524"/>
    <n v="22.72"/>
    <n v="11.52"/>
    <n v="4.0521574399999996E-2"/>
    <n v="0.46680853708799996"/>
    <s v="?"/>
    <n v="3"/>
    <n v="2.5"/>
    <n v="3.5"/>
    <n v="3.5"/>
    <n v="2.8"/>
    <s v="good"/>
  </r>
  <r>
    <s v="Nga"/>
    <n v="1"/>
    <s v="Southern_Hawkes_Bay"/>
    <s v="N145_874/586"/>
    <x v="2"/>
    <x v="2"/>
    <n v="1000"/>
    <n v="-3"/>
    <n v="1980"/>
    <s v="co"/>
    <n v="1520"/>
    <n v="10.1"/>
    <n v="8.1999999999999993"/>
    <n v="8.0077849999999982E-3"/>
    <n v="6.5663836999999975E-2"/>
    <n v="60"/>
    <n v="3"/>
    <n v="4"/>
    <n v="3.5"/>
    <n v="3.5"/>
    <n v="3.2"/>
    <s v="average"/>
  </r>
  <r>
    <s v="Nga"/>
    <n v="1"/>
    <s v="Southern_Hawkes_Bay"/>
    <s v="N145_874/586"/>
    <x v="2"/>
    <x v="2"/>
    <n v="1000"/>
    <n v="-3"/>
    <n v="1980"/>
    <s v="mn"/>
    <n v="1362"/>
    <n v="4.7"/>
    <n v="5.5"/>
    <n v="1.7340650000000001E-3"/>
    <n v="9.5373575000000013E-3"/>
    <n v="20"/>
    <n v="1"/>
    <n v="1.5"/>
    <n v="2"/>
    <n v="3"/>
    <n v="3"/>
    <s v="none"/>
  </r>
  <r>
    <s v="Nga"/>
    <n v="1"/>
    <s v="Southern_Hawkes_Bay"/>
    <s v="N145_874/586"/>
    <x v="2"/>
    <x v="2"/>
    <n v="1000"/>
    <n v="-3"/>
    <n v="1980"/>
    <s v="nd"/>
    <n v="1596"/>
    <n v="17"/>
    <n v="12.6"/>
    <n v="2.2686500000000005E-2"/>
    <n v="0.28584990000000005"/>
    <n v="50"/>
    <n v="4.3"/>
    <n v="4"/>
    <n v="3.2"/>
    <n v="4"/>
    <n v="3.5"/>
    <s v="good"/>
  </r>
  <r>
    <s v="Nga"/>
    <n v="1"/>
    <s v="Southern_Hawkes_Bay"/>
    <s v="N145_874/586"/>
    <x v="2"/>
    <x v="2"/>
    <n v="1000"/>
    <n v="-3"/>
    <n v="1980"/>
    <s v="ni"/>
    <n v="2088"/>
    <n v="10.3"/>
    <n v="9.4"/>
    <n v="8.3280650000000025E-3"/>
    <n v="7.8283811000000023E-2"/>
    <n v="80"/>
    <n v="3"/>
    <n v="2.5"/>
    <n v="3"/>
    <n v="3"/>
    <n v="3"/>
    <s v="good"/>
  </r>
  <r>
    <s v="Nga"/>
    <n v="1"/>
    <s v="Southern_Hawkes_Bay"/>
    <s v="N145_874/586"/>
    <x v="2"/>
    <x v="2"/>
    <n v="1000"/>
    <n v="-3"/>
    <n v="1980"/>
    <s v="ob"/>
    <n v="1522"/>
    <n v="21.6"/>
    <n v="12"/>
    <n v="3.6624960000000012E-2"/>
    <n v="0.43949952000000014"/>
    <n v="40"/>
    <n v="4"/>
    <n v="3.7"/>
    <n v="3.5"/>
    <n v="3.5"/>
    <n v="3"/>
    <s v="good"/>
  </r>
  <r>
    <s v="Nga"/>
    <n v="1"/>
    <s v="Southern_Hawkes_Bay"/>
    <s v="N145_874/586"/>
    <x v="2"/>
    <x v="2"/>
    <n v="1000"/>
    <n v="-3"/>
    <n v="1980"/>
    <s v="ov"/>
    <n v="1521"/>
    <n v="11.3"/>
    <n v="10"/>
    <n v="1.0023665000000001E-2"/>
    <n v="0.10023665000000001"/>
    <n v="40"/>
    <n v="2.7"/>
    <n v="2"/>
    <n v="3.2"/>
    <n v="4"/>
    <n v="3"/>
    <s v="average"/>
  </r>
  <r>
    <s v="Nga"/>
    <n v="1"/>
    <s v="Southern_Hawkes_Bay"/>
    <s v="N145_874/586"/>
    <x v="2"/>
    <x v="2"/>
    <n v="1000"/>
    <n v="-3"/>
    <n v="1980"/>
    <s v="pu"/>
    <n v="1523"/>
    <n v="12.7"/>
    <n v="9.3000000000000007"/>
    <n v="1.2661265000000001E-2"/>
    <n v="0.11774976450000002"/>
    <n v="80"/>
    <n v="2.9"/>
    <n v="4"/>
    <n v="3.2"/>
    <n v="3.9"/>
    <n v="3.4"/>
    <s v="good"/>
  </r>
  <r>
    <s v="Nga"/>
    <n v="1"/>
    <s v="Southern_Hawkes_Bay"/>
    <s v="N145_874/586"/>
    <x v="2"/>
    <x v="2"/>
    <n v="1000"/>
    <n v="-3"/>
    <n v="1980"/>
    <s v="rd"/>
    <n v="1524"/>
    <n v="5.4"/>
    <n v="4.5"/>
    <n v="2.2890600000000007E-3"/>
    <n v="1.0300770000000004E-2"/>
    <n v="20"/>
    <n v="1"/>
    <n v="2"/>
    <n v="3"/>
    <n v="3"/>
    <n v="3"/>
    <s v="none"/>
  </r>
  <r>
    <s v="Nga"/>
    <n v="2"/>
    <s v="Southern_Hawkes_Bay"/>
    <s v="N145_874/586"/>
    <x v="2"/>
    <x v="2"/>
    <n v="1000"/>
    <n v="-3"/>
    <n v="1980"/>
    <s v="co"/>
    <n v="1520"/>
    <n v="6.8"/>
    <n v="5.5"/>
    <n v="3.6298400000000005E-3"/>
    <n v="1.9964120000000002E-2"/>
    <n v="60"/>
    <n v="2.5"/>
    <n v="3.5"/>
    <n v="3.5"/>
    <n v="3.5"/>
    <n v="3"/>
    <s v="low"/>
  </r>
  <r>
    <s v="Nga"/>
    <n v="2"/>
    <s v="Southern_Hawkes_Bay"/>
    <s v="N145_874/586"/>
    <x v="2"/>
    <x v="2"/>
    <n v="1000"/>
    <n v="-3"/>
    <n v="1980"/>
    <s v="fr"/>
    <n v="1487"/>
    <n v="17.8"/>
    <n v="10"/>
    <n v="2.4871940000000006E-2"/>
    <n v="0.24871940000000006"/>
    <n v="10"/>
    <n v="4"/>
    <n v="4"/>
    <n v="3.5"/>
    <n v="4"/>
    <n v="2"/>
    <s v="good"/>
  </r>
  <r>
    <s v="Nga"/>
    <n v="2"/>
    <s v="Southern_Hawkes_Bay"/>
    <s v="N145_874/586"/>
    <x v="2"/>
    <x v="2"/>
    <n v="1000"/>
    <n v="-3"/>
    <n v="1980"/>
    <s v="nd"/>
    <n v="1596"/>
    <n v="20.399999999999999"/>
    <n v="10.199999999999999"/>
    <n v="3.2668559999999999E-2"/>
    <n v="0.33321931199999999"/>
    <n v="60"/>
    <n v="4"/>
    <n v="4"/>
    <n v="3"/>
    <n v="3"/>
    <n v="2.5"/>
    <s v="good"/>
  </r>
  <r>
    <s v="Nga"/>
    <n v="2"/>
    <s v="Southern_Hawkes_Bay"/>
    <s v="N145_874/586"/>
    <x v="2"/>
    <x v="2"/>
    <n v="1000"/>
    <n v="-3"/>
    <n v="1980"/>
    <s v="ni"/>
    <n v="2088"/>
    <n v="19.100000000000001"/>
    <n v="9.6999999999999993"/>
    <n v="2.8637585E-2"/>
    <n v="0.27778457449999999"/>
    <n v="60"/>
    <n v="3.7"/>
    <n v="3"/>
    <n v="2"/>
    <n v="2"/>
    <n v="1.5"/>
    <s v="good"/>
  </r>
  <r>
    <s v="Nga"/>
    <n v="2"/>
    <s v="Southern_Hawkes_Bay"/>
    <s v="N145_874/586"/>
    <x v="2"/>
    <x v="2"/>
    <n v="1000"/>
    <n v="-3"/>
    <n v="1980"/>
    <s v="ob"/>
    <n v="1522"/>
    <n v="15.5"/>
    <n v="9.8000000000000007"/>
    <n v="1.8859625000000001E-2"/>
    <n v="0.18482432500000004"/>
    <n v="40"/>
    <n v="4"/>
    <n v="3.5"/>
    <n v="3.5"/>
    <n v="3.5"/>
    <n v="3"/>
    <s v="good"/>
  </r>
  <r>
    <s v="Nga"/>
    <n v="2"/>
    <s v="Southern_Hawkes_Bay"/>
    <s v="N145_874/586"/>
    <x v="2"/>
    <x v="2"/>
    <n v="1000"/>
    <n v="-3"/>
    <n v="1980"/>
    <s v="ov"/>
    <n v="1521"/>
    <n v="13.5"/>
    <n v="7.7"/>
    <n v="1.4306625000000002E-2"/>
    <n v="0.11016101250000002"/>
    <n v="30"/>
    <n v="3"/>
    <n v="2"/>
    <n v="3.3"/>
    <n v="4"/>
    <n v="3.5"/>
    <s v="good"/>
  </r>
  <r>
    <s v="Nga"/>
    <n v="2"/>
    <s v="Southern_Hawkes_Bay"/>
    <s v="N145_874/586"/>
    <x v="2"/>
    <x v="2"/>
    <n v="1000"/>
    <n v="-3"/>
    <n v="1980"/>
    <s v="pu"/>
    <n v="1523"/>
    <n v="20.8"/>
    <n v="12"/>
    <n v="3.3962240000000012E-2"/>
    <n v="0.40754688000000017"/>
    <n v="20"/>
    <n v="3"/>
    <n v="4"/>
    <n v="3"/>
    <n v="3.5"/>
    <n v="3"/>
    <s v="average"/>
  </r>
  <r>
    <s v="Nga"/>
    <n v="2"/>
    <s v="Southern_Hawkes_Bay"/>
    <s v="N145_874/586"/>
    <x v="2"/>
    <x v="2"/>
    <n v="1000"/>
    <n v="-3"/>
    <n v="1980"/>
    <s v="rd"/>
    <n v="1524"/>
    <n v="11.5"/>
    <n v="5.8"/>
    <n v="1.0381625E-2"/>
    <n v="6.0213425000000001E-2"/>
    <n v="40"/>
    <n v="1.5"/>
    <n v="2"/>
    <n v="2.5"/>
    <n v="3.5"/>
    <n v="2.5"/>
    <s v="none"/>
  </r>
  <r>
    <s v="Nga"/>
    <n v="3"/>
    <s v="Southern_Hawkes_Bay"/>
    <s v="N145_874/586"/>
    <x v="2"/>
    <x v="2"/>
    <n v="1000"/>
    <n v="-3"/>
    <n v="1980"/>
    <s v="fr"/>
    <n v="1487"/>
    <n v="37.6"/>
    <n v="13"/>
    <n v="0.11098016000000001"/>
    <n v="1.4427420800000001"/>
    <n v="10"/>
    <n v="5"/>
    <n v="4"/>
    <n v="2"/>
    <n v="2"/>
    <n v="1"/>
    <s v="good"/>
  </r>
  <r>
    <s v="Nga"/>
    <n v="3"/>
    <s v="Southern_Hawkes_Bay"/>
    <s v="N145_874/586"/>
    <x v="2"/>
    <x v="2"/>
    <n v="1000"/>
    <n v="-3"/>
    <n v="1980"/>
    <s v="nd"/>
    <n v="1596"/>
    <n v="24.5"/>
    <n v="12"/>
    <n v="4.7119624999999998E-2"/>
    <n v="0.56543549999999998"/>
    <n v="20"/>
    <n v="4"/>
    <n v="4"/>
    <n v="4"/>
    <n v="4"/>
    <n v="2"/>
    <s v="good"/>
  </r>
  <r>
    <s v="Nga"/>
    <n v="3"/>
    <s v="Southern_Hawkes_Bay"/>
    <s v="N145_874/586"/>
    <x v="2"/>
    <x v="2"/>
    <n v="1000"/>
    <n v="-3"/>
    <n v="1980"/>
    <s v="ni"/>
    <n v="2088"/>
    <n v="17.600000000000001"/>
    <n v="9"/>
    <n v="2.4316160000000007E-2"/>
    <n v="0.21884544000000006"/>
    <n v="90"/>
    <n v="4.5"/>
    <n v="2.5"/>
    <n v="3"/>
    <n v="2"/>
    <n v="1.5"/>
    <s v="good"/>
  </r>
  <r>
    <s v="Nga"/>
    <n v="3"/>
    <s v="Southern_Hawkes_Bay"/>
    <s v="N145_874/586"/>
    <x v="2"/>
    <x v="2"/>
    <n v="1000"/>
    <n v="-3"/>
    <n v="1980"/>
    <s v="ov"/>
    <n v="1521"/>
    <n v="16.2"/>
    <n v="10.199999999999999"/>
    <n v="2.0601540000000002E-2"/>
    <n v="0.210135708"/>
    <n v="60"/>
    <n v="4"/>
    <n v="2.2999999999999998"/>
    <n v="3"/>
    <n v="3.3"/>
    <n v="3"/>
    <s v="best"/>
  </r>
  <r>
    <s v="Nga"/>
    <n v="3"/>
    <s v="Southern_Hawkes_Bay"/>
    <s v="N145_874/586"/>
    <x v="2"/>
    <x v="2"/>
    <n v="1000"/>
    <n v="-3"/>
    <n v="1980"/>
    <s v="pu"/>
    <n v="1523"/>
    <n v="11.5"/>
    <n v="9"/>
    <n v="1.0381625E-2"/>
    <n v="9.3434625000000007E-2"/>
    <n v="20"/>
    <n v="2.7"/>
    <n v="3.7"/>
    <n v="4"/>
    <n v="4"/>
    <n v="3"/>
    <s v="good"/>
  </r>
  <r>
    <s v="Nga"/>
    <n v="3"/>
    <s v="Southern_Hawkes_Bay"/>
    <s v="N145_874/586"/>
    <x v="2"/>
    <x v="2"/>
    <n v="1000"/>
    <n v="-3"/>
    <n v="1980"/>
    <s v="rd"/>
    <n v="1524"/>
    <n v="7.6"/>
    <n v="5.5"/>
    <n v="4.5341599999999998E-3"/>
    <n v="2.4937879999999999E-2"/>
    <n v="20"/>
    <n v="1"/>
    <n v="2"/>
    <n v="2"/>
    <n v="3"/>
    <n v="3"/>
    <s v="none"/>
  </r>
  <r>
    <s v="Wai"/>
    <n v="1"/>
    <s v="Central_Hawkes_Bay_(coastal)"/>
    <s v="N142_377/957"/>
    <x v="3"/>
    <x v="3"/>
    <n v="1000"/>
    <n v="-2"/>
    <n v="1981"/>
    <s v="ag"/>
    <n v="1094"/>
    <n v="3.4"/>
    <n v="5.5"/>
    <n v="9.0746000000000012E-4"/>
    <n v="4.9910300000000005E-3"/>
    <n v="50"/>
    <n v="1"/>
    <n v="1"/>
    <n v="3"/>
    <n v="3"/>
    <n v="3"/>
    <s v="none"/>
  </r>
  <r>
    <s v="Wai"/>
    <n v="1"/>
    <s v="Central_Hawkes_Bay_(coastal)"/>
    <s v="N142_377/957"/>
    <x v="3"/>
    <x v="3"/>
    <n v="1000"/>
    <n v="-2"/>
    <n v="1981"/>
    <s v="bxs"/>
    <n v="1111"/>
    <n v="17.600000000000001"/>
    <n v="12.6"/>
    <n v="2.4316160000000007E-2"/>
    <n v="0.30638361600000008"/>
    <n v="71"/>
    <n v="3.5"/>
    <n v="3"/>
    <n v="3.3"/>
    <n v="2.5"/>
    <n v="2"/>
    <s v="good"/>
  </r>
  <r>
    <s v="Wai"/>
    <n v="1"/>
    <s v="Central_Hawkes_Bay_(coastal)"/>
    <s v="N142_377/957"/>
    <x v="3"/>
    <x v="3"/>
    <n v="1000"/>
    <n v="-2"/>
    <n v="1981"/>
    <s v="br"/>
    <n v="1112"/>
    <n v="14"/>
    <n v="10"/>
    <n v="1.5386000000000002E-2"/>
    <n v="0.15386000000000002"/>
    <n v="100"/>
    <n v="2.5"/>
    <n v="1.5"/>
    <n v="3"/>
    <n v="4"/>
    <n v="4"/>
    <s v="low"/>
  </r>
  <r>
    <s v="Wai"/>
    <n v="1"/>
    <s v="Central_Hawkes_Bay_(coastal)"/>
    <s v="N142_377/957"/>
    <x v="3"/>
    <x v="3"/>
    <n v="1000"/>
    <n v="-2"/>
    <n v="1981"/>
    <s v="br"/>
    <n v="1113"/>
    <n v="8.8000000000000007"/>
    <n v="11.4"/>
    <n v="6.0790400000000017E-3"/>
    <n v="6.9301056000000028E-2"/>
    <n v="100"/>
    <n v="2"/>
    <n v="2"/>
    <n v="4"/>
    <n v="4"/>
    <n v="4"/>
    <s v="low"/>
  </r>
  <r>
    <s v="Wai"/>
    <n v="1"/>
    <s v="Central_Hawkes_Bay_(coastal)"/>
    <s v="N142_377/957"/>
    <x v="3"/>
    <x v="3"/>
    <n v="1000"/>
    <n v="-2"/>
    <n v="1981"/>
    <s v="el"/>
    <n v="1338"/>
    <n v="15.8"/>
    <n v="10"/>
    <n v="1.9596740000000001E-2"/>
    <n v="0.19596740000000001"/>
    <n v="38"/>
    <n v="3.5"/>
    <n v="3.5"/>
    <n v="3.3"/>
    <n v="3.5"/>
    <n v="3"/>
    <s v="average"/>
  </r>
  <r>
    <s v="Wai"/>
    <n v="1"/>
    <s v="Central_Hawkes_Bay_(coastal)"/>
    <s v="N142_377/957"/>
    <x v="3"/>
    <x v="3"/>
    <n v="1000"/>
    <n v="-2"/>
    <n v="1981"/>
    <s v="fa"/>
    <n v="1482"/>
    <n v="15.5"/>
    <n v="10.5"/>
    <n v="1.8859625000000001E-2"/>
    <n v="0.19802606250000002"/>
    <n v="50"/>
    <n v="3"/>
    <n v="3.3"/>
    <n v="3.3"/>
    <n v="3"/>
    <n v="3"/>
    <s v="best"/>
  </r>
  <r>
    <s v="Wai"/>
    <n v="1"/>
    <s v="Central_Hawkes_Bay_(coastal)"/>
    <s v="N142_377/957"/>
    <x v="3"/>
    <x v="3"/>
    <n v="1000"/>
    <n v="-2"/>
    <n v="1981"/>
    <s v="fa"/>
    <n v="1978"/>
    <n v="14.6"/>
    <n v="11.1"/>
    <n v="1.6733059999999998E-2"/>
    <n v="0.18573696599999998"/>
    <n v="100"/>
    <n v="4"/>
    <n v="3"/>
    <n v="3.5"/>
    <n v="3.5"/>
    <n v="3.3"/>
    <s v="good"/>
  </r>
  <r>
    <s v="Wai"/>
    <n v="1"/>
    <s v="Central_Hawkes_Bay_(coastal)"/>
    <s v="N142_377/957"/>
    <x v="3"/>
    <x v="3"/>
    <n v="1000"/>
    <n v="-2"/>
    <n v="1981"/>
    <s v="fr"/>
    <n v="1339"/>
    <n v="17.3"/>
    <n v="13.2"/>
    <n v="2.3494265000000004E-2"/>
    <n v="0.31012429800000002"/>
    <n v="71"/>
    <n v="3.3"/>
    <n v="3"/>
    <n v="3"/>
    <n v="3"/>
    <n v="3"/>
    <s v="average"/>
  </r>
  <r>
    <s v="Wai"/>
    <n v="1"/>
    <s v="Central_Hawkes_Bay_(coastal)"/>
    <s v="N142_377/957"/>
    <x v="3"/>
    <x v="3"/>
    <n v="1000"/>
    <n v="-2"/>
    <n v="1981"/>
    <s v="fr"/>
    <n v="1786"/>
    <n v="13.3"/>
    <n v="10.8"/>
    <n v="1.3885865000000002E-2"/>
    <n v="0.14996734200000003"/>
    <n v="75"/>
    <n v="4"/>
    <n v="3.8"/>
    <n v="4"/>
    <n v="4"/>
    <n v="4"/>
    <s v="best"/>
  </r>
  <r>
    <s v="Wai"/>
    <n v="1"/>
    <s v="Central_Hawkes_Bay_(coastal)"/>
    <s v="N142_377/957"/>
    <x v="3"/>
    <x v="3"/>
    <n v="1000"/>
    <n v="-2"/>
    <n v="1981"/>
    <s v="fr"/>
    <n v="2447"/>
    <n v="19.8"/>
    <n v="10.7"/>
    <n v="3.0775140000000003E-2"/>
    <n v="0.32929399800000003"/>
    <n v="75"/>
    <n v="4.5"/>
    <n v="3"/>
    <n v="3"/>
    <n v="3"/>
    <n v="2.5"/>
    <s v="good"/>
  </r>
  <r>
    <s v="Wai"/>
    <n v="1"/>
    <s v="Central_Hawkes_Bay_(coastal)"/>
    <s v="N142_377/957"/>
    <x v="3"/>
    <x v="3"/>
    <n v="1000"/>
    <n v="-2"/>
    <n v="1981"/>
    <s v="jo"/>
    <n v="1595"/>
    <n v="5.2"/>
    <n v="4.3"/>
    <n v="2.1226400000000007E-3"/>
    <n v="9.1273520000000035E-3"/>
    <n v="75"/>
    <n v="0.5"/>
    <n v="0.5"/>
    <n v="4"/>
    <n v="4"/>
    <n v="4"/>
    <s v="none"/>
  </r>
  <r>
    <s v="Wai"/>
    <n v="1"/>
    <s v="Central_Hawkes_Bay_(coastal)"/>
    <s v="N142_377/957"/>
    <x v="3"/>
    <x v="3"/>
    <n v="1000"/>
    <n v="-2"/>
    <n v="1981"/>
    <s v="ka"/>
    <n v="1171"/>
    <n v="15"/>
    <n v="11.3"/>
    <n v="1.7662500000000001E-2"/>
    <n v="0.19958625000000002"/>
    <n v="88"/>
    <n v="2.2999999999999998"/>
    <n v="1.7"/>
    <n v="3"/>
    <n v="3"/>
    <n v="2"/>
    <s v="low"/>
  </r>
  <r>
    <s v="Wai"/>
    <n v="1"/>
    <s v="Central_Hawkes_Bay_(coastal)"/>
    <s v="N142_377/957"/>
    <x v="3"/>
    <x v="3"/>
    <n v="1000"/>
    <n v="-2"/>
    <n v="1981"/>
    <s v="nd"/>
    <n v="1596"/>
    <n v="15.3"/>
    <n v="10.8"/>
    <n v="1.8376065E-2"/>
    <n v="0.19846150200000001"/>
    <n v="75"/>
    <n v="3"/>
    <n v="3"/>
    <n v="3"/>
    <n v="4"/>
    <n v="3.5"/>
    <s v="best"/>
  </r>
  <r>
    <s v="Wai"/>
    <n v="1"/>
    <s v="Central_Hawkes_Bay_(coastal)"/>
    <s v="N142_377/957"/>
    <x v="3"/>
    <x v="3"/>
    <n v="1000"/>
    <n v="-2"/>
    <n v="1981"/>
    <s v="ob"/>
    <n v="2459"/>
    <n v="19"/>
    <n v="16"/>
    <n v="2.8338500000000003E-2"/>
    <n v="0.45341600000000004"/>
    <n v="88"/>
    <n v="4.3"/>
    <n v="3"/>
    <n v="4.8"/>
    <n v="4"/>
    <n v="4"/>
    <s v="best"/>
  </r>
  <r>
    <s v="Wai"/>
    <n v="1"/>
    <s v="Central_Hawkes_Bay_(coastal)"/>
    <s v="N142_377/957"/>
    <x v="3"/>
    <x v="3"/>
    <n v="1000"/>
    <n v="-2"/>
    <n v="1981"/>
    <s v="ov"/>
    <n v="1785"/>
    <n v="7.2"/>
    <n v="6"/>
    <n v="4.0694400000000014E-3"/>
    <n v="2.441664000000001E-2"/>
    <n v="50"/>
    <n v="1.3"/>
    <n v="1.3"/>
    <n v="4"/>
    <n v="4"/>
    <n v="4"/>
    <s v="none"/>
  </r>
  <r>
    <s v="Wai"/>
    <n v="1"/>
    <s v="Central_Hawkes_Bay_(coastal)"/>
    <s v="N142_377/957"/>
    <x v="3"/>
    <x v="3"/>
    <n v="1000"/>
    <n v="-2"/>
    <n v="1981"/>
    <s v="pu"/>
    <n v="1598"/>
    <n v="15.9"/>
    <n v="12.8"/>
    <n v="1.9845585000000002E-2"/>
    <n v="0.25402348800000002"/>
    <n v="100"/>
    <n v="4"/>
    <n v="4"/>
    <n v="3.3"/>
    <n v="4"/>
    <n v="3"/>
    <s v="best"/>
  </r>
  <r>
    <s v="Wai"/>
    <n v="1"/>
    <s v="Central_Hawkes_Bay_(coastal)"/>
    <s v="N142_377/957"/>
    <x v="3"/>
    <x v="3"/>
    <n v="1000"/>
    <n v="-2"/>
    <n v="1981"/>
    <s v="re"/>
    <n v="1787"/>
    <n v="18.100000000000001"/>
    <n v="14.8"/>
    <n v="2.5717385000000006E-2"/>
    <n v="0.3806172980000001"/>
    <n v="100"/>
    <n v="4.5999999999999996"/>
    <n v="4"/>
    <n v="4.3"/>
    <n v="4.3"/>
    <n v="4"/>
    <s v="best"/>
  </r>
  <r>
    <s v="Wai"/>
    <n v="1"/>
    <s v="Central_Hawkes_Bay_(coastal)"/>
    <s v="N142_377/957"/>
    <x v="3"/>
    <x v="3"/>
    <n v="1000"/>
    <n v="-2"/>
    <n v="1981"/>
    <s v="re"/>
    <n v="2482"/>
    <n v="17"/>
    <n v="14.1"/>
    <n v="2.2686500000000005E-2"/>
    <n v="0.31987965000000007"/>
    <n v="88"/>
    <n v="4.5"/>
    <n v="3"/>
    <n v="3.7"/>
    <n v="3.7"/>
    <n v="3.7"/>
    <s v="best"/>
  </r>
  <r>
    <s v="Wai"/>
    <n v="1"/>
    <s v="Central_Hawkes_Bay_(coastal)"/>
    <s v="N142_377/957"/>
    <x v="3"/>
    <x v="3"/>
    <n v="1000"/>
    <n v="-2"/>
    <n v="1981"/>
    <s v="re"/>
    <n v="2431"/>
    <n v="26.1"/>
    <n v="16"/>
    <n v="5.3474985000000003E-2"/>
    <n v="0.85559976000000004"/>
    <n v="38"/>
    <n v="5"/>
    <n v="3"/>
    <n v="4"/>
    <n v="4"/>
    <n v="2.7"/>
    <s v="best"/>
  </r>
  <r>
    <s v="Wai"/>
    <n v="1"/>
    <s v="Central_Hawkes_Bay_(coastal)"/>
    <s v="N142_377/957"/>
    <x v="3"/>
    <x v="3"/>
    <n v="1000"/>
    <n v="-2"/>
    <n v="1981"/>
    <s v="rd"/>
    <n v="1524"/>
    <n v="12.2"/>
    <n v="13.8"/>
    <n v="1.168394E-2"/>
    <n v="0.16123837200000002"/>
    <n v="50"/>
    <n v="2"/>
    <n v="1.5"/>
    <n v="3"/>
    <n v="3"/>
    <n v="3"/>
    <s v="low"/>
  </r>
  <r>
    <s v="Wai"/>
    <n v="1"/>
    <s v="Central_Hawkes_Bay_(coastal)"/>
    <s v="N142_377/957"/>
    <x v="3"/>
    <x v="3"/>
    <n v="1000"/>
    <n v="-2"/>
    <n v="1981"/>
    <s v="sm"/>
    <n v="1340"/>
    <n v="9.3000000000000007"/>
    <n v="4.3"/>
    <n v="6.7894650000000023E-3"/>
    <n v="2.9194699500000008E-2"/>
    <n v="63"/>
    <n v="1"/>
    <n v="1.2"/>
    <n v="1"/>
    <n v="1"/>
    <n v="1"/>
    <s v="none"/>
  </r>
  <r>
    <s v="Wai"/>
    <n v="1"/>
    <s v="Central_Hawkes_Bay_(coastal)"/>
    <s v="N142_377/957"/>
    <x v="3"/>
    <x v="3"/>
    <n v="1000"/>
    <n v="-2"/>
    <n v="1981"/>
    <s v="re"/>
    <n v="2428"/>
    <n v="22.6"/>
    <n v="13.4"/>
    <n v="4.0094660000000004E-2"/>
    <n v="0.53726844400000007"/>
    <n v="100"/>
    <n v="5"/>
    <n v="3"/>
    <n v="2.2999999999999998"/>
    <n v="2.7"/>
    <n v="2"/>
    <s v="best"/>
  </r>
  <r>
    <s v="Wai"/>
    <n v="2"/>
    <s v="Central_Hawkes_Bay_(coastal)"/>
    <s v="N142_377/957"/>
    <x v="3"/>
    <x v="3"/>
    <n v="1000"/>
    <n v="-2"/>
    <n v="1981"/>
    <s v="ag"/>
    <n v="1094"/>
    <n v="7.8"/>
    <n v="7.4"/>
    <n v="4.7759400000000002E-3"/>
    <n v="3.5341956000000001E-2"/>
    <n v="63"/>
    <n v="1"/>
    <n v="1"/>
    <n v="3"/>
    <n v="3"/>
    <n v="3"/>
    <s v="none"/>
  </r>
  <r>
    <s v="Wai"/>
    <n v="2"/>
    <s v="Central_Hawkes_Bay_(coastal)"/>
    <s v="N142_377/957"/>
    <x v="3"/>
    <x v="3"/>
    <n v="1000"/>
    <n v="-2"/>
    <n v="1981"/>
    <s v="bxs"/>
    <n v="1111"/>
    <n v="16.399999999999999"/>
    <n v="13.3"/>
    <n v="2.1113359999999994E-2"/>
    <n v="0.28080768799999994"/>
    <n v="100"/>
    <n v="4.5"/>
    <n v="3"/>
    <n v="3.3"/>
    <n v="3.3"/>
    <n v="2.7"/>
    <s v="good"/>
  </r>
  <r>
    <s v="Wai"/>
    <n v="2"/>
    <s v="Central_Hawkes_Bay_(coastal)"/>
    <s v="N142_377/957"/>
    <x v="3"/>
    <x v="3"/>
    <n v="1000"/>
    <n v="-2"/>
    <n v="1981"/>
    <s v="br"/>
    <n v="1112"/>
    <n v="11.9"/>
    <n v="9.6999999999999993"/>
    <n v="1.1116385000000001E-2"/>
    <n v="0.1078289345"/>
    <n v="100"/>
    <n v="2.2999999999999998"/>
    <n v="1.8"/>
    <n v="3"/>
    <n v="3.5"/>
    <n v="3.2"/>
    <s v="low"/>
  </r>
  <r>
    <s v="Wai"/>
    <n v="2"/>
    <s v="Central_Hawkes_Bay_(coastal)"/>
    <s v="N142_377/957"/>
    <x v="3"/>
    <x v="3"/>
    <n v="1000"/>
    <n v="-2"/>
    <n v="1981"/>
    <s v="br"/>
    <n v="1113"/>
    <n v="10.4"/>
    <n v="9.4"/>
    <n v="8.4905600000000029E-3"/>
    <n v="7.9811264000000035E-2"/>
    <n v="88"/>
    <n v="2"/>
    <n v="1.7"/>
    <n v="4"/>
    <n v="4"/>
    <n v="4"/>
    <s v="low"/>
  </r>
  <r>
    <s v="Wai"/>
    <n v="2"/>
    <s v="Central_Hawkes_Bay_(coastal)"/>
    <s v="N142_377/957"/>
    <x v="3"/>
    <x v="3"/>
    <n v="1000"/>
    <n v="-2"/>
    <n v="1981"/>
    <s v="el"/>
    <n v="1338"/>
    <n v="13.5"/>
    <n v="10"/>
    <n v="1.4306625000000002E-2"/>
    <n v="0.14306625000000001"/>
    <n v="13"/>
    <n v="3"/>
    <n v="4"/>
    <n v="3"/>
    <n v="4"/>
    <n v="3.3"/>
    <s v="low"/>
  </r>
  <r>
    <s v="Wai"/>
    <n v="2"/>
    <s v="Central_Hawkes_Bay_(coastal)"/>
    <s v="N142_377/957"/>
    <x v="3"/>
    <x v="3"/>
    <n v="1000"/>
    <n v="-2"/>
    <n v="1981"/>
    <s v="fa"/>
    <n v="1482"/>
    <n v="23"/>
    <n v="11"/>
    <n v="4.1526500000000001E-2"/>
    <n v="0.45679150000000002"/>
    <n v="13"/>
    <n v="3"/>
    <n v="3.5"/>
    <n v="2"/>
    <n v="1"/>
    <n v="1"/>
    <s v="average"/>
  </r>
  <r>
    <s v="Wai"/>
    <n v="2"/>
    <s v="Central_Hawkes_Bay_(coastal)"/>
    <s v="N142_377/957"/>
    <x v="3"/>
    <x v="3"/>
    <n v="1000"/>
    <n v="-2"/>
    <n v="1981"/>
    <s v="fa"/>
    <n v="1978"/>
    <n v="23.7"/>
    <n v="12.6"/>
    <n v="4.4092664999999996E-2"/>
    <n v="0.55556757899999998"/>
    <n v="88"/>
    <n v="5"/>
    <n v="3.3"/>
    <n v="3"/>
    <n v="2"/>
    <n v="2"/>
    <s v="good"/>
  </r>
  <r>
    <s v="Wai"/>
    <n v="2"/>
    <s v="Central_Hawkes_Bay_(coastal)"/>
    <s v="N142_377/957"/>
    <x v="3"/>
    <x v="3"/>
    <n v="1000"/>
    <n v="-2"/>
    <n v="1981"/>
    <s v="fr"/>
    <n v="1339"/>
    <n v="33.799999999999997"/>
    <n v="16"/>
    <n v="8.968153999999999E-2"/>
    <n v="1.4349046399999998"/>
    <n v="50"/>
    <n v="5"/>
    <n v="3"/>
    <n v="2"/>
    <n v="2"/>
    <n v="0.5"/>
    <s v="good"/>
  </r>
  <r>
    <s v="Wai"/>
    <n v="2"/>
    <s v="Central_Hawkes_Bay_(coastal)"/>
    <s v="N142_377/957"/>
    <x v="3"/>
    <x v="3"/>
    <n v="1000"/>
    <n v="-2"/>
    <n v="1981"/>
    <s v="fr"/>
    <n v="1786"/>
    <n v="17"/>
    <n v="15.3"/>
    <n v="2.2686500000000005E-2"/>
    <n v="0.34710345000000009"/>
    <n v="75"/>
    <n v="4.7"/>
    <n v="4"/>
    <n v="3.5"/>
    <n v="4"/>
    <n v="4"/>
    <s v="best"/>
  </r>
  <r>
    <s v="Wai"/>
    <n v="2"/>
    <s v="Central_Hawkes_Bay_(coastal)"/>
    <s v="N142_377/957"/>
    <x v="3"/>
    <x v="3"/>
    <n v="1000"/>
    <n v="-2"/>
    <n v="1981"/>
    <s v="fr"/>
    <n v="2447"/>
    <n v="20.8"/>
    <n v="12.6"/>
    <n v="3.3962240000000012E-2"/>
    <n v="0.42792422400000013"/>
    <n v="63"/>
    <n v="4"/>
    <n v="3"/>
    <n v="3.3"/>
    <n v="3.5"/>
    <n v="3.5"/>
    <s v="good"/>
  </r>
  <r>
    <s v="Wai"/>
    <n v="2"/>
    <s v="Central_Hawkes_Bay_(coastal)"/>
    <s v="N142_377/957"/>
    <x v="3"/>
    <x v="3"/>
    <n v="1000"/>
    <n v="-2"/>
    <n v="1981"/>
    <s v="jo"/>
    <n v="1595"/>
    <n v="6.5"/>
    <n v="4.4000000000000004"/>
    <n v="3.3166250000000006E-3"/>
    <n v="1.4593150000000004E-2"/>
    <n v="63"/>
    <n v="0.5"/>
    <n v="0.5"/>
    <n v="4"/>
    <n v="4.5"/>
    <n v="4"/>
    <s v="none"/>
  </r>
  <r>
    <s v="Wai"/>
    <n v="2"/>
    <s v="Central_Hawkes_Bay_(coastal)"/>
    <s v="N142_377/957"/>
    <x v="3"/>
    <x v="3"/>
    <n v="1000"/>
    <n v="-2"/>
    <n v="1981"/>
    <s v="ka"/>
    <n v="1171"/>
    <n v="10.4"/>
    <n v="6.4"/>
    <n v="8.4905600000000029E-3"/>
    <n v="5.4339584000000024E-2"/>
    <n v="75"/>
    <n v="1.7"/>
    <n v="1.5"/>
    <n v="0"/>
    <n v="0"/>
    <n v="0"/>
    <s v="none"/>
  </r>
  <r>
    <s v="Wai"/>
    <n v="2"/>
    <s v="Central_Hawkes_Bay_(coastal)"/>
    <s v="N142_377/957"/>
    <x v="3"/>
    <x v="3"/>
    <n v="1000"/>
    <n v="-2"/>
    <n v="1981"/>
    <s v="nd"/>
    <n v="1596"/>
    <n v="12.6"/>
    <n v="8"/>
    <n v="1.2462660000000002E-2"/>
    <n v="9.9701280000000017E-2"/>
    <n v="37"/>
    <n v="2.5"/>
    <n v="3.5"/>
    <n v="4"/>
    <n v="4"/>
    <n v="4"/>
    <s v="average"/>
  </r>
  <r>
    <s v="Wai"/>
    <n v="2"/>
    <s v="Central_Hawkes_Bay_(coastal)"/>
    <s v="N142_377/957"/>
    <x v="3"/>
    <x v="3"/>
    <n v="1000"/>
    <n v="-2"/>
    <n v="1981"/>
    <s v="ob"/>
    <n v="1337"/>
    <n v="22.2"/>
    <n v="14.6"/>
    <n v="3.8687940000000004E-2"/>
    <n v="0.56484392400000005"/>
    <n v="63"/>
    <n v="5"/>
    <n v="3"/>
    <n v="4"/>
    <n v="4"/>
    <n v="3.2"/>
    <s v="best"/>
  </r>
  <r>
    <s v="Wai"/>
    <n v="2"/>
    <s v="Central_Hawkes_Bay_(coastal)"/>
    <s v="N142_377/957"/>
    <x v="3"/>
    <x v="3"/>
    <n v="1000"/>
    <n v="-2"/>
    <n v="1981"/>
    <s v="ob"/>
    <n v="2459"/>
    <n v="19.600000000000001"/>
    <n v="15.4"/>
    <n v="3.0156560000000006E-2"/>
    <n v="0.46441102400000012"/>
    <n v="100"/>
    <n v="5"/>
    <n v="3"/>
    <n v="5"/>
    <n v="4.3"/>
    <n v="3"/>
    <s v="best"/>
  </r>
  <r>
    <s v="Wai"/>
    <n v="2"/>
    <s v="Central_Hawkes_Bay_(coastal)"/>
    <s v="N142_377/957"/>
    <x v="3"/>
    <x v="3"/>
    <n v="1000"/>
    <n v="-2"/>
    <n v="1981"/>
    <s v="ov"/>
    <n v="1785"/>
    <n v="9.8000000000000007"/>
    <n v="7.5"/>
    <n v="7.5391400000000015E-3"/>
    <n v="5.6543550000000012E-2"/>
    <n v="75"/>
    <n v="1.7"/>
    <n v="1.3"/>
    <n v="3.3"/>
    <n v="4"/>
    <n v="3.5"/>
    <s v="low"/>
  </r>
  <r>
    <s v="Wai"/>
    <n v="2"/>
    <s v="Central_Hawkes_Bay_(coastal)"/>
    <s v="N142_377/957"/>
    <x v="3"/>
    <x v="3"/>
    <n v="1000"/>
    <n v="-2"/>
    <n v="1981"/>
    <s v="pu"/>
    <n v="1598"/>
    <n v="15.2"/>
    <n v="14.4"/>
    <n v="1.8136639999999999E-2"/>
    <n v="0.26116761599999999"/>
    <n v="100"/>
    <n v="4.5"/>
    <n v="4"/>
    <n v="3"/>
    <n v="4"/>
    <n v="3"/>
    <s v="good"/>
  </r>
  <r>
    <s v="Wai"/>
    <n v="2"/>
    <s v="Central_Hawkes_Bay_(coastal)"/>
    <s v="N142_377/957"/>
    <x v="3"/>
    <x v="3"/>
    <n v="1000"/>
    <n v="-2"/>
    <n v="1981"/>
    <s v="re"/>
    <n v="1787"/>
    <n v="19.600000000000001"/>
    <n v="16.600000000000001"/>
    <n v="3.0156560000000006E-2"/>
    <n v="0.50059889600000018"/>
    <n v="100"/>
    <n v="5"/>
    <n v="3"/>
    <n v="4"/>
    <n v="4"/>
    <n v="3"/>
    <s v="best"/>
  </r>
  <r>
    <s v="Wai"/>
    <n v="2"/>
    <s v="Central_Hawkes_Bay_(coastal)"/>
    <s v="N142_377/957"/>
    <x v="3"/>
    <x v="3"/>
    <n v="1000"/>
    <n v="-2"/>
    <n v="1981"/>
    <s v="re"/>
    <n v="2482"/>
    <n v="17"/>
    <n v="14.1"/>
    <n v="2.2686500000000005E-2"/>
    <n v="0.31987965000000007"/>
    <n v="88"/>
    <n v="4.5"/>
    <n v="3"/>
    <n v="3.7"/>
    <n v="3.7"/>
    <n v="3.7"/>
    <s v="best"/>
  </r>
  <r>
    <s v="Wai"/>
    <n v="2"/>
    <s v="Central_Hawkes_Bay_(coastal)"/>
    <s v="N142_377/957"/>
    <x v="3"/>
    <x v="3"/>
    <n v="1000"/>
    <n v="-2"/>
    <n v="1981"/>
    <s v="re"/>
    <n v="2431"/>
    <n v="26"/>
    <n v="14"/>
    <n v="5.3066000000000009E-2"/>
    <n v="0.74292400000000014"/>
    <n v="88"/>
    <n v="5"/>
    <n v="3.5"/>
    <n v="3.5"/>
    <n v="4"/>
    <n v="3.3"/>
    <s v="best"/>
  </r>
  <r>
    <s v="Wai"/>
    <n v="2"/>
    <s v="Central_Hawkes_Bay_(coastal)"/>
    <s v="N142_377/957"/>
    <x v="3"/>
    <x v="3"/>
    <n v="1000"/>
    <n v="-2"/>
    <n v="1981"/>
    <s v="ro"/>
    <n v="1192"/>
    <n v="8.9"/>
    <n v="5.2"/>
    <n v="6.2179850000000014E-3"/>
    <n v="3.233352200000001E-2"/>
    <n v="63"/>
    <n v="2.5"/>
    <n v="1.8"/>
    <n v="3"/>
    <n v="3"/>
    <n v="3"/>
    <s v="none"/>
  </r>
  <r>
    <s v="Wai"/>
    <n v="2"/>
    <s v="Central_Hawkes_Bay_(coastal)"/>
    <s v="N142_377/957"/>
    <x v="3"/>
    <x v="3"/>
    <n v="1000"/>
    <n v="-2"/>
    <n v="1981"/>
    <s v="rd"/>
    <n v="1524"/>
    <n v="10.3"/>
    <n v="7.8"/>
    <n v="8.3280650000000025E-3"/>
    <n v="6.4958907000000024E-2"/>
    <n v="100"/>
    <n v="2.2999999999999998"/>
    <n v="2"/>
    <n v="3"/>
    <n v="3"/>
    <n v="3"/>
    <s v="low"/>
  </r>
  <r>
    <s v="Wai"/>
    <n v="22"/>
    <s v="Central_Hawkes_Bay_(coastal)"/>
    <s v="N142_377/957"/>
    <x v="3"/>
    <x v="3"/>
    <n v="1000"/>
    <n v="-2"/>
    <n v="1981"/>
    <s v="si"/>
    <n v="2435"/>
    <n v="19.600000000000001"/>
    <n v="12.3"/>
    <n v="3.0156560000000006E-2"/>
    <n v="0.37092568800000009"/>
    <n v="75"/>
    <n v="3.3"/>
    <n v="3"/>
    <n v="3.3"/>
    <n v="3.5"/>
    <n v="3.5"/>
    <s v="best"/>
  </r>
  <r>
    <s v="Wai"/>
    <n v="2"/>
    <s v="Central_Hawkes_Bay_(coastal)"/>
    <s v="N142_377/957"/>
    <x v="3"/>
    <x v="3"/>
    <n v="1000"/>
    <n v="-2"/>
    <n v="1981"/>
    <s v="sm"/>
    <n v="1340"/>
    <n v="20.100000000000001"/>
    <n v="6.9"/>
    <n v="3.1714785000000009E-2"/>
    <n v="0.21883201650000009"/>
    <n v="88"/>
    <n v="3"/>
    <n v="2.5"/>
    <n v="1"/>
    <n v="0.5"/>
    <n v="0"/>
    <s v="low"/>
  </r>
  <r>
    <s v="Wai"/>
    <n v="3"/>
    <s v="Central_Hawkes_Bay_(coastal)"/>
    <s v="N142_377/957"/>
    <x v="3"/>
    <x v="3"/>
    <n v="1000"/>
    <n v="-2"/>
    <n v="1981"/>
    <s v="ag"/>
    <n v="1094"/>
    <n v="13.5"/>
    <n v="4"/>
    <n v="1.4306625000000002E-2"/>
    <n v="5.7226500000000007E-2"/>
    <n v="13"/>
    <n v="0.5"/>
    <n v="0"/>
    <n v="1"/>
    <n v="1"/>
    <n v="1"/>
    <s v="none"/>
  </r>
  <r>
    <s v="Wai"/>
    <n v="3"/>
    <s v="Central_Hawkes_Bay_(coastal)"/>
    <s v="N142_377/957"/>
    <x v="3"/>
    <x v="3"/>
    <n v="1000"/>
    <n v="-2"/>
    <n v="1981"/>
    <s v="bxs"/>
    <n v="1111"/>
    <n v="14.2"/>
    <n v="10.8"/>
    <n v="1.5828739999999997E-2"/>
    <n v="0.17095039199999998"/>
    <n v="100"/>
    <n v="3"/>
    <n v="2.8"/>
    <n v="3.3"/>
    <n v="3.3"/>
    <n v="3"/>
    <s v="good"/>
  </r>
  <r>
    <s v="Wai"/>
    <n v="3"/>
    <s v="Central_Hawkes_Bay_(coastal)"/>
    <s v="N142_377/957"/>
    <x v="3"/>
    <x v="3"/>
    <n v="1000"/>
    <n v="-2"/>
    <n v="1981"/>
    <s v="br"/>
    <n v="1112"/>
    <n v="13.1"/>
    <n v="10.6"/>
    <n v="1.3471385000000002E-2"/>
    <n v="0.14279668100000001"/>
    <n v="88"/>
    <n v="2"/>
    <n v="2"/>
    <n v="3"/>
    <n v="3"/>
    <n v="3"/>
    <s v="none"/>
  </r>
  <r>
    <s v="Wai"/>
    <n v="3"/>
    <s v="Central_Hawkes_Bay_(coastal)"/>
    <s v="N142_377/957"/>
    <x v="3"/>
    <x v="3"/>
    <n v="1000"/>
    <n v="-2"/>
    <n v="1981"/>
    <s v="br"/>
    <n v="1113"/>
    <n v="9.6"/>
    <n v="7"/>
    <n v="7.2345600000000001E-3"/>
    <n v="5.064192E-2"/>
    <n v="100"/>
    <n v="2.6"/>
    <n v="2"/>
    <n v="3"/>
    <n v="3"/>
    <n v="3"/>
    <s v="low"/>
  </r>
  <r>
    <s v="Wai"/>
    <n v="3"/>
    <s v="Central_Hawkes_Bay_(coastal)"/>
    <s v="N142_377/957"/>
    <x v="3"/>
    <x v="3"/>
    <n v="1000"/>
    <n v="-2"/>
    <n v="1981"/>
    <s v="el"/>
    <n v="1338"/>
    <n v="18.899999999999999"/>
    <n v="9"/>
    <n v="2.8040984999999994E-2"/>
    <n v="0.25236886499999994"/>
    <n v="13"/>
    <n v="2"/>
    <n v="3.5"/>
    <n v="3"/>
    <n v="3.5"/>
    <n v="3"/>
    <s v="none"/>
  </r>
  <r>
    <s v="Wai"/>
    <n v="3"/>
    <s v="Central_Hawkes_Bay_(coastal)"/>
    <s v="N142_377/957"/>
    <x v="3"/>
    <x v="3"/>
    <n v="1000"/>
    <n v="-2"/>
    <n v="1981"/>
    <s v="fa"/>
    <n v="1482"/>
    <n v="20"/>
    <n v="13.2"/>
    <n v="3.1400000000000004E-2"/>
    <n v="0.41448000000000002"/>
    <n v="75"/>
    <n v="4.5"/>
    <n v="3"/>
    <n v="4"/>
    <n v="4"/>
    <n v="4"/>
    <s v="best"/>
  </r>
  <r>
    <s v="Wai"/>
    <n v="3"/>
    <s v="Central_Hawkes_Bay_(coastal)"/>
    <s v="N142_377/957"/>
    <x v="3"/>
    <x v="3"/>
    <n v="1000"/>
    <n v="-2"/>
    <n v="1981"/>
    <s v="fa"/>
    <n v="1978"/>
    <n v="26.6"/>
    <n v="13.5"/>
    <n v="5.554346000000001E-2"/>
    <n v="0.74983671000000018"/>
    <n v="75"/>
    <n v="5"/>
    <n v="3"/>
    <n v="2.5"/>
    <n v="2"/>
    <n v="1"/>
    <s v="good"/>
  </r>
  <r>
    <s v="Wai"/>
    <n v="3"/>
    <s v="Central_Hawkes_Bay_(coastal)"/>
    <s v="N142_377/957"/>
    <x v="3"/>
    <x v="3"/>
    <n v="1000"/>
    <n v="-2"/>
    <n v="1981"/>
    <s v="fr"/>
    <n v="1339"/>
    <n v="23.9"/>
    <n v="12.7"/>
    <n v="4.4839984999999999E-2"/>
    <n v="0.56946780949999998"/>
    <n v="37"/>
    <n v="4"/>
    <n v="3"/>
    <n v="3"/>
    <n v="3"/>
    <n v="3"/>
    <s v="good"/>
  </r>
  <r>
    <s v="Wai"/>
    <n v="3"/>
    <s v="Central_Hawkes_Bay_(coastal)"/>
    <s v="N142_377/957"/>
    <x v="3"/>
    <x v="3"/>
    <n v="1000"/>
    <n v="-2"/>
    <n v="1981"/>
    <s v="fr"/>
    <n v="1786"/>
    <n v="17.8"/>
    <n v="12.2"/>
    <n v="2.4871940000000006E-2"/>
    <n v="0.30343766800000005"/>
    <n v="63"/>
    <n v="4.7"/>
    <n v="3.1"/>
    <n v="3"/>
    <n v="3"/>
    <n v="3"/>
    <s v="good"/>
  </r>
  <r>
    <s v="Wai"/>
    <n v="3"/>
    <s v="Central_Hawkes_Bay_(coastal)"/>
    <s v="N142_377/957"/>
    <x v="3"/>
    <x v="3"/>
    <n v="1000"/>
    <n v="-2"/>
    <n v="1981"/>
    <s v="fr"/>
    <n v="2447"/>
    <n v="21.4"/>
    <n v="12.7"/>
    <n v="3.594986E-2"/>
    <n v="0.45656322199999999"/>
    <n v="75"/>
    <n v="4.5999999999999996"/>
    <n v="4"/>
    <n v="3"/>
    <n v="3"/>
    <n v="3"/>
    <s v="best"/>
  </r>
  <r>
    <s v="Wai"/>
    <n v="3"/>
    <s v="Central_Hawkes_Bay_(coastal)"/>
    <s v="N142_377/957"/>
    <x v="3"/>
    <x v="3"/>
    <n v="1000"/>
    <n v="-2"/>
    <n v="1981"/>
    <s v="jo"/>
    <n v="1595"/>
    <n v="7.8"/>
    <n v="5.3"/>
    <n v="4.7759400000000002E-3"/>
    <n v="2.5312482000000001E-2"/>
    <n v="50"/>
    <n v="1"/>
    <n v="1.5"/>
    <n v="4"/>
    <n v="4"/>
    <n v="4"/>
    <s v="none"/>
  </r>
  <r>
    <s v="Wai"/>
    <n v="3"/>
    <s v="Central_Hawkes_Bay_(coastal)"/>
    <s v="N142_377/957"/>
    <x v="3"/>
    <x v="3"/>
    <n v="1000"/>
    <n v="-2"/>
    <n v="1981"/>
    <s v="ka"/>
    <n v="1171"/>
    <n v="13.1"/>
    <n v="10.1"/>
    <n v="1.3471385000000002E-2"/>
    <n v="0.13606098850000001"/>
    <n v="100"/>
    <n v="2"/>
    <n v="2"/>
    <n v="2"/>
    <n v="2"/>
    <n v="2"/>
    <s v="low"/>
  </r>
  <r>
    <s v="Wai"/>
    <n v="3"/>
    <s v="Central_Hawkes_Bay_(coastal)"/>
    <s v="N142_377/957"/>
    <x v="3"/>
    <x v="3"/>
    <n v="1000"/>
    <n v="-2"/>
    <n v="1981"/>
    <s v="nd"/>
    <n v="1596"/>
    <n v="15.1"/>
    <n v="12.3"/>
    <n v="1.7898785E-2"/>
    <n v="0.22015505550000003"/>
    <n v="88"/>
    <n v="3.5"/>
    <n v="3"/>
    <n v="3.3"/>
    <n v="4"/>
    <n v="4"/>
    <s v="best"/>
  </r>
  <r>
    <s v="Wai"/>
    <n v="3"/>
    <s v="Central_Hawkes_Bay_(coastal)"/>
    <s v="N142_377/957"/>
    <x v="3"/>
    <x v="3"/>
    <n v="1000"/>
    <n v="-2"/>
    <n v="1981"/>
    <s v="ob"/>
    <n v="1337"/>
    <n v="24.5"/>
    <n v="13.5"/>
    <n v="4.7119624999999998E-2"/>
    <n v="0.63611493749999992"/>
    <n v="75"/>
    <n v="5"/>
    <n v="3"/>
    <n v="4"/>
    <n v="4"/>
    <n v="2.5"/>
    <s v="best"/>
  </r>
  <r>
    <s v="Wai"/>
    <n v="3"/>
    <s v="Central_Hawkes_Bay_(coastal)"/>
    <s v="N142_377/957"/>
    <x v="3"/>
    <x v="3"/>
    <n v="1000"/>
    <n v="-2"/>
    <n v="1981"/>
    <s v="ob"/>
    <n v="2459"/>
    <n v="23.7"/>
    <n v="13.3"/>
    <n v="4.4092664999999996E-2"/>
    <n v="0.58643244449999998"/>
    <n v="88"/>
    <n v="5"/>
    <n v="3"/>
    <n v="3.5"/>
    <n v="3.5"/>
    <n v="2.5"/>
    <s v="best"/>
  </r>
  <r>
    <s v="Wai"/>
    <n v="3"/>
    <s v="Central_Hawkes_Bay_(coastal)"/>
    <s v="N142_377/957"/>
    <x v="3"/>
    <x v="3"/>
    <n v="1000"/>
    <n v="-2"/>
    <n v="1981"/>
    <s v="ov"/>
    <n v="1785"/>
    <n v="10.5"/>
    <n v="7.6"/>
    <n v="8.6546249999999991E-3"/>
    <n v="6.5775149999999991E-2"/>
    <n v="88"/>
    <n v="2.2999999999999998"/>
    <n v="2"/>
    <n v="3"/>
    <n v="3.5"/>
    <n v="3"/>
    <s v="low"/>
  </r>
  <r>
    <s v="Wai"/>
    <n v="3"/>
    <s v="Central_Hawkes_Bay_(coastal)"/>
    <s v="N142_377/957"/>
    <x v="3"/>
    <x v="3"/>
    <n v="1000"/>
    <n v="-2"/>
    <n v="1981"/>
    <s v="pu"/>
    <n v="1598"/>
    <n v="14"/>
    <n v="10.3"/>
    <n v="1.5386000000000002E-2"/>
    <n v="0.15847580000000003"/>
    <n v="100"/>
    <n v="3.5"/>
    <n v="4"/>
    <n v="2"/>
    <n v="3"/>
    <n v="2"/>
    <s v="average"/>
  </r>
  <r>
    <s v="Wai"/>
    <n v="3"/>
    <s v="Central_Hawkes_Bay_(coastal)"/>
    <s v="N142_377/957"/>
    <x v="3"/>
    <x v="3"/>
    <n v="1000"/>
    <n v="-2"/>
    <n v="1981"/>
    <s v="re"/>
    <n v="1787"/>
    <n v="21.8"/>
    <n v="13.8"/>
    <n v="3.730634E-2"/>
    <n v="0.514827492"/>
    <n v="100"/>
    <n v="5"/>
    <n v="3"/>
    <n v="3"/>
    <n v="3"/>
    <n v="2"/>
    <s v="best"/>
  </r>
  <r>
    <s v="Wai"/>
    <n v="3"/>
    <s v="Central_Hawkes_Bay_(coastal)"/>
    <s v="N142_377/957"/>
    <x v="3"/>
    <x v="3"/>
    <n v="1000"/>
    <n v="-2"/>
    <n v="1981"/>
    <s v="re"/>
    <n v="2482"/>
    <n v="16.399999999999999"/>
    <n v="12.1"/>
    <n v="2.1113359999999994E-2"/>
    <n v="0.25547165599999994"/>
    <n v="88"/>
    <n v="4.8"/>
    <n v="3"/>
    <n v="3.3"/>
    <n v="3.5"/>
    <n v="2"/>
    <s v="best"/>
  </r>
  <r>
    <s v="Wai"/>
    <n v="3"/>
    <s v="Central_Hawkes_Bay_(coastal)"/>
    <s v="N142_377/957"/>
    <x v="3"/>
    <x v="3"/>
    <n v="1000"/>
    <n v="-2"/>
    <n v="1981"/>
    <s v="re"/>
    <n v="2431"/>
    <n v="17.600000000000001"/>
    <n v="12.4"/>
    <n v="2.4316160000000007E-2"/>
    <n v="0.30152038400000009"/>
    <n v="100"/>
    <n v="3.5"/>
    <n v="3.3"/>
    <n v="3"/>
    <n v="3"/>
    <n v="2"/>
    <s v="good"/>
  </r>
  <r>
    <s v="Wai"/>
    <n v="3"/>
    <s v="Central_Hawkes_Bay_(coastal)"/>
    <s v="N142_377/957"/>
    <x v="3"/>
    <x v="3"/>
    <n v="1000"/>
    <n v="-2"/>
    <n v="1981"/>
    <s v="ro"/>
    <n v="1192"/>
    <n v="12.2"/>
    <n v="4.4000000000000004"/>
    <n v="1.168394E-2"/>
    <n v="5.1409336000000007E-2"/>
    <n v="75"/>
    <n v="3"/>
    <n v="2"/>
    <n v="3"/>
    <n v="2.5"/>
    <n v="2.5"/>
    <s v="low"/>
  </r>
  <r>
    <s v="Wai"/>
    <n v="3"/>
    <s v="Central_Hawkes_Bay_(coastal)"/>
    <s v="N142_377/957"/>
    <x v="3"/>
    <x v="3"/>
    <n v="1000"/>
    <n v="-2"/>
    <n v="1981"/>
    <s v="rd"/>
    <n v="1524"/>
    <n v="9"/>
    <n v="6.8"/>
    <n v="6.3584999999999996E-3"/>
    <n v="4.3237799999999993E-2"/>
    <n v="100"/>
    <n v="2"/>
    <n v="1.5"/>
    <n v="2"/>
    <n v="4"/>
    <n v="3.5"/>
    <s v="none"/>
  </r>
  <r>
    <s v="Wai"/>
    <n v="3"/>
    <s v="Central_Hawkes_Bay_(coastal)"/>
    <s v="N142_377/957"/>
    <x v="3"/>
    <x v="3"/>
    <n v="1000"/>
    <n v="-2"/>
    <n v="1981"/>
    <s v="si"/>
    <n v="2435"/>
    <n v="20.3"/>
    <n v="13.6"/>
    <n v="3.2349065000000003E-2"/>
    <n v="0.43994728400000005"/>
    <n v="63"/>
    <n v="4"/>
    <n v="2.7"/>
    <n v="3"/>
    <n v="2.5"/>
    <n v="2"/>
    <s v="good"/>
  </r>
  <r>
    <s v="Wai"/>
    <n v="3"/>
    <s v="Central_Hawkes_Bay_(coastal)"/>
    <s v="N142_377/957"/>
    <x v="3"/>
    <x v="3"/>
    <n v="1000"/>
    <n v="-2"/>
    <n v="1981"/>
    <s v="sm"/>
    <n v="1340"/>
    <n v="8.8000000000000007"/>
    <n v="6.3"/>
    <n v="6.0790400000000017E-3"/>
    <n v="3.829795200000001E-2"/>
    <n v="100"/>
    <n v="2"/>
    <n v="2"/>
    <n v="1"/>
    <n v="2"/>
    <n v="2"/>
    <s v="none"/>
  </r>
  <r>
    <s v="K81"/>
    <n v="1"/>
    <s v="Central_Wairarapa"/>
    <s v="N158_344/626"/>
    <x v="4"/>
    <x v="4"/>
    <n v="1080"/>
    <n v="-3"/>
    <n v="1981"/>
    <s v="ag"/>
    <n v="1094"/>
    <n v="2.86"/>
    <n v="3.2"/>
    <n v="6.4209860000000011E-4"/>
    <n v="2.0547155200000005E-3"/>
    <n v="25"/>
    <n v="2"/>
    <n v="2"/>
    <n v="2"/>
    <n v="2"/>
    <n v="2"/>
    <s v="none"/>
  </r>
  <r>
    <s v="K81"/>
    <n v="1"/>
    <s v="Central_Wairarapa"/>
    <s v="N158_344/626"/>
    <x v="4"/>
    <x v="4"/>
    <n v="1080"/>
    <n v="-3"/>
    <n v="1981"/>
    <s v="bxs"/>
    <n v="1111"/>
    <n v="4.49"/>
    <n v="4.1100000000000003"/>
    <n v="1.5825678500000003E-3"/>
    <n v="6.5043538635000016E-3"/>
    <n v="44"/>
    <n v="2.5"/>
    <n v="3"/>
    <n v="3"/>
    <n v="3"/>
    <n v="3"/>
    <s v="low"/>
  </r>
  <r>
    <s v="K81"/>
    <n v="1"/>
    <s v="Central_Wairarapa"/>
    <s v="N158_344/626"/>
    <x v="4"/>
    <x v="4"/>
    <n v="1080"/>
    <n v="-3"/>
    <n v="1981"/>
    <s v="br"/>
    <n v="1112"/>
    <n v="9.89"/>
    <n v="6.68"/>
    <n v="7.6782498500000008E-3"/>
    <n v="5.1290708998000006E-2"/>
    <n v="100"/>
    <n v="3.5"/>
    <n v="2"/>
    <n v="3"/>
    <n v="4"/>
    <n v="3"/>
    <s v="best"/>
  </r>
  <r>
    <s v="K81"/>
    <n v="1"/>
    <s v="Central_Wairarapa"/>
    <s v="N158_344/626"/>
    <x v="4"/>
    <x v="4"/>
    <n v="1080"/>
    <n v="-3"/>
    <n v="1981"/>
    <s v="jo"/>
    <n v="1595"/>
    <n v="5.34"/>
    <n v="3.05"/>
    <n v="2.2384745999999996E-3"/>
    <n v="6.8273475299999989E-3"/>
    <n v="75"/>
    <n v="2.7"/>
    <n v="1"/>
    <n v="3"/>
    <n v="4"/>
    <n v="4"/>
    <s v="low"/>
  </r>
  <r>
    <s v="K81"/>
    <n v="1"/>
    <s v="Central_Wairarapa"/>
    <s v="N158_344/626"/>
    <x v="4"/>
    <x v="4"/>
    <n v="1080"/>
    <n v="-3"/>
    <n v="1981"/>
    <s v="fr"/>
    <n v="1339"/>
    <n v="3.28"/>
    <n v="4.07"/>
    <n v="8.4453439999999989E-4"/>
    <n v="3.4372550079999997E-3"/>
    <n v="75"/>
    <n v="2"/>
    <n v="3"/>
    <n v="3"/>
    <n v="3"/>
    <n v="3"/>
    <s v="low"/>
  </r>
  <r>
    <s v="K81"/>
    <n v="1"/>
    <s v="Central_Wairarapa"/>
    <s v="N158_344/626"/>
    <x v="4"/>
    <x v="4"/>
    <n v="1080"/>
    <n v="-3"/>
    <n v="1981"/>
    <s v="fr"/>
    <n v="2447"/>
    <n v="7.62"/>
    <n v="5.39"/>
    <n v="4.5580554000000002E-3"/>
    <n v="2.4567918606000001E-2"/>
    <n v="100"/>
    <n v="3"/>
    <n v="3"/>
    <n v="3"/>
    <n v="3.5"/>
    <n v="3"/>
    <s v="good"/>
  </r>
  <r>
    <s v="K81"/>
    <n v="1"/>
    <s v="Central_Wairarapa"/>
    <s v="N158_344/626"/>
    <x v="4"/>
    <x v="4"/>
    <n v="1080"/>
    <n v="-3"/>
    <n v="1981"/>
    <s v="fr"/>
    <n v="1786"/>
    <n v="6.05"/>
    <n v="5.39"/>
    <n v="2.8732962499999999E-3"/>
    <n v="1.5487066787499998E-2"/>
    <n v="88"/>
    <n v="4"/>
    <n v="4"/>
    <n v="3.5"/>
    <n v="3.5"/>
    <n v="3.5"/>
    <s v="good"/>
  </r>
  <r>
    <s v="K81"/>
    <n v="1"/>
    <s v="Central_Wairarapa"/>
    <s v="N158_344/626"/>
    <x v="4"/>
    <x v="4"/>
    <n v="1080"/>
    <n v="-3"/>
    <n v="1981"/>
    <s v="nd"/>
    <n v="1596"/>
    <n v="6.38"/>
    <n v="5.07"/>
    <n v="3.1952954E-3"/>
    <n v="1.6200147678000001E-2"/>
    <n v="88"/>
    <n v="3"/>
    <n v="4"/>
    <n v="3.5"/>
    <n v="4"/>
    <n v="4"/>
    <s v="best"/>
  </r>
  <r>
    <s v="K81"/>
    <n v="1"/>
    <s v="Central_Wairarapa"/>
    <s v="N158_344/626"/>
    <x v="4"/>
    <x v="4"/>
    <n v="1080"/>
    <n v="-3"/>
    <n v="1981"/>
    <s v="ka"/>
    <n v="1171"/>
    <n v="6.16"/>
    <n v="4.3"/>
    <n v="2.9787296000000005E-3"/>
    <n v="1.2808537280000001E-2"/>
    <n v="40"/>
    <n v="3"/>
    <n v="2"/>
    <n v="1"/>
    <n v="1"/>
    <n v="1"/>
    <s v="low"/>
  </r>
  <r>
    <s v="K81"/>
    <n v="1"/>
    <s v="Central_Wairarapa"/>
    <s v="N158_344/626"/>
    <x v="4"/>
    <x v="4"/>
    <n v="1080"/>
    <n v="-3"/>
    <n v="1981"/>
    <s v="ob"/>
    <n v="2469"/>
    <n v="19.920000000000002"/>
    <n v="7.37"/>
    <n v="3.1149302400000002E-2"/>
    <n v="0.22957035868800002"/>
    <n v="13"/>
    <n v="2"/>
    <n v="2.5"/>
    <n v="3"/>
    <n v="3"/>
    <n v="3"/>
    <s v="low"/>
  </r>
  <r>
    <s v="K81"/>
    <n v="1"/>
    <s v="Central_Wairarapa"/>
    <s v="N158_344/626"/>
    <x v="4"/>
    <x v="4"/>
    <n v="1080"/>
    <n v="-3"/>
    <n v="1981"/>
    <s v="ov"/>
    <n v="1785"/>
    <n v="3.91"/>
    <n v="3.91"/>
    <n v="1.2001158500000002E-3"/>
    <n v="4.6924529735000008E-3"/>
    <n v="63"/>
    <n v="2.5"/>
    <n v="1.5"/>
    <n v="3"/>
    <n v="4"/>
    <n v="3"/>
    <s v="average"/>
  </r>
  <r>
    <s v="K81"/>
    <n v="1"/>
    <s v="Central_Wairarapa"/>
    <s v="N158_344/626"/>
    <x v="4"/>
    <x v="4"/>
    <n v="1080"/>
    <n v="-3"/>
    <n v="1981"/>
    <s v="pu"/>
    <n v="1598"/>
    <n v="10.75"/>
    <n v="9.26"/>
    <n v="9.071656249999999E-3"/>
    <n v="8.4003536874999993E-2"/>
    <n v="88"/>
    <n v="4"/>
    <n v="4"/>
    <n v="4"/>
    <n v="4"/>
    <n v="4"/>
    <s v="best"/>
  </r>
  <r>
    <s v="K81"/>
    <n v="1"/>
    <s v="Central_Wairarapa"/>
    <s v="N158_344/626"/>
    <x v="4"/>
    <x v="4"/>
    <n v="1080"/>
    <n v="-3"/>
    <n v="1981"/>
    <s v="re"/>
    <n v="2428"/>
    <n v="3.63"/>
    <n v="5.0199999999999996"/>
    <n v="1.03438665E-3"/>
    <n v="5.1926209829999993E-3"/>
    <n v="63"/>
    <n v="4"/>
    <n v="3.5"/>
    <n v="4"/>
    <n v="4"/>
    <n v="3.5"/>
    <s v="good"/>
  </r>
  <r>
    <s v="K81"/>
    <n v="1"/>
    <s v="Central_Wairarapa"/>
    <s v="N158_344/626"/>
    <x v="4"/>
    <x v="4"/>
    <n v="1080"/>
    <n v="-3"/>
    <n v="1981"/>
    <s v="re"/>
    <n v="2431"/>
    <n v="6.14"/>
    <n v="5.86"/>
    <n v="2.9594185999999999E-3"/>
    <n v="1.7342192996000001E-2"/>
    <n v="75"/>
    <n v="4"/>
    <n v="3"/>
    <n v="4"/>
    <n v="4"/>
    <n v="4"/>
    <s v="best"/>
  </r>
  <r>
    <s v="K81"/>
    <n v="1"/>
    <s v="Central_Wairarapa"/>
    <s v="N158_344/626"/>
    <x v="4"/>
    <x v="4"/>
    <n v="1080"/>
    <n v="-3"/>
    <n v="1981"/>
    <s v="re"/>
    <n v="1787"/>
    <n v="5.3"/>
    <n v="4.88"/>
    <n v="2.205065E-3"/>
    <n v="1.07607172E-2"/>
    <n v="38"/>
    <n v="3.5"/>
    <n v="3"/>
    <n v="4"/>
    <n v="4"/>
    <n v="4"/>
    <s v="good"/>
  </r>
  <r>
    <s v="K81"/>
    <n v="1"/>
    <s v="Central_Wairarapa"/>
    <s v="N158_344/626"/>
    <x v="4"/>
    <x v="4"/>
    <n v="1080"/>
    <n v="-3"/>
    <n v="1981"/>
    <s v="si"/>
    <n v="2435"/>
    <n v="14.93"/>
    <n v="9.39"/>
    <n v="1.7498034649999997E-2"/>
    <n v="0.16430654536349998"/>
    <n v="63"/>
    <n v="4"/>
    <n v="3"/>
    <n v="3"/>
    <n v="2.5"/>
    <n v="2.5"/>
    <s v="good"/>
  </r>
  <r>
    <s v="K81"/>
    <n v="1"/>
    <s v="Central_Wairarapa"/>
    <s v="N158_344/626"/>
    <x v="4"/>
    <x v="4"/>
    <n v="1080"/>
    <n v="-3"/>
    <n v="1981"/>
    <s v="rd"/>
    <n v="1524"/>
    <n v="3.21"/>
    <n v="3.72"/>
    <n v="8.0887184999999993E-4"/>
    <n v="3.0090032819999999E-3"/>
    <n v="50"/>
    <n v="1.5"/>
    <n v="2"/>
    <n v="2"/>
    <n v="4"/>
    <n v="4"/>
    <s v="low"/>
  </r>
  <r>
    <s v="K81"/>
    <n v="1"/>
    <s v="Central_Wairarapa"/>
    <s v="N158_344/626"/>
    <x v="4"/>
    <x v="4"/>
    <n v="1080"/>
    <n v="-3"/>
    <n v="1981"/>
    <s v="sm"/>
    <n v="1340"/>
    <n v="5.93"/>
    <n v="6.48"/>
    <n v="2.7604446499999999E-3"/>
    <n v="1.7887681331999999E-2"/>
    <n v="100"/>
    <n v="1.8"/>
    <n v="1.8"/>
    <n v="2"/>
    <n v="2"/>
    <n v="3"/>
    <s v="low"/>
  </r>
  <r>
    <s v="K81"/>
    <n v="1"/>
    <s v="Central_Wairarapa"/>
    <s v="N158_344/626"/>
    <x v="4"/>
    <x v="4"/>
    <n v="1080"/>
    <n v="-3"/>
    <n v="1981"/>
    <s v="nc"/>
    <n v="1780"/>
    <n v="6.24"/>
    <n v="4.8499999999999996"/>
    <n v="3.0566016000000006E-3"/>
    <n v="1.4824517760000001E-2"/>
    <n v="25"/>
    <n v="2.5"/>
    <n v="4"/>
    <n v="3"/>
    <n v="3"/>
    <n v="3"/>
    <s v="low"/>
  </r>
  <r>
    <s v="K81"/>
    <n v="2"/>
    <s v="Central_Wairarapa"/>
    <s v="N158_344/626"/>
    <x v="4"/>
    <x v="4"/>
    <n v="1080"/>
    <n v="-3"/>
    <n v="1981"/>
    <s v="ag"/>
    <n v="1094"/>
    <n v="1.03"/>
    <n v="2.17"/>
    <n v="8.3280650000000007E-5"/>
    <n v="1.8071901050000001E-4"/>
    <n v="13"/>
    <n v="2"/>
    <n v="2"/>
    <n v="2"/>
    <n v="2"/>
    <n v="2"/>
    <s v="none"/>
  </r>
  <r>
    <s v="K81"/>
    <n v="2"/>
    <s v="Central_Wairarapa"/>
    <s v="N158_344/626"/>
    <x v="4"/>
    <x v="4"/>
    <n v="1080"/>
    <n v="-3"/>
    <n v="1981"/>
    <s v="bxs"/>
    <n v="1111"/>
    <n v="6.29"/>
    <n v="4.62"/>
    <n v="3.1057818499999998E-3"/>
    <n v="1.4348712147E-2"/>
    <n v="100"/>
    <n v="3"/>
    <n v="2.5"/>
    <n v="2"/>
    <n v="2"/>
    <n v="2.5"/>
    <s v="average"/>
  </r>
  <r>
    <s v="K81"/>
    <n v="2"/>
    <s v="Central_Wairarapa"/>
    <s v="N158_344/626"/>
    <x v="4"/>
    <x v="4"/>
    <n v="1080"/>
    <n v="-3"/>
    <n v="1981"/>
    <s v="br"/>
    <n v="1112"/>
    <n v="11.43"/>
    <n v="7.83"/>
    <n v="1.025562465E-2"/>
    <n v="8.0301541009500002E-2"/>
    <n v="88"/>
    <n v="3"/>
    <n v="2"/>
    <n v="3.5"/>
    <n v="4"/>
    <n v="4"/>
    <s v="best"/>
  </r>
  <r>
    <s v="K81"/>
    <n v="2"/>
    <s v="Central_Wairarapa"/>
    <s v="N158_344/626"/>
    <x v="4"/>
    <x v="4"/>
    <n v="1080"/>
    <n v="-3"/>
    <n v="1981"/>
    <s v="br"/>
    <n v="1113"/>
    <n v="3.98"/>
    <n v="3.98"/>
    <n v="1.2434714E-3"/>
    <n v="4.9490161719999998E-3"/>
    <n v="75"/>
    <n v="3"/>
    <n v="2"/>
    <n v="3"/>
    <n v="4"/>
    <n v="3"/>
    <s v="average"/>
  </r>
  <r>
    <s v="K81"/>
    <n v="2"/>
    <s v="Central_Wairarapa"/>
    <s v="N158_344/626"/>
    <x v="4"/>
    <x v="4"/>
    <n v="1080"/>
    <n v="-3"/>
    <n v="1981"/>
    <s v="jo"/>
    <n v="1595"/>
    <n v="2.8"/>
    <n v="2.92"/>
    <n v="6.1543999999999987E-4"/>
    <n v="1.7970847999999996E-3"/>
    <n v="75"/>
    <n v="2.5"/>
    <n v="1.8"/>
    <n v="3.2"/>
    <n v="3.5"/>
    <n v="3.5"/>
    <s v="low"/>
  </r>
  <r>
    <s v="K81"/>
    <n v="2"/>
    <s v="Central_Wairarapa"/>
    <s v="N158_344/626"/>
    <x v="4"/>
    <x v="4"/>
    <n v="1080"/>
    <n v="-3"/>
    <n v="1981"/>
    <s v="el"/>
    <n v="1338"/>
    <n v="6.07"/>
    <n v="5.89"/>
    <n v="2.8923246500000004E-3"/>
    <n v="1.7035792188500001E-2"/>
    <n v="63"/>
    <n v="3"/>
    <n v="3"/>
    <n v="2"/>
    <n v="2"/>
    <n v="2.5"/>
    <s v="low"/>
  </r>
  <r>
    <s v="K81"/>
    <n v="2"/>
    <s v="Central_Wairarapa"/>
    <s v="N158_344/626"/>
    <x v="4"/>
    <x v="4"/>
    <n v="1080"/>
    <n v="-3"/>
    <n v="1981"/>
    <s v="fa"/>
    <n v="1978"/>
    <n v="4.04"/>
    <n v="4.66"/>
    <n v="1.2812456000000001E-3"/>
    <n v="5.9706044960000006E-3"/>
    <n v="50"/>
    <n v="2.5"/>
    <n v="3"/>
    <n v="3.5"/>
    <n v="3.5"/>
    <n v="3.5"/>
    <s v="average"/>
  </r>
  <r>
    <s v="K81"/>
    <n v="2"/>
    <s v="Central_Wairarapa"/>
    <s v="N158_344/626"/>
    <x v="4"/>
    <x v="4"/>
    <n v="1080"/>
    <n v="-3"/>
    <n v="1981"/>
    <s v="fa"/>
    <n v="1482"/>
    <n v="11.03"/>
    <n v="6.25"/>
    <n v="9.5503806499999989E-3"/>
    <n v="5.9689879062499993E-2"/>
    <n v="38"/>
    <n v="3.5"/>
    <n v="3.5"/>
    <n v="3"/>
    <n v="2.5"/>
    <n v="2"/>
    <s v="average"/>
  </r>
  <r>
    <s v="K81"/>
    <n v="2"/>
    <s v="Central_Wairarapa"/>
    <s v="N158_344/626"/>
    <x v="4"/>
    <x v="4"/>
    <n v="1080"/>
    <n v="-3"/>
    <n v="1981"/>
    <s v="fr"/>
    <n v="1339"/>
    <n v="12.49"/>
    <n v="10.119999999999999"/>
    <n v="1.2246007850000001E-2"/>
    <n v="0.12392959944199999"/>
    <n v="63"/>
    <n v="4.5"/>
    <n v="3"/>
    <n v="3.5"/>
    <n v="3.5"/>
    <n v="3.5"/>
    <s v="best"/>
  </r>
  <r>
    <s v="K81"/>
    <n v="2"/>
    <s v="Central_Wairarapa"/>
    <s v="N158_344/626"/>
    <x v="4"/>
    <x v="4"/>
    <n v="1080"/>
    <n v="-3"/>
    <n v="1981"/>
    <s v="fr"/>
    <n v="2447"/>
    <n v="9.99"/>
    <n v="6.83"/>
    <n v="7.8343078500000014E-3"/>
    <n v="5.3508322615500009E-2"/>
    <n v="88"/>
    <n v="4"/>
    <n v="3"/>
    <n v="3.5"/>
    <n v="3"/>
    <n v="2.5"/>
    <s v="good"/>
  </r>
  <r>
    <s v="K81"/>
    <n v="2"/>
    <s v="Central_Wairarapa"/>
    <s v="N158_344/626"/>
    <x v="4"/>
    <x v="4"/>
    <n v="1080"/>
    <n v="-3"/>
    <n v="1981"/>
    <s v="fr"/>
    <n v="1786"/>
    <n v="17.739999999999998"/>
    <n v="9.99"/>
    <n v="2.4704546599999995E-2"/>
    <n v="0.24679842053399995"/>
    <n v="100"/>
    <n v="5"/>
    <n v="3"/>
    <n v="3"/>
    <n v="2.5"/>
    <n v="2"/>
    <s v="best"/>
  </r>
  <r>
    <s v="K81"/>
    <n v="2"/>
    <s v="Central_Wairarapa"/>
    <s v="N158_344/626"/>
    <x v="4"/>
    <x v="4"/>
    <n v="1080"/>
    <n v="-3"/>
    <n v="1981"/>
    <s v="nd"/>
    <n v="1596"/>
    <n v="2.73"/>
    <n v="3.77"/>
    <n v="5.8505265000000008E-4"/>
    <n v="2.2056484905000001E-3"/>
    <n v="100"/>
    <n v="2.5"/>
    <n v="4"/>
    <n v="3.5"/>
    <n v="4.5"/>
    <n v="4"/>
    <s v="good"/>
  </r>
  <r>
    <s v="K81"/>
    <n v="2"/>
    <s v="Central_Wairarapa"/>
    <s v="N158_344/626"/>
    <x v="4"/>
    <x v="4"/>
    <n v="1080"/>
    <n v="-3"/>
    <n v="1981"/>
    <s v="ka"/>
    <n v="1171"/>
    <n v="2.79"/>
    <n v="2.9"/>
    <n v="6.1105185000000012E-4"/>
    <n v="1.7720503650000003E-3"/>
    <n v="75"/>
    <n v="2"/>
    <n v="2"/>
    <n v="2"/>
    <n v="2"/>
    <n v="3"/>
    <s v="low"/>
  </r>
  <r>
    <s v="K81"/>
    <n v="2"/>
    <s v="Central_Wairarapa"/>
    <s v="N158_344/626"/>
    <x v="4"/>
    <x v="4"/>
    <n v="1080"/>
    <n v="-3"/>
    <n v="1981"/>
    <s v="ob"/>
    <n v="2469"/>
    <n v="9.8800000000000008"/>
    <n v="8.94"/>
    <n v="7.6627304000000031E-3"/>
    <n v="6.8504809776000028E-2"/>
    <n v="88"/>
    <n v="4"/>
    <n v="3"/>
    <n v="3.5"/>
    <n v="3.5"/>
    <n v="3.5"/>
    <s v="good"/>
  </r>
  <r>
    <s v="K81"/>
    <n v="2"/>
    <s v="Central_Wairarapa"/>
    <s v="N158_344/626"/>
    <x v="4"/>
    <x v="4"/>
    <n v="1080"/>
    <n v="-3"/>
    <n v="1981"/>
    <s v="ob"/>
    <n v="1337"/>
    <n v="8.6300000000000008"/>
    <n v="8.2100000000000009"/>
    <n v="5.84643665E-3"/>
    <n v="4.7999244896500003E-2"/>
    <n v="100"/>
    <n v="4"/>
    <n v="3"/>
    <n v="3.5"/>
    <n v="3.5"/>
    <n v="3.5"/>
    <s v="good"/>
  </r>
  <r>
    <s v="K81"/>
    <n v="2"/>
    <s v="Central_Wairarapa"/>
    <s v="N158_344/626"/>
    <x v="4"/>
    <x v="4"/>
    <n v="1080"/>
    <n v="-3"/>
    <n v="1981"/>
    <s v="ov"/>
    <n v="1785"/>
    <n v="4.3899999999999997"/>
    <n v="4.03"/>
    <n v="1.5128598499999997E-3"/>
    <n v="6.0968251954999992E-3"/>
    <n v="88"/>
    <n v="1.5"/>
    <n v="1.5"/>
    <n v="2"/>
    <n v="2"/>
    <n v="3"/>
    <s v="none"/>
  </r>
  <r>
    <s v="K81"/>
    <n v="2"/>
    <s v="Central_Wairarapa"/>
    <s v="N158_344/626"/>
    <x v="4"/>
    <x v="4"/>
    <n v="1080"/>
    <n v="-3"/>
    <n v="1981"/>
    <s v="pu"/>
    <n v="1598"/>
    <n v="7.94"/>
    <n v="7.77"/>
    <n v="4.9489225999999999E-3"/>
    <n v="3.8453128601999995E-2"/>
    <n v="100"/>
    <n v="3.5"/>
    <n v="4"/>
    <n v="2.5"/>
    <n v="4"/>
    <n v="3.3"/>
    <s v="best"/>
  </r>
  <r>
    <s v="K81"/>
    <n v="2"/>
    <s v="Central_Wairarapa"/>
    <s v="N158_344/626"/>
    <x v="4"/>
    <x v="4"/>
    <n v="1080"/>
    <n v="-3"/>
    <n v="1981"/>
    <s v="re"/>
    <n v="2428"/>
    <n v="6.48"/>
    <n v="6.42"/>
    <n v="3.2962464000000011E-3"/>
    <n v="2.1161901888000007E-2"/>
    <n v="38"/>
    <n v="4"/>
    <n v="3.5"/>
    <n v="4"/>
    <n v="4"/>
    <n v="3.5"/>
    <s v="good"/>
  </r>
  <r>
    <s v="K81"/>
    <n v="2"/>
    <s v="Central_Wairarapa"/>
    <s v="N158_344/626"/>
    <x v="4"/>
    <x v="4"/>
    <n v="1080"/>
    <n v="-3"/>
    <n v="1981"/>
    <s v="re"/>
    <n v="2431"/>
    <n v="6.28"/>
    <n v="6.7"/>
    <n v="3.0959144000000014E-3"/>
    <n v="2.0742626480000009E-2"/>
    <n v="100"/>
    <n v="4"/>
    <n v="3"/>
    <n v="4"/>
    <n v="4"/>
    <n v="3.5"/>
    <s v="good"/>
  </r>
  <r>
    <s v="K81"/>
    <n v="2"/>
    <s v="Central_Wairarapa"/>
    <s v="N158_344/626"/>
    <x v="4"/>
    <x v="4"/>
    <n v="1080"/>
    <n v="-3"/>
    <n v="1981"/>
    <s v="re"/>
    <n v="1787"/>
    <n v="11.58"/>
    <n v="8.3699999999999992"/>
    <n v="1.0526567400000001E-2"/>
    <n v="8.8107369137999991E-2"/>
    <n v="63"/>
    <n v="4"/>
    <n v="3.5"/>
    <n v="4"/>
    <n v="4"/>
    <n v="3.5"/>
    <s v="best"/>
  </r>
  <r>
    <s v="K81"/>
    <n v="2"/>
    <s v="Central_Wairarapa"/>
    <s v="N158_344/626"/>
    <x v="4"/>
    <x v="4"/>
    <n v="1080"/>
    <n v="-3"/>
    <n v="1981"/>
    <s v="si"/>
    <n v="2435"/>
    <n v="3.56"/>
    <n v="4.2699999999999996"/>
    <n v="9.948775999999999E-4"/>
    <n v="4.2481273519999994E-3"/>
    <n v="25"/>
    <n v="3"/>
    <n v="3"/>
    <n v="3"/>
    <n v="3"/>
    <n v="3"/>
    <s v="average"/>
  </r>
  <r>
    <s v="K81"/>
    <n v="2"/>
    <s v="Central_Wairarapa"/>
    <s v="N158_344/626"/>
    <x v="4"/>
    <x v="4"/>
    <n v="1080"/>
    <n v="-3"/>
    <n v="1981"/>
    <s v="rd"/>
    <n v="1524"/>
    <n v="2.57"/>
    <n v="3.08"/>
    <n v="5.1848464999999994E-4"/>
    <n v="1.5969327219999998E-3"/>
    <n v="75"/>
    <n v="2"/>
    <n v="2"/>
    <n v="2"/>
    <n v="4"/>
    <n v="3"/>
    <s v="low"/>
  </r>
  <r>
    <s v="K81"/>
    <n v="2"/>
    <s v="Central_Wairarapa"/>
    <s v="N158_344/626"/>
    <x v="4"/>
    <x v="4"/>
    <n v="1080"/>
    <n v="-3"/>
    <n v="1981"/>
    <s v="sm"/>
    <n v="1340"/>
    <n v="5.37"/>
    <n v="5.74"/>
    <n v="2.2636966499999999E-3"/>
    <n v="1.2993618771E-2"/>
    <n v="100"/>
    <n v="1.5"/>
    <n v="1"/>
    <n v="1.5"/>
    <n v="1.5"/>
    <n v="2"/>
    <s v="none"/>
  </r>
  <r>
    <s v="K81"/>
    <n v="2"/>
    <s v="Central_Wairarapa"/>
    <s v="N158_344/626"/>
    <x v="4"/>
    <x v="4"/>
    <n v="1080"/>
    <n v="-3"/>
    <n v="1981"/>
    <s v="nc"/>
    <n v="1780"/>
    <n v="2.6"/>
    <n v="3.64"/>
    <n v="5.3066000000000018E-4"/>
    <n v="1.9316024000000007E-3"/>
    <n v="38"/>
    <n v="1"/>
    <n v="2"/>
    <n v="2"/>
    <n v="2"/>
    <n v="3"/>
    <s v="none"/>
  </r>
  <r>
    <s v="K81"/>
    <n v="3"/>
    <s v="Central_Wairarapa"/>
    <s v="N158_344/626"/>
    <x v="4"/>
    <x v="4"/>
    <n v="1080"/>
    <n v="-3"/>
    <n v="1981"/>
    <s v="ag"/>
    <n v="1094"/>
    <n v="5.26"/>
    <n v="5.48"/>
    <n v="2.1719066000000001E-3"/>
    <n v="1.1902048168000001E-2"/>
    <n v="63"/>
    <n v="2"/>
    <n v="1.5"/>
    <n v="2"/>
    <n v="2"/>
    <n v="2"/>
    <s v="none"/>
  </r>
  <r>
    <s v="K81"/>
    <n v="3"/>
    <s v="Central_Wairarapa"/>
    <s v="N158_344/626"/>
    <x v="4"/>
    <x v="4"/>
    <n v="1080"/>
    <n v="-3"/>
    <n v="1981"/>
    <s v="bxs"/>
    <n v="1111"/>
    <n v="4.88"/>
    <n v="4.1100000000000003"/>
    <n v="1.8694303999999995E-3"/>
    <n v="7.6833589439999983E-3"/>
    <n v="88"/>
    <n v="3.5"/>
    <n v="2.5"/>
    <n v="2"/>
    <n v="2"/>
    <n v="2"/>
    <s v="average"/>
  </r>
  <r>
    <s v="K81"/>
    <n v="3"/>
    <s v="Central_Wairarapa"/>
    <s v="N158_344/626"/>
    <x v="4"/>
    <x v="4"/>
    <n v="1080"/>
    <n v="-3"/>
    <n v="1981"/>
    <s v="br"/>
    <n v="1112"/>
    <n v="7.83"/>
    <n v="6.68"/>
    <n v="4.8127486499999995E-3"/>
    <n v="3.2149160981999998E-2"/>
    <n v="100"/>
    <n v="3"/>
    <n v="1.8"/>
    <n v="3.5"/>
    <n v="4"/>
    <n v="4"/>
    <s v="good"/>
  </r>
  <r>
    <s v="K81"/>
    <n v="3"/>
    <s v="Central_Wairarapa"/>
    <s v="N158_344/626"/>
    <x v="4"/>
    <x v="4"/>
    <n v="1080"/>
    <n v="-3"/>
    <n v="1981"/>
    <s v="br"/>
    <n v="1113"/>
    <n v="4.62"/>
    <n v="4.1100000000000003"/>
    <n v="1.6755353999999998E-3"/>
    <n v="6.8864504939999995E-3"/>
    <n v="88"/>
    <n v="3"/>
    <n v="2"/>
    <n v="2.5"/>
    <n v="3.5"/>
    <n v="3"/>
    <s v="average"/>
  </r>
  <r>
    <s v="K81"/>
    <n v="3"/>
    <s v="Central_Wairarapa"/>
    <s v="N158_344/626"/>
    <x v="4"/>
    <x v="4"/>
    <n v="1080"/>
    <n v="-3"/>
    <n v="1981"/>
    <s v="jo"/>
    <n v="1595"/>
    <n v="2.29"/>
    <n v="2.67"/>
    <n v="4.1166185000000003E-4"/>
    <n v="1.0991371395000001E-3"/>
    <n v="75"/>
    <n v="2.5"/>
    <n v="1.5"/>
    <n v="3"/>
    <n v="4"/>
    <n v="4"/>
    <s v="low"/>
  </r>
  <r>
    <s v="K81"/>
    <n v="3"/>
    <s v="Central_Wairarapa"/>
    <s v="N158_344/626"/>
    <x v="4"/>
    <x v="4"/>
    <n v="1080"/>
    <n v="-3"/>
    <n v="1981"/>
    <s v="el"/>
    <n v="1338"/>
    <n v="7.28"/>
    <n v="7.45"/>
    <n v="4.1603744000000007E-3"/>
    <n v="3.0994789280000004E-2"/>
    <n v="63"/>
    <n v="4"/>
    <n v="3"/>
    <n v="3.3"/>
    <n v="3.3"/>
    <n v="3"/>
    <s v="good"/>
  </r>
  <r>
    <s v="K81"/>
    <n v="3"/>
    <s v="Central_Wairarapa"/>
    <s v="N158_344/626"/>
    <x v="4"/>
    <x v="4"/>
    <n v="1080"/>
    <n v="-3"/>
    <n v="1981"/>
    <s v="fa"/>
    <n v="1978"/>
    <n v="16.54"/>
    <n v="9.93"/>
    <n v="2.1475370599999998E-2"/>
    <n v="0.21325043005799998"/>
    <n v="100"/>
    <n v="5"/>
    <n v="3.3"/>
    <n v="3.3"/>
    <n v="2.5"/>
    <n v="2"/>
    <s v="best"/>
  </r>
  <r>
    <s v="K81"/>
    <n v="3"/>
    <s v="Central_Wairarapa"/>
    <s v="N158_344/626"/>
    <x v="4"/>
    <x v="4"/>
    <n v="1080"/>
    <n v="-3"/>
    <n v="1981"/>
    <s v="fa"/>
    <n v="1482"/>
    <n v="10.54"/>
    <n v="7.84"/>
    <n v="8.720690599999999E-3"/>
    <n v="6.837021430399999E-2"/>
    <n v="88"/>
    <n v="4"/>
    <n v="3.3"/>
    <n v="3.3"/>
    <n v="3.5"/>
    <n v="3.5"/>
    <s v="good"/>
  </r>
  <r>
    <s v="K81"/>
    <n v="3"/>
    <s v="Central_Wairarapa"/>
    <s v="N158_344/626"/>
    <x v="4"/>
    <x v="4"/>
    <n v="1080"/>
    <n v="-3"/>
    <n v="1981"/>
    <s v="fr"/>
    <n v="1339"/>
    <n v="3.81"/>
    <n v="4.7300000000000004"/>
    <n v="1.1395138500000001E-3"/>
    <n v="5.3899005105000003E-3"/>
    <n v="100"/>
    <n v="3"/>
    <n v="2.7"/>
    <n v="3"/>
    <n v="3"/>
    <n v="3.5"/>
    <s v="good"/>
  </r>
  <r>
    <s v="K81"/>
    <n v="3"/>
    <s v="Central_Wairarapa"/>
    <s v="N158_344/626"/>
    <x v="4"/>
    <x v="4"/>
    <n v="1080"/>
    <n v="-3"/>
    <n v="1981"/>
    <s v="fr"/>
    <n v="2447"/>
    <n v="11.57"/>
    <n v="8.41"/>
    <n v="1.0508394649999999E-2"/>
    <n v="8.8375599006499994E-2"/>
    <n v="100"/>
    <n v="4"/>
    <n v="3"/>
    <n v="3.5"/>
    <n v="3.5"/>
    <n v="3.5"/>
    <s v="best"/>
  </r>
  <r>
    <s v="K81"/>
    <n v="3"/>
    <s v="Central_Wairarapa"/>
    <s v="N158_344/626"/>
    <x v="4"/>
    <x v="4"/>
    <n v="1080"/>
    <n v="-3"/>
    <n v="1981"/>
    <s v="fr"/>
    <n v="1786"/>
    <n v="13.67"/>
    <n v="8.81"/>
    <n v="1.466920865E-2"/>
    <n v="0.12923572820650001"/>
    <n v="100"/>
    <n v="4.8"/>
    <n v="3"/>
    <n v="3.5"/>
    <n v="3.5"/>
    <n v="3"/>
    <s v="best"/>
  </r>
  <r>
    <s v="K81"/>
    <n v="3"/>
    <s v="Central_Wairarapa"/>
    <s v="N158_344/626"/>
    <x v="4"/>
    <x v="4"/>
    <n v="1080"/>
    <n v="-3"/>
    <n v="1981"/>
    <s v="nd"/>
    <n v="1596"/>
    <n v="7.03"/>
    <n v="5.99"/>
    <n v="3.8795406500000008E-3"/>
    <n v="2.3238448493500007E-2"/>
    <n v="88"/>
    <n v="3.5"/>
    <n v="2.7"/>
    <n v="3.5"/>
    <n v="4"/>
    <n v="4"/>
    <s v="best"/>
  </r>
  <r>
    <s v="K81"/>
    <n v="3"/>
    <s v="Central_Wairarapa"/>
    <s v="N158_344/626"/>
    <x v="4"/>
    <x v="4"/>
    <n v="1080"/>
    <n v="-3"/>
    <n v="1981"/>
    <s v="ka"/>
    <n v="1171"/>
    <m/>
    <m/>
    <n v="0"/>
    <n v="0"/>
    <s v="?"/>
    <n v="2.5"/>
    <n v="2"/>
    <n v="1"/>
    <n v="1"/>
    <n v="1"/>
    <s v="none"/>
  </r>
  <r>
    <s v="K81"/>
    <n v="3"/>
    <s v="Central_Wairarapa"/>
    <s v="N158_344/626"/>
    <x v="4"/>
    <x v="4"/>
    <n v="1080"/>
    <n v="-3"/>
    <n v="1981"/>
    <s v="ob"/>
    <n v="2469"/>
    <n v="7.68"/>
    <n v="8"/>
    <n v="4.6301183999999992E-3"/>
    <n v="3.7040947199999993E-2"/>
    <n v="88"/>
    <n v="4.5"/>
    <n v="3"/>
    <n v="4"/>
    <n v="4"/>
    <n v="4"/>
    <s v="best"/>
  </r>
  <r>
    <s v="K81"/>
    <n v="3"/>
    <s v="Central_Wairarapa"/>
    <s v="N158_344/626"/>
    <x v="4"/>
    <x v="4"/>
    <n v="1080"/>
    <n v="-3"/>
    <n v="1981"/>
    <s v="ov"/>
    <n v="1785"/>
    <n v="3.2"/>
    <n v="3.56"/>
    <n v="8.0384E-4"/>
    <n v="2.8616703999999999E-3"/>
    <n v="88"/>
    <n v="1.5"/>
    <n v="1.8"/>
    <n v="2.5"/>
    <n v="3.3"/>
    <n v="3.5"/>
    <s v="low"/>
  </r>
  <r>
    <s v="K81"/>
    <n v="3"/>
    <s v="Central_Wairarapa"/>
    <s v="N158_344/626"/>
    <x v="4"/>
    <x v="4"/>
    <n v="1080"/>
    <n v="-3"/>
    <n v="1981"/>
    <s v="pu"/>
    <n v="1598"/>
    <n v="6.78"/>
    <n v="5.62"/>
    <n v="3.6085193999999998E-3"/>
    <n v="2.0279879027999999E-2"/>
    <n v="63"/>
    <n v="3"/>
    <n v="4"/>
    <n v="2.5"/>
    <n v="3"/>
    <n v="2"/>
    <s v="average"/>
  </r>
  <r>
    <s v="K81"/>
    <n v="3"/>
    <s v="Central_Wairarapa"/>
    <s v="N158_344/626"/>
    <x v="4"/>
    <x v="4"/>
    <n v="1080"/>
    <n v="-3"/>
    <n v="1981"/>
    <s v="re"/>
    <n v="2428"/>
    <n v="5.16"/>
    <n v="5.86"/>
    <n v="2.0901095999999999E-3"/>
    <n v="1.2248042256E-2"/>
    <n v="75"/>
    <n v="4"/>
    <n v="3"/>
    <n v="4"/>
    <n v="4"/>
    <n v="4"/>
    <s v="best"/>
  </r>
  <r>
    <s v="K81"/>
    <n v="3"/>
    <s v="Central_Wairarapa"/>
    <s v="N158_344/626"/>
    <x v="4"/>
    <x v="4"/>
    <n v="1080"/>
    <n v="-3"/>
    <n v="1981"/>
    <s v="re"/>
    <n v="2431"/>
    <n v="3.35"/>
    <n v="5.16"/>
    <n v="8.8096625000000015E-4"/>
    <n v="4.545785850000001E-3"/>
    <n v="100"/>
    <n v="3"/>
    <n v="3"/>
    <n v="4.5"/>
    <n v="4"/>
    <n v="4"/>
    <s v="good"/>
  </r>
  <r>
    <s v="K81"/>
    <n v="3"/>
    <s v="Central_Wairarapa"/>
    <s v="N158_344/626"/>
    <x v="4"/>
    <x v="4"/>
    <n v="1080"/>
    <n v="-3"/>
    <n v="1981"/>
    <s v="re"/>
    <n v="1787"/>
    <n v="3.77"/>
    <n v="4.88"/>
    <n v="1.1157126499999998E-3"/>
    <n v="5.444677731999999E-3"/>
    <n v="88"/>
    <n v="4"/>
    <n v="3.5"/>
    <n v="4"/>
    <n v="4"/>
    <n v="4"/>
    <s v="best"/>
  </r>
  <r>
    <s v="K81"/>
    <n v="3"/>
    <s v="Central_Wairarapa"/>
    <s v="N158_344/626"/>
    <x v="4"/>
    <x v="4"/>
    <n v="1080"/>
    <n v="-3"/>
    <n v="1981"/>
    <s v="rd"/>
    <n v="1524"/>
    <n v="4.49"/>
    <n v="4.49"/>
    <n v="1.5825678500000003E-3"/>
    <n v="7.1057296465000018E-3"/>
    <n v="88"/>
    <n v="2.2999999999999998"/>
    <n v="2"/>
    <n v="2.5"/>
    <n v="4"/>
    <n v="3"/>
    <s v="low"/>
  </r>
  <r>
    <s v="K81"/>
    <n v="3"/>
    <s v="Central_Wairarapa"/>
    <s v="N158_344/626"/>
    <x v="4"/>
    <x v="4"/>
    <n v="1080"/>
    <n v="-3"/>
    <n v="1981"/>
    <s v="sm"/>
    <n v="1340"/>
    <n v="6.11"/>
    <n v="5.74"/>
    <n v="2.9305698500000001E-3"/>
    <n v="1.6821470939000001E-2"/>
    <n v="100"/>
    <n v="2.5"/>
    <n v="1.5"/>
    <n v="1.5"/>
    <n v="1"/>
    <n v="1"/>
    <s v="low"/>
  </r>
  <r>
    <s v="K81"/>
    <n v="3"/>
    <s v="Central_Wairarapa"/>
    <s v="N158_344/626"/>
    <x v="4"/>
    <x v="4"/>
    <n v="1080"/>
    <n v="-3"/>
    <n v="1981"/>
    <s v="nc"/>
    <n v="1780"/>
    <n v="3.51"/>
    <n v="4.68"/>
    <n v="9.6712784999999999E-4"/>
    <n v="4.5261583379999993E-3"/>
    <n v="25"/>
    <n v="1.5"/>
    <n v="1.5"/>
    <n v="2"/>
    <n v="2"/>
    <n v="3"/>
    <s v="low"/>
  </r>
  <r>
    <s v="Wak"/>
    <n v="1"/>
    <s v="South_Wairarapa"/>
    <s v="N162_081/300"/>
    <x v="5"/>
    <x v="5"/>
    <n v="1000"/>
    <n v="-3"/>
    <n v="1981"/>
    <s v="ag"/>
    <n v="1094"/>
    <n v="12"/>
    <n v="10.3"/>
    <n v="1.1304E-2"/>
    <n v="0.11643120000000001"/>
    <n v="38"/>
    <n v="2.8"/>
    <n v="3.2"/>
    <n v="2.8"/>
    <n v="3.2"/>
    <n v="3"/>
    <s v="low"/>
  </r>
  <r>
    <s v="Wak"/>
    <n v="1"/>
    <s v="South_Wairarapa"/>
    <s v="N162_081/300"/>
    <x v="5"/>
    <x v="5"/>
    <n v="1000"/>
    <n v="-3"/>
    <n v="1981"/>
    <s v="bxs"/>
    <n v="1111"/>
    <n v="15"/>
    <n v="8.4"/>
    <n v="1.7662500000000001E-2"/>
    <n v="0.14836500000000002"/>
    <n v="88"/>
    <n v="3"/>
    <n v="3"/>
    <n v="3"/>
    <n v="3"/>
    <n v="2"/>
    <s v="average"/>
  </r>
  <r>
    <s v="Wak"/>
    <n v="1"/>
    <s v="South_Wairarapa"/>
    <s v="N162_081/300"/>
    <x v="5"/>
    <x v="5"/>
    <n v="1000"/>
    <n v="-3"/>
    <n v="1981"/>
    <s v="br"/>
    <n v="1112"/>
    <n v="13"/>
    <n v="11.1"/>
    <n v="1.3266500000000002E-2"/>
    <n v="0.14725815000000003"/>
    <n v="100"/>
    <n v="3"/>
    <n v="2"/>
    <n v="3.5"/>
    <n v="3"/>
    <n v="3"/>
    <s v="average"/>
  </r>
  <r>
    <s v="Wak"/>
    <n v="1"/>
    <s v="South_Wairarapa"/>
    <s v="N162_081/300"/>
    <x v="5"/>
    <x v="5"/>
    <n v="1000"/>
    <n v="-3"/>
    <n v="1981"/>
    <s v="br"/>
    <n v="1113"/>
    <n v="8.6"/>
    <n v="9.5"/>
    <n v="5.8058599999999995E-3"/>
    <n v="5.5155669999999997E-2"/>
    <n v="100"/>
    <n v="2"/>
    <n v="1.5"/>
    <n v="4"/>
    <n v="4"/>
    <n v="4"/>
    <s v="low"/>
  </r>
  <r>
    <s v="Wak"/>
    <n v="1"/>
    <s v="South_Wairarapa"/>
    <s v="N162_081/300"/>
    <x v="5"/>
    <x v="5"/>
    <n v="1000"/>
    <n v="-3"/>
    <n v="1981"/>
    <s v="el"/>
    <n v="1338"/>
    <n v="8.1999999999999993"/>
    <n v="6.6"/>
    <n v="5.2783399999999986E-3"/>
    <n v="3.4837043999999991E-2"/>
    <n v="63"/>
    <n v="4"/>
    <n v="4"/>
    <n v="3"/>
    <n v="3"/>
    <n v="3"/>
    <s v="average"/>
  </r>
  <r>
    <s v="Wak"/>
    <n v="1"/>
    <s v="South_Wairarapa"/>
    <s v="N162_081/300"/>
    <x v="5"/>
    <x v="5"/>
    <n v="1000"/>
    <n v="-3"/>
    <n v="1981"/>
    <s v="fa"/>
    <n v="1978"/>
    <n v="15.7"/>
    <n v="10"/>
    <n v="1.9349465E-2"/>
    <n v="0.19349464999999999"/>
    <n v="100"/>
    <n v="4"/>
    <n v="3"/>
    <n v="2.5"/>
    <n v="2.5"/>
    <n v="2.5"/>
    <s v="good"/>
  </r>
  <r>
    <s v="Wak"/>
    <n v="1"/>
    <s v="South_Wairarapa"/>
    <s v="N162_081/300"/>
    <x v="5"/>
    <x v="5"/>
    <n v="1000"/>
    <n v="-3"/>
    <n v="1981"/>
    <s v="fa"/>
    <n v="1482"/>
    <n v="15.9"/>
    <n v="8.8000000000000007"/>
    <n v="1.9845585000000002E-2"/>
    <n v="0.17464114800000002"/>
    <n v="75"/>
    <n v="4"/>
    <n v="3"/>
    <n v="3"/>
    <n v="2"/>
    <n v="2.5"/>
    <s v="good"/>
  </r>
  <r>
    <s v="Wak"/>
    <n v="1"/>
    <s v="South_Wairarapa"/>
    <s v="N162_081/300"/>
    <x v="5"/>
    <x v="5"/>
    <n v="1000"/>
    <n v="-3"/>
    <n v="1981"/>
    <s v="fr"/>
    <n v="1339"/>
    <n v="13.7"/>
    <n v="9.9"/>
    <n v="1.4733664999999996E-2"/>
    <n v="0.14586328349999997"/>
    <n v="88"/>
    <n v="4"/>
    <n v="3"/>
    <n v="2.5"/>
    <n v="2.5"/>
    <n v="2.5"/>
    <s v="average"/>
  </r>
  <r>
    <s v="Wak"/>
    <n v="1"/>
    <s v="South_Wairarapa"/>
    <s v="N162_081/300"/>
    <x v="5"/>
    <x v="5"/>
    <n v="1000"/>
    <n v="-3"/>
    <n v="1981"/>
    <s v="fr"/>
    <n v="2447"/>
    <n v="11.2"/>
    <n v="9.1"/>
    <n v="9.8470399999999979E-3"/>
    <n v="8.9608063999999973E-2"/>
    <n v="88"/>
    <n v="4"/>
    <n v="3.5"/>
    <n v="3"/>
    <n v="3.5"/>
    <n v="3"/>
    <s v="good"/>
  </r>
  <r>
    <s v="Wak"/>
    <n v="1"/>
    <s v="South_Wairarapa"/>
    <s v="N162_081/300"/>
    <x v="5"/>
    <x v="5"/>
    <n v="1000"/>
    <n v="-3"/>
    <n v="1981"/>
    <s v="fr"/>
    <n v="1786"/>
    <n v="18.899999999999999"/>
    <n v="11.8"/>
    <n v="2.8040984999999994E-2"/>
    <n v="0.33088362299999996"/>
    <n v="75"/>
    <n v="5"/>
    <n v="3"/>
    <n v="2.5"/>
    <n v="2.5"/>
    <n v="2"/>
    <s v="average"/>
  </r>
  <r>
    <s v="Wak"/>
    <n v="1"/>
    <s v="South_Wairarapa"/>
    <s v="N162_081/300"/>
    <x v="5"/>
    <x v="5"/>
    <n v="1000"/>
    <n v="-3"/>
    <n v="1981"/>
    <s v="nd"/>
    <n v="1596"/>
    <n v="11.6"/>
    <n v="8.9"/>
    <n v="1.0562959999999998E-2"/>
    <n v="9.4010343999999982E-2"/>
    <n v="100"/>
    <n v="4"/>
    <n v="3"/>
    <n v="4"/>
    <n v="4"/>
    <n v="4"/>
    <s v="best"/>
  </r>
  <r>
    <s v="Wak"/>
    <n v="1"/>
    <s v="South_Wairarapa"/>
    <s v="N162_081/300"/>
    <x v="5"/>
    <x v="5"/>
    <n v="1000"/>
    <n v="-3"/>
    <n v="1981"/>
    <s v="ka"/>
    <n v="1171"/>
    <n v="8.6"/>
    <n v="8.9"/>
    <n v="5.8058599999999995E-3"/>
    <n v="5.1672153999999998E-2"/>
    <n v="100"/>
    <n v="3"/>
    <n v="2.5"/>
    <n v="2.8"/>
    <n v="3"/>
    <n v="2.8"/>
    <s v="low"/>
  </r>
  <r>
    <s v="Wak"/>
    <n v="1"/>
    <s v="South_Wairarapa"/>
    <s v="N162_081/300"/>
    <x v="5"/>
    <x v="5"/>
    <n v="1000"/>
    <n v="-3"/>
    <n v="1981"/>
    <s v="ob"/>
    <n v="2469"/>
    <n v="13.4"/>
    <n v="12.3"/>
    <n v="1.4095460000000002E-2"/>
    <n v="0.17337415800000003"/>
    <n v="88"/>
    <n v="4"/>
    <n v="3"/>
    <n v="3.5"/>
    <n v="3"/>
    <n v="2.5"/>
    <s v="best"/>
  </r>
  <r>
    <s v="Wak"/>
    <n v="1"/>
    <s v="South_Wairarapa"/>
    <s v="N162_081/300"/>
    <x v="5"/>
    <x v="5"/>
    <n v="1000"/>
    <n v="-3"/>
    <n v="1981"/>
    <s v="ob"/>
    <n v="1337"/>
    <n v="19.600000000000001"/>
    <n v="11.8"/>
    <n v="3.0156560000000006E-2"/>
    <n v="0.35584740800000009"/>
    <n v="63"/>
    <n v="5"/>
    <n v="3"/>
    <n v="3.5"/>
    <n v="3"/>
    <n v="2"/>
    <s v="best"/>
  </r>
  <r>
    <s v="Wak"/>
    <n v="1"/>
    <s v="South_Wairarapa"/>
    <s v="N162_081/300"/>
    <x v="5"/>
    <x v="5"/>
    <n v="1000"/>
    <n v="-3"/>
    <n v="1981"/>
    <s v="ov"/>
    <n v="1785"/>
    <n v="11.1"/>
    <n v="8.6999999999999993"/>
    <n v="9.671985000000001E-3"/>
    <n v="8.4146269499999996E-2"/>
    <n v="88"/>
    <n v="3"/>
    <n v="2"/>
    <n v="3"/>
    <n v="4"/>
    <n v="4"/>
    <s v="good"/>
  </r>
  <r>
    <s v="Wak"/>
    <n v="1"/>
    <s v="South_Wairarapa"/>
    <s v="N162_081/300"/>
    <x v="5"/>
    <x v="5"/>
    <n v="1000"/>
    <n v="-3"/>
    <n v="1981"/>
    <s v="pu"/>
    <n v="1598"/>
    <n v="10.8"/>
    <n v="10"/>
    <n v="9.156240000000003E-3"/>
    <n v="9.156240000000003E-2"/>
    <n v="75"/>
    <n v="3"/>
    <n v="4"/>
    <n v="3"/>
    <n v="4"/>
    <n v="3"/>
    <s v="good"/>
  </r>
  <r>
    <s v="Wak"/>
    <n v="1"/>
    <s v="South_Wairarapa"/>
    <s v="N162_081/300"/>
    <x v="5"/>
    <x v="5"/>
    <n v="1000"/>
    <n v="-3"/>
    <n v="1981"/>
    <s v="re"/>
    <n v="2428"/>
    <n v="11.2"/>
    <n v="12.2"/>
    <n v="9.8470399999999979E-3"/>
    <n v="0.12013388799999997"/>
    <n v="75"/>
    <n v="5"/>
    <n v="3"/>
    <n v="4"/>
    <n v="3.5"/>
    <n v="3.5"/>
    <s v="good"/>
  </r>
  <r>
    <s v="Wak"/>
    <n v="1"/>
    <s v="South_Wairarapa"/>
    <s v="N162_081/300"/>
    <x v="5"/>
    <x v="5"/>
    <n v="1000"/>
    <n v="-3"/>
    <n v="1981"/>
    <s v="re"/>
    <n v="2430"/>
    <n v="14"/>
    <n v="13"/>
    <n v="1.5386000000000002E-2"/>
    <n v="0.20001800000000003"/>
    <n v="63"/>
    <n v="5"/>
    <n v="3"/>
    <n v="3"/>
    <n v="2"/>
    <n v="2.5"/>
    <s v="good"/>
  </r>
  <r>
    <s v="Wak"/>
    <n v="1"/>
    <s v="South_Wairarapa"/>
    <s v="N162_081/300"/>
    <x v="5"/>
    <x v="5"/>
    <n v="1000"/>
    <n v="-3"/>
    <n v="1981"/>
    <s v="re"/>
    <n v="2431"/>
    <n v="9"/>
    <n v="9.6"/>
    <n v="6.3584999999999996E-3"/>
    <n v="6.1041599999999994E-2"/>
    <n v="75"/>
    <n v="4"/>
    <n v="3"/>
    <n v="4"/>
    <n v="3"/>
    <n v="2.5"/>
    <s v="good"/>
  </r>
  <r>
    <s v="Wak"/>
    <n v="1"/>
    <s v="South_Wairarapa"/>
    <s v="N162_081/300"/>
    <x v="5"/>
    <x v="5"/>
    <n v="1000"/>
    <n v="-3"/>
    <n v="1981"/>
    <s v="re"/>
    <n v="1787"/>
    <n v="14.4"/>
    <n v="12.9"/>
    <n v="1.6277760000000006E-2"/>
    <n v="0.20998310400000009"/>
    <n v="88"/>
    <n v="5"/>
    <n v="3"/>
    <n v="3"/>
    <n v="3"/>
    <n v="2.5"/>
    <s v="good"/>
  </r>
  <r>
    <s v="Wak"/>
    <n v="1"/>
    <s v="South_Wairarapa"/>
    <s v="N162_081/300"/>
    <x v="5"/>
    <x v="5"/>
    <n v="1000"/>
    <n v="-3"/>
    <n v="1981"/>
    <s v="nc"/>
    <n v="1780"/>
    <n v="8.8000000000000007"/>
    <n v="5.3"/>
    <n v="6.0790400000000017E-3"/>
    <n v="3.2218912000000009E-2"/>
    <n v="63"/>
    <n v="3"/>
    <n v="3"/>
    <n v="3"/>
    <n v="4"/>
    <n v="4"/>
    <s v="average"/>
  </r>
  <r>
    <s v="Wak"/>
    <n v="1"/>
    <s v="South_Wairarapa"/>
    <s v="N162_081/300"/>
    <x v="5"/>
    <x v="5"/>
    <n v="1000"/>
    <n v="-3"/>
    <n v="1981"/>
    <s v="rd"/>
    <n v="1524"/>
    <n v="6.5"/>
    <n v="7"/>
    <n v="3.3166250000000006E-3"/>
    <n v="2.3216375000000004E-2"/>
    <n v="50"/>
    <n v="2.5"/>
    <n v="2.5"/>
    <n v="3"/>
    <n v="3"/>
    <n v="3"/>
    <s v="low"/>
  </r>
  <r>
    <s v="Wak"/>
    <n v="1"/>
    <s v="South_Wairarapa"/>
    <s v="N162_081/300"/>
    <x v="5"/>
    <x v="5"/>
    <n v="1000"/>
    <n v="-3"/>
    <n v="1981"/>
    <s v="sm"/>
    <n v="1340"/>
    <n v="5.7"/>
    <n v="5.7"/>
    <n v="2.550465E-3"/>
    <n v="1.4537650500000001E-2"/>
    <n v="100"/>
    <n v="3"/>
    <n v="2"/>
    <n v="3"/>
    <n v="3"/>
    <n v="3"/>
    <s v="low"/>
  </r>
  <r>
    <s v="Wak"/>
    <n v="1"/>
    <s v="South_Wairarapa"/>
    <s v="N162_081/300"/>
    <x v="5"/>
    <x v="5"/>
    <n v="1000"/>
    <n v="-3"/>
    <n v="1981"/>
    <s v="jo"/>
    <n v="1595"/>
    <n v="8"/>
    <n v="4.9000000000000004"/>
    <n v="5.0240000000000007E-3"/>
    <n v="2.4617600000000007E-2"/>
    <n v="88"/>
    <n v="3.5"/>
    <n v="1.5"/>
    <n v="4"/>
    <n v="4"/>
    <n v="4"/>
    <s v="average"/>
  </r>
  <r>
    <s v="Wak"/>
    <n v="2"/>
    <s v="South_Wairarapa"/>
    <s v="N162_081/300"/>
    <x v="5"/>
    <x v="5"/>
    <n v="1000"/>
    <n v="-3"/>
    <n v="1981"/>
    <s v="ag"/>
    <n v="1094"/>
    <n v="7.3"/>
    <n v="6.8"/>
    <n v="4.1832649999999994E-3"/>
    <n v="2.8446201999999993E-2"/>
    <n v="2.5"/>
    <n v="3.5"/>
    <n v="3.5"/>
    <n v="3.5"/>
    <n v="3.5"/>
    <n v="1.5"/>
    <s v="none"/>
  </r>
  <r>
    <s v="Wak"/>
    <n v="2"/>
    <s v="South_Wairarapa"/>
    <s v="N162_081/300"/>
    <x v="5"/>
    <x v="5"/>
    <n v="1000"/>
    <n v="-3"/>
    <n v="1981"/>
    <s v="bxs"/>
    <n v="1111"/>
    <n v="6.9"/>
    <n v="5.6"/>
    <n v="3.7373850000000006E-3"/>
    <n v="2.0929356000000003E-2"/>
    <n v="3"/>
    <n v="3"/>
    <n v="3"/>
    <n v="3"/>
    <n v="3"/>
    <n v="2"/>
    <s v="none"/>
  </r>
  <r>
    <s v="Wak"/>
    <n v="2"/>
    <s v="South_Wairarapa"/>
    <s v="N162_081/300"/>
    <x v="5"/>
    <x v="5"/>
    <n v="1000"/>
    <n v="-3"/>
    <n v="1981"/>
    <s v="br"/>
    <n v="1112"/>
    <n v="7.4"/>
    <n v="6.6"/>
    <n v="4.2986600000000019E-3"/>
    <n v="2.8371156000000012E-2"/>
    <n v="3"/>
    <n v="2"/>
    <n v="3"/>
    <n v="3"/>
    <n v="3"/>
    <n v="1"/>
    <s v="none"/>
  </r>
  <r>
    <s v="Wak"/>
    <n v="2"/>
    <s v="South_Wairarapa"/>
    <s v="N162_081/300"/>
    <x v="5"/>
    <x v="5"/>
    <n v="1000"/>
    <n v="-3"/>
    <n v="1981"/>
    <s v="br"/>
    <n v="1113"/>
    <n v="6.6"/>
    <n v="5.4"/>
    <n v="3.4194600000000005E-3"/>
    <n v="1.8465084000000003E-2"/>
    <n v="3"/>
    <n v="2"/>
    <n v="3"/>
    <n v="3"/>
    <n v="3.5"/>
    <n v="1.5"/>
    <s v="none"/>
  </r>
  <r>
    <s v="Wak"/>
    <n v="2"/>
    <s v="South_Wairarapa"/>
    <s v="N162_081/300"/>
    <x v="5"/>
    <x v="5"/>
    <n v="1000"/>
    <n v="-3"/>
    <n v="1981"/>
    <s v="el"/>
    <n v="1338"/>
    <n v="7.3"/>
    <n v="5.6"/>
    <n v="4.1832649999999994E-3"/>
    <n v="2.3426283999999995E-2"/>
    <n v="3.5"/>
    <n v="3"/>
    <n v="2.5"/>
    <n v="2.5"/>
    <n v="2.5"/>
    <n v="1.5"/>
    <s v="none"/>
  </r>
  <r>
    <s v="Wak"/>
    <n v="2"/>
    <s v="South_Wairarapa"/>
    <s v="N162_081/300"/>
    <x v="5"/>
    <x v="5"/>
    <n v="1000"/>
    <n v="-3"/>
    <n v="1981"/>
    <s v="fa"/>
    <n v="1978"/>
    <n v="19.600000000000001"/>
    <n v="10.3"/>
    <n v="3.0156560000000006E-2"/>
    <n v="0.31061256800000009"/>
    <n v="3"/>
    <n v="3"/>
    <n v="2.5"/>
    <n v="2.5"/>
    <n v="2"/>
    <n v="2"/>
    <s v="none"/>
  </r>
  <r>
    <s v="Wak"/>
    <n v="2"/>
    <s v="South_Wairarapa"/>
    <s v="N162_081/300"/>
    <x v="5"/>
    <x v="5"/>
    <n v="1000"/>
    <n v="-3"/>
    <n v="1981"/>
    <s v="fa"/>
    <n v="1482"/>
    <n v="15.4"/>
    <n v="15.8"/>
    <n v="1.8617060000000001E-2"/>
    <n v="0.29414954800000004"/>
    <n v="4"/>
    <n v="3"/>
    <n v="3"/>
    <n v="3"/>
    <n v="3"/>
    <n v="3"/>
    <s v="none"/>
  </r>
  <r>
    <s v="Wak"/>
    <n v="2"/>
    <s v="South_Wairarapa"/>
    <s v="N162_081/300"/>
    <x v="5"/>
    <x v="5"/>
    <n v="1000"/>
    <n v="-3"/>
    <n v="1981"/>
    <s v="fr"/>
    <n v="1339"/>
    <n v="15"/>
    <n v="11.6"/>
    <n v="1.7662500000000001E-2"/>
    <n v="0.20488500000000001"/>
    <n v="4"/>
    <n v="3"/>
    <n v="2"/>
    <n v="2"/>
    <n v="2"/>
    <n v="3"/>
    <s v="none"/>
  </r>
  <r>
    <s v="Wak"/>
    <n v="2"/>
    <s v="South_Wairarapa"/>
    <s v="N162_081/300"/>
    <x v="5"/>
    <x v="5"/>
    <n v="1000"/>
    <n v="-3"/>
    <n v="1981"/>
    <s v="fr"/>
    <n v="2447"/>
    <n v="13.9"/>
    <n v="11.1"/>
    <n v="1.5166985000000004E-2"/>
    <n v="0.16835353350000004"/>
    <n v="5"/>
    <n v="3"/>
    <n v="3"/>
    <n v="2.5"/>
    <n v="2"/>
    <n v="3"/>
    <s v="none"/>
  </r>
  <r>
    <s v="Wak"/>
    <n v="2"/>
    <s v="South_Wairarapa"/>
    <s v="N162_081/300"/>
    <x v="5"/>
    <x v="5"/>
    <n v="1000"/>
    <n v="-3"/>
    <n v="1981"/>
    <s v="fr"/>
    <n v="1786"/>
    <n v="15.6"/>
    <n v="12.1"/>
    <n v="1.9103760000000001E-2"/>
    <n v="0.23115549600000002"/>
    <n v="4"/>
    <n v="3"/>
    <n v="3.5"/>
    <n v="3"/>
    <n v="2"/>
    <n v="3"/>
    <s v="none"/>
  </r>
  <r>
    <s v="Wak"/>
    <n v="2"/>
    <s v="South_Wairarapa"/>
    <s v="N162_081/300"/>
    <x v="5"/>
    <x v="5"/>
    <n v="1000"/>
    <n v="-3"/>
    <n v="1981"/>
    <s v="nd"/>
    <n v="1596"/>
    <n v="7.9"/>
    <n v="8.6"/>
    <n v="4.8991850000000003E-3"/>
    <n v="4.2132991000000002E-2"/>
    <n v="2.5"/>
    <n v="3"/>
    <n v="2.5"/>
    <n v="4"/>
    <n v="3.5"/>
    <n v="1"/>
    <s v="none"/>
  </r>
  <r>
    <s v="Wak"/>
    <n v="2"/>
    <s v="South_Wairarapa"/>
    <s v="N162_081/300"/>
    <x v="5"/>
    <x v="5"/>
    <n v="1000"/>
    <n v="-3"/>
    <n v="1981"/>
    <s v="ka"/>
    <n v="1171"/>
    <n v="6.6"/>
    <n v="5.8"/>
    <n v="3.4194600000000005E-3"/>
    <n v="1.9832868000000003E-2"/>
    <n v="2"/>
    <n v="3"/>
    <n v="2.5"/>
    <n v="2.5"/>
    <n v="3"/>
    <n v="0.5"/>
    <s v="none"/>
  </r>
  <r>
    <s v="Wak"/>
    <n v="2"/>
    <s v="South_Wairarapa"/>
    <s v="N162_081/300"/>
    <x v="5"/>
    <x v="5"/>
    <n v="1000"/>
    <n v="-3"/>
    <n v="1981"/>
    <s v="ob"/>
    <n v="2469"/>
    <n v="15.2"/>
    <n v="12.3"/>
    <n v="1.8136639999999999E-2"/>
    <n v="0.22308067200000001"/>
    <n v="5"/>
    <n v="3"/>
    <n v="4"/>
    <n v="3.5"/>
    <n v="3"/>
    <n v="4"/>
    <s v="none"/>
  </r>
  <r>
    <s v="Wak"/>
    <n v="2"/>
    <s v="South_Wairarapa"/>
    <s v="N162_081/300"/>
    <x v="5"/>
    <x v="5"/>
    <n v="1000"/>
    <n v="-3"/>
    <n v="1981"/>
    <s v="ob"/>
    <n v="1337"/>
    <n v="17.100000000000001"/>
    <n v="12.1"/>
    <n v="2.2954185000000002E-2"/>
    <n v="0.2777456385"/>
    <n v="5"/>
    <n v="3"/>
    <n v="3.5"/>
    <n v="3"/>
    <n v="3"/>
    <n v="4"/>
    <s v="none"/>
  </r>
  <r>
    <s v="Wak"/>
    <n v="2"/>
    <s v="South_Wairarapa"/>
    <s v="N162_081/300"/>
    <x v="5"/>
    <x v="5"/>
    <n v="1000"/>
    <n v="-3"/>
    <n v="1981"/>
    <s v="ov"/>
    <n v="1785"/>
    <n v="5.5"/>
    <n v="3.4"/>
    <n v="2.374625E-3"/>
    <n v="8.0737250000000003E-3"/>
    <n v="2"/>
    <n v="1"/>
    <n v="3"/>
    <n v="2.5"/>
    <n v="3"/>
    <n v="1"/>
    <s v="none"/>
  </r>
  <r>
    <s v="Wak"/>
    <n v="2"/>
    <s v="South_Wairarapa"/>
    <s v="N162_081/300"/>
    <x v="5"/>
    <x v="5"/>
    <n v="1000"/>
    <n v="-3"/>
    <n v="1981"/>
    <s v="pu"/>
    <n v="1598"/>
    <n v="15.3"/>
    <n v="12.7"/>
    <n v="1.8376065E-2"/>
    <n v="0.2333760255"/>
    <n v="3"/>
    <n v="4"/>
    <n v="2.5"/>
    <n v="3"/>
    <n v="2"/>
    <n v="3"/>
    <s v="none"/>
  </r>
  <r>
    <s v="Wak"/>
    <n v="2"/>
    <s v="South_Wairarapa"/>
    <s v="N162_081/300"/>
    <x v="5"/>
    <x v="5"/>
    <n v="1000"/>
    <n v="-3"/>
    <n v="1981"/>
    <s v="re"/>
    <n v="2428"/>
    <n v="10.9"/>
    <n v="9.8000000000000007"/>
    <n v="9.3265850000000001E-3"/>
    <n v="9.1400533000000006E-2"/>
    <n v="4"/>
    <n v="3"/>
    <n v="2.5"/>
    <n v="2"/>
    <n v="3"/>
    <n v="4"/>
    <s v="none"/>
  </r>
  <r>
    <s v="Wak"/>
    <n v="2"/>
    <s v="South_Wairarapa"/>
    <s v="N162_081/300"/>
    <x v="5"/>
    <x v="5"/>
    <n v="1000"/>
    <n v="-3"/>
    <n v="1981"/>
    <s v="re"/>
    <n v="2430"/>
    <n v="13"/>
    <n v="10.4"/>
    <n v="1.3266500000000002E-2"/>
    <n v="0.13797160000000003"/>
    <n v="4"/>
    <n v="3"/>
    <n v="3.5"/>
    <n v="2.5"/>
    <n v="2"/>
    <n v="4"/>
    <s v="none"/>
  </r>
  <r>
    <s v="Wak"/>
    <n v="2"/>
    <s v="South_Wairarapa"/>
    <s v="N162_081/300"/>
    <x v="5"/>
    <x v="5"/>
    <n v="1000"/>
    <n v="-3"/>
    <n v="1981"/>
    <s v="re"/>
    <n v="2431"/>
    <n v="10.6"/>
    <n v="10.199999999999999"/>
    <n v="8.8202599999999999E-3"/>
    <n v="8.9966651999999994E-2"/>
    <n v="4"/>
    <n v="3"/>
    <n v="3.5"/>
    <n v="2.5"/>
    <n v="3"/>
    <n v="3"/>
    <s v="none"/>
  </r>
  <r>
    <s v="Wak"/>
    <n v="2"/>
    <s v="South_Wairarapa"/>
    <s v="N162_081/300"/>
    <x v="5"/>
    <x v="5"/>
    <n v="1000"/>
    <n v="-3"/>
    <n v="1981"/>
    <s v="re"/>
    <n v="1787"/>
    <n v="10.3"/>
    <n v="10"/>
    <n v="8.3280650000000025E-3"/>
    <n v="8.3280650000000025E-2"/>
    <n v="4"/>
    <n v="3"/>
    <n v="4"/>
    <n v="3"/>
    <n v="3"/>
    <n v="3"/>
    <s v="none"/>
  </r>
  <r>
    <s v="Wak"/>
    <n v="2"/>
    <s v="South_Wairarapa"/>
    <s v="N162_081/300"/>
    <x v="5"/>
    <x v="5"/>
    <n v="1000"/>
    <n v="-3"/>
    <n v="1981"/>
    <s v="nc"/>
    <n v="1780"/>
    <n v="3.2"/>
    <n v="5.9"/>
    <n v="8.0384E-4"/>
    <n v="4.7426560000000005E-3"/>
    <n v="1.5"/>
    <n v="3"/>
    <n v="2"/>
    <n v="2"/>
    <n v="2"/>
    <n v="0"/>
    <s v="none"/>
  </r>
  <r>
    <s v="Wak"/>
    <n v="2"/>
    <s v="South_Wairarapa"/>
    <s v="N162_081/300"/>
    <x v="5"/>
    <x v="5"/>
    <n v="1000"/>
    <n v="-3"/>
    <n v="1981"/>
    <s v="si"/>
    <n v="2435"/>
    <n v="15"/>
    <n v="13"/>
    <n v="1.7662500000000001E-2"/>
    <n v="0.22961250000000002"/>
    <n v="2.5"/>
    <n v="3"/>
    <n v="4"/>
    <n v="4"/>
    <n v="4"/>
    <n v="2"/>
    <s v="none"/>
  </r>
  <r>
    <s v="Wak"/>
    <n v="2"/>
    <s v="South_Wairarapa"/>
    <s v="N162_081/300"/>
    <x v="5"/>
    <x v="5"/>
    <n v="1000"/>
    <n v="-3"/>
    <n v="1981"/>
    <s v="rd"/>
    <n v="1524"/>
    <n v="6.8"/>
    <n v="5.6"/>
    <n v="3.6298400000000005E-3"/>
    <n v="2.0327104000000002E-2"/>
    <n v="2"/>
    <n v="2"/>
    <n v="2"/>
    <n v="3"/>
    <n v="3"/>
    <n v="0"/>
    <s v="none"/>
  </r>
  <r>
    <s v="Wak"/>
    <n v="2"/>
    <s v="South_Wairarapa"/>
    <s v="N162_081/300"/>
    <x v="5"/>
    <x v="5"/>
    <n v="1000"/>
    <n v="-3"/>
    <n v="1981"/>
    <s v="sm"/>
    <n v="1340"/>
    <n v="7.7"/>
    <n v="6.1"/>
    <n v="4.6542650000000003E-3"/>
    <n v="2.8391016500000001E-2"/>
    <n v="2"/>
    <n v="2"/>
    <n v="2"/>
    <n v="2"/>
    <n v="3"/>
    <n v="0.5"/>
    <s v="none"/>
  </r>
  <r>
    <s v="Wak"/>
    <n v="2"/>
    <s v="South_Wairarapa"/>
    <s v="N162_081/300"/>
    <x v="5"/>
    <x v="5"/>
    <n v="1000"/>
    <n v="-3"/>
    <n v="1981"/>
    <s v="jo"/>
    <n v="1595"/>
    <n v="3.1"/>
    <n v="2.9"/>
    <n v="7.5438499999999999E-4"/>
    <n v="2.1877164999999999E-3"/>
    <n v="2"/>
    <n v="1.5"/>
    <n v="3"/>
    <n v="3"/>
    <n v="3.5"/>
    <n v="1"/>
    <s v="none"/>
  </r>
  <r>
    <s v="Wak"/>
    <n v="3"/>
    <s v="South_Wairarapa"/>
    <s v="N162_081/300"/>
    <x v="5"/>
    <x v="5"/>
    <n v="1000"/>
    <n v="-3"/>
    <n v="1981"/>
    <s v="ag"/>
    <n v="1094"/>
    <n v="10.5"/>
    <n v="6"/>
    <n v="8.6546249999999991E-3"/>
    <n v="5.1927749999999995E-2"/>
    <n v="25"/>
    <n v="3"/>
    <n v="3"/>
    <n v="2"/>
    <n v="3"/>
    <n v="2.5"/>
    <s v="low"/>
  </r>
  <r>
    <s v="Wak"/>
    <n v="3"/>
    <s v="South_Wairarapa"/>
    <s v="N162_081/300"/>
    <x v="5"/>
    <x v="5"/>
    <n v="1000"/>
    <n v="-3"/>
    <n v="1981"/>
    <s v="bxs"/>
    <n v="1111"/>
    <n v="1.6"/>
    <n v="1.8"/>
    <n v="2.0096E-4"/>
    <n v="3.6172800000000002E-4"/>
    <n v="88"/>
    <n v="1"/>
    <n v="2"/>
    <n v="3"/>
    <n v="3"/>
    <n v="3"/>
    <s v="none"/>
  </r>
  <r>
    <s v="Wak"/>
    <n v="3"/>
    <s v="South_Wairarapa"/>
    <s v="N162_081/300"/>
    <x v="5"/>
    <x v="5"/>
    <n v="1000"/>
    <n v="-3"/>
    <n v="1981"/>
    <s v="br"/>
    <n v="1112"/>
    <n v="4"/>
    <n v="3.2"/>
    <n v="1.2560000000000002E-3"/>
    <n v="4.0192000000000005E-3"/>
    <n v="63"/>
    <n v="2"/>
    <n v="1.5"/>
    <n v="3"/>
    <n v="3"/>
    <n v="3"/>
    <s v="low"/>
  </r>
  <r>
    <s v="Wak"/>
    <n v="3"/>
    <s v="South_Wairarapa"/>
    <s v="N162_081/300"/>
    <x v="5"/>
    <x v="5"/>
    <n v="1000"/>
    <n v="-3"/>
    <n v="1981"/>
    <s v="br"/>
    <n v="1113"/>
    <n v="3.3"/>
    <n v="2.7"/>
    <n v="8.5486500000000012E-4"/>
    <n v="2.3081355000000004E-3"/>
    <n v="100"/>
    <n v="1.5"/>
    <n v="1"/>
    <n v="2"/>
    <n v="3"/>
    <n v="3"/>
    <s v="none"/>
  </r>
  <r>
    <s v="Wak"/>
    <n v="3"/>
    <s v="South_Wairarapa"/>
    <s v="N162_081/300"/>
    <x v="5"/>
    <x v="5"/>
    <n v="1000"/>
    <n v="-3"/>
    <n v="1981"/>
    <s v="el"/>
    <n v="1338"/>
    <n v="9.4"/>
    <n v="8.5"/>
    <n v="6.9362600000000005E-3"/>
    <n v="5.8958210000000004E-2"/>
    <n v="38"/>
    <n v="3"/>
    <n v="3"/>
    <n v="2"/>
    <n v="1.5"/>
    <n v="1"/>
    <s v="low"/>
  </r>
  <r>
    <s v="Wak"/>
    <n v="3"/>
    <s v="South_Wairarapa"/>
    <s v="N162_081/300"/>
    <x v="5"/>
    <x v="5"/>
    <n v="1000"/>
    <n v="-3"/>
    <n v="1981"/>
    <s v="fa"/>
    <n v="1978"/>
    <n v="11"/>
    <n v="8.1"/>
    <n v="9.4985E-3"/>
    <n v="7.6937850000000002E-2"/>
    <n v="100"/>
    <n v="4"/>
    <n v="3"/>
    <n v="2"/>
    <n v="2"/>
    <n v="2"/>
    <s v="best"/>
  </r>
  <r>
    <s v="Wak"/>
    <n v="3"/>
    <s v="South_Wairarapa"/>
    <s v="N162_081/300"/>
    <x v="5"/>
    <x v="5"/>
    <n v="1000"/>
    <n v="-3"/>
    <n v="1981"/>
    <s v="fa"/>
    <n v="1482"/>
    <n v="7.8"/>
    <n v="5.6"/>
    <n v="4.7759400000000002E-3"/>
    <n v="2.6745264000000001E-2"/>
    <n v="88"/>
    <n v="3"/>
    <n v="3"/>
    <n v="2"/>
    <n v="2"/>
    <n v="2"/>
    <s v="good"/>
  </r>
  <r>
    <s v="Wak"/>
    <n v="3"/>
    <s v="South_Wairarapa"/>
    <s v="N162_081/300"/>
    <x v="5"/>
    <x v="5"/>
    <n v="1000"/>
    <n v="-3"/>
    <n v="1981"/>
    <s v="fr"/>
    <n v="1339"/>
    <n v="10.1"/>
    <n v="9.5"/>
    <n v="8.0077849999999982E-3"/>
    <n v="7.6073957499999983E-2"/>
    <n v="75"/>
    <n v="3"/>
    <n v="3"/>
    <n v="2"/>
    <n v="2"/>
    <n v="2"/>
    <s v="average"/>
  </r>
  <r>
    <s v="Wak"/>
    <n v="3"/>
    <s v="South_Wairarapa"/>
    <s v="N162_081/300"/>
    <x v="5"/>
    <x v="5"/>
    <n v="1000"/>
    <n v="-3"/>
    <n v="1981"/>
    <s v="fr"/>
    <n v="2447"/>
    <n v="6.9"/>
    <n v="7.3"/>
    <n v="3.7373850000000006E-3"/>
    <n v="2.7282910500000004E-2"/>
    <n v="88"/>
    <n v="3.5"/>
    <n v="3"/>
    <n v="3"/>
    <n v="3.5"/>
    <n v="3"/>
    <s v="good"/>
  </r>
  <r>
    <s v="Wak"/>
    <n v="3"/>
    <s v="South_Wairarapa"/>
    <s v="N162_081/300"/>
    <x v="5"/>
    <x v="5"/>
    <n v="1000"/>
    <n v="-3"/>
    <n v="1981"/>
    <s v="fr"/>
    <n v="1786"/>
    <n v="11.9"/>
    <n v="9.6"/>
    <n v="1.1116385000000001E-2"/>
    <n v="0.106717296"/>
    <n v="88"/>
    <n v="4"/>
    <n v="3"/>
    <n v="2.5"/>
    <n v="2.5"/>
    <n v="2.5"/>
    <s v="good"/>
  </r>
  <r>
    <s v="Wak"/>
    <n v="3"/>
    <s v="South_Wairarapa"/>
    <s v="N162_081/300"/>
    <x v="5"/>
    <x v="5"/>
    <n v="1000"/>
    <n v="-3"/>
    <n v="1981"/>
    <s v="nd"/>
    <n v="1596"/>
    <n v="10.4"/>
    <n v="9.4"/>
    <n v="8.4905600000000029E-3"/>
    <n v="7.9811264000000035E-2"/>
    <n v="100"/>
    <n v="4"/>
    <n v="3"/>
    <n v="2"/>
    <n v="3.5"/>
    <n v="3"/>
    <s v="best"/>
  </r>
  <r>
    <s v="Wak"/>
    <n v="3"/>
    <s v="South_Wairarapa"/>
    <s v="N162_081/300"/>
    <x v="5"/>
    <x v="5"/>
    <n v="1000"/>
    <n v="-3"/>
    <n v="1981"/>
    <s v="ka"/>
    <n v="1171"/>
    <n v="3.5"/>
    <n v="2.9"/>
    <n v="9.6162500000000013E-4"/>
    <n v="2.7887125000000002E-3"/>
    <n v="75"/>
    <n v="1"/>
    <n v="1"/>
    <n v="3"/>
    <n v="3"/>
    <n v="3"/>
    <s v="none"/>
  </r>
  <r>
    <s v="Wak"/>
    <n v="3"/>
    <s v="South_Wairarapa"/>
    <s v="N162_081/300"/>
    <x v="5"/>
    <x v="5"/>
    <n v="1000"/>
    <n v="-3"/>
    <n v="1981"/>
    <s v="ob"/>
    <n v="2469"/>
    <n v="5.7"/>
    <n v="5.6"/>
    <n v="2.550465E-3"/>
    <n v="1.4282603999999999E-2"/>
    <n v="100"/>
    <n v="3"/>
    <n v="2.5"/>
    <n v="4"/>
    <n v="5"/>
    <n v="4"/>
    <s v="good"/>
  </r>
  <r>
    <s v="Wak"/>
    <n v="3"/>
    <s v="South_Wairarapa"/>
    <s v="N162_081/300"/>
    <x v="5"/>
    <x v="5"/>
    <n v="1000"/>
    <n v="-3"/>
    <n v="1981"/>
    <s v="ob"/>
    <n v="1337"/>
    <n v="10.5"/>
    <n v="7.5"/>
    <n v="8.6546249999999991E-3"/>
    <n v="6.4909687499999993E-2"/>
    <n v="63"/>
    <n v="3.5"/>
    <n v="2.5"/>
    <n v="2.5"/>
    <n v="2"/>
    <n v="2.5"/>
    <s v="good"/>
  </r>
  <r>
    <s v="Wak"/>
    <n v="3"/>
    <s v="South_Wairarapa"/>
    <s v="N162_081/300"/>
    <x v="5"/>
    <x v="5"/>
    <n v="1000"/>
    <n v="-3"/>
    <n v="1981"/>
    <s v="ov"/>
    <n v="1785"/>
    <n v="4.3"/>
    <n v="3.2"/>
    <n v="1.4514649999999999E-3"/>
    <n v="4.6446880000000001E-3"/>
    <n v="100"/>
    <n v="1.5"/>
    <n v="1"/>
    <n v="2.5"/>
    <n v="3.5"/>
    <n v="3"/>
    <s v="none"/>
  </r>
  <r>
    <s v="Wak"/>
    <n v="3"/>
    <s v="South_Wairarapa"/>
    <s v="N162_081/300"/>
    <x v="5"/>
    <x v="5"/>
    <n v="1000"/>
    <n v="-3"/>
    <n v="1981"/>
    <s v="pu"/>
    <n v="1598"/>
    <n v="13.6"/>
    <n v="7.3"/>
    <n v="1.4519360000000002E-2"/>
    <n v="0.10599132800000001"/>
    <n v="38"/>
    <n v="3"/>
    <n v="3"/>
    <n v="2"/>
    <n v="2.5"/>
    <n v="2"/>
    <s v="average"/>
  </r>
  <r>
    <s v="Wak"/>
    <n v="3"/>
    <s v="South_Wairarapa"/>
    <s v="N162_081/300"/>
    <x v="5"/>
    <x v="5"/>
    <n v="1000"/>
    <n v="-3"/>
    <n v="1981"/>
    <s v="re"/>
    <n v="2428"/>
    <n v="12.3"/>
    <n v="8.1999999999999993"/>
    <n v="1.1876265000000004E-2"/>
    <n v="9.7385373000000025E-2"/>
    <n v="75"/>
    <n v="4"/>
    <n v="3"/>
    <n v="3"/>
    <n v="2"/>
    <n v="2"/>
    <s v="best"/>
  </r>
  <r>
    <s v="Wak"/>
    <n v="3"/>
    <s v="South_Wairarapa"/>
    <s v="N162_081/300"/>
    <x v="5"/>
    <x v="5"/>
    <n v="1000"/>
    <n v="-3"/>
    <n v="1981"/>
    <s v="re"/>
    <n v="2430"/>
    <n v="9.6999999999999993"/>
    <n v="7.1"/>
    <n v="7.3860649999999981E-3"/>
    <n v="5.2441061499999983E-2"/>
    <n v="100"/>
    <n v="4"/>
    <n v="3"/>
    <n v="2"/>
    <n v="2.5"/>
    <n v="2.5"/>
    <s v="best"/>
  </r>
  <r>
    <s v="Wak"/>
    <n v="3"/>
    <s v="South_Wairarapa"/>
    <s v="N162_081/300"/>
    <x v="5"/>
    <x v="5"/>
    <n v="1000"/>
    <n v="-3"/>
    <n v="1981"/>
    <s v="re"/>
    <n v="1787"/>
    <n v="13"/>
    <n v="9"/>
    <n v="1.3266500000000002E-2"/>
    <n v="0.11939850000000002"/>
    <n v="88"/>
    <n v="4"/>
    <n v="3"/>
    <n v="3.5"/>
    <n v="3"/>
    <n v="3"/>
    <s v="best"/>
  </r>
  <r>
    <s v="Wak"/>
    <n v="3"/>
    <s v="South_Wairarapa"/>
    <s v="N162_081/300"/>
    <x v="5"/>
    <x v="5"/>
    <n v="1000"/>
    <n v="-3"/>
    <n v="1981"/>
    <s v="nc"/>
    <n v="1780"/>
    <n v="4.9000000000000004"/>
    <n v="2.8"/>
    <n v="1.8847850000000004E-3"/>
    <n v="5.2773980000000009E-3"/>
    <n v="63"/>
    <n v="2"/>
    <n v="3"/>
    <n v="3"/>
    <n v="3.5"/>
    <n v="3.5"/>
    <s v="low"/>
  </r>
  <r>
    <s v="Wak"/>
    <n v="3"/>
    <s v="South_Wairarapa"/>
    <s v="N162_081/300"/>
    <x v="5"/>
    <x v="5"/>
    <n v="1000"/>
    <n v="-3"/>
    <n v="1981"/>
    <s v="si"/>
    <n v="2435"/>
    <n v="6"/>
    <n v="7"/>
    <n v="2.826E-3"/>
    <n v="1.9782000000000001E-2"/>
    <n v="13"/>
    <n v="3"/>
    <n v="3"/>
    <n v="4"/>
    <n v="4"/>
    <n v="4"/>
    <s v="low"/>
  </r>
  <r>
    <s v="Wak"/>
    <n v="3"/>
    <s v="South_Wairarapa"/>
    <s v="N162_081/300"/>
    <x v="5"/>
    <x v="5"/>
    <n v="1000"/>
    <n v="-3"/>
    <n v="1981"/>
    <s v="rd"/>
    <n v="1524"/>
    <n v="11.8"/>
    <n v="7.4"/>
    <n v="1.0930340000000002E-2"/>
    <n v="8.0884516000000017E-2"/>
    <n v="88"/>
    <n v="2.5"/>
    <n v="2"/>
    <n v="2.5"/>
    <n v="3"/>
    <n v="3"/>
    <s v="average"/>
  </r>
  <r>
    <s v="Wak"/>
    <n v="3"/>
    <s v="South_Wairarapa"/>
    <s v="N162_081/300"/>
    <x v="5"/>
    <x v="5"/>
    <n v="1000"/>
    <n v="-3"/>
    <n v="1981"/>
    <s v="sm"/>
    <n v="1340"/>
    <n v="6.2"/>
    <n v="5.3"/>
    <n v="3.01754E-3"/>
    <n v="1.5992961999999999E-2"/>
    <n v="100"/>
    <n v="2"/>
    <n v="2"/>
    <n v="2.5"/>
    <n v="2.5"/>
    <n v="3"/>
    <s v="low"/>
  </r>
  <r>
    <s v="Wak"/>
    <n v="3"/>
    <s v="South_Wairarapa"/>
    <s v="N162_081/300"/>
    <x v="5"/>
    <x v="5"/>
    <n v="1000"/>
    <n v="-3"/>
    <n v="1981"/>
    <s v="jo"/>
    <n v="1595"/>
    <n v="1.5"/>
    <n v="1.8"/>
    <n v="1.76625E-4"/>
    <n v="3.1792499999999999E-4"/>
    <n v="88"/>
    <n v="1.5"/>
    <n v="1"/>
    <n v="3"/>
    <n v="4"/>
    <n v="3"/>
    <s v="low"/>
  </r>
  <r>
    <s v="K82"/>
    <n v="1"/>
    <s v="Central_Wairarapa"/>
    <s v="N158_343/625"/>
    <x v="4"/>
    <x v="4"/>
    <n v="1080"/>
    <n v="-3"/>
    <n v="1982"/>
    <s v="bxs"/>
    <n v="1111"/>
    <n v="6.02"/>
    <n v="3.63"/>
    <n v="2.8448713999999998E-3"/>
    <n v="1.0326883181999999E-2"/>
    <n v="38"/>
    <n v="2.5"/>
    <n v="3"/>
    <n v="3"/>
    <n v="3"/>
    <n v="3"/>
    <s v="low"/>
  </r>
  <r>
    <s v="K82"/>
    <n v="1"/>
    <s v="Central_Wairarapa"/>
    <s v="N158_343/625"/>
    <x v="4"/>
    <x v="4"/>
    <n v="1080"/>
    <n v="-3"/>
    <n v="1982"/>
    <s v="br"/>
    <n v="2620"/>
    <n v="2.29"/>
    <n v="3.2"/>
    <n v="4.1166185000000003E-4"/>
    <n v="1.3173179200000002E-3"/>
    <n v="50"/>
    <n v="1"/>
    <n v="1"/>
    <n v="3"/>
    <n v="3"/>
    <n v="3"/>
    <s v="none"/>
  </r>
  <r>
    <s v="K82"/>
    <n v="1"/>
    <s v="Central_Wairarapa"/>
    <s v="N158_343/625"/>
    <x v="4"/>
    <x v="4"/>
    <n v="1080"/>
    <n v="-3"/>
    <n v="1982"/>
    <s v="br"/>
    <n v="2621"/>
    <n v="3.31"/>
    <n v="4.34"/>
    <n v="8.6005384999999991E-4"/>
    <n v="3.7326337089999993E-3"/>
    <n v="50"/>
    <n v="3"/>
    <n v="2.5"/>
    <n v="3"/>
    <n v="3"/>
    <n v="3"/>
    <s v="low"/>
  </r>
  <r>
    <s v="K82"/>
    <n v="1"/>
    <s v="Central_Wairarapa"/>
    <s v="N158_343/625"/>
    <x v="4"/>
    <x v="4"/>
    <n v="1080"/>
    <n v="-3"/>
    <n v="1982"/>
    <s v="fa"/>
    <n v="2426"/>
    <n v="53.86"/>
    <n v="5.01"/>
    <n v="0.22772061859999998"/>
    <n v="1.1408802991859999"/>
    <n v="100"/>
    <n v="2.5"/>
    <n v="3.5"/>
    <n v="3"/>
    <n v="3"/>
    <n v="3"/>
    <s v="low"/>
  </r>
  <r>
    <s v="K82"/>
    <n v="1"/>
    <s v="Central_Wairarapa"/>
    <s v="N158_343/625"/>
    <x v="4"/>
    <x v="4"/>
    <n v="1080"/>
    <n v="-3"/>
    <n v="1982"/>
    <s v="fa"/>
    <n v="1482"/>
    <n v="19.66"/>
    <n v="12.21"/>
    <n v="3.0341474600000001E-2"/>
    <n v="0.37046940486600005"/>
    <n v="100"/>
    <n v="4.5"/>
    <n v="4"/>
    <n v="4"/>
    <n v="3"/>
    <n v="2.7"/>
    <s v="good"/>
  </r>
  <r>
    <s v="K82"/>
    <n v="1"/>
    <s v="Central_Wairarapa"/>
    <s v="N158_343/625"/>
    <x v="4"/>
    <x v="4"/>
    <n v="1080"/>
    <n v="-3"/>
    <n v="1982"/>
    <s v="fa"/>
    <n v="2548"/>
    <n v="22.23"/>
    <n v="12.82"/>
    <n v="3.8792572649999996E-2"/>
    <n v="0.49732078137299995"/>
    <n v="100"/>
    <n v="5"/>
    <n v="4"/>
    <n v="3"/>
    <n v="3"/>
    <n v="2"/>
    <s v="good"/>
  </r>
  <r>
    <s v="K82"/>
    <n v="1"/>
    <s v="Central_Wairarapa"/>
    <s v="N158_343/625"/>
    <x v="4"/>
    <x v="4"/>
    <n v="1080"/>
    <n v="-3"/>
    <n v="1982"/>
    <s v="fr"/>
    <n v="2552"/>
    <n v="1.82"/>
    <n v="2.4300000000000002"/>
    <n v="2.6002340000000004E-4"/>
    <n v="6.3185686200000011E-4"/>
    <n v="13"/>
    <n v="1"/>
    <n v="2.5"/>
    <n v="3"/>
    <n v="3"/>
    <n v="3"/>
    <s v="none"/>
  </r>
  <r>
    <s v="K82"/>
    <n v="1"/>
    <s v="Central_Wairarapa"/>
    <s v="N158_343/625"/>
    <x v="4"/>
    <x v="4"/>
    <n v="1080"/>
    <n v="-3"/>
    <n v="1982"/>
    <s v="ka"/>
    <n v="2631"/>
    <n v="6.97"/>
    <n v="5.23"/>
    <n v="3.8136006499999999E-3"/>
    <n v="1.99451313995E-2"/>
    <n v="25"/>
    <n v="2"/>
    <n v="3"/>
    <n v="2.5"/>
    <n v="2"/>
    <n v="3"/>
    <s v="none"/>
  </r>
  <r>
    <s v="K82"/>
    <n v="1"/>
    <s v="Central_Wairarapa"/>
    <s v="N158_343/625"/>
    <x v="4"/>
    <x v="4"/>
    <n v="1080"/>
    <n v="-3"/>
    <n v="1982"/>
    <s v="nd"/>
    <n v="1596"/>
    <n v="12.21"/>
    <n v="8.7200000000000006"/>
    <n v="1.1703101850000003E-2"/>
    <n v="0.10205104813200004"/>
    <n v="75"/>
    <n v="3.3"/>
    <n v="3.5"/>
    <n v="3"/>
    <n v="4"/>
    <n v="3.5"/>
    <s v="good"/>
  </r>
  <r>
    <s v="K82"/>
    <n v="1"/>
    <s v="Central_Wairarapa"/>
    <s v="N158_343/625"/>
    <x v="4"/>
    <x v="4"/>
    <n v="1080"/>
    <n v="-3"/>
    <n v="1982"/>
    <s v="nd"/>
    <n v="2634"/>
    <n v="6.6"/>
    <n v="8.1"/>
    <n v="3.4194600000000005E-3"/>
    <n v="2.7697626000000003E-2"/>
    <n v="50"/>
    <n v="2.8"/>
    <n v="4"/>
    <n v="3"/>
    <n v="4"/>
    <n v="3.5"/>
    <s v="average"/>
  </r>
  <r>
    <s v="K82"/>
    <n v="1"/>
    <s v="Central_Wairarapa"/>
    <s v="N158_343/625"/>
    <x v="4"/>
    <x v="4"/>
    <n v="1080"/>
    <n v="-3"/>
    <n v="1982"/>
    <s v="nd"/>
    <n v="2635"/>
    <n v="7.48"/>
    <n v="3.74"/>
    <n v="4.3921064000000008E-3"/>
    <n v="1.6426477936000005E-2"/>
    <n v="25"/>
    <n v="3"/>
    <n v="3.5"/>
    <n v="3"/>
    <n v="4"/>
    <n v="3.5"/>
    <s v="low"/>
  </r>
  <r>
    <s v="K82"/>
    <n v="1"/>
    <s v="Central_Wairarapa"/>
    <s v="N158_343/625"/>
    <x v="4"/>
    <x v="4"/>
    <n v="1080"/>
    <n v="-3"/>
    <n v="1982"/>
    <s v="ov"/>
    <n v="1259"/>
    <n v="9.65"/>
    <n v="8.01"/>
    <n v="7.3101162500000009E-3"/>
    <n v="5.8554031162500006E-2"/>
    <n v="100"/>
    <n v="3"/>
    <n v="2"/>
    <n v="3"/>
    <n v="3.5"/>
    <n v="3"/>
    <s v="average"/>
  </r>
  <r>
    <s v="K82"/>
    <n v="1"/>
    <s v="Central_Wairarapa"/>
    <s v="N158_343/625"/>
    <x v="4"/>
    <x v="4"/>
    <n v="1080"/>
    <n v="-3"/>
    <n v="1982"/>
    <s v="ov"/>
    <n v="1785"/>
    <n v="3.53"/>
    <n v="3.3"/>
    <n v="9.7818064999999994E-4"/>
    <n v="3.2279961449999998E-3"/>
    <n v="75"/>
    <n v="1.8"/>
    <n v="2"/>
    <n v="2.5"/>
    <n v="3"/>
    <n v="3"/>
    <s v="low"/>
  </r>
  <r>
    <s v="K82"/>
    <n v="1"/>
    <s v="Central_Wairarapa"/>
    <s v="N158_343/625"/>
    <x v="4"/>
    <x v="4"/>
    <n v="1080"/>
    <n v="-3"/>
    <n v="1982"/>
    <s v="pu"/>
    <n v="2573"/>
    <n v="15.02"/>
    <n v="8.0399999999999991"/>
    <n v="1.7709631400000002E-2"/>
    <n v="0.14238543645599999"/>
    <n v="75"/>
    <n v="3"/>
    <n v="4"/>
    <n v="3"/>
    <n v="3.2"/>
    <n v="2.5"/>
    <s v="average"/>
  </r>
  <r>
    <s v="K82"/>
    <n v="1"/>
    <s v="Central_Wairarapa"/>
    <s v="N158_343/625"/>
    <x v="4"/>
    <x v="4"/>
    <n v="1080"/>
    <n v="-3"/>
    <n v="1982"/>
    <s v="re"/>
    <n v="2550"/>
    <n v="11.27"/>
    <n v="7.14"/>
    <n v="9.9705126499999991E-3"/>
    <n v="7.1189460320999987E-2"/>
    <n v="75"/>
    <n v="2.5"/>
    <n v="3"/>
    <n v="3"/>
    <n v="4"/>
    <n v="3"/>
    <s v="average"/>
  </r>
  <r>
    <s v="K82"/>
    <n v="1"/>
    <s v="Central_Wairarapa"/>
    <s v="N158_343/625"/>
    <x v="4"/>
    <x v="4"/>
    <n v="1080"/>
    <n v="-3"/>
    <n v="1982"/>
    <s v="rd"/>
    <n v="2575"/>
    <n v="2.72"/>
    <n v="3.43"/>
    <n v="5.8077440000000008E-4"/>
    <n v="1.9920561920000004E-3"/>
    <n v="50"/>
    <n v="1"/>
    <n v="1"/>
    <n v="2"/>
    <n v="2"/>
    <n v="3"/>
    <s v="none"/>
  </r>
  <r>
    <s v="K82"/>
    <n v="1"/>
    <s v="Central_Wairarapa"/>
    <s v="N158_343/625"/>
    <x v="4"/>
    <x v="4"/>
    <n v="1080"/>
    <n v="-3"/>
    <n v="1982"/>
    <s v="sm"/>
    <n v="1340"/>
    <n v="2.1"/>
    <n v="3.38"/>
    <n v="3.4618500000000005E-4"/>
    <n v="1.1701053000000002E-3"/>
    <n v="50"/>
    <n v="1"/>
    <n v="1"/>
    <n v="3"/>
    <n v="3"/>
    <n v="3"/>
    <s v="none"/>
  </r>
  <r>
    <s v="K82"/>
    <n v="2"/>
    <s v="Central_Wairarapa"/>
    <s v="N158_343/625"/>
    <x v="4"/>
    <x v="4"/>
    <n v="1080"/>
    <n v="-3"/>
    <n v="1982"/>
    <s v="am"/>
    <n v="1592"/>
    <n v="7.5"/>
    <n v="8.08"/>
    <n v="4.4156250000000003E-3"/>
    <n v="3.5678250000000002E-2"/>
    <n v="25"/>
    <n v="2"/>
    <n v="3"/>
    <n v="3"/>
    <n v="4"/>
    <n v="4"/>
    <s v="average"/>
  </r>
  <r>
    <s v="K82"/>
    <n v="2"/>
    <s v="Central_Wairarapa"/>
    <s v="N158_343/625"/>
    <x v="4"/>
    <x v="4"/>
    <n v="1080"/>
    <n v="-3"/>
    <n v="1982"/>
    <s v="am"/>
    <n v="2560"/>
    <n v="4.3899999999999997"/>
    <n v="5.19"/>
    <n v="1.5128598499999997E-3"/>
    <n v="7.8517426214999991E-3"/>
    <n v="50"/>
    <n v="2.5"/>
    <n v="3.5"/>
    <n v="3"/>
    <n v="4.5"/>
    <n v="4"/>
    <s v="average"/>
  </r>
  <r>
    <s v="K82"/>
    <n v="2"/>
    <s v="Central_Wairarapa"/>
    <s v="N158_343/625"/>
    <x v="4"/>
    <x v="4"/>
    <n v="1080"/>
    <n v="-3"/>
    <n v="1982"/>
    <s v="bxs"/>
    <n v="1111"/>
    <n v="12.26"/>
    <n v="6.81"/>
    <n v="1.1799146600000001E-2"/>
    <n v="8.0352188345999997E-2"/>
    <n v="71"/>
    <n v="4.2"/>
    <n v="3"/>
    <n v="3"/>
    <n v="2"/>
    <n v="2"/>
    <s v="average"/>
  </r>
  <r>
    <s v="K82"/>
    <n v="2"/>
    <s v="Central_Wairarapa"/>
    <s v="N158_343/625"/>
    <x v="4"/>
    <x v="4"/>
    <n v="1080"/>
    <n v="-3"/>
    <n v="1982"/>
    <s v="br"/>
    <n v="2620"/>
    <n v="3.54"/>
    <n v="3.43"/>
    <n v="9.8373060000000014E-4"/>
    <n v="3.3741959580000005E-3"/>
    <n v="100"/>
    <n v="2.5"/>
    <n v="2"/>
    <n v="3.3"/>
    <n v="3.3"/>
    <n v="3.3"/>
    <s v="low"/>
  </r>
  <r>
    <s v="K82"/>
    <n v="2"/>
    <s v="Central_Wairarapa"/>
    <s v="N158_343/625"/>
    <x v="4"/>
    <x v="4"/>
    <n v="1080"/>
    <n v="-3"/>
    <n v="1982"/>
    <s v="br"/>
    <n v="2621"/>
    <n v="3.09"/>
    <n v="2.63"/>
    <n v="7.4952584999999987E-4"/>
    <n v="1.9712529854999995E-3"/>
    <n v="75"/>
    <n v="2.5"/>
    <n v="2"/>
    <n v="3.3"/>
    <n v="3.3"/>
    <n v="3.3"/>
    <s v="low"/>
  </r>
  <r>
    <s v="K82"/>
    <n v="2"/>
    <s v="Central_Wairarapa"/>
    <s v="N158_343/625"/>
    <x v="4"/>
    <x v="4"/>
    <n v="1080"/>
    <n v="-3"/>
    <n v="1982"/>
    <s v="fa"/>
    <n v="2548"/>
    <n v="5.5"/>
    <n v="4.8899999999999997"/>
    <n v="2.374625E-3"/>
    <n v="1.161191625E-2"/>
    <n v="25"/>
    <n v="1.5"/>
    <n v="3"/>
    <n v="3"/>
    <n v="3"/>
    <n v="3"/>
    <s v="low"/>
  </r>
  <r>
    <s v="K82"/>
    <n v="2"/>
    <s v="Central_Wairarapa"/>
    <s v="N158_343/625"/>
    <x v="4"/>
    <x v="4"/>
    <n v="1080"/>
    <n v="-3"/>
    <n v="1982"/>
    <s v="ka"/>
    <n v="1171"/>
    <n v="6.97"/>
    <n v="8.9499999999999993"/>
    <n v="3.8136006499999999E-3"/>
    <n v="3.4131725817499993E-2"/>
    <n v="75"/>
    <n v="2"/>
    <n v="2"/>
    <n v="3"/>
    <n v="3"/>
    <n v="3"/>
    <s v="low"/>
  </r>
  <r>
    <s v="K82"/>
    <n v="2"/>
    <s v="Central_Wairarapa"/>
    <s v="N158_343/625"/>
    <x v="4"/>
    <x v="4"/>
    <n v="1080"/>
    <n v="-3"/>
    <n v="1982"/>
    <s v="nd"/>
    <n v="1596"/>
    <n v="5.73"/>
    <n v="4.9800000000000004"/>
    <n v="2.5773826500000005E-3"/>
    <n v="1.2835365597000003E-2"/>
    <n v="75"/>
    <n v="2.7"/>
    <n v="3"/>
    <n v="3"/>
    <n v="4"/>
    <n v="3"/>
    <s v="low"/>
  </r>
  <r>
    <s v="K82"/>
    <n v="2"/>
    <s v="Central_Wairarapa"/>
    <s v="N158_343/625"/>
    <x v="4"/>
    <x v="4"/>
    <n v="1080"/>
    <n v="-3"/>
    <n v="1982"/>
    <s v="nd"/>
    <n v="2569"/>
    <n v="19.440000000000001"/>
    <n v="15.38"/>
    <n v="2.966621760000001E-2"/>
    <n v="0.45626642668800016"/>
    <n v="75"/>
    <n v="4.5"/>
    <n v="3.5"/>
    <n v="3.5"/>
    <n v="4"/>
    <n v="3"/>
    <s v="best"/>
  </r>
  <r>
    <s v="K82"/>
    <n v="2"/>
    <s v="Central_Wairarapa"/>
    <s v="N158_343/625"/>
    <x v="4"/>
    <x v="4"/>
    <n v="1080"/>
    <n v="-3"/>
    <n v="1982"/>
    <s v="nd"/>
    <n v="2634"/>
    <n v="10.97"/>
    <n v="9.9700000000000006"/>
    <n v="9.4467606500000002E-3"/>
    <n v="9.4184203680500012E-2"/>
    <n v="75"/>
    <n v="3.5"/>
    <n v="3"/>
    <n v="3.2"/>
    <n v="4"/>
    <n v="3"/>
    <s v="good"/>
  </r>
  <r>
    <s v="K82"/>
    <n v="2"/>
    <s v="Central_Wairarapa"/>
    <s v="N158_343/625"/>
    <x v="4"/>
    <x v="4"/>
    <n v="1080"/>
    <n v="-3"/>
    <n v="1982"/>
    <s v="nd"/>
    <n v="2635"/>
    <n v="5.86"/>
    <n v="4.3600000000000003"/>
    <n v="2.6956586000000007E-3"/>
    <n v="1.1753071496000004E-2"/>
    <n v="75"/>
    <n v="3"/>
    <n v="3"/>
    <n v="3"/>
    <n v="4"/>
    <n v="3"/>
    <s v="average"/>
  </r>
  <r>
    <s v="K82"/>
    <n v="2"/>
    <s v="Central_Wairarapa"/>
    <s v="N158_343/625"/>
    <x v="4"/>
    <x v="4"/>
    <n v="1080"/>
    <n v="-3"/>
    <n v="1982"/>
    <s v="re"/>
    <n v="2550"/>
    <n v="17.600000000000001"/>
    <n v="14.08"/>
    <n v="2.4316160000000007E-2"/>
    <n v="0.3423715328000001"/>
    <n v="50"/>
    <n v="5"/>
    <n v="3.5"/>
    <n v="4"/>
    <n v="4"/>
    <n v="3.5"/>
    <s v="best"/>
  </r>
  <r>
    <s v="K82"/>
    <n v="2"/>
    <s v="Central_Wairarapa"/>
    <s v="N158_343/625"/>
    <x v="4"/>
    <x v="4"/>
    <n v="1080"/>
    <n v="-3"/>
    <n v="1982"/>
    <s v="re"/>
    <n v="2553"/>
    <n v="6.34"/>
    <n v="6.45"/>
    <n v="3.1553546000000002E-3"/>
    <n v="2.035203717E-2"/>
    <n v="50"/>
    <n v="3"/>
    <n v="3"/>
    <n v="4"/>
    <n v="4"/>
    <n v="4"/>
    <s v="average"/>
  </r>
  <r>
    <s v="K82"/>
    <n v="2"/>
    <s v="Central_Wairarapa"/>
    <s v="N158_343/625"/>
    <x v="4"/>
    <x v="4"/>
    <n v="1080"/>
    <n v="-3"/>
    <n v="1982"/>
    <s v="re"/>
    <n v="2574"/>
    <n v="1.17"/>
    <n v="2.34"/>
    <n v="1.0745864999999998E-4"/>
    <n v="2.5145324099999991E-4"/>
    <n v="25"/>
    <n v="1"/>
    <n v="3"/>
    <n v="3"/>
    <n v="3"/>
    <n v="3"/>
    <s v="none"/>
  </r>
  <r>
    <s v="K82"/>
    <n v="2"/>
    <s v="Central_Wairarapa"/>
    <s v="N158_343/625"/>
    <x v="4"/>
    <x v="4"/>
    <n v="1080"/>
    <n v="-3"/>
    <n v="1982"/>
    <s v="rd"/>
    <n v="2575"/>
    <n v="6.97"/>
    <n v="5.32"/>
    <n v="3.8136006499999999E-3"/>
    <n v="2.0288355458E-2"/>
    <n v="50"/>
    <n v="2"/>
    <n v="3.5"/>
    <n v="2"/>
    <n v="3"/>
    <n v="3"/>
    <s v="none"/>
  </r>
  <r>
    <s v="K82"/>
    <n v="2"/>
    <s v="Central_Wairarapa"/>
    <s v="N158_343/625"/>
    <x v="4"/>
    <x v="4"/>
    <n v="1080"/>
    <n v="-3"/>
    <n v="1982"/>
    <s v="sm"/>
    <n v="1340"/>
    <n v="2.1"/>
    <n v="3.85"/>
    <n v="3.4618500000000005E-4"/>
    <n v="1.3328122500000001E-3"/>
    <n v="25"/>
    <n v="1"/>
    <n v="2"/>
    <n v="3"/>
    <n v="3"/>
    <n v="3"/>
    <s v="none"/>
  </r>
  <r>
    <s v="K82"/>
    <n v="3"/>
    <s v="Central_Wairarapa"/>
    <s v="N158_343/625"/>
    <x v="4"/>
    <x v="4"/>
    <n v="1080"/>
    <n v="-3"/>
    <n v="1982"/>
    <s v="am"/>
    <n v="1592"/>
    <n v="11.77"/>
    <n v="8.08"/>
    <n v="1.0874832649999999E-2"/>
    <n v="8.7868647811999989E-2"/>
    <n v="75"/>
    <n v="3"/>
    <n v="4"/>
    <n v="3"/>
    <n v="4"/>
    <n v="3"/>
    <s v="best"/>
  </r>
  <r>
    <s v="K82"/>
    <n v="3"/>
    <s v="Central_Wairarapa"/>
    <s v="N158_343/625"/>
    <x v="4"/>
    <x v="4"/>
    <n v="1080"/>
    <n v="-3"/>
    <n v="1982"/>
    <s v="bxs"/>
    <n v="1111"/>
    <n v="9.65"/>
    <n v="6.24"/>
    <n v="7.3101162500000009E-3"/>
    <n v="4.5615125400000005E-2"/>
    <n v="25"/>
    <n v="2.8"/>
    <n v="3"/>
    <n v="3"/>
    <n v="3"/>
    <n v="2.5"/>
    <s v="low"/>
  </r>
  <r>
    <s v="K82"/>
    <n v="3"/>
    <s v="Central_Wairarapa"/>
    <s v="N158_343/625"/>
    <x v="4"/>
    <x v="4"/>
    <n v="1080"/>
    <n v="-3"/>
    <n v="1982"/>
    <s v="el"/>
    <n v="2638"/>
    <n v="0.57999999999999996"/>
    <n v="1.75"/>
    <n v="2.6407399999999997E-5"/>
    <n v="4.6212949999999996E-5"/>
    <n v="25"/>
    <n v="1.5"/>
    <n v="3"/>
    <n v="3"/>
    <n v="3"/>
    <n v="3"/>
    <s v="none"/>
  </r>
  <r>
    <s v="K82"/>
    <n v="3"/>
    <s v="Central_Wairarapa"/>
    <s v="N158_343/625"/>
    <x v="4"/>
    <x v="4"/>
    <n v="1080"/>
    <n v="-3"/>
    <n v="1982"/>
    <s v="ka"/>
    <n v="1171"/>
    <n v="11.62"/>
    <n v="11.62"/>
    <n v="1.0599415399999999E-2"/>
    <n v="0.12316520694799998"/>
    <n v="2"/>
    <n v="2"/>
    <n v="2"/>
    <n v="4"/>
    <n v="3"/>
    <n v="3"/>
    <s v="low"/>
  </r>
  <r>
    <s v="K82"/>
    <n v="3"/>
    <s v="Central_Wairarapa"/>
    <s v="N158_343/625"/>
    <x v="4"/>
    <x v="4"/>
    <n v="1080"/>
    <n v="-3"/>
    <n v="1982"/>
    <s v="ka"/>
    <n v="2631"/>
    <n v="9.06"/>
    <n v="6.97"/>
    <n v="6.4435626000000001E-3"/>
    <n v="4.4911631321999997E-2"/>
    <n v="25"/>
    <n v="1.3"/>
    <n v="1"/>
    <n v="2"/>
    <n v="2"/>
    <n v="3"/>
    <s v="none"/>
  </r>
  <r>
    <s v="K82"/>
    <n v="3"/>
    <s v="Central_Wairarapa"/>
    <s v="N158_343/625"/>
    <x v="4"/>
    <x v="4"/>
    <n v="1080"/>
    <n v="-3"/>
    <n v="1982"/>
    <s v="ov"/>
    <n v="1788"/>
    <n v="15.31"/>
    <n v="11.77"/>
    <n v="1.8400093850000004E-2"/>
    <n v="0.21656910461450005"/>
    <n v="75"/>
    <n v="3"/>
    <n v="2"/>
    <n v="4"/>
    <n v="4"/>
    <n v="4"/>
    <s v="best"/>
  </r>
  <r>
    <s v="K82"/>
    <n v="3"/>
    <s v="Central_Wairarapa"/>
    <s v="N158_343/625"/>
    <x v="4"/>
    <x v="4"/>
    <n v="1080"/>
    <n v="-3"/>
    <n v="1982"/>
    <s v="ov"/>
    <n v="1259"/>
    <n v="7.65"/>
    <n v="8.24"/>
    <n v="4.5940162500000001E-3"/>
    <n v="3.78546939E-2"/>
    <n v="25"/>
    <n v="2"/>
    <n v="2"/>
    <n v="4"/>
    <n v="4"/>
    <n v="4"/>
    <s v="average"/>
  </r>
  <r>
    <s v="K82"/>
    <n v="3"/>
    <s v="Central_Wairarapa"/>
    <s v="N158_343/625"/>
    <x v="4"/>
    <x v="4"/>
    <n v="1080"/>
    <n v="-3"/>
    <n v="1982"/>
    <s v="ov"/>
    <n v="2571"/>
    <n v="6.42"/>
    <n v="8.24"/>
    <n v="3.2354873999999997E-3"/>
    <n v="2.6660416175999999E-2"/>
    <n v="25"/>
    <n v="3"/>
    <n v="2"/>
    <n v="4"/>
    <n v="4"/>
    <n v="4"/>
    <s v="average"/>
  </r>
  <r>
    <s v="K82"/>
    <n v="3"/>
    <s v="Central_Wairarapa"/>
    <s v="N158_343/625"/>
    <x v="4"/>
    <x v="4"/>
    <n v="1080"/>
    <n v="-3"/>
    <n v="1982"/>
    <s v="re"/>
    <n v="2553"/>
    <n v="19.13"/>
    <n v="13.5"/>
    <n v="2.8727616650000003E-2"/>
    <n v="0.38782282477500002"/>
    <n v="50"/>
    <n v="5"/>
    <n v="4"/>
    <n v="4"/>
    <n v="4"/>
    <n v="3"/>
    <s v="best"/>
  </r>
  <r>
    <s v="K82"/>
    <n v="3"/>
    <s v="Central_Wairarapa"/>
    <s v="N158_343/625"/>
    <x v="4"/>
    <x v="4"/>
    <n v="1080"/>
    <n v="-3"/>
    <n v="1982"/>
    <s v="re"/>
    <n v="2574"/>
    <n v="15.26"/>
    <n v="14.08"/>
    <n v="1.8280106599999998E-2"/>
    <n v="0.25738390092799995"/>
    <n v="25"/>
    <n v="3"/>
    <n v="4"/>
    <n v="4"/>
    <n v="4"/>
    <n v="3"/>
    <s v="best"/>
  </r>
  <r>
    <s v="K82"/>
    <n v="3"/>
    <s v="Central_Wairarapa"/>
    <s v="N158_343/625"/>
    <x v="4"/>
    <x v="4"/>
    <n v="1080"/>
    <n v="-3"/>
    <n v="1982"/>
    <s v="rd"/>
    <n v="2575"/>
    <n v="4.84"/>
    <n v="4.13"/>
    <n v="1.8389096000000001E-3"/>
    <n v="7.5946966480000006E-3"/>
    <n v="50"/>
    <n v="2"/>
    <n v="1.5"/>
    <n v="3"/>
    <n v="3"/>
    <n v="3"/>
    <s v="low"/>
  </r>
  <r>
    <s v="K82"/>
    <n v="3"/>
    <s v="Central_Wairarapa"/>
    <s v="N158_343/625"/>
    <x v="4"/>
    <x v="4"/>
    <n v="1080"/>
    <n v="-3"/>
    <n v="1982"/>
    <s v="sm"/>
    <n v="1340"/>
    <n v="7.58"/>
    <n v="6.06"/>
    <n v="4.5103274000000007E-3"/>
    <n v="2.7332584044000002E-2"/>
    <n v="38"/>
    <n v="2"/>
    <n v="2"/>
    <n v="3"/>
    <n v="3"/>
    <n v="3"/>
    <s v="low"/>
  </r>
  <r>
    <s v="WSp"/>
    <n v="1"/>
    <s v="Southern_Hawkes_Bay"/>
    <s v="N151_912/221"/>
    <x v="6"/>
    <x v="6"/>
    <n v="1250"/>
    <n v="-3"/>
    <n v="1983"/>
    <s v="am"/>
    <n v="1592"/>
    <n v="24.24"/>
    <n v="17.899999999999999"/>
    <n v="4.6124841599999987E-2"/>
    <n v="0.82563466463999968"/>
    <n v="38"/>
    <n v="3.5"/>
    <n v="3.5"/>
    <n v="3"/>
    <n v="3.3"/>
    <n v="2.5"/>
    <s v="good"/>
  </r>
  <r>
    <s v="WSp"/>
    <n v="1"/>
    <s v="Southern_Hawkes_Bay"/>
    <s v="N151_912/221"/>
    <x v="6"/>
    <x v="6"/>
    <n v="1250"/>
    <n v="-3"/>
    <n v="1983"/>
    <s v="am"/>
    <n v="2560"/>
    <n v="20.239999999999998"/>
    <n v="14.6"/>
    <n v="3.2158121599999999E-2"/>
    <n v="0.46950857535999996"/>
    <n v="63"/>
    <n v="3"/>
    <n v="3.5"/>
    <n v="3"/>
    <n v="3.7"/>
    <n v="2.5"/>
    <s v="good"/>
  </r>
  <r>
    <s v="WSp"/>
    <n v="1"/>
    <s v="Southern_Hawkes_Bay"/>
    <s v="N151_912/221"/>
    <x v="6"/>
    <x v="6"/>
    <n v="1250"/>
    <n v="-3"/>
    <n v="1983"/>
    <s v="co"/>
    <n v="2562"/>
    <n v="17.399999999999999"/>
    <n v="14.14"/>
    <n v="2.3766659999999998E-2"/>
    <n v="0.33606057239999998"/>
    <n v="63"/>
    <n v="3.5"/>
    <n v="4"/>
    <n v="3.7"/>
    <n v="4"/>
    <n v="3.5"/>
    <s v="good"/>
  </r>
  <r>
    <s v="WSp"/>
    <n v="1"/>
    <s v="Southern_Hawkes_Bay"/>
    <s v="N151_912/221"/>
    <x v="6"/>
    <x v="6"/>
    <n v="1250"/>
    <n v="-3"/>
    <n v="1983"/>
    <s v="cr"/>
    <n v="1252"/>
    <n v="17.36"/>
    <n v="15.64"/>
    <n v="2.3657513600000003E-2"/>
    <n v="0.37000351270400006"/>
    <n v="50"/>
    <n v="3.5"/>
    <n v="3.5"/>
    <n v="2.5"/>
    <n v="2.5"/>
    <n v="2.5"/>
    <s v="average"/>
  </r>
  <r>
    <s v="WSp"/>
    <n v="1"/>
    <s v="Southern_Hawkes_Bay"/>
    <s v="N151_912/221"/>
    <x v="6"/>
    <x v="6"/>
    <n v="1250"/>
    <n v="-3"/>
    <n v="1983"/>
    <s v="fa"/>
    <n v="2548"/>
    <n v="41.04"/>
    <n v="16.600000000000001"/>
    <n v="0.13221610559999999"/>
    <n v="2.1947873529600002"/>
    <n v="50"/>
    <n v="3.3"/>
    <n v="3"/>
    <n v="2"/>
    <n v="1.5"/>
    <n v="1.5"/>
    <s v="good"/>
  </r>
  <r>
    <s v="WSp"/>
    <n v="1"/>
    <s v="Southern_Hawkes_Bay"/>
    <s v="N151_912/221"/>
    <x v="6"/>
    <x v="6"/>
    <n v="1250"/>
    <n v="-3"/>
    <n v="1983"/>
    <s v="nd"/>
    <n v="1596"/>
    <n v="15.02"/>
    <n v="9.92"/>
    <n v="1.7709631400000002E-2"/>
    <n v="0.17567954348800002"/>
    <n v="100"/>
    <n v="3.5"/>
    <n v="4"/>
    <n v="2.7"/>
    <n v="4"/>
    <n v="2.5"/>
    <s v="good"/>
  </r>
  <r>
    <s v="WSp"/>
    <n v="1"/>
    <s v="Southern_Hawkes_Bay"/>
    <s v="N151_912/221"/>
    <x v="6"/>
    <x v="6"/>
    <n v="1250"/>
    <n v="-3"/>
    <n v="1983"/>
    <s v="nd"/>
    <n v="2569"/>
    <n v="17.829999999999998"/>
    <n v="11.8"/>
    <n v="2.4955848649999997E-2"/>
    <n v="0.29447901406999999"/>
    <n v="50"/>
    <n v="3"/>
    <n v="3"/>
    <n v="3"/>
    <n v="4"/>
    <n v="2.5"/>
    <s v="good"/>
  </r>
  <r>
    <s v="WSp"/>
    <n v="1"/>
    <s v="Southern_Hawkes_Bay"/>
    <s v="N151_912/221"/>
    <x v="6"/>
    <x v="6"/>
    <n v="1250"/>
    <n v="-3"/>
    <n v="1983"/>
    <s v="ni"/>
    <n v="2547"/>
    <n v="20.8"/>
    <n v="10.23"/>
    <n v="3.3962240000000012E-2"/>
    <n v="0.34743371520000016"/>
    <n v="13"/>
    <n v="3"/>
    <n v="3"/>
    <n v="3"/>
    <n v="2.5"/>
    <n v="3"/>
    <s v="average"/>
  </r>
  <r>
    <s v="WSp"/>
    <n v="1"/>
    <s v="Southern_Hawkes_Bay"/>
    <s v="N151_912/221"/>
    <x v="6"/>
    <x v="6"/>
    <n v="1250"/>
    <n v="-3"/>
    <n v="1983"/>
    <s v="ni"/>
    <n v="2568"/>
    <n v="24.89"/>
    <n v="16.71"/>
    <n v="4.8631699850000008E-2"/>
    <n v="0.8126357044935002"/>
    <n v="63"/>
    <n v="3"/>
    <n v="2.5"/>
    <n v="2.7"/>
    <n v="3"/>
    <n v="2"/>
    <s v="average"/>
  </r>
  <r>
    <s v="WSp"/>
    <n v="1"/>
    <s v="Southern_Hawkes_Bay"/>
    <s v="N151_912/221"/>
    <x v="6"/>
    <x v="6"/>
    <n v="1250"/>
    <n v="-3"/>
    <n v="1983"/>
    <s v="ob"/>
    <n v="1522"/>
    <n v="19.13"/>
    <n v="10.66"/>
    <n v="2.8727616650000003E-2"/>
    <n v="0.30623639348900006"/>
    <n v="38"/>
    <n v="3.5"/>
    <n v="3"/>
    <n v="2.5"/>
    <n v="2.5"/>
    <n v="2"/>
    <s v="good"/>
  </r>
  <r>
    <s v="WSp"/>
    <n v="1"/>
    <s v="Southern_Hawkes_Bay"/>
    <s v="N151_912/221"/>
    <x v="6"/>
    <x v="6"/>
    <n v="1250"/>
    <n v="-3"/>
    <n v="1983"/>
    <s v="ob"/>
    <n v="2570"/>
    <n v="17.59"/>
    <n v="12.2"/>
    <n v="2.4288535850000001E-2"/>
    <n v="0.29632013737000001"/>
    <n v="50"/>
    <n v="3"/>
    <n v="2.7"/>
    <n v="3"/>
    <n v="3.5"/>
    <n v="2.7"/>
    <s v="average"/>
  </r>
  <r>
    <s v="WSp"/>
    <n v="1"/>
    <s v="Southern_Hawkes_Bay"/>
    <s v="N151_912/221"/>
    <x v="6"/>
    <x v="6"/>
    <n v="1250"/>
    <n v="-3"/>
    <n v="1983"/>
    <s v="ov"/>
    <n v="2571"/>
    <n v="19.350000000000001"/>
    <n v="17.3"/>
    <n v="2.9392166250000004E-2"/>
    <n v="0.50848447612500014"/>
    <n v="50"/>
    <n v="2.5"/>
    <n v="2"/>
    <n v="3.2"/>
    <n v="4"/>
    <n v="4"/>
    <s v="average"/>
  </r>
  <r>
    <s v="WSp"/>
    <n v="1"/>
    <s v="Southern_Hawkes_Bay"/>
    <s v="N151_912/221"/>
    <x v="6"/>
    <x v="6"/>
    <n v="1250"/>
    <n v="-3"/>
    <n v="1983"/>
    <s v="pu"/>
    <n v="2573"/>
    <n v="21.7"/>
    <n v="17.420000000000002"/>
    <n v="3.6964865E-2"/>
    <n v="0.64392794830000011"/>
    <n v="88"/>
    <n v="3"/>
    <n v="3.5"/>
    <n v="3"/>
    <n v="3.3"/>
    <n v="2.2999999999999998"/>
    <s v="good"/>
  </r>
  <r>
    <s v="WSp"/>
    <n v="1"/>
    <s v="Southern_Hawkes_Bay"/>
    <s v="N151_912/221"/>
    <x v="6"/>
    <x v="6"/>
    <n v="1250"/>
    <n v="-3"/>
    <n v="1983"/>
    <s v="re"/>
    <n v="2550"/>
    <n v="7.84"/>
    <n v="3.34"/>
    <n v="4.8250495999999999E-3"/>
    <n v="1.6115665663999999E-2"/>
    <n v="38"/>
    <n v="2"/>
    <n v="2.2999999999999998"/>
    <n v="1.5"/>
    <n v="2"/>
    <n v="2"/>
    <s v="low"/>
  </r>
  <r>
    <s v="WSp"/>
    <n v="1"/>
    <s v="Southern_Hawkes_Bay"/>
    <s v="N151_912/221"/>
    <x v="6"/>
    <x v="6"/>
    <n v="1250"/>
    <n v="-3"/>
    <n v="1983"/>
    <s v="re"/>
    <n v="2553"/>
    <n v="25.57"/>
    <n v="17.43"/>
    <n v="5.1325254649999992E-2"/>
    <n v="0.89459918854949982"/>
    <n v="50"/>
    <n v="3.7"/>
    <n v="3"/>
    <n v="2.7"/>
    <n v="3"/>
    <n v="2"/>
    <s v="average"/>
  </r>
  <r>
    <s v="WSp"/>
    <n v="1"/>
    <s v="Southern_Hawkes_Bay"/>
    <s v="N151_912/221"/>
    <x v="6"/>
    <x v="6"/>
    <n v="1250"/>
    <n v="-3"/>
    <n v="1983"/>
    <s v="rd"/>
    <n v="2575"/>
    <n v="6.87"/>
    <n v="9.4"/>
    <n v="3.7049566499999997E-3"/>
    <n v="3.4826592509999997E-2"/>
    <n v="50"/>
    <n v="1.5"/>
    <n v="3"/>
    <n v="2"/>
    <n v="2"/>
    <n v="2"/>
    <s v="none"/>
  </r>
  <r>
    <s v="WSp"/>
    <n v="1"/>
    <s v="Southern_Hawkes_Bay"/>
    <s v="N151_912/221"/>
    <x v="6"/>
    <x v="6"/>
    <n v="1250"/>
    <n v="-3"/>
    <n v="1983"/>
    <s v="fr"/>
    <n v="2552"/>
    <n v="31.87"/>
    <n v="20.52"/>
    <n v="7.9732206649999998E-2"/>
    <n v="1.6361048804579998"/>
    <n v="25"/>
    <n v="3.7"/>
    <n v="3.5"/>
    <n v="2.5"/>
    <n v="2.5"/>
    <n v="1.5"/>
    <s v="average"/>
  </r>
  <r>
    <s v="WSp"/>
    <n v="1"/>
    <s v="Southern_Hawkes_Bay"/>
    <s v="N151_912/221"/>
    <x v="6"/>
    <x v="6"/>
    <n v="1250"/>
    <n v="-3"/>
    <n v="1983"/>
    <s v="re"/>
    <n v="2574"/>
    <n v="15.11"/>
    <n v="15.54"/>
    <n v="1.7922499849999995E-2"/>
    <n v="0.27851564766899989"/>
    <n v="75"/>
    <n v="3.7"/>
    <n v="3"/>
    <n v="3.3"/>
    <n v="3.5"/>
    <n v="3.5"/>
    <s v="good"/>
  </r>
  <r>
    <s v="WSp"/>
    <n v="1"/>
    <s v="Southern_Hawkes_Bay"/>
    <s v="N151_912/221"/>
    <x v="6"/>
    <x v="6"/>
    <n v="1250"/>
    <n v="-3"/>
    <n v="1983"/>
    <s v="nd"/>
    <n v="2634"/>
    <n v="21.72"/>
    <n v="14.75"/>
    <n v="3.7033034399999991E-2"/>
    <n v="0.54623725739999984"/>
    <n v="38"/>
    <n v="3"/>
    <n v="3"/>
    <n v="3"/>
    <n v="4"/>
    <n v="2.2999999999999998"/>
    <s v="good"/>
  </r>
  <r>
    <s v="WSp"/>
    <n v="2"/>
    <s v="Southern_Hawkes_Bay"/>
    <s v="N151_912/221"/>
    <x v="6"/>
    <x v="6"/>
    <n v="1250"/>
    <n v="-3"/>
    <n v="1983"/>
    <s v="am"/>
    <n v="1592"/>
    <n v="24.95"/>
    <n v="19.690000000000001"/>
    <n v="4.8866446250000001E-2"/>
    <n v="0.96218032666250008"/>
    <n v="50"/>
    <n v="3.5"/>
    <n v="3"/>
    <n v="2.7"/>
    <n v="3"/>
    <n v="2.7"/>
    <s v="good"/>
  </r>
  <r>
    <s v="WSp"/>
    <n v="2"/>
    <s v="Southern_Hawkes_Bay"/>
    <s v="N151_912/221"/>
    <x v="6"/>
    <x v="6"/>
    <n v="1250"/>
    <n v="-3"/>
    <n v="1983"/>
    <s v="am"/>
    <n v="2560"/>
    <n v="17.350000000000001"/>
    <n v="16.11"/>
    <n v="2.3630266250000004E-2"/>
    <n v="0.38068358928750007"/>
    <n v="38"/>
    <n v="3"/>
    <n v="3"/>
    <n v="2.5"/>
    <n v="3.5"/>
    <n v="2.5"/>
    <s v="good"/>
  </r>
  <r>
    <s v="WSp"/>
    <n v="2"/>
    <s v="Southern_Hawkes_Bay"/>
    <s v="N151_912/221"/>
    <x v="6"/>
    <x v="6"/>
    <n v="1250"/>
    <n v="-3"/>
    <n v="1983"/>
    <s v="co"/>
    <n v="2562"/>
    <n v="18.809999999999999"/>
    <n v="19.09"/>
    <n v="2.7774563849999996E-2"/>
    <n v="0.53021642389649992"/>
    <n v="75"/>
    <n v="3"/>
    <n v="3"/>
    <n v="3.5"/>
    <n v="4"/>
    <n v="3"/>
    <s v="best"/>
  </r>
  <r>
    <s v="WSp"/>
    <n v="2"/>
    <s v="Southern_Hawkes_Bay"/>
    <s v="N151_912/221"/>
    <x v="6"/>
    <x v="6"/>
    <n v="1250"/>
    <n v="-3"/>
    <n v="1983"/>
    <s v="cr"/>
    <n v="1252"/>
    <n v="15.35"/>
    <n v="11.87"/>
    <n v="1.849636625E-2"/>
    <n v="0.21955186738749999"/>
    <n v="75"/>
    <n v="2.9"/>
    <n v="2.7"/>
    <n v="2.5"/>
    <n v="3"/>
    <n v="2.5"/>
    <s v="average"/>
  </r>
  <r>
    <s v="WSp"/>
    <n v="2"/>
    <s v="Southern_Hawkes_Bay"/>
    <s v="N151_912/221"/>
    <x v="6"/>
    <x v="6"/>
    <n v="1250"/>
    <n v="-3"/>
    <n v="1983"/>
    <s v="fa"/>
    <n v="2548"/>
    <n v="22.6"/>
    <n v="12.61"/>
    <n v="4.0094660000000004E-2"/>
    <n v="0.50559366260000005"/>
    <n v="63"/>
    <n v="3.5"/>
    <n v="3"/>
    <n v="2"/>
    <n v="2"/>
    <n v="1.5"/>
    <s v="average"/>
  </r>
  <r>
    <s v="WSp"/>
    <n v="2"/>
    <s v="Southern_Hawkes_Bay"/>
    <s v="N151_912/221"/>
    <x v="6"/>
    <x v="6"/>
    <n v="1250"/>
    <n v="-3"/>
    <n v="1983"/>
    <s v="nd"/>
    <n v="1596"/>
    <n v="21.45"/>
    <n v="16.760000000000002"/>
    <n v="3.6118046250000001E-2"/>
    <n v="0.60533845515000007"/>
    <n v="75"/>
    <n v="3"/>
    <n v="3.2"/>
    <n v="3.3"/>
    <n v="3.5"/>
    <n v="3"/>
    <s v="good"/>
  </r>
  <r>
    <s v="WSp"/>
    <n v="2"/>
    <s v="Southern_Hawkes_Bay"/>
    <s v="N151_912/221"/>
    <x v="6"/>
    <x v="6"/>
    <n v="1250"/>
    <n v="-3"/>
    <n v="1983"/>
    <s v="nd"/>
    <n v="2569"/>
    <n v="15.15"/>
    <n v="15.82"/>
    <n v="1.8017516250000001E-2"/>
    <n v="0.28503710707500002"/>
    <n v="75"/>
    <n v="3"/>
    <n v="3"/>
    <n v="3.1"/>
    <n v="3.4"/>
    <n v="3"/>
    <s v="good"/>
  </r>
  <r>
    <s v="WSp"/>
    <n v="2"/>
    <s v="Southern_Hawkes_Bay"/>
    <s v="N151_912/221"/>
    <x v="6"/>
    <x v="6"/>
    <n v="1250"/>
    <n v="-3"/>
    <n v="1983"/>
    <s v="ni"/>
    <n v="2568"/>
    <n v="20.46"/>
    <n v="19.260000000000002"/>
    <n v="3.2861010600000004E-2"/>
    <n v="0.63290306415600017"/>
    <n v="50"/>
    <n v="3"/>
    <n v="2.2000000000000002"/>
    <n v="3.3"/>
    <n v="3.3"/>
    <n v="3"/>
    <s v="good"/>
  </r>
  <r>
    <s v="WSp"/>
    <n v="2"/>
    <s v="Southern_Hawkes_Bay"/>
    <s v="N151_912/221"/>
    <x v="6"/>
    <x v="6"/>
    <n v="1250"/>
    <n v="-3"/>
    <n v="1983"/>
    <s v="ob"/>
    <n v="1522"/>
    <n v="20.8"/>
    <n v="15.41"/>
    <n v="3.3962240000000012E-2"/>
    <n v="0.52335811840000024"/>
    <n v="25"/>
    <n v="3.5"/>
    <n v="2.8"/>
    <n v="3.3"/>
    <n v="3.2"/>
    <n v="3.5"/>
    <s v="good"/>
  </r>
  <r>
    <s v="WSp"/>
    <n v="2"/>
    <s v="Southern_Hawkes_Bay"/>
    <s v="N151_912/221"/>
    <x v="6"/>
    <x v="6"/>
    <n v="1250"/>
    <n v="-3"/>
    <n v="1983"/>
    <s v="ob"/>
    <n v="2570"/>
    <n v="22.98"/>
    <n v="19.899999999999999"/>
    <n v="4.1454311399999999E-2"/>
    <n v="0.82494079685999988"/>
    <n v="50"/>
    <n v="4"/>
    <n v="2.7"/>
    <n v="3.5"/>
    <n v="3.3"/>
    <n v="3.5"/>
    <s v="best"/>
  </r>
  <r>
    <s v="WSp"/>
    <n v="2"/>
    <s v="Southern_Hawkes_Bay"/>
    <s v="N151_912/221"/>
    <x v="6"/>
    <x v="6"/>
    <n v="1250"/>
    <n v="-3"/>
    <n v="1983"/>
    <s v="ov"/>
    <n v="1788"/>
    <n v="16.989999999999998"/>
    <n v="16.52"/>
    <n v="2.265981785E-2"/>
    <n v="0.37434019088199999"/>
    <n v="25"/>
    <n v="3"/>
    <n v="2.7"/>
    <n v="3.2"/>
    <n v="3.7"/>
    <n v="3.2"/>
    <s v="average"/>
  </r>
  <r>
    <s v="WSp"/>
    <n v="2"/>
    <s v="Southern_Hawkes_Bay"/>
    <s v="N151_912/221"/>
    <x v="6"/>
    <x v="6"/>
    <n v="1250"/>
    <n v="-3"/>
    <n v="1983"/>
    <s v="ov"/>
    <n v="2571"/>
    <n v="19.670000000000002"/>
    <n v="20.14"/>
    <n v="3.0372348650000006E-2"/>
    <n v="0.61169910181100018"/>
    <n v="50"/>
    <n v="3"/>
    <n v="2"/>
    <n v="3.3"/>
    <n v="3.7"/>
    <n v="4"/>
    <s v="good"/>
  </r>
  <r>
    <s v="WSp"/>
    <n v="2"/>
    <s v="Southern_Hawkes_Bay"/>
    <s v="N151_912/221"/>
    <x v="6"/>
    <x v="6"/>
    <n v="1250"/>
    <n v="-3"/>
    <n v="1983"/>
    <s v="pa"/>
    <n v="2750"/>
    <n v="29.47"/>
    <n v="14.67"/>
    <n v="6.8175750649999978E-2"/>
    <n v="1.0001382620354997"/>
    <n v="88"/>
    <n v="4"/>
    <n v="4"/>
    <n v="3"/>
    <n v="3"/>
    <n v="1.7"/>
    <s v="best"/>
  </r>
  <r>
    <s v="WSp"/>
    <n v="2"/>
    <s v="Southern_Hawkes_Bay"/>
    <s v="N151_912/221"/>
    <x v="6"/>
    <x v="6"/>
    <n v="1250"/>
    <n v="-3"/>
    <n v="1983"/>
    <s v="pu"/>
    <n v="2573"/>
    <n v="23.29"/>
    <n v="17.739999999999998"/>
    <n v="4.258029185E-2"/>
    <n v="0.75537437741899993"/>
    <n v="75"/>
    <n v="3"/>
    <n v="3"/>
    <n v="3"/>
    <n v="3.5"/>
    <n v="2.5"/>
    <s v="best"/>
  </r>
  <r>
    <s v="WSp"/>
    <n v="2"/>
    <s v="Southern_Hawkes_Bay"/>
    <s v="N151_912/221"/>
    <x v="6"/>
    <x v="6"/>
    <n v="1250"/>
    <n v="-3"/>
    <n v="1983"/>
    <s v="re"/>
    <n v="2550"/>
    <n v="24.55"/>
    <n v="15.98"/>
    <n v="4.7312146249999999E-2"/>
    <n v="0.75604809707499998"/>
    <n v="13"/>
    <n v="3"/>
    <n v="2.7"/>
    <n v="4"/>
    <n v="3.3"/>
    <n v="3"/>
    <s v="average"/>
  </r>
  <r>
    <s v="WSp"/>
    <n v="2"/>
    <s v="Southern_Hawkes_Bay"/>
    <s v="N151_912/221"/>
    <x v="6"/>
    <x v="6"/>
    <n v="1250"/>
    <n v="-3"/>
    <n v="1983"/>
    <s v="re"/>
    <n v="2553"/>
    <n v="23.53"/>
    <n v="21.06"/>
    <n v="4.3462380650000007E-2"/>
    <n v="0.91531773648900006"/>
    <n v="50"/>
    <n v="4.5"/>
    <n v="3.5"/>
    <n v="3.3"/>
    <n v="3.2"/>
    <n v="2.8"/>
    <s v="good"/>
  </r>
  <r>
    <s v="WSp"/>
    <n v="2"/>
    <s v="Southern_Hawkes_Bay"/>
    <s v="N151_912/221"/>
    <x v="6"/>
    <x v="6"/>
    <n v="1250"/>
    <n v="-3"/>
    <n v="1983"/>
    <s v="rd"/>
    <n v="2575"/>
    <n v="3.62"/>
    <n v="6.03"/>
    <n v="1.0286954000000002E-3"/>
    <n v="6.2030332620000017E-3"/>
    <n v="25"/>
    <n v="1"/>
    <n v="3"/>
    <n v="2.5"/>
    <n v="2.5"/>
    <n v="3"/>
    <s v="none"/>
  </r>
  <r>
    <s v="WSp"/>
    <n v="2"/>
    <s v="Southern_Hawkes_Bay"/>
    <s v="N151_912/221"/>
    <x v="6"/>
    <x v="6"/>
    <n v="1250"/>
    <n v="-3"/>
    <n v="1983"/>
    <s v="fr"/>
    <n v="2552"/>
    <n v="31.73"/>
    <n v="18.88"/>
    <n v="7.9033242650000016E-2"/>
    <n v="1.4921476212320002"/>
    <n v="63"/>
    <n v="3.8"/>
    <n v="3.2"/>
    <n v="3"/>
    <n v="3"/>
    <n v="2"/>
    <s v="good"/>
  </r>
  <r>
    <s v="WSp"/>
    <n v="2"/>
    <s v="Southern_Hawkes_Bay"/>
    <s v="N151_912/221"/>
    <x v="6"/>
    <x v="6"/>
    <n v="1250"/>
    <n v="-3"/>
    <n v="1983"/>
    <s v="ob"/>
    <n v="2458"/>
    <n v="18.88"/>
    <n v="10.53"/>
    <n v="2.7981670400000002E-2"/>
    <n v="0.29464698931200001"/>
    <n v="63"/>
    <n v="3.5"/>
    <n v="3"/>
    <n v="2"/>
    <n v="2"/>
    <n v="1.5"/>
    <s v="average"/>
  </r>
  <r>
    <s v="WSp"/>
    <n v="2"/>
    <s v="Southern_Hawkes_Bay"/>
    <s v="N151_912/221"/>
    <x v="6"/>
    <x v="6"/>
    <n v="1250"/>
    <n v="-3"/>
    <n v="1983"/>
    <s v="re"/>
    <n v="2574"/>
    <n v="24.4"/>
    <n v="20.329999999999998"/>
    <n v="4.6735760000000001E-2"/>
    <n v="0.95013800079999999"/>
    <n v="75"/>
    <n v="4.5"/>
    <n v="3.5"/>
    <n v="3.3"/>
    <n v="3.2"/>
    <n v="2.8"/>
    <s v="good"/>
  </r>
  <r>
    <s v="WSp"/>
    <n v="3"/>
    <s v="Southern_Hawkes_Bay"/>
    <s v="N151_912/221"/>
    <x v="6"/>
    <x v="6"/>
    <n v="1250"/>
    <n v="-3"/>
    <n v="1983"/>
    <s v="am"/>
    <n v="1592"/>
    <n v="18.399999999999999"/>
    <n v="14.18"/>
    <n v="2.657696E-2"/>
    <n v="0.37686129279999997"/>
    <n v="50"/>
    <n v="3.5"/>
    <n v="3.2"/>
    <n v="2"/>
    <n v="2.5"/>
    <n v="1.5"/>
    <s v="good"/>
  </r>
  <r>
    <s v="WSp"/>
    <n v="3"/>
    <s v="Southern_Hawkes_Bay"/>
    <s v="N151_912/221"/>
    <x v="6"/>
    <x v="6"/>
    <n v="1250"/>
    <n v="-3"/>
    <n v="1983"/>
    <s v="am"/>
    <n v="2560"/>
    <n v="18.59"/>
    <n v="8.26"/>
    <n v="2.7128665850000004E-2"/>
    <n v="0.22408277992100004"/>
    <n v="13"/>
    <n v="2.5"/>
    <n v="3.5"/>
    <n v="2"/>
    <n v="2"/>
    <n v="2"/>
    <s v="average"/>
  </r>
  <r>
    <s v="WSp"/>
    <n v="3"/>
    <s v="Southern_Hawkes_Bay"/>
    <s v="N151_912/221"/>
    <x v="6"/>
    <x v="6"/>
    <n v="1250"/>
    <n v="-3"/>
    <n v="1983"/>
    <s v="co"/>
    <n v="2562"/>
    <n v="14.87"/>
    <n v="15.56"/>
    <n v="1.7357676650000001E-2"/>
    <n v="0.27008544867400003"/>
    <n v="38"/>
    <n v="3.5"/>
    <n v="3.5"/>
    <n v="3.3"/>
    <n v="3.3"/>
    <n v="3"/>
    <s v="good"/>
  </r>
  <r>
    <s v="WSp"/>
    <n v="3"/>
    <s v="Southern_Hawkes_Bay"/>
    <s v="N151_912/221"/>
    <x v="6"/>
    <x v="6"/>
    <n v="1250"/>
    <n v="-3"/>
    <n v="1983"/>
    <s v="fa"/>
    <n v="2548"/>
    <n v="41.51"/>
    <n v="14.6"/>
    <n v="0.13526178784999998"/>
    <n v="1.9748221026099997"/>
    <n v="25"/>
    <n v="3"/>
    <n v="3"/>
    <n v="1.5"/>
    <n v="1.5"/>
    <n v="1"/>
    <s v="average"/>
  </r>
  <r>
    <s v="WSp"/>
    <n v="3"/>
    <s v="Southern_Hawkes_Bay"/>
    <s v="N151_912/221"/>
    <x v="6"/>
    <x v="6"/>
    <n v="1250"/>
    <n v="-3"/>
    <n v="1983"/>
    <s v="nd"/>
    <n v="1596"/>
    <n v="19.04"/>
    <n v="14.75"/>
    <n v="2.8457945599999996E-2"/>
    <n v="0.41975469759999995"/>
    <n v="50"/>
    <n v="3.5"/>
    <n v="4"/>
    <n v="2.5"/>
    <n v="2.5"/>
    <n v="2"/>
    <s v="good"/>
  </r>
  <r>
    <s v="WSp"/>
    <n v="3"/>
    <s v="Southern_Hawkes_Bay"/>
    <s v="N151_912/221"/>
    <x v="6"/>
    <x v="6"/>
    <n v="1250"/>
    <n v="-3"/>
    <n v="1983"/>
    <s v="nd"/>
    <n v="2569"/>
    <n v="15.55"/>
    <n v="12.87"/>
    <n v="1.898149625E-2"/>
    <n v="0.24429185673749998"/>
    <n v="63"/>
    <n v="3"/>
    <n v="3"/>
    <n v="2.5"/>
    <n v="3"/>
    <n v="2"/>
    <s v="good"/>
  </r>
  <r>
    <s v="WSp"/>
    <n v="3"/>
    <s v="Southern_Hawkes_Bay"/>
    <s v="N151_912/221"/>
    <x v="6"/>
    <x v="6"/>
    <n v="1250"/>
    <n v="-3"/>
    <n v="1983"/>
    <s v="ni"/>
    <n v="2547"/>
    <n v="25.4"/>
    <n v="18.75"/>
    <n v="5.0645060000000006E-2"/>
    <n v="0.94959487500000006"/>
    <n v="13"/>
    <n v="3.7"/>
    <n v="2.7"/>
    <n v="2"/>
    <n v="2.5"/>
    <n v="2.2999999999999998"/>
    <s v="average"/>
  </r>
  <r>
    <s v="WSp"/>
    <n v="3"/>
    <s v="Southern_Hawkes_Bay"/>
    <s v="N151_912/221"/>
    <x v="6"/>
    <x v="6"/>
    <n v="1250"/>
    <n v="-3"/>
    <n v="1983"/>
    <s v="ni"/>
    <n v="2568"/>
    <n v="47.73"/>
    <n v="18.55"/>
    <n v="0.17883500264999996"/>
    <n v="3.3173892991574996"/>
    <n v="13"/>
    <n v="3.5"/>
    <n v="2.7"/>
    <n v="2"/>
    <n v="2"/>
    <n v="2"/>
    <s v="good"/>
  </r>
  <r>
    <s v="WSp"/>
    <n v="3"/>
    <s v="Southern_Hawkes_Bay"/>
    <s v="N151_912/221"/>
    <x v="6"/>
    <x v="6"/>
    <n v="1250"/>
    <n v="-3"/>
    <n v="1983"/>
    <s v="ob"/>
    <n v="1522"/>
    <n v="21.7"/>
    <n v="17.329999999999998"/>
    <n v="3.6964865E-2"/>
    <n v="0.6406011104499999"/>
    <n v="25"/>
    <n v="3.3"/>
    <n v="3"/>
    <n v="3"/>
    <n v="3"/>
    <n v="3"/>
    <s v="good"/>
  </r>
  <r>
    <s v="WSp"/>
    <n v="3"/>
    <s v="Southern_Hawkes_Bay"/>
    <s v="N151_912/221"/>
    <x v="6"/>
    <x v="6"/>
    <n v="1250"/>
    <n v="-3"/>
    <n v="1983"/>
    <s v="ob"/>
    <n v="2570"/>
    <n v="34.67"/>
    <n v="15.41"/>
    <n v="9.4357698650000002E-2"/>
    <n v="1.4540521361965"/>
    <n v="13"/>
    <n v="4"/>
    <n v="3"/>
    <n v="2.5"/>
    <n v="2.5"/>
    <n v="2"/>
    <s v="average"/>
  </r>
  <r>
    <s v="WSp"/>
    <n v="3"/>
    <s v="Southern_Hawkes_Bay"/>
    <s v="N151_912/221"/>
    <x v="6"/>
    <x v="6"/>
    <n v="1250"/>
    <n v="-3"/>
    <n v="1983"/>
    <s v="ov"/>
    <n v="1788"/>
    <n v="7.4"/>
    <n v="13.38"/>
    <n v="4.2986600000000019E-3"/>
    <n v="5.7516070800000027E-2"/>
    <n v="25"/>
    <n v="1"/>
    <n v="2"/>
    <n v="3.2"/>
    <n v="3"/>
    <n v="3"/>
    <s v="none"/>
  </r>
  <r>
    <s v="WSp"/>
    <n v="3"/>
    <s v="Southern_Hawkes_Bay"/>
    <s v="N151_912/221"/>
    <x v="6"/>
    <x v="6"/>
    <n v="1250"/>
    <n v="-3"/>
    <n v="1983"/>
    <s v="ov"/>
    <n v="2571"/>
    <n v="22.03"/>
    <n v="19.34"/>
    <n v="3.8097690650000016E-2"/>
    <n v="0.73680933717100028"/>
    <n v="50"/>
    <n v="4"/>
    <n v="2.5"/>
    <n v="3.3"/>
    <n v="3.3"/>
    <n v="3"/>
    <s v="best"/>
  </r>
  <r>
    <s v="WSp"/>
    <n v="3"/>
    <s v="Southern_Hawkes_Bay"/>
    <s v="N151_912/221"/>
    <x v="6"/>
    <x v="6"/>
    <n v="1250"/>
    <n v="-3"/>
    <n v="1983"/>
    <s v="pa"/>
    <n v="2750"/>
    <n v="32.75"/>
    <n v="16.37"/>
    <n v="8.4196156250000015E-2"/>
    <n v="1.3782910778125004"/>
    <n v="50"/>
    <n v="4"/>
    <n v="4"/>
    <n v="2"/>
    <n v="2"/>
    <n v="2"/>
    <s v="best"/>
  </r>
  <r>
    <s v="WSp"/>
    <n v="3"/>
    <s v="Southern_Hawkes_Bay"/>
    <s v="N151_912/221"/>
    <x v="6"/>
    <x v="6"/>
    <n v="1250"/>
    <n v="-3"/>
    <n v="1983"/>
    <s v="pu"/>
    <n v="2573"/>
    <n v="27.4"/>
    <n v="17.899999999999999"/>
    <n v="5.8934659999999986E-2"/>
    <n v="1.0549304139999998"/>
    <n v="38"/>
    <n v="3"/>
    <n v="3.3"/>
    <n v="2.5"/>
    <n v="3"/>
    <n v="2"/>
    <s v="good"/>
  </r>
  <r>
    <s v="WSp"/>
    <n v="3"/>
    <s v="Southern_Hawkes_Bay"/>
    <s v="N151_912/221"/>
    <x v="6"/>
    <x v="6"/>
    <n v="1250"/>
    <n v="-3"/>
    <n v="1983"/>
    <s v="re"/>
    <n v="2550"/>
    <n v="23.1"/>
    <n v="18.59"/>
    <n v="4.1888385000000007E-2"/>
    <n v="0.77870507715000015"/>
    <n v="63"/>
    <n v="4"/>
    <n v="3.5"/>
    <n v="3.3"/>
    <n v="3.3"/>
    <n v="3"/>
    <s v="good"/>
  </r>
  <r>
    <s v="WSp"/>
    <n v="3"/>
    <s v="Southern_Hawkes_Bay"/>
    <s v="N151_912/221"/>
    <x v="6"/>
    <x v="6"/>
    <n v="1250"/>
    <n v="-3"/>
    <n v="1983"/>
    <s v="re"/>
    <n v="2553"/>
    <n v="20.34"/>
    <n v="18.45"/>
    <n v="3.2476674600000005E-2"/>
    <n v="0.59919464637000008"/>
    <n v="75"/>
    <n v="3.5"/>
    <n v="3"/>
    <n v="3.3"/>
    <n v="3.3"/>
    <n v="3"/>
    <s v="good"/>
  </r>
  <r>
    <s v="WSp"/>
    <n v="3"/>
    <s v="Southern_Hawkes_Bay"/>
    <s v="N151_912/221"/>
    <x v="6"/>
    <x v="6"/>
    <n v="1250"/>
    <n v="-3"/>
    <n v="1983"/>
    <s v="rd"/>
    <n v="2575"/>
    <n v="5.18"/>
    <n v="4.82"/>
    <n v="2.1063434000000002E-3"/>
    <n v="1.0152575188000001E-2"/>
    <n v="38"/>
    <n v="1"/>
    <n v="2"/>
    <n v="2"/>
    <n v="2"/>
    <n v="2"/>
    <s v="none"/>
  </r>
  <r>
    <s v="WSp"/>
    <n v="3"/>
    <s v="Southern_Hawkes_Bay"/>
    <s v="N151_912/221"/>
    <x v="6"/>
    <x v="6"/>
    <n v="1250"/>
    <n v="-3"/>
    <n v="1983"/>
    <s v="fr"/>
    <n v="2552"/>
    <n v="15.05"/>
    <n v="9.0500000000000007"/>
    <n v="1.7780446249999998E-2"/>
    <n v="0.1609130385625"/>
    <n v="25"/>
    <n v="4"/>
    <n v="4"/>
    <n v="2"/>
    <n v="1.5"/>
    <n v="1"/>
    <s v="average"/>
  </r>
  <r>
    <s v="WSp"/>
    <n v="3"/>
    <s v="Southern_Hawkes_Bay"/>
    <s v="N151_912/221"/>
    <x v="6"/>
    <x v="6"/>
    <n v="1250"/>
    <n v="-3"/>
    <n v="1983"/>
    <s v="re"/>
    <n v="2574"/>
    <n v="22.08"/>
    <n v="21.79"/>
    <n v="3.8270822400000001E-2"/>
    <n v="0.833921220096"/>
    <n v="50"/>
    <n v="3.5"/>
    <n v="3"/>
    <n v="3.3"/>
    <n v="3.3"/>
    <n v="3"/>
    <s v="good"/>
  </r>
  <r>
    <s v="WSp"/>
    <n v="3"/>
    <s v="Southern_Hawkes_Bay"/>
    <s v="N151_912/221"/>
    <x v="6"/>
    <x v="6"/>
    <n v="1250"/>
    <n v="-3"/>
    <n v="1983"/>
    <s v="nd"/>
    <n v="2634"/>
    <n v="26.28"/>
    <n v="20.11"/>
    <n v="5.4215114400000014E-2"/>
    <n v="1.0902659505840002"/>
    <n v="25"/>
    <n v="3.1"/>
    <n v="3"/>
    <n v="3"/>
    <n v="3"/>
    <n v="2"/>
    <s v="good"/>
  </r>
  <r>
    <s v="K83"/>
    <n v="1"/>
    <s v="Central_Wairarapa"/>
    <s v="N158_344/626"/>
    <x v="4"/>
    <x v="4"/>
    <n v="1080"/>
    <n v="-3"/>
    <n v="1983"/>
    <s v="co"/>
    <n v="2562"/>
    <n v="17.41"/>
    <n v="12.44"/>
    <n v="2.3793985850000001E-2"/>
    <n v="0.29599718397399999"/>
    <n v="50"/>
    <n v="3.5"/>
    <n v="3.3"/>
    <n v="3"/>
    <n v="3.5"/>
    <n v="3"/>
    <s v="good"/>
  </r>
  <r>
    <s v="K83"/>
    <n v="1"/>
    <s v="Central_Wairarapa"/>
    <s v="N158_344/626"/>
    <x v="4"/>
    <x v="4"/>
    <n v="1080"/>
    <n v="-3"/>
    <n v="1983"/>
    <s v="cr"/>
    <n v="1252"/>
    <n v="12.96"/>
    <n v="11.21"/>
    <n v="1.3184985600000004E-2"/>
    <n v="0.14780368857600007"/>
    <n v="88"/>
    <n v="4"/>
    <n v="4"/>
    <n v="2.5"/>
    <n v="2"/>
    <n v="2"/>
    <s v="average"/>
  </r>
  <r>
    <s v="K83"/>
    <n v="1"/>
    <s v="Central_Wairarapa"/>
    <s v="N158_344/626"/>
    <x v="4"/>
    <x v="4"/>
    <n v="1080"/>
    <n v="-3"/>
    <n v="1983"/>
    <s v="co"/>
    <n v="1"/>
    <n v="6.77"/>
    <n v="7.19"/>
    <n v="3.5978826499999997E-3"/>
    <n v="2.5868776253499998E-2"/>
    <n v="75"/>
    <n v="3"/>
    <n v="3"/>
    <n v="2.7"/>
    <n v="3"/>
    <n v="3"/>
    <s v="average"/>
  </r>
  <r>
    <s v="K83"/>
    <n v="1"/>
    <s v="Central_Wairarapa"/>
    <s v="N158_344/626"/>
    <x v="4"/>
    <x v="4"/>
    <n v="1080"/>
    <n v="-3"/>
    <n v="1983"/>
    <s v="fa"/>
    <n v="2548"/>
    <n v="2.95"/>
    <n v="4.43"/>
    <n v="6.8314625000000012E-4"/>
    <n v="3.0263378875000002E-3"/>
    <n v="13"/>
    <n v="1"/>
    <n v="2"/>
    <n v="3"/>
    <n v="3"/>
    <n v="3"/>
    <s v="none"/>
  </r>
  <r>
    <s v="K83"/>
    <n v="1"/>
    <s v="Central_Wairarapa"/>
    <s v="N158_344/626"/>
    <x v="4"/>
    <x v="4"/>
    <n v="1080"/>
    <n v="-3"/>
    <n v="1983"/>
    <s v="nd"/>
    <n v="1596"/>
    <n v="7.68"/>
    <n v="6.56"/>
    <n v="4.6301183999999992E-3"/>
    <n v="3.0373576703999993E-2"/>
    <n v="50"/>
    <n v="3"/>
    <n v="3.5"/>
    <n v="3.5"/>
    <n v="4"/>
    <n v="4"/>
    <s v="average"/>
  </r>
  <r>
    <s v="K83"/>
    <n v="1"/>
    <s v="Central_Wairarapa"/>
    <s v="N158_344/626"/>
    <x v="4"/>
    <x v="4"/>
    <n v="1080"/>
    <n v="-3"/>
    <n v="1983"/>
    <s v="nd"/>
    <n v="2569"/>
    <n v="16.690000000000001"/>
    <n v="11.67"/>
    <n v="2.1866653850000004E-2"/>
    <n v="0.25518385042950004"/>
    <n v="75"/>
    <n v="3"/>
    <n v="3.8"/>
    <n v="3.4"/>
    <n v="4"/>
    <n v="3.5"/>
    <s v="average"/>
  </r>
  <r>
    <s v="K83"/>
    <n v="1"/>
    <s v="Central_Wairarapa"/>
    <s v="N158_344/626"/>
    <x v="4"/>
    <x v="4"/>
    <n v="1080"/>
    <n v="-3"/>
    <n v="1983"/>
    <s v="ob"/>
    <n v="2458"/>
    <n v="8.4600000000000009"/>
    <n v="7.05"/>
    <n v="5.6183706000000021E-3"/>
    <n v="3.9609512730000011E-2"/>
    <n v="13"/>
    <n v="2"/>
    <n v="3"/>
    <n v="3"/>
    <n v="3"/>
    <n v="3"/>
    <s v="low"/>
  </r>
  <r>
    <s v="K83"/>
    <n v="1"/>
    <s v="Central_Wairarapa"/>
    <s v="N158_344/626"/>
    <x v="4"/>
    <x v="4"/>
    <n v="1080"/>
    <n v="-3"/>
    <n v="1983"/>
    <s v="ov"/>
    <n v="1788"/>
    <n v="5.35"/>
    <n v="5.9"/>
    <n v="2.24686625E-3"/>
    <n v="1.3256510875E-2"/>
    <n v="25"/>
    <n v="2"/>
    <n v="1.8"/>
    <n v="2"/>
    <n v="2.5"/>
    <n v="3"/>
    <s v="low"/>
  </r>
  <r>
    <s v="K83"/>
    <n v="1"/>
    <s v="Central_Wairarapa"/>
    <s v="N158_344/626"/>
    <x v="4"/>
    <x v="4"/>
    <n v="1080"/>
    <n v="-3"/>
    <n v="1983"/>
    <s v="ov"/>
    <n v="2571"/>
    <n v="14.82"/>
    <n v="14.23"/>
    <n v="1.7241143399999999E-2"/>
    <n v="0.24534147058199998"/>
    <n v="50"/>
    <n v="3"/>
    <n v="1.7"/>
    <n v="4"/>
    <n v="4"/>
    <n v="3.5"/>
    <s v="good"/>
  </r>
  <r>
    <s v="K83"/>
    <n v="1"/>
    <s v="Central_Wairarapa"/>
    <s v="N158_344/626"/>
    <x v="4"/>
    <x v="4"/>
    <n v="1080"/>
    <n v="-3"/>
    <n v="1983"/>
    <s v="pa"/>
    <n v="2750"/>
    <n v="9.19"/>
    <n v="7.81"/>
    <n v="6.6298038499999993E-3"/>
    <n v="5.1778768068499993E-2"/>
    <n v="50"/>
    <n v="2.8"/>
    <n v="3"/>
    <n v="3"/>
    <n v="4"/>
    <n v="3"/>
    <s v="none"/>
  </r>
  <r>
    <s v="K83"/>
    <n v="1"/>
    <s v="Central_Wairarapa"/>
    <s v="N158_344/626"/>
    <x v="4"/>
    <x v="4"/>
    <n v="1080"/>
    <n v="-3"/>
    <n v="1983"/>
    <s v="pu"/>
    <n v="2573"/>
    <n v="5.19"/>
    <n v="4.4400000000000004"/>
    <n v="2.1144838500000004E-3"/>
    <n v="9.3883082940000029E-3"/>
    <n v="13"/>
    <n v="1.5"/>
    <n v="2.5"/>
    <n v="3"/>
    <n v="3"/>
    <n v="3"/>
    <s v="none"/>
  </r>
  <r>
    <s v="K83"/>
    <n v="1"/>
    <s v="Central_Wairarapa"/>
    <s v="N158_344/626"/>
    <x v="4"/>
    <x v="4"/>
    <n v="1080"/>
    <n v="-3"/>
    <n v="1983"/>
    <s v="re"/>
    <n v="2553"/>
    <n v="9.73"/>
    <n v="11.04"/>
    <n v="7.4318226500000003E-3"/>
    <n v="8.2047322056000002E-2"/>
    <n v="75"/>
    <n v="3"/>
    <n v="3"/>
    <n v="3.5"/>
    <n v="4"/>
    <n v="3.5"/>
    <s v="good"/>
  </r>
  <r>
    <s v="K83"/>
    <n v="1"/>
    <s v="Central_Wairarapa"/>
    <s v="N158_344/626"/>
    <x v="4"/>
    <x v="4"/>
    <n v="1080"/>
    <n v="-3"/>
    <n v="1983"/>
    <s v="rd"/>
    <n v="2575"/>
    <n v="13.54"/>
    <n v="8.81"/>
    <n v="1.4391530599999999E-2"/>
    <n v="0.126789384586"/>
    <n v="88"/>
    <n v="2.7"/>
    <n v="2"/>
    <n v="2.5"/>
    <n v="3"/>
    <n v="3"/>
    <s v="average"/>
  </r>
  <r>
    <s v="K83"/>
    <n v="1"/>
    <s v="Central_Wairarapa"/>
    <s v="N158_344/626"/>
    <x v="4"/>
    <x v="4"/>
    <n v="1080"/>
    <n v="-3"/>
    <n v="1983"/>
    <s v="fr"/>
    <n v="2552"/>
    <n v="5.78"/>
    <n v="7.21"/>
    <n v="2.6225594000000001E-3"/>
    <n v="1.8908653274000001E-2"/>
    <n v="13"/>
    <n v="1.5"/>
    <n v="3"/>
    <n v="4"/>
    <n v="4"/>
    <n v="4"/>
    <s v="none"/>
  </r>
  <r>
    <s v="K83"/>
    <n v="2"/>
    <s v="Central_Wairarapa"/>
    <s v="N158_344/626"/>
    <x v="4"/>
    <x v="4"/>
    <n v="1080"/>
    <n v="-3"/>
    <n v="1983"/>
    <s v="cr"/>
    <n v="1252"/>
    <n v="5.36"/>
    <n v="4.6100000000000003"/>
    <n v="2.2552736000000006E-3"/>
    <n v="1.0396811296000003E-2"/>
    <n v="63"/>
    <n v="3"/>
    <n v="3"/>
    <n v="2"/>
    <n v="2"/>
    <n v="3"/>
    <s v="low"/>
  </r>
  <r>
    <s v="K83"/>
    <n v="2"/>
    <s v="Central_Wairarapa"/>
    <s v="N158_344/626"/>
    <x v="4"/>
    <x v="4"/>
    <n v="1080"/>
    <n v="-3"/>
    <n v="1983"/>
    <s v="co"/>
    <n v="1"/>
    <n v="11.88"/>
    <n v="9.81"/>
    <n v="1.1079050400000002E-2"/>
    <n v="0.10868548442400003"/>
    <n v="63"/>
    <n v="3"/>
    <n v="4"/>
    <n v="2.5"/>
    <n v="2.5"/>
    <n v="2.5"/>
    <s v="average"/>
  </r>
  <r>
    <s v="K83"/>
    <n v="2"/>
    <s v="Central_Wairarapa"/>
    <s v="N158_344/626"/>
    <x v="4"/>
    <x v="4"/>
    <n v="1080"/>
    <n v="-3"/>
    <n v="1983"/>
    <s v="fa"/>
    <n v="1482"/>
    <n v="14.03"/>
    <n v="9.9"/>
    <n v="1.5452010649999997E-2"/>
    <n v="0.15297490543499997"/>
    <n v="63"/>
    <n v="3.5"/>
    <n v="4"/>
    <n v="3.5"/>
    <n v="3"/>
    <n v="3"/>
    <s v="good"/>
  </r>
  <r>
    <s v="K83"/>
    <n v="2"/>
    <s v="Central_Wairarapa"/>
    <s v="N158_344/626"/>
    <x v="4"/>
    <x v="4"/>
    <n v="1080"/>
    <n v="-3"/>
    <n v="1983"/>
    <s v="fa"/>
    <n v="2548"/>
    <n v="23.63"/>
    <n v="11.82"/>
    <n v="4.3832586649999991E-2"/>
    <n v="0.51810117420299995"/>
    <n v="88"/>
    <n v="4.5"/>
    <n v="4"/>
    <n v="3"/>
    <n v="2.5"/>
    <n v="2"/>
    <s v="good"/>
  </r>
  <r>
    <s v="K83"/>
    <n v="2"/>
    <s v="Central_Wairarapa"/>
    <s v="N158_344/626"/>
    <x v="4"/>
    <x v="4"/>
    <n v="1080"/>
    <n v="-3"/>
    <n v="1983"/>
    <s v="fr"/>
    <n v="2552"/>
    <n v="10.39"/>
    <n v="8.66"/>
    <n v="8.4742398500000007E-3"/>
    <n v="7.338691710100001E-2"/>
    <n v="38"/>
    <n v="3"/>
    <n v="3.5"/>
    <n v="3"/>
    <n v="4"/>
    <n v="3"/>
    <s v="average"/>
  </r>
  <r>
    <s v="K83"/>
    <n v="2"/>
    <s v="Central_Wairarapa"/>
    <s v="N158_344/626"/>
    <x v="4"/>
    <x v="4"/>
    <n v="1080"/>
    <n v="-3"/>
    <n v="1983"/>
    <s v="nd"/>
    <n v="1596"/>
    <n v="7.83"/>
    <n v="6.79"/>
    <n v="4.8127486499999995E-3"/>
    <n v="3.2678563333499999E-2"/>
    <n v="100"/>
    <n v="3"/>
    <n v="3"/>
    <n v="3.5"/>
    <n v="4.5"/>
    <n v="3.5"/>
    <s v="good"/>
  </r>
  <r>
    <s v="K83"/>
    <n v="2"/>
    <s v="Central_Wairarapa"/>
    <s v="N158_344/626"/>
    <x v="4"/>
    <x v="4"/>
    <n v="1080"/>
    <n v="-3"/>
    <n v="1983"/>
    <s v="nd"/>
    <n v="2569"/>
    <n v="11.23"/>
    <n v="10.34"/>
    <n v="9.8998626500000023E-3"/>
    <n v="0.10236457980100003"/>
    <n v="50"/>
    <n v="3"/>
    <n v="3.5"/>
    <n v="3.3"/>
    <n v="4"/>
    <n v="3.5"/>
    <s v="good"/>
  </r>
  <r>
    <s v="K83"/>
    <n v="2"/>
    <s v="Central_Wairarapa"/>
    <s v="N158_344/626"/>
    <x v="4"/>
    <x v="4"/>
    <n v="1080"/>
    <n v="-3"/>
    <n v="1983"/>
    <s v="ni"/>
    <n v="2547"/>
    <n v="9.1300000000000008"/>
    <n v="8.01"/>
    <n v="6.5435166500000018E-3"/>
    <n v="5.2413568366500012E-2"/>
    <n v="75"/>
    <n v="2.8"/>
    <n v="2"/>
    <n v="3.3"/>
    <n v="3.3"/>
    <n v="3"/>
    <s v="average"/>
  </r>
  <r>
    <s v="K83"/>
    <n v="2"/>
    <s v="Central_Wairarapa"/>
    <s v="N158_344/626"/>
    <x v="4"/>
    <x v="4"/>
    <n v="1080"/>
    <n v="-3"/>
    <n v="1983"/>
    <s v="ni"/>
    <n v="2568"/>
    <n v="11.66"/>
    <n v="8.57"/>
    <n v="1.06725146E-2"/>
    <n v="9.1463450122000009E-2"/>
    <n v="75"/>
    <n v="3"/>
    <n v="2.5"/>
    <n v="2.5"/>
    <n v="2.5"/>
    <n v="2.5"/>
    <s v="low"/>
  </r>
  <r>
    <s v="K83"/>
    <n v="2"/>
    <s v="Central_Wairarapa"/>
    <s v="N158_344/626"/>
    <x v="4"/>
    <x v="4"/>
    <n v="1080"/>
    <n v="-3"/>
    <n v="1983"/>
    <s v="ob"/>
    <n v="2570"/>
    <n v="3.81"/>
    <n v="4.93"/>
    <n v="1.1395138500000001E-3"/>
    <n v="5.6178032805000002E-3"/>
    <n v="13"/>
    <n v="2"/>
    <n v="2.5"/>
    <n v="3"/>
    <n v="4"/>
    <n v="3"/>
    <s v="none"/>
  </r>
  <r>
    <s v="K83"/>
    <n v="2"/>
    <s v="Central_Wairarapa"/>
    <s v="N158_344/626"/>
    <x v="4"/>
    <x v="4"/>
    <n v="1080"/>
    <n v="-3"/>
    <n v="1983"/>
    <s v="ov"/>
    <n v="1788"/>
    <n v="16.16"/>
    <n v="10.98"/>
    <n v="2.0499929600000001E-2"/>
    <n v="0.22508922700800002"/>
    <n v="13"/>
    <n v="3.5"/>
    <n v="2.5"/>
    <n v="3"/>
    <n v="4"/>
    <n v="3"/>
    <s v="good"/>
  </r>
  <r>
    <s v="K83"/>
    <n v="2"/>
    <s v="Central_Wairarapa"/>
    <s v="N158_344/626"/>
    <x v="4"/>
    <x v="4"/>
    <n v="1080"/>
    <n v="-3"/>
    <n v="1983"/>
    <s v="ov"/>
    <n v="2571"/>
    <n v="8.83"/>
    <n v="7.91"/>
    <n v="6.1205586500000008E-3"/>
    <n v="4.8413618921500007E-2"/>
    <n v="63"/>
    <n v="3.5"/>
    <n v="2.5"/>
    <n v="3.5"/>
    <n v="4"/>
    <n v="4"/>
    <s v="good"/>
  </r>
  <r>
    <s v="K83"/>
    <n v="2"/>
    <s v="Central_Wairarapa"/>
    <s v="N158_344/626"/>
    <x v="4"/>
    <x v="4"/>
    <n v="1080"/>
    <n v="-3"/>
    <n v="1983"/>
    <s v="pa"/>
    <n v="2750"/>
    <n v="1.38"/>
    <n v="1.53"/>
    <n v="1.4949540000000001E-4"/>
    <n v="2.28727962E-4"/>
    <n v="13"/>
    <n v="1"/>
    <n v="1"/>
    <n v="3"/>
    <n v="3"/>
    <n v="3"/>
    <s v="none"/>
  </r>
  <r>
    <s v="K83"/>
    <n v="2"/>
    <s v="Central_Wairarapa"/>
    <s v="N158_344/626"/>
    <x v="4"/>
    <x v="4"/>
    <n v="1080"/>
    <n v="-3"/>
    <n v="1983"/>
    <s v="pu"/>
    <n v="2573"/>
    <n v="1.48"/>
    <n v="2.96"/>
    <n v="1.7194640000000002E-4"/>
    <n v="5.0896134400000008E-4"/>
    <n v="13"/>
    <n v="1"/>
    <n v="3"/>
    <n v="3"/>
    <n v="3"/>
    <n v="3"/>
    <s v="none"/>
  </r>
  <r>
    <s v="K83"/>
    <n v="2"/>
    <s v="Central_Wairarapa"/>
    <s v="N158_344/626"/>
    <x v="4"/>
    <x v="4"/>
    <n v="1080"/>
    <n v="-3"/>
    <n v="1983"/>
    <s v="re"/>
    <n v="2550"/>
    <n v="9.15"/>
    <n v="8.42"/>
    <n v="6.5722162499999995E-3"/>
    <n v="5.5338060824999993E-2"/>
    <n v="25"/>
    <n v="3"/>
    <n v="3.5"/>
    <n v="3.5"/>
    <n v="4"/>
    <n v="4"/>
    <s v="average"/>
  </r>
  <r>
    <s v="K83"/>
    <n v="2"/>
    <s v="Central_Wairarapa"/>
    <s v="N158_344/626"/>
    <x v="4"/>
    <x v="4"/>
    <n v="1080"/>
    <n v="-3"/>
    <n v="1983"/>
    <s v="re"/>
    <n v="2553"/>
    <n v="4.79"/>
    <n v="4.3600000000000003"/>
    <n v="1.8011118499999998E-3"/>
    <n v="7.8528476659999995E-3"/>
    <n v="38"/>
    <n v="2"/>
    <n v="3.5"/>
    <n v="3.5"/>
    <n v="4"/>
    <n v="3.5"/>
    <s v="low"/>
  </r>
  <r>
    <s v="K83"/>
    <n v="2"/>
    <s v="Central_Wairarapa"/>
    <s v="N158_344/626"/>
    <x v="4"/>
    <x v="4"/>
    <n v="1080"/>
    <n v="-3"/>
    <n v="1983"/>
    <s v="rd"/>
    <n v="2575"/>
    <n v="6.7"/>
    <n v="6.83"/>
    <n v="3.5238650000000006E-3"/>
    <n v="2.4067997950000003E-2"/>
    <n v="75"/>
    <n v="2.7"/>
    <n v="2.7"/>
    <n v="3"/>
    <n v="3.5"/>
    <n v="3.5"/>
    <s v="low"/>
  </r>
  <r>
    <s v="K83"/>
    <n v="3"/>
    <s v="Central_Wairarapa"/>
    <s v="N158_344/626"/>
    <x v="4"/>
    <x v="4"/>
    <n v="1080"/>
    <n v="-3"/>
    <n v="1983"/>
    <s v="am"/>
    <n v="1592"/>
    <n v="15.73"/>
    <n v="10.67"/>
    <n v="1.9423482650000001E-2"/>
    <n v="0.2072485598755"/>
    <n v="75"/>
    <n v="3"/>
    <n v="4"/>
    <n v="3"/>
    <n v="4"/>
    <n v="3"/>
    <s v="best"/>
  </r>
  <r>
    <s v="K83"/>
    <n v="3"/>
    <s v="Central_Wairarapa"/>
    <s v="N158_344/626"/>
    <x v="4"/>
    <x v="4"/>
    <n v="1080"/>
    <n v="-3"/>
    <n v="1983"/>
    <s v="am"/>
    <n v="2560"/>
    <n v="13.13"/>
    <n v="11.49"/>
    <n v="1.3533156649999999E-2"/>
    <n v="0.15549596990849998"/>
    <n v="88"/>
    <n v="3"/>
    <n v="4"/>
    <n v="3"/>
    <n v="4"/>
    <n v="4"/>
    <s v="best"/>
  </r>
  <r>
    <s v="K83"/>
    <n v="3"/>
    <s v="Central_Wairarapa"/>
    <s v="N158_344/626"/>
    <x v="4"/>
    <x v="4"/>
    <n v="1080"/>
    <n v="-3"/>
    <n v="1983"/>
    <s v="co"/>
    <n v="2562"/>
    <n v="9.94"/>
    <n v="7.46"/>
    <n v="7.7560825999999986E-3"/>
    <n v="5.7860376195999992E-2"/>
    <n v="50"/>
    <n v="3"/>
    <n v="4"/>
    <n v="3"/>
    <n v="4"/>
    <n v="3"/>
    <s v="average"/>
  </r>
  <r>
    <s v="K83"/>
    <n v="3"/>
    <s v="Central_Wairarapa"/>
    <s v="N158_344/626"/>
    <x v="4"/>
    <x v="4"/>
    <n v="1080"/>
    <n v="-3"/>
    <n v="1983"/>
    <s v="cr"/>
    <n v="1252"/>
    <n v="5.86"/>
    <n v="5.61"/>
    <n v="2.6956586000000007E-3"/>
    <n v="1.5122644746000004E-2"/>
    <n v="50"/>
    <n v="3"/>
    <n v="4"/>
    <n v="2.5"/>
    <n v="2.5"/>
    <n v="3"/>
    <s v="low"/>
  </r>
  <r>
    <s v="K83"/>
    <n v="3"/>
    <s v="Central_Wairarapa"/>
    <s v="N158_344/626"/>
    <x v="4"/>
    <x v="4"/>
    <n v="1080"/>
    <n v="-3"/>
    <n v="1983"/>
    <s v="co"/>
    <n v="1"/>
    <n v="9.1199999999999992"/>
    <n v="9.67"/>
    <n v="6.5291903999999991E-3"/>
    <n v="6.3137271167999998E-2"/>
    <n v="50"/>
    <n v="3"/>
    <n v="4"/>
    <n v="3"/>
    <n v="3"/>
    <n v="3"/>
    <s v="average"/>
  </r>
  <r>
    <s v="K83"/>
    <n v="3"/>
    <s v="Central_Wairarapa"/>
    <s v="N158_344/626"/>
    <x v="4"/>
    <x v="4"/>
    <n v="1080"/>
    <n v="-3"/>
    <n v="1983"/>
    <s v="fa"/>
    <n v="1482"/>
    <n v="6.94"/>
    <n v="5.17"/>
    <n v="3.7808426000000006E-3"/>
    <n v="1.9546956242000004E-2"/>
    <n v="38"/>
    <n v="2.5"/>
    <n v="3"/>
    <n v="3"/>
    <n v="4"/>
    <n v="3.5"/>
    <s v="low"/>
  </r>
  <r>
    <s v="K83"/>
    <n v="3"/>
    <s v="Central_Wairarapa"/>
    <s v="N158_344/626"/>
    <x v="4"/>
    <x v="4"/>
    <n v="1080"/>
    <n v="-3"/>
    <n v="1983"/>
    <s v="fa"/>
    <n v="2548"/>
    <n v="16.25"/>
    <n v="13.29"/>
    <n v="2.0728906250000002E-2"/>
    <n v="0.27548716406250001"/>
    <n v="13"/>
    <n v="3"/>
    <n v="4"/>
    <n v="4"/>
    <n v="3.5"/>
    <n v="3"/>
    <s v="average"/>
  </r>
  <r>
    <s v="K83"/>
    <n v="3"/>
    <s v="Central_Wairarapa"/>
    <s v="N158_344/626"/>
    <x v="4"/>
    <x v="4"/>
    <n v="1080"/>
    <n v="-3"/>
    <n v="1983"/>
    <s v="fr"/>
    <n v="2552"/>
    <n v="1.59"/>
    <n v="2.89"/>
    <n v="1.9845585000000002E-4"/>
    <n v="5.7353740650000005E-4"/>
    <n v="38"/>
    <n v="2.5"/>
    <n v="3"/>
    <n v="3"/>
    <n v="3"/>
    <n v="3"/>
    <s v="low"/>
  </r>
  <r>
    <s v="K83"/>
    <n v="3"/>
    <s v="Central_Wairarapa"/>
    <s v="N158_344/626"/>
    <x v="4"/>
    <x v="4"/>
    <n v="1080"/>
    <n v="-3"/>
    <n v="1983"/>
    <s v="nd"/>
    <n v="2569"/>
    <n v="5.32"/>
    <n v="5.91"/>
    <n v="2.2217384000000006E-3"/>
    <n v="1.3130473944000003E-2"/>
    <n v="50"/>
    <n v="3"/>
    <n v="4"/>
    <n v="3.5"/>
    <n v="4"/>
    <n v="3.5"/>
    <s v="average"/>
  </r>
  <r>
    <s v="K83"/>
    <n v="3"/>
    <s v="Central_Wairarapa"/>
    <s v="N158_344/626"/>
    <x v="4"/>
    <x v="4"/>
    <n v="1080"/>
    <n v="-3"/>
    <n v="1983"/>
    <s v="ni"/>
    <n v="2547"/>
    <n v="24.73"/>
    <n v="14.19"/>
    <n v="4.8008472650000002E-2"/>
    <n v="0.68124022690349995"/>
    <n v="88"/>
    <n v="4.5"/>
    <n v="3"/>
    <n v="3"/>
    <n v="3"/>
    <n v="2.8"/>
    <s v="best"/>
  </r>
  <r>
    <s v="K83"/>
    <n v="3"/>
    <s v="Central_Wairarapa"/>
    <s v="N158_344/626"/>
    <x v="4"/>
    <x v="4"/>
    <n v="1080"/>
    <n v="-3"/>
    <n v="1983"/>
    <s v="ni"/>
    <n v="2568"/>
    <n v="9.1300000000000008"/>
    <n v="7.02"/>
    <n v="6.5435166500000018E-3"/>
    <n v="4.5935486883000011E-2"/>
    <n v="13"/>
    <n v="2.8"/>
    <n v="2.5"/>
    <n v="3"/>
    <n v="3"/>
    <n v="2.5"/>
    <s v="low"/>
  </r>
  <r>
    <s v="K83"/>
    <n v="3"/>
    <s v="Central_Wairarapa"/>
    <s v="N158_344/626"/>
    <x v="4"/>
    <x v="4"/>
    <n v="1080"/>
    <n v="-3"/>
    <n v="1983"/>
    <s v="ob"/>
    <n v="1522"/>
    <n v="1.41"/>
    <n v="2.82"/>
    <n v="1.5606585000000001E-4"/>
    <n v="4.4010569700000002E-4"/>
    <n v="13"/>
    <n v="1"/>
    <n v="3"/>
    <n v="3"/>
    <n v="3"/>
    <n v="3"/>
    <s v="none"/>
  </r>
  <r>
    <s v="K83"/>
    <n v="3"/>
    <s v="Central_Wairarapa"/>
    <s v="N158_344/626"/>
    <x v="4"/>
    <x v="4"/>
    <n v="1080"/>
    <n v="-3"/>
    <n v="1983"/>
    <s v="ob"/>
    <n v="2458"/>
    <n v="2.11"/>
    <n v="3.1"/>
    <n v="3.4948984999999988E-4"/>
    <n v="1.0834185349999997E-3"/>
    <n v="38"/>
    <n v="1.3"/>
    <n v="3"/>
    <n v="3"/>
    <n v="3"/>
    <n v="3"/>
    <s v="none"/>
  </r>
  <r>
    <s v="K83"/>
    <n v="3"/>
    <s v="Central_Wairarapa"/>
    <s v="N158_344/626"/>
    <x v="4"/>
    <x v="4"/>
    <n v="1080"/>
    <n v="-3"/>
    <n v="1983"/>
    <s v="ob"/>
    <n v="2570"/>
    <n v="21.43"/>
    <n v="14.1"/>
    <n v="3.6050724649999998E-2"/>
    <n v="0.50831521756499998"/>
    <n v="38"/>
    <n v="4"/>
    <n v="3.5"/>
    <n v="3"/>
    <n v="3.5"/>
    <n v="3"/>
    <s v="good"/>
  </r>
  <r>
    <s v="K83"/>
    <n v="3"/>
    <s v="Central_Wairarapa"/>
    <s v="N158_344/626"/>
    <x v="4"/>
    <x v="4"/>
    <n v="1080"/>
    <n v="-3"/>
    <n v="1983"/>
    <s v="ov"/>
    <n v="2571"/>
    <n v="8.75"/>
    <n v="7.27"/>
    <n v="6.0101562499999999E-3"/>
    <n v="4.3693835937499995E-2"/>
    <n v="38"/>
    <n v="3.5"/>
    <n v="2.5"/>
    <n v="3"/>
    <n v="4"/>
    <n v="3.3"/>
    <s v="low"/>
  </r>
  <r>
    <s v="K83"/>
    <n v="3"/>
    <s v="Central_Wairarapa"/>
    <s v="N158_344/626"/>
    <x v="4"/>
    <x v="4"/>
    <n v="1080"/>
    <n v="-3"/>
    <n v="1983"/>
    <s v="pa"/>
    <n v="2750"/>
    <n v="3.37"/>
    <n v="3.68"/>
    <n v="8.9151664999999997E-4"/>
    <n v="3.2807812720000002E-3"/>
    <n v="50"/>
    <n v="2"/>
    <n v="2.5"/>
    <n v="3"/>
    <n v="4"/>
    <n v="3"/>
    <s v="low"/>
  </r>
  <r>
    <s v="K83"/>
    <n v="3"/>
    <s v="Central_Wairarapa"/>
    <s v="N158_344/626"/>
    <x v="4"/>
    <x v="4"/>
    <n v="1080"/>
    <n v="-3"/>
    <n v="1983"/>
    <s v="re"/>
    <n v="2553"/>
    <n v="8.1300000000000008"/>
    <n v="7.99"/>
    <n v="5.188606650000001E-3"/>
    <n v="4.1456967133500007E-2"/>
    <n v="88"/>
    <n v="3"/>
    <n v="3"/>
    <n v="3.5"/>
    <n v="4"/>
    <n v="4"/>
    <s v="average"/>
  </r>
  <r>
    <s v="K83"/>
    <n v="3"/>
    <s v="Central_Wairarapa"/>
    <s v="N158_344/626"/>
    <x v="4"/>
    <x v="4"/>
    <n v="1080"/>
    <n v="-3"/>
    <n v="1983"/>
    <s v="rd"/>
    <n v="2575"/>
    <n v="2.63"/>
    <n v="4.5999999999999996"/>
    <n v="5.4297665000000003E-4"/>
    <n v="2.49769259E-3"/>
    <n v="38"/>
    <n v="2"/>
    <n v="1.5"/>
    <n v="3"/>
    <n v="3"/>
    <n v="3"/>
    <s v="none"/>
  </r>
  <r>
    <s v="Lon"/>
    <n v="1"/>
    <s v="South_Wairarapa"/>
    <s v="N162_097/424"/>
    <x v="7"/>
    <x v="7"/>
    <n v="1050"/>
    <n v="-2"/>
    <n v="1983"/>
    <s v="am"/>
    <n v="1592"/>
    <n v="23.59"/>
    <n v="9.8699999999999992"/>
    <n v="4.3684315850000002E-2"/>
    <n v="0.43116419743949996"/>
    <n v="75"/>
    <n v="3"/>
    <n v="4"/>
    <n v="3"/>
    <n v="4"/>
    <n v="3"/>
    <s v="good"/>
  </r>
  <r>
    <s v="Lon"/>
    <n v="1"/>
    <s v="South_Wairarapa"/>
    <s v="N162_097/424"/>
    <x v="7"/>
    <x v="7"/>
    <n v="1050"/>
    <n v="-2"/>
    <n v="1983"/>
    <s v="am"/>
    <n v="2560"/>
    <n v="20.72"/>
    <n v="8.67"/>
    <n v="3.3701494400000004E-2"/>
    <n v="0.29219195644800006"/>
    <n v="100"/>
    <n v="3.5"/>
    <n v="3.5"/>
    <n v="2.5"/>
    <n v="4"/>
    <n v="4"/>
    <s v="best"/>
  </r>
  <r>
    <s v="Lon"/>
    <n v="1"/>
    <s v="South_Wairarapa"/>
    <s v="N162_097/424"/>
    <x v="7"/>
    <x v="7"/>
    <n v="1050"/>
    <n v="-2"/>
    <n v="1983"/>
    <s v="co"/>
    <n v="2562"/>
    <n v="19.64"/>
    <n v="11.02"/>
    <n v="3.0279773600000011E-2"/>
    <n v="0.33368310507200011"/>
    <n v="100"/>
    <n v="4"/>
    <n v="3"/>
    <n v="3"/>
    <n v="3"/>
    <n v="3"/>
    <s v="good"/>
  </r>
  <r>
    <s v="Lon"/>
    <n v="1"/>
    <s v="South_Wairarapa"/>
    <s v="N162_097/424"/>
    <x v="7"/>
    <x v="7"/>
    <n v="1050"/>
    <n v="-2"/>
    <n v="1983"/>
    <s v="cr"/>
    <n v="1252"/>
    <n v="14.13"/>
    <n v="8.85"/>
    <n v="1.5673066650000001E-2"/>
    <n v="0.13870663985250001"/>
    <n v="100"/>
    <n v="3"/>
    <n v="2.5"/>
    <n v="1.5"/>
    <n v="2"/>
    <n v="2"/>
    <s v="low"/>
  </r>
  <r>
    <s v="Lon"/>
    <n v="1"/>
    <s v="South_Wairarapa"/>
    <s v="N162_097/424"/>
    <x v="7"/>
    <x v="7"/>
    <n v="1050"/>
    <n v="-2"/>
    <n v="1983"/>
    <s v="fa"/>
    <n v="1482"/>
    <n v="22.62"/>
    <n v="8.83"/>
    <n v="4.0165655400000007E-2"/>
    <n v="0.35466273718200009"/>
    <n v="88"/>
    <n v="2"/>
    <n v="3"/>
    <n v="3"/>
    <n v="3"/>
    <n v="3"/>
    <s v="low"/>
  </r>
  <r>
    <s v="Lon"/>
    <n v="1"/>
    <s v="South_Wairarapa"/>
    <s v="N162_097/424"/>
    <x v="7"/>
    <x v="7"/>
    <n v="1050"/>
    <n v="-2"/>
    <n v="1983"/>
    <s v="fa"/>
    <n v="2548"/>
    <n v="15.98"/>
    <n v="6.24"/>
    <n v="2.0045791399999999E-2"/>
    <n v="0.12508573833600001"/>
    <n v="63"/>
    <n v="3.5"/>
    <n v="4"/>
    <n v="2.8"/>
    <n v="2.8"/>
    <n v="2.5"/>
    <s v="average"/>
  </r>
  <r>
    <s v="Lon"/>
    <n v="1"/>
    <s v="South_Wairarapa"/>
    <s v="N162_097/424"/>
    <x v="7"/>
    <x v="7"/>
    <n v="1050"/>
    <n v="-2"/>
    <n v="1983"/>
    <s v="nd"/>
    <n v="1596"/>
    <n v="16.18"/>
    <n v="7.67"/>
    <n v="2.0550703400000002E-2"/>
    <n v="0.15762389507800001"/>
    <n v="88"/>
    <n v="3.5"/>
    <n v="3"/>
    <n v="2.5"/>
    <n v="4"/>
    <n v="3"/>
    <s v="best"/>
  </r>
  <r>
    <s v="Lon"/>
    <n v="1"/>
    <s v="South_Wairarapa"/>
    <s v="N162_097/424"/>
    <x v="7"/>
    <x v="7"/>
    <n v="1050"/>
    <n v="-2"/>
    <n v="1983"/>
    <s v="nd"/>
    <n v="2569"/>
    <n v="18.440000000000001"/>
    <n v="8.74"/>
    <n v="2.6692637600000003E-2"/>
    <n v="0.23329365262400004"/>
    <n v="100"/>
    <n v="3.5"/>
    <n v="3.5"/>
    <n v="2.8"/>
    <n v="4"/>
    <n v="2.8"/>
    <s v="good"/>
  </r>
  <r>
    <s v="Lon"/>
    <n v="1"/>
    <s v="South_Wairarapa"/>
    <s v="N162_097/424"/>
    <x v="7"/>
    <x v="7"/>
    <n v="1050"/>
    <n v="-2"/>
    <n v="1983"/>
    <s v="ni"/>
    <n v="2547"/>
    <n v="21.25"/>
    <n v="9.6199999999999992"/>
    <n v="3.5447656250000001E-2"/>
    <n v="0.341006453125"/>
    <n v="100"/>
    <n v="3.5"/>
    <n v="2.5"/>
    <n v="3"/>
    <n v="3"/>
    <n v="2"/>
    <s v="good"/>
  </r>
  <r>
    <s v="Lon"/>
    <n v="1"/>
    <s v="South_Wairarapa"/>
    <s v="N162_097/424"/>
    <x v="7"/>
    <x v="7"/>
    <n v="1050"/>
    <n v="-2"/>
    <n v="1983"/>
    <s v="ni"/>
    <n v="2568"/>
    <n v="16.7"/>
    <n v="7.64"/>
    <n v="2.1892864999999997E-2"/>
    <n v="0.16726148859999998"/>
    <n v="100"/>
    <n v="3.5"/>
    <n v="2.8"/>
    <n v="3"/>
    <n v="3"/>
    <n v="2"/>
    <s v="good"/>
  </r>
  <r>
    <s v="Lon"/>
    <n v="1"/>
    <s v="South_Wairarapa"/>
    <s v="N162_097/424"/>
    <x v="7"/>
    <x v="7"/>
    <n v="1050"/>
    <n v="-2"/>
    <n v="1983"/>
    <s v="ob"/>
    <n v="1522"/>
    <n v="15.73"/>
    <n v="7.8"/>
    <n v="1.9423482650000001E-2"/>
    <n v="0.15150316467"/>
    <n v="88"/>
    <n v="3.5"/>
    <n v="2.8"/>
    <n v="3"/>
    <n v="3.5"/>
    <n v="3.5"/>
    <s v="best"/>
  </r>
  <r>
    <s v="Lon"/>
    <n v="1"/>
    <s v="South_Wairarapa"/>
    <s v="N162_097/424"/>
    <x v="7"/>
    <x v="7"/>
    <n v="1050"/>
    <n v="-2"/>
    <n v="1983"/>
    <s v="ob"/>
    <n v="2570"/>
    <n v="16.55"/>
    <n v="8.2100000000000009"/>
    <n v="2.1501346250000001E-2"/>
    <n v="0.17652605271250002"/>
    <n v="100"/>
    <n v="3.5"/>
    <n v="3"/>
    <n v="3.5"/>
    <n v="3.3"/>
    <n v="3"/>
    <s v="good"/>
  </r>
  <r>
    <s v="Lon"/>
    <n v="1"/>
    <s v="South_Wairarapa"/>
    <s v="N162_097/424"/>
    <x v="7"/>
    <x v="7"/>
    <n v="1050"/>
    <n v="-2"/>
    <n v="1983"/>
    <s v="ov"/>
    <n v="2571"/>
    <n v="13.67"/>
    <n v="5.24"/>
    <n v="1.466920865E-2"/>
    <n v="7.6866653325999998E-2"/>
    <n v="63"/>
    <n v="2.5"/>
    <n v="2"/>
    <n v="2.5"/>
    <n v="3.3"/>
    <n v="3"/>
    <s v="good"/>
  </r>
  <r>
    <s v="Lon"/>
    <n v="1"/>
    <s v="South_Wairarapa"/>
    <s v="N162_097/424"/>
    <x v="7"/>
    <x v="7"/>
    <n v="1050"/>
    <n v="-2"/>
    <n v="1983"/>
    <s v="pa"/>
    <n v="2750"/>
    <n v="12.8"/>
    <n v="7.25"/>
    <n v="1.286144E-2"/>
    <n v="9.3245439999999999E-2"/>
    <n v="50"/>
    <n v="2.2999999999999998"/>
    <n v="4.5"/>
    <n v="2.5"/>
    <n v="3"/>
    <n v="3"/>
    <s v="average"/>
  </r>
  <r>
    <s v="Lon"/>
    <n v="1"/>
    <s v="South_Wairarapa"/>
    <s v="N162_097/424"/>
    <x v="7"/>
    <x v="7"/>
    <n v="1050"/>
    <n v="-2"/>
    <n v="1983"/>
    <s v="re"/>
    <n v="2553"/>
    <n v="20.82"/>
    <n v="11.37"/>
    <n v="3.4027583399999999E-2"/>
    <n v="0.38689362325799997"/>
    <n v="88"/>
    <n v="2.5"/>
    <n v="3.3"/>
    <n v="3.3"/>
    <n v="3"/>
    <n v="2.2999999999999998"/>
    <s v="average"/>
  </r>
  <r>
    <s v="Lon"/>
    <n v="1"/>
    <s v="South_Wairarapa"/>
    <s v="N162_097/424"/>
    <x v="7"/>
    <x v="7"/>
    <n v="1050"/>
    <n v="-2"/>
    <n v="1983"/>
    <s v="rd"/>
    <n v="2575"/>
    <n v="6.65"/>
    <n v="5.08"/>
    <n v="3.4714662500000006E-3"/>
    <n v="1.7635048550000004E-2"/>
    <n v="88"/>
    <n v="2.5"/>
    <n v="2.5"/>
    <n v="2.5"/>
    <n v="3"/>
    <n v="3"/>
    <s v="average"/>
  </r>
  <r>
    <s v="Lon"/>
    <n v="1"/>
    <s v="South_Wairarapa"/>
    <s v="N162_097/424"/>
    <x v="7"/>
    <x v="7"/>
    <n v="1050"/>
    <n v="-2"/>
    <n v="1983"/>
    <s v="fr"/>
    <n v="2552"/>
    <n v="18.88"/>
    <n v="9.59"/>
    <n v="2.7981670400000002E-2"/>
    <n v="0.26834421913600004"/>
    <n v="75"/>
    <n v="3"/>
    <n v="3"/>
    <n v="3"/>
    <n v="3.3"/>
    <n v="3"/>
    <s v="good"/>
  </r>
  <r>
    <s v="Lon"/>
    <n v="2"/>
    <s v="South_Wairarapa"/>
    <s v="N162_097/424"/>
    <x v="7"/>
    <x v="7"/>
    <n v="1050"/>
    <n v="-2"/>
    <n v="1983"/>
    <s v="am"/>
    <n v="1592"/>
    <n v="24.3"/>
    <n v="10.49"/>
    <n v="4.6353464999999996E-2"/>
    <n v="0.48624784784999997"/>
    <n v="50"/>
    <n v="3.5"/>
    <n v="3"/>
    <n v="3"/>
    <n v="4"/>
    <n v="2.5"/>
    <s v="good"/>
  </r>
  <r>
    <s v="Lon"/>
    <n v="2"/>
    <s v="South_Wairarapa"/>
    <s v="N162_097/424"/>
    <x v="7"/>
    <x v="7"/>
    <n v="1050"/>
    <n v="-2"/>
    <n v="1983"/>
    <s v="am"/>
    <n v="2560"/>
    <n v="16.5"/>
    <n v="7.08"/>
    <n v="2.1371625000000002E-2"/>
    <n v="0.151311105"/>
    <n v="75"/>
    <n v="3"/>
    <n v="3.5"/>
    <n v="2.5"/>
    <n v="4"/>
    <n v="3"/>
    <s v="good"/>
  </r>
  <r>
    <s v="Lon"/>
    <n v="2"/>
    <s v="South_Wairarapa"/>
    <s v="N162_097/424"/>
    <x v="7"/>
    <x v="7"/>
    <n v="1050"/>
    <n v="-2"/>
    <n v="1983"/>
    <s v="co"/>
    <n v="2562"/>
    <n v="17.62"/>
    <n v="9.9"/>
    <n v="2.4371455400000009E-2"/>
    <n v="0.24127740846000009"/>
    <n v="88"/>
    <n v="3.3"/>
    <n v="3.3"/>
    <n v="3"/>
    <n v="3.5"/>
    <n v="3.3"/>
    <s v="good"/>
  </r>
  <r>
    <s v="Lon"/>
    <n v="2"/>
    <s v="South_Wairarapa"/>
    <s v="N162_097/424"/>
    <x v="7"/>
    <x v="7"/>
    <n v="1050"/>
    <n v="-2"/>
    <n v="1983"/>
    <s v="cr"/>
    <n v="1252"/>
    <n v="12.52"/>
    <n v="9.23"/>
    <n v="1.2304906400000001E-2"/>
    <n v="0.11357428607200001"/>
    <n v="100"/>
    <n v="3"/>
    <n v="2.8"/>
    <n v="2"/>
    <n v="2.8"/>
    <n v="2"/>
    <s v="low"/>
  </r>
  <r>
    <s v="Lon"/>
    <n v="2"/>
    <s v="South_Wairarapa"/>
    <s v="N162_097/424"/>
    <x v="7"/>
    <x v="7"/>
    <n v="1050"/>
    <n v="-2"/>
    <n v="1983"/>
    <s v="fa"/>
    <n v="1482"/>
    <n v="21.8"/>
    <n v="8.52"/>
    <n v="3.730634E-2"/>
    <n v="0.31785001679999997"/>
    <n v="100"/>
    <n v="2"/>
    <n v="3"/>
    <n v="3"/>
    <n v="3"/>
    <n v="3"/>
    <s v="none"/>
  </r>
  <r>
    <s v="Lon"/>
    <n v="2"/>
    <s v="South_Wairarapa"/>
    <s v="N162_097/424"/>
    <x v="7"/>
    <x v="7"/>
    <n v="1050"/>
    <n v="-2"/>
    <n v="1983"/>
    <s v="fa"/>
    <n v="2548"/>
    <n v="13.7"/>
    <n v="5.35"/>
    <n v="1.4733664999999996E-2"/>
    <n v="7.882510774999997E-2"/>
    <n v="88"/>
    <n v="4"/>
    <n v="3"/>
    <n v="2"/>
    <n v="3"/>
    <n v="1.5"/>
    <s v="good"/>
  </r>
  <r>
    <s v="Lon"/>
    <n v="2"/>
    <s v="South_Wairarapa"/>
    <s v="N162_097/424"/>
    <x v="7"/>
    <x v="7"/>
    <n v="1050"/>
    <n v="-2"/>
    <n v="1983"/>
    <s v="nd"/>
    <n v="1596"/>
    <n v="10.97"/>
    <n v="5.2"/>
    <n v="9.4467606500000002E-3"/>
    <n v="4.9123155380000005E-2"/>
    <n v="50"/>
    <n v="3.3"/>
    <n v="3"/>
    <n v="3.3"/>
    <n v="4"/>
    <n v="3.5"/>
    <s v="good"/>
  </r>
  <r>
    <s v="Lon"/>
    <n v="2"/>
    <s v="South_Wairarapa"/>
    <s v="N162_097/424"/>
    <x v="7"/>
    <x v="7"/>
    <n v="1050"/>
    <n v="-2"/>
    <n v="1983"/>
    <s v="nd"/>
    <n v="2569"/>
    <n v="20.86"/>
    <n v="9.89"/>
    <n v="3.4158458600000004E-2"/>
    <n v="0.33782715555400006"/>
    <n v="25"/>
    <n v="1.5"/>
    <n v="3"/>
    <n v="3"/>
    <n v="3"/>
    <n v="3"/>
    <s v="none"/>
  </r>
  <r>
    <s v="Lon"/>
    <n v="2"/>
    <s v="South_Wairarapa"/>
    <s v="N162_097/424"/>
    <x v="7"/>
    <x v="7"/>
    <n v="1050"/>
    <n v="-2"/>
    <n v="1983"/>
    <s v="ni"/>
    <n v="2547"/>
    <n v="20.309999999999999"/>
    <n v="9.27"/>
    <n v="3.2380943849999996E-2"/>
    <n v="0.30017134948949997"/>
    <n v="100"/>
    <n v="4"/>
    <n v="2.5"/>
    <n v="2.8"/>
    <n v="2.5"/>
    <n v="2.5"/>
    <s v="good"/>
  </r>
  <r>
    <s v="Lon"/>
    <n v="2"/>
    <s v="South_Wairarapa"/>
    <s v="N162_097/424"/>
    <x v="7"/>
    <x v="7"/>
    <n v="1050"/>
    <n v="-2"/>
    <n v="1983"/>
    <s v="ni"/>
    <n v="2568"/>
    <n v="20.29"/>
    <n v="9.27"/>
    <n v="3.2317201849999998E-2"/>
    <n v="0.29958046114949999"/>
    <n v="88"/>
    <n v="2"/>
    <n v="2.5"/>
    <n v="3"/>
    <n v="3"/>
    <n v="2"/>
    <s v="low"/>
  </r>
  <r>
    <s v="Lon"/>
    <n v="2"/>
    <s v="South_Wairarapa"/>
    <s v="N162_097/424"/>
    <x v="7"/>
    <x v="7"/>
    <n v="1050"/>
    <n v="-2"/>
    <n v="1983"/>
    <s v="ob"/>
    <n v="1522"/>
    <n v="7.6"/>
    <n v="3.76"/>
    <n v="4.5341599999999998E-3"/>
    <n v="1.7048441599999999E-2"/>
    <n v="63"/>
    <n v="2"/>
    <n v="3"/>
    <n v="3"/>
    <n v="3"/>
    <n v="3"/>
    <s v="none"/>
  </r>
  <r>
    <s v="Lon"/>
    <n v="2"/>
    <s v="South_Wairarapa"/>
    <s v="N162_097/424"/>
    <x v="7"/>
    <x v="7"/>
    <n v="1050"/>
    <n v="-2"/>
    <n v="1983"/>
    <s v="ob"/>
    <n v="2570"/>
    <n v="19.010000000000002"/>
    <n v="9.41"/>
    <n v="2.8368337850000005E-2"/>
    <n v="0.26694605916850006"/>
    <n v="75"/>
    <n v="3.5"/>
    <n v="3"/>
    <n v="3.5"/>
    <n v="3.5"/>
    <n v="3.5"/>
    <s v="good"/>
  </r>
  <r>
    <s v="Lon"/>
    <n v="2"/>
    <s v="South_Wairarapa"/>
    <s v="N162_097/424"/>
    <x v="7"/>
    <x v="7"/>
    <n v="1050"/>
    <n v="-2"/>
    <n v="1983"/>
    <s v="ov"/>
    <n v="2571"/>
    <n v="16.149999999999999"/>
    <n v="6.19"/>
    <n v="2.0474566249999993E-2"/>
    <n v="0.12673756508749995"/>
    <n v="100"/>
    <n v="3"/>
    <n v="2.2999999999999998"/>
    <n v="3"/>
    <n v="4"/>
    <n v="4"/>
    <s v="good"/>
  </r>
  <r>
    <s v="Lon"/>
    <n v="2"/>
    <s v="South_Wairarapa"/>
    <s v="N162_097/424"/>
    <x v="7"/>
    <x v="7"/>
    <n v="1050"/>
    <n v="-2"/>
    <n v="1983"/>
    <s v="pa"/>
    <n v="2750"/>
    <n v="14.5"/>
    <n v="8.17"/>
    <n v="1.6504624999999998E-2"/>
    <n v="0.13484278624999999"/>
    <n v="88"/>
    <n v="1"/>
    <n v="3"/>
    <n v="3"/>
    <n v="3"/>
    <n v="3"/>
    <s v="none"/>
  </r>
  <r>
    <s v="Lon"/>
    <n v="2"/>
    <s v="South_Wairarapa"/>
    <s v="N162_097/424"/>
    <x v="7"/>
    <x v="7"/>
    <n v="1050"/>
    <n v="-2"/>
    <n v="1983"/>
    <s v="re"/>
    <n v="2553"/>
    <n v="11.28"/>
    <n v="6.41"/>
    <n v="9.9882144000000006E-3"/>
    <n v="6.4024454304E-2"/>
    <n v="50"/>
    <n v="4"/>
    <n v="3.5"/>
    <n v="3.5"/>
    <n v="3.5"/>
    <n v="3"/>
    <s v="good"/>
  </r>
  <r>
    <s v="Lon"/>
    <n v="2"/>
    <s v="South_Wairarapa"/>
    <s v="N162_097/424"/>
    <x v="7"/>
    <x v="7"/>
    <n v="1050"/>
    <n v="-2"/>
    <n v="1983"/>
    <s v="rd"/>
    <n v="2575"/>
    <n v="13.31"/>
    <n v="8.75"/>
    <n v="1.390675385E-2"/>
    <n v="0.12168409618750001"/>
    <n v="75"/>
    <n v="2.8"/>
    <n v="3"/>
    <n v="2.5"/>
    <n v="3"/>
    <n v="2.5"/>
    <s v="low"/>
  </r>
  <r>
    <s v="Lon"/>
    <n v="2"/>
    <s v="South_Wairarapa"/>
    <s v="N162_097/424"/>
    <x v="7"/>
    <x v="7"/>
    <n v="1050"/>
    <n v="-2"/>
    <n v="1983"/>
    <s v="fr"/>
    <n v="2552"/>
    <n v="14.89"/>
    <n v="7.56"/>
    <n v="1.7404399850000002E-2"/>
    <n v="0.13157726286599999"/>
    <n v="50"/>
    <n v="4"/>
    <n v="4"/>
    <n v="2"/>
    <n v="3"/>
    <n v="2"/>
    <s v="good"/>
  </r>
  <r>
    <s v="Lon"/>
    <n v="3"/>
    <s v="South_Wairarapa"/>
    <s v="N162_097/424"/>
    <x v="7"/>
    <x v="7"/>
    <n v="1050"/>
    <n v="-2"/>
    <n v="1983"/>
    <s v="am"/>
    <n v="1592"/>
    <n v="19.34"/>
    <n v="8.3000000000000007"/>
    <n v="2.9361794599999998E-2"/>
    <n v="0.24370289517999999"/>
    <n v="100"/>
    <n v="3.5"/>
    <n v="3.5"/>
    <n v="2.5"/>
    <n v="3.5"/>
    <n v="2.5"/>
    <s v="good"/>
  </r>
  <r>
    <s v="Lon"/>
    <n v="3"/>
    <s v="South_Wairarapa"/>
    <s v="N162_097/424"/>
    <x v="7"/>
    <x v="7"/>
    <n v="1050"/>
    <n v="-2"/>
    <n v="1983"/>
    <s v="am"/>
    <n v="2560"/>
    <n v="21.27"/>
    <n v="9.1300000000000008"/>
    <n v="3.5514412650000007E-2"/>
    <n v="0.32424658749450008"/>
    <n v="88"/>
    <n v="3.3"/>
    <n v="3.5"/>
    <n v="2.5"/>
    <n v="3.3"/>
    <n v="3"/>
    <s v="good"/>
  </r>
  <r>
    <s v="Lon"/>
    <n v="3"/>
    <s v="South_Wairarapa"/>
    <s v="N162_097/424"/>
    <x v="7"/>
    <x v="7"/>
    <n v="1050"/>
    <n v="-2"/>
    <n v="1983"/>
    <s v="co"/>
    <n v="2562"/>
    <n v="17.62"/>
    <n v="9.9"/>
    <n v="2.4371455400000009E-2"/>
    <n v="0.24127740846000009"/>
    <n v="100"/>
    <n v="3.5"/>
    <n v="3"/>
    <n v="3"/>
    <n v="3.3"/>
    <n v="3.3"/>
    <s v="good"/>
  </r>
  <r>
    <s v="Lon"/>
    <n v="3"/>
    <s v="South_Wairarapa"/>
    <s v="N162_097/424"/>
    <x v="7"/>
    <x v="7"/>
    <n v="1050"/>
    <n v="-2"/>
    <n v="1983"/>
    <s v="cr"/>
    <n v="1252"/>
    <n v="10.36"/>
    <n v="7.54"/>
    <n v="8.425373600000001E-3"/>
    <n v="6.3527316944000004E-2"/>
    <n v="100"/>
    <n v="2.7"/>
    <n v="3"/>
    <n v="2"/>
    <n v="2"/>
    <n v="2"/>
    <s v="low"/>
  </r>
  <r>
    <s v="Lon"/>
    <n v="3"/>
    <s v="South_Wairarapa"/>
    <s v="N162_097/424"/>
    <x v="7"/>
    <x v="7"/>
    <n v="1050"/>
    <n v="-2"/>
    <n v="1983"/>
    <s v="fa"/>
    <n v="1482"/>
    <n v="22.38"/>
    <n v="8.74"/>
    <n v="3.9317855400000004E-2"/>
    <n v="0.34363805619600002"/>
    <n v="100"/>
    <n v="3.7"/>
    <n v="3"/>
    <n v="3.2"/>
    <n v="3.3"/>
    <n v="2.6"/>
    <s v="good"/>
  </r>
  <r>
    <s v="Lon"/>
    <n v="3"/>
    <s v="South_Wairarapa"/>
    <s v="N162_097/424"/>
    <x v="7"/>
    <x v="7"/>
    <n v="1050"/>
    <n v="-2"/>
    <n v="1983"/>
    <s v="fa"/>
    <n v="2548"/>
    <n v="6.34"/>
    <n v="3.65"/>
    <n v="3.1553546000000002E-3"/>
    <n v="1.151704429E-2"/>
    <n v="100"/>
    <n v="3"/>
    <n v="3"/>
    <n v="2"/>
    <n v="2.5"/>
    <n v="2.5"/>
    <s v="low"/>
  </r>
  <r>
    <s v="Lon"/>
    <n v="3"/>
    <s v="South_Wairarapa"/>
    <s v="N162_097/424"/>
    <x v="7"/>
    <x v="7"/>
    <n v="1050"/>
    <n v="-2"/>
    <n v="1983"/>
    <s v="nd"/>
    <n v="1596"/>
    <n v="14.77"/>
    <n v="7"/>
    <n v="1.7125002650000002E-2"/>
    <n v="0.11987501855000002"/>
    <n v="100"/>
    <n v="3"/>
    <n v="4"/>
    <n v="2"/>
    <n v="3.5"/>
    <n v="3"/>
    <s v="good"/>
  </r>
  <r>
    <s v="Lon"/>
    <n v="3"/>
    <s v="South_Wairarapa"/>
    <s v="N162_097/424"/>
    <x v="7"/>
    <x v="7"/>
    <n v="1050"/>
    <n v="-2"/>
    <n v="1983"/>
    <s v="nd"/>
    <n v="2569"/>
    <n v="10.11"/>
    <n v="4.79"/>
    <n v="8.02364985E-3"/>
    <n v="3.8433282781500003E-2"/>
    <n v="100"/>
    <n v="2.7"/>
    <n v="3.5"/>
    <n v="2.8"/>
    <n v="4"/>
    <n v="4"/>
    <s v="good"/>
  </r>
  <r>
    <s v="Lon"/>
    <n v="3"/>
    <s v="South_Wairarapa"/>
    <s v="N162_097/424"/>
    <x v="7"/>
    <x v="7"/>
    <n v="1050"/>
    <n v="-2"/>
    <n v="1983"/>
    <s v="ni"/>
    <n v="2547"/>
    <n v="18.16"/>
    <n v="8.2899999999999991"/>
    <n v="2.5888169600000004E-2"/>
    <n v="0.214612925984"/>
    <n v="75"/>
    <n v="4"/>
    <n v="2.2999999999999998"/>
    <n v="3.3"/>
    <n v="3.3"/>
    <n v="3"/>
    <s v="good"/>
  </r>
  <r>
    <s v="Lon"/>
    <n v="3"/>
    <s v="South_Wairarapa"/>
    <s v="N162_097/424"/>
    <x v="7"/>
    <x v="7"/>
    <n v="1050"/>
    <n v="-2"/>
    <n v="1983"/>
    <s v="ni"/>
    <n v="2568"/>
    <n v="21.09"/>
    <n v="9.6300000000000008"/>
    <n v="3.4915865850000005E-2"/>
    <n v="0.3362397881355001"/>
    <n v="63"/>
    <n v="4"/>
    <n v="3"/>
    <n v="4"/>
    <n v="3.3"/>
    <n v="3"/>
    <s v="good"/>
  </r>
  <r>
    <s v="Lon"/>
    <n v="3"/>
    <s v="South_Wairarapa"/>
    <s v="N162_097/424"/>
    <x v="7"/>
    <x v="7"/>
    <n v="1050"/>
    <n v="-2"/>
    <n v="1983"/>
    <s v="ob"/>
    <n v="1522"/>
    <n v="17.84"/>
    <n v="8.83"/>
    <n v="2.4983849600000003E-2"/>
    <n v="0.22060739196800003"/>
    <n v="88"/>
    <n v="3.5"/>
    <n v="3"/>
    <n v="3"/>
    <n v="3"/>
    <n v="2.7"/>
    <s v="good"/>
  </r>
  <r>
    <s v="Lon"/>
    <n v="3"/>
    <s v="South_Wairarapa"/>
    <s v="N162_097/424"/>
    <x v="7"/>
    <x v="7"/>
    <n v="1050"/>
    <n v="-2"/>
    <n v="1983"/>
    <s v="ob"/>
    <n v="2570"/>
    <n v="18.3"/>
    <n v="9.06"/>
    <n v="2.6288864999999998E-2"/>
    <n v="0.23817711689999999"/>
    <n v="50"/>
    <n v="3.5"/>
    <n v="3"/>
    <n v="2.5"/>
    <n v="3"/>
    <n v="2.5"/>
    <s v="average"/>
  </r>
  <r>
    <s v="Lon"/>
    <n v="3"/>
    <s v="South_Wairarapa"/>
    <s v="N162_097/424"/>
    <x v="7"/>
    <x v="7"/>
    <n v="1050"/>
    <n v="-2"/>
    <n v="1983"/>
    <s v="ov"/>
    <n v="2571"/>
    <n v="14.53"/>
    <n v="5.57"/>
    <n v="1.6572990649999998E-2"/>
    <n v="9.2311557920499984E-2"/>
    <n v="100"/>
    <n v="3"/>
    <n v="2"/>
    <n v="3"/>
    <n v="4"/>
    <n v="3.5"/>
    <s v="average"/>
  </r>
  <r>
    <s v="Lon"/>
    <n v="3"/>
    <s v="South_Wairarapa"/>
    <s v="N162_097/424"/>
    <x v="7"/>
    <x v="7"/>
    <n v="1050"/>
    <n v="-2"/>
    <n v="1983"/>
    <s v="pa"/>
    <n v="2750"/>
    <n v="13.26"/>
    <n v="8.94"/>
    <n v="1.38024666E-2"/>
    <n v="0.12339405140399999"/>
    <n v="100"/>
    <n v="4"/>
    <n v="4"/>
    <n v="3"/>
    <n v="3.5"/>
    <n v="3.5"/>
    <s v="good"/>
  </r>
  <r>
    <s v="Lon"/>
    <n v="3"/>
    <s v="South_Wairarapa"/>
    <s v="N162_097/424"/>
    <x v="7"/>
    <x v="7"/>
    <n v="1050"/>
    <n v="-2"/>
    <n v="1983"/>
    <s v="re"/>
    <n v="2553"/>
    <n v="11.55"/>
    <n v="6.56"/>
    <n v="1.0472096250000002E-2"/>
    <n v="6.8696951400000011E-2"/>
    <n v="100"/>
    <n v="3"/>
    <n v="2.7"/>
    <n v="3.3"/>
    <n v="4"/>
    <n v="4"/>
    <s v="good"/>
  </r>
  <r>
    <s v="Lon"/>
    <n v="3"/>
    <s v="South_Wairarapa"/>
    <s v="N162_097/424"/>
    <x v="7"/>
    <x v="7"/>
    <n v="1050"/>
    <n v="-2"/>
    <n v="1983"/>
    <s v="rd"/>
    <n v="2575"/>
    <n v="15.93"/>
    <n v="9.1"/>
    <n v="1.992054465E-2"/>
    <n v="0.18127695631499999"/>
    <n v="88"/>
    <n v="3"/>
    <n v="3"/>
    <n v="2"/>
    <n v="2.5"/>
    <n v="2.5"/>
    <s v="low"/>
  </r>
  <r>
    <s v="Lon"/>
    <n v="3"/>
    <s v="South_Wairarapa"/>
    <s v="N162_097/424"/>
    <x v="7"/>
    <x v="7"/>
    <n v="1050"/>
    <n v="-2"/>
    <n v="1983"/>
    <s v="fr"/>
    <n v="2552"/>
    <n v="14.25"/>
    <n v="7.23"/>
    <n v="1.5940406250000001E-2"/>
    <n v="0.11524913718750002"/>
    <n v="63"/>
    <n v="4"/>
    <n v="3"/>
    <n v="3"/>
    <n v="2.8"/>
    <n v="2"/>
    <s v="average"/>
  </r>
  <r>
    <s v="Lon"/>
    <n v="3"/>
    <s v="South_Wairarapa"/>
    <s v="N162_097/424"/>
    <x v="7"/>
    <x v="7"/>
    <n v="1050"/>
    <n v="-2"/>
    <n v="1983"/>
    <s v="fr"/>
    <n v="2751"/>
    <n v="12.35"/>
    <n v="6.27"/>
    <n v="1.1973016250000001E-2"/>
    <n v="7.5070811887500005E-2"/>
    <n v="71"/>
    <n v="4"/>
    <n v="4"/>
    <n v="2.5"/>
    <n v="3.5"/>
    <n v="2.5"/>
    <s v="good"/>
  </r>
  <r>
    <s v="Lon"/>
    <n v="3"/>
    <s v="South_Wairarapa"/>
    <s v="N162_097/424"/>
    <x v="7"/>
    <x v="7"/>
    <n v="1050"/>
    <n v="-2"/>
    <n v="1983"/>
    <s v="re"/>
    <n v="2574"/>
    <n v="7.22"/>
    <n v="4.0999999999999996"/>
    <n v="4.0920794000000003E-3"/>
    <n v="1.6777525540000001E-2"/>
    <n v="57"/>
    <n v="3"/>
    <n v="3"/>
    <n v="2"/>
    <n v="3"/>
    <n v="2"/>
    <s v="average"/>
  </r>
  <r>
    <s v="Puk"/>
    <n v="1"/>
    <s v="South_Wairarapa"/>
    <s v="N166_063/197"/>
    <x v="8"/>
    <x v="8"/>
    <n v="1200"/>
    <n v="-3"/>
    <n v="1982"/>
    <s v="am"/>
    <n v="1592"/>
    <n v="10.4"/>
    <n v="5.77"/>
    <n v="8.4905600000000029E-3"/>
    <n v="4.8990531200000013E-2"/>
    <n v="75"/>
    <n v="3"/>
    <n v="3"/>
    <n v="2"/>
    <n v="3"/>
    <n v="2"/>
    <s v="average"/>
  </r>
  <r>
    <s v="Puk"/>
    <n v="1"/>
    <s v="South_Wairarapa"/>
    <s v="N166_063/197"/>
    <x v="8"/>
    <x v="8"/>
    <n v="1200"/>
    <n v="-3"/>
    <n v="1982"/>
    <s v="am"/>
    <n v="2560"/>
    <n v="11.66"/>
    <n v="7.27"/>
    <n v="1.06725146E-2"/>
    <n v="7.7589181142000002E-2"/>
    <n v="100"/>
    <n v="3"/>
    <n v="3"/>
    <n v="2"/>
    <n v="3"/>
    <n v="2"/>
    <s v="average"/>
  </r>
  <r>
    <s v="Puk"/>
    <n v="1"/>
    <s v="South_Wairarapa"/>
    <s v="N166_063/197"/>
    <x v="8"/>
    <x v="8"/>
    <n v="1200"/>
    <n v="-3"/>
    <n v="1982"/>
    <s v="bxs"/>
    <n v="1111"/>
    <n v="10.99"/>
    <n v="7.2"/>
    <n v="9.4812378500000009E-3"/>
    <n v="6.8264912520000012E-2"/>
    <n v="100"/>
    <n v="2"/>
    <n v="3"/>
    <n v="3"/>
    <n v="3"/>
    <n v="3"/>
    <s v="average"/>
  </r>
  <r>
    <s v="Puk"/>
    <n v="1"/>
    <s v="South_Wairarapa"/>
    <s v="N166_063/197"/>
    <x v="8"/>
    <x v="8"/>
    <n v="1200"/>
    <n v="-3"/>
    <n v="1982"/>
    <s v="br"/>
    <n v="2620"/>
    <n v="7.87"/>
    <n v="6.25"/>
    <n v="4.8620466500000009E-3"/>
    <n v="3.0387791562500006E-2"/>
    <n v="100"/>
    <n v="3.5"/>
    <n v="1.5"/>
    <n v="2"/>
    <n v="2"/>
    <n v="2"/>
    <s v="low"/>
  </r>
  <r>
    <s v="Puk"/>
    <n v="1"/>
    <s v="South_Wairarapa"/>
    <s v="N166_063/197"/>
    <x v="8"/>
    <x v="8"/>
    <n v="1200"/>
    <n v="-3"/>
    <n v="1982"/>
    <s v="br"/>
    <n v="2621"/>
    <n v="7.64"/>
    <n v="6.72"/>
    <n v="4.5820135999999996E-3"/>
    <n v="3.0791131391999994E-2"/>
    <n v="100"/>
    <n v="3.5"/>
    <n v="2"/>
    <n v="2"/>
    <n v="2"/>
    <n v="2"/>
    <s v="low"/>
  </r>
  <r>
    <s v="Puk"/>
    <n v="1"/>
    <s v="South_Wairarapa"/>
    <s v="N166_063/197"/>
    <x v="8"/>
    <x v="8"/>
    <n v="1200"/>
    <n v="-3"/>
    <n v="1982"/>
    <s v="el"/>
    <n v="2638"/>
    <n v="1.27"/>
    <n v="1.74"/>
    <n v="1.2661264999999999E-4"/>
    <n v="2.2030601099999998E-4"/>
    <n v="50"/>
    <n v="1"/>
    <n v="3"/>
    <n v="2"/>
    <n v="3"/>
    <n v="3"/>
    <s v="none"/>
  </r>
  <r>
    <s v="Puk"/>
    <n v="1"/>
    <s v="South_Wairarapa"/>
    <s v="N166_063/197"/>
    <x v="8"/>
    <x v="8"/>
    <n v="1200"/>
    <n v="-3"/>
    <n v="1982"/>
    <s v="fa"/>
    <n v="2426"/>
    <n v="11.85"/>
    <n v="7.47"/>
    <n v="1.1023166249999999E-2"/>
    <n v="8.2343051887499991E-2"/>
    <n v="50"/>
    <n v="3"/>
    <n v="3"/>
    <n v="4"/>
    <n v="3"/>
    <n v="3"/>
    <s v="average"/>
  </r>
  <r>
    <s v="Puk"/>
    <n v="1"/>
    <s v="South_Wairarapa"/>
    <s v="N166_063/197"/>
    <x v="8"/>
    <x v="8"/>
    <n v="1200"/>
    <n v="-3"/>
    <n v="1982"/>
    <s v="fa"/>
    <n v="1482"/>
    <n v="6.52"/>
    <n v="5.81"/>
    <n v="3.3370663999999998E-3"/>
    <n v="1.9388355783999996E-2"/>
    <n v="100"/>
    <n v="3"/>
    <n v="3"/>
    <n v="3"/>
    <n v="3"/>
    <n v="3"/>
    <s v="good"/>
  </r>
  <r>
    <s v="Puk"/>
    <n v="1"/>
    <s v="South_Wairarapa"/>
    <s v="N166_063/197"/>
    <x v="8"/>
    <x v="8"/>
    <n v="1200"/>
    <n v="-3"/>
    <n v="1982"/>
    <s v="fa"/>
    <n v="2548"/>
    <n v="7.7"/>
    <n v="5.69"/>
    <n v="4.6542650000000003E-3"/>
    <n v="2.6482767850000005E-2"/>
    <n v="100"/>
    <n v="3"/>
    <n v="3"/>
    <n v="4"/>
    <n v="4"/>
    <n v="4"/>
    <s v="average"/>
  </r>
  <r>
    <s v="Puk"/>
    <n v="1"/>
    <s v="South_Wairarapa"/>
    <s v="N166_063/197"/>
    <x v="8"/>
    <x v="8"/>
    <n v="1200"/>
    <n v="-3"/>
    <n v="1982"/>
    <s v="ka"/>
    <n v="1171"/>
    <n v="10.81"/>
    <n v="3.45"/>
    <n v="9.1732038500000005E-3"/>
    <n v="3.1647553282500004E-2"/>
    <n v="100"/>
    <n v="3"/>
    <n v="2"/>
    <n v="1"/>
    <n v="1"/>
    <n v="1"/>
    <s v="none"/>
  </r>
  <r>
    <s v="Puk"/>
    <n v="1"/>
    <s v="South_Wairarapa"/>
    <s v="N166_063/197"/>
    <x v="8"/>
    <x v="8"/>
    <n v="1200"/>
    <n v="-3"/>
    <n v="1982"/>
    <s v="ka"/>
    <n v="2631"/>
    <n v="17.829999999999998"/>
    <n v="6.56"/>
    <n v="2.4955848649999997E-2"/>
    <n v="0.16371036714399997"/>
    <n v="75"/>
    <n v="4"/>
    <n v="2"/>
    <n v="1"/>
    <n v="1"/>
    <n v="1"/>
    <s v="low"/>
  </r>
  <r>
    <s v="Puk"/>
    <n v="1"/>
    <s v="South_Wairarapa"/>
    <s v="N166_063/197"/>
    <x v="8"/>
    <x v="8"/>
    <n v="1200"/>
    <n v="-3"/>
    <n v="1982"/>
    <s v="nd"/>
    <n v="2569"/>
    <n v="12.5"/>
    <n v="6.62"/>
    <n v="1.2265625E-2"/>
    <n v="8.1198437499999998E-2"/>
    <n v="100"/>
    <n v="3"/>
    <n v="3"/>
    <n v="3"/>
    <n v="3"/>
    <n v="3"/>
    <s v="good"/>
  </r>
  <r>
    <s v="Puk"/>
    <n v="1"/>
    <s v="South_Wairarapa"/>
    <s v="N166_063/197"/>
    <x v="8"/>
    <x v="8"/>
    <n v="1200"/>
    <n v="-3"/>
    <n v="1982"/>
    <s v="nd"/>
    <n v="2634"/>
    <n v="7.97"/>
    <n v="5.88"/>
    <n v="4.9863906499999994E-3"/>
    <n v="2.9319977021999996E-2"/>
    <n v="75"/>
    <n v="2.5"/>
    <n v="3"/>
    <n v="3"/>
    <n v="3"/>
    <n v="3.5"/>
    <s v="average"/>
  </r>
  <r>
    <s v="Puk"/>
    <n v="1"/>
    <s v="South_Wairarapa"/>
    <s v="N166_063/197"/>
    <x v="8"/>
    <x v="8"/>
    <n v="1200"/>
    <n v="-3"/>
    <n v="1982"/>
    <s v="nd"/>
    <n v="2635"/>
    <n v="8.58"/>
    <n v="7.48"/>
    <n v="5.7788874E-3"/>
    <n v="4.3226077752000006E-2"/>
    <n v="100"/>
    <n v="3.5"/>
    <n v="3"/>
    <n v="2.5"/>
    <n v="3.5"/>
    <n v="3"/>
    <s v="good"/>
  </r>
  <r>
    <s v="Puk"/>
    <n v="1"/>
    <s v="South_Wairarapa"/>
    <s v="N166_063/197"/>
    <x v="8"/>
    <x v="8"/>
    <n v="1200"/>
    <n v="-3"/>
    <n v="1982"/>
    <s v="ob"/>
    <n v="2570"/>
    <n v="6.05"/>
    <n v="5.44"/>
    <n v="2.8732962499999999E-3"/>
    <n v="1.5630731599999999E-2"/>
    <n v="100"/>
    <n v="3"/>
    <n v="2.5"/>
    <n v="3.5"/>
    <n v="3.5"/>
    <n v="3"/>
    <s v="average"/>
  </r>
  <r>
    <s v="Puk"/>
    <n v="1"/>
    <s v="South_Wairarapa"/>
    <s v="N166_063/197"/>
    <x v="8"/>
    <x v="8"/>
    <n v="1200"/>
    <n v="-3"/>
    <n v="1982"/>
    <s v="ov"/>
    <n v="1788"/>
    <n v="6.76"/>
    <n v="6.76"/>
    <n v="3.5872615999999993E-3"/>
    <n v="2.4249888415999996E-2"/>
    <n v="75"/>
    <n v="1"/>
    <n v="1"/>
    <n v="3"/>
    <n v="3"/>
    <n v="3"/>
    <s v="none"/>
  </r>
  <r>
    <s v="Puk"/>
    <n v="1"/>
    <s v="South_Wairarapa"/>
    <s v="N166_063/197"/>
    <x v="8"/>
    <x v="8"/>
    <n v="1200"/>
    <n v="-3"/>
    <n v="1982"/>
    <s v="ov"/>
    <n v="1259"/>
    <n v="13.99"/>
    <n v="9.09"/>
    <n v="1.5364027849999998E-2"/>
    <n v="0.13965901315649998"/>
    <n v="100"/>
    <n v="4"/>
    <n v="2"/>
    <n v="2"/>
    <n v="2"/>
    <n v="2"/>
    <s v="average"/>
  </r>
  <r>
    <s v="Puk"/>
    <n v="1"/>
    <s v="South_Wairarapa"/>
    <s v="N166_063/197"/>
    <x v="8"/>
    <x v="8"/>
    <n v="1200"/>
    <n v="-3"/>
    <n v="1982"/>
    <s v="ov"/>
    <n v="1785"/>
    <n v="8.65"/>
    <n v="5.95"/>
    <n v="5.8735662500000009E-3"/>
    <n v="3.4947719187500004E-2"/>
    <n v="100"/>
    <n v="1.5"/>
    <n v="1"/>
    <n v="3"/>
    <n v="3"/>
    <n v="3"/>
    <s v="none"/>
  </r>
  <r>
    <s v="Puk"/>
    <n v="1"/>
    <s v="South_Wairarapa"/>
    <s v="N166_063/197"/>
    <x v="8"/>
    <x v="8"/>
    <n v="1200"/>
    <n v="-3"/>
    <n v="1982"/>
    <s v="ov"/>
    <n v="2571"/>
    <n v="16.79"/>
    <n v="13.17"/>
    <n v="2.2129471849999999E-2"/>
    <n v="0.29144514426449997"/>
    <n v="100"/>
    <n v="4"/>
    <n v="2"/>
    <n v="3"/>
    <n v="3"/>
    <n v="2.5"/>
    <s v="good"/>
  </r>
  <r>
    <s v="Puk"/>
    <n v="1"/>
    <s v="South_Wairarapa"/>
    <s v="N166_063/197"/>
    <x v="8"/>
    <x v="8"/>
    <n v="1200"/>
    <n v="-3"/>
    <n v="1982"/>
    <s v="pu"/>
    <n v="2573"/>
    <n v="2.4500000000000002"/>
    <n v="3.06"/>
    <n v="4.7119625000000009E-4"/>
    <n v="1.4418605250000004E-3"/>
    <n v="50"/>
    <n v="1.5"/>
    <n v="4"/>
    <n v="1"/>
    <n v="2"/>
    <n v="3"/>
    <s v="none"/>
  </r>
  <r>
    <s v="Puk"/>
    <n v="1"/>
    <s v="South_Wairarapa"/>
    <s v="N166_063/197"/>
    <x v="8"/>
    <x v="8"/>
    <n v="1200"/>
    <n v="-3"/>
    <n v="1982"/>
    <s v="re"/>
    <n v="2550"/>
    <n v="9.84"/>
    <n v="8.68"/>
    <n v="7.6008096000000002E-3"/>
    <n v="6.5975027327999994E-2"/>
    <n v="75"/>
    <n v="2"/>
    <n v="2"/>
    <n v="4"/>
    <n v="4"/>
    <n v="4"/>
    <s v="average"/>
  </r>
  <r>
    <s v="Puk"/>
    <n v="1"/>
    <s v="South_Wairarapa"/>
    <s v="N166_063/197"/>
    <x v="8"/>
    <x v="8"/>
    <n v="1200"/>
    <n v="-3"/>
    <n v="1982"/>
    <s v="re"/>
    <n v="1352"/>
    <n v="4.9800000000000004"/>
    <n v="4.05"/>
    <n v="1.9468314000000001E-3"/>
    <n v="7.8846671699999999E-3"/>
    <n v="75"/>
    <n v="2"/>
    <n v="2.5"/>
    <n v="3"/>
    <n v="3"/>
    <n v="3"/>
    <s v="low"/>
  </r>
  <r>
    <s v="Puk"/>
    <n v="1"/>
    <s v="South_Wairarapa"/>
    <s v="N166_063/197"/>
    <x v="8"/>
    <x v="8"/>
    <n v="1200"/>
    <n v="-3"/>
    <n v="1982"/>
    <s v="re"/>
    <n v="2432"/>
    <n v="8.92"/>
    <n v="6.14"/>
    <n v="6.2459624000000009E-3"/>
    <n v="3.8350209136000006E-2"/>
    <n v="75"/>
    <n v="2.5"/>
    <n v="3"/>
    <n v="4"/>
    <n v="4"/>
    <n v="3.5"/>
    <s v="average"/>
  </r>
  <r>
    <s v="Puk"/>
    <n v="1"/>
    <s v="South_Wairarapa"/>
    <s v="N166_063/197"/>
    <x v="8"/>
    <x v="8"/>
    <n v="1200"/>
    <n v="-3"/>
    <n v="1982"/>
    <s v="re"/>
    <n v="2553"/>
    <n v="13.39"/>
    <n v="6.6"/>
    <n v="1.4074429850000004E-2"/>
    <n v="9.2891237010000016E-2"/>
    <n v="75"/>
    <n v="3"/>
    <n v="2.5"/>
    <n v="3"/>
    <n v="3"/>
    <n v="2.5"/>
    <s v="average"/>
  </r>
  <r>
    <s v="Puk"/>
    <n v="1"/>
    <s v="South_Wairarapa"/>
    <s v="N166_063/197"/>
    <x v="8"/>
    <x v="8"/>
    <n v="1200"/>
    <n v="-3"/>
    <n v="1982"/>
    <s v="re"/>
    <n v="2574"/>
    <n v="13.43"/>
    <n v="9.0299999999999994"/>
    <n v="1.4158644650000001E-2"/>
    <n v="0.1278525611895"/>
    <n v="100"/>
    <n v="4"/>
    <n v="2"/>
    <n v="4"/>
    <n v="3"/>
    <n v="2.5"/>
    <s v="good"/>
  </r>
  <r>
    <s v="Puk"/>
    <n v="1"/>
    <s v="South_Wairarapa"/>
    <s v="N166_063/197"/>
    <x v="8"/>
    <x v="8"/>
    <n v="1200"/>
    <n v="-3"/>
    <n v="1982"/>
    <s v="rd"/>
    <n v="2575"/>
    <n v="9.84"/>
    <n v="5.67"/>
    <n v="7.6008096000000002E-3"/>
    <n v="4.3096590432000002E-2"/>
    <n v="100"/>
    <n v="1.5"/>
    <n v="1.5"/>
    <n v="2"/>
    <n v="2"/>
    <n v="2"/>
    <s v="none"/>
  </r>
  <r>
    <s v="Puk"/>
    <n v="2"/>
    <s v="South_Wairarapa"/>
    <s v="N166_063/197"/>
    <x v="8"/>
    <x v="8"/>
    <n v="1200"/>
    <n v="-3"/>
    <n v="1982"/>
    <s v="am"/>
    <n v="1592"/>
    <n v="4.7300000000000004"/>
    <n v="5.31"/>
    <n v="1.7562726500000003E-3"/>
    <n v="9.3258077715000012E-3"/>
    <n v="100"/>
    <n v="2"/>
    <n v="3"/>
    <n v="3"/>
    <n v="4"/>
    <n v="4"/>
    <s v="good"/>
  </r>
  <r>
    <s v="Puk"/>
    <n v="2"/>
    <s v="South_Wairarapa"/>
    <s v="N166_063/197"/>
    <x v="8"/>
    <x v="8"/>
    <n v="1200"/>
    <n v="-3"/>
    <n v="1982"/>
    <s v="am"/>
    <n v="2560"/>
    <n v="6.35"/>
    <n v="4.62"/>
    <n v="3.1653162500000004E-3"/>
    <n v="1.4623761075000002E-2"/>
    <n v="100"/>
    <n v="3"/>
    <n v="4"/>
    <n v="2"/>
    <n v="3"/>
    <n v="4"/>
    <s v="average"/>
  </r>
  <r>
    <s v="Puk"/>
    <n v="2"/>
    <s v="South_Wairarapa"/>
    <s v="N166_063/197"/>
    <x v="8"/>
    <x v="8"/>
    <n v="1200"/>
    <n v="-3"/>
    <n v="1982"/>
    <s v="bxs"/>
    <n v="1111"/>
    <n v="18.989999999999998"/>
    <n v="10.73"/>
    <n v="2.8308677849999995E-2"/>
    <n v="0.30375211333049995"/>
    <n v="75"/>
    <n v="3"/>
    <n v="3"/>
    <n v="3.5"/>
    <n v="3"/>
    <n v="3"/>
    <s v="good"/>
  </r>
  <r>
    <s v="Puk"/>
    <n v="2"/>
    <s v="South_Wairarapa"/>
    <s v="N166_063/197"/>
    <x v="8"/>
    <x v="8"/>
    <n v="1200"/>
    <n v="-3"/>
    <n v="1982"/>
    <s v="br"/>
    <n v="2620"/>
    <n v="7.3"/>
    <n v="5.91"/>
    <n v="4.1832649999999994E-3"/>
    <n v="2.4723096149999998E-2"/>
    <n v="100"/>
    <n v="2"/>
    <n v="2"/>
    <n v="3"/>
    <n v="4"/>
    <n v="4"/>
    <s v="low"/>
  </r>
  <r>
    <s v="Puk"/>
    <n v="2"/>
    <s v="South_Wairarapa"/>
    <s v="N166_063/197"/>
    <x v="8"/>
    <x v="8"/>
    <n v="1200"/>
    <n v="-3"/>
    <n v="1982"/>
    <s v="br"/>
    <n v="2621"/>
    <n v="8.11"/>
    <n v="4.9800000000000004"/>
    <n v="5.1631098499999991E-3"/>
    <n v="2.5712287052999997E-2"/>
    <n v="100"/>
    <n v="3"/>
    <n v="1"/>
    <n v="4"/>
    <n v="4"/>
    <n v="4"/>
    <s v="average"/>
  </r>
  <r>
    <s v="Puk"/>
    <n v="2"/>
    <s v="South_Wairarapa"/>
    <s v="N166_063/197"/>
    <x v="8"/>
    <x v="8"/>
    <n v="1200"/>
    <n v="-3"/>
    <n v="1982"/>
    <s v="el"/>
    <n v="2638"/>
    <n v="5.25"/>
    <n v="3.5"/>
    <n v="2.1636562499999998E-3"/>
    <n v="7.5727968749999992E-3"/>
    <n v="50"/>
    <n v="2"/>
    <n v="3"/>
    <n v="3"/>
    <n v="3"/>
    <n v="4"/>
    <s v="low"/>
  </r>
  <r>
    <s v="Puk"/>
    <n v="2"/>
    <s v="South_Wairarapa"/>
    <s v="N166_063/197"/>
    <x v="8"/>
    <x v="8"/>
    <n v="1200"/>
    <n v="-3"/>
    <n v="1982"/>
    <s v="fa"/>
    <n v="2426"/>
    <n v="16.690000000000001"/>
    <n v="9.48"/>
    <n v="2.1866653850000004E-2"/>
    <n v="0.20729587849800005"/>
    <n v="50"/>
    <n v="4"/>
    <n v="3"/>
    <n v="4"/>
    <n v="4"/>
    <n v="3"/>
    <s v="best"/>
  </r>
  <r>
    <s v="Puk"/>
    <n v="2"/>
    <s v="South_Wairarapa"/>
    <s v="N166_063/197"/>
    <x v="8"/>
    <x v="8"/>
    <n v="1200"/>
    <n v="-3"/>
    <n v="1982"/>
    <s v="fa"/>
    <n v="1482"/>
    <n v="2.37"/>
    <n v="2.73"/>
    <n v="4.4092665000000013E-4"/>
    <n v="1.2037297545000004E-3"/>
    <n v="50"/>
    <n v="1"/>
    <n v="3"/>
    <n v="3"/>
    <n v="3"/>
    <n v="3"/>
    <s v="none"/>
  </r>
  <r>
    <s v="Puk"/>
    <n v="2"/>
    <s v="South_Wairarapa"/>
    <s v="N166_063/197"/>
    <x v="8"/>
    <x v="8"/>
    <n v="1200"/>
    <n v="-3"/>
    <n v="1982"/>
    <s v="fa"/>
    <n v="2548"/>
    <n v="10.08"/>
    <n v="6.52"/>
    <n v="7.9761024000000007E-3"/>
    <n v="5.2004187648000001E-2"/>
    <n v="50"/>
    <n v="3"/>
    <n v="3"/>
    <n v="4"/>
    <n v="4"/>
    <n v="4"/>
    <s v="average"/>
  </r>
  <r>
    <s v="Puk"/>
    <n v="2"/>
    <s v="South_Wairarapa"/>
    <s v="N166_063/197"/>
    <x v="8"/>
    <x v="8"/>
    <n v="1200"/>
    <n v="-3"/>
    <n v="1982"/>
    <s v="fr"/>
    <n v="2552"/>
    <n v="17.190000000000001"/>
    <n v="12.45"/>
    <n v="2.3196443850000005E-2"/>
    <n v="0.28879572593250002"/>
    <n v="50"/>
    <n v="4"/>
    <n v="4"/>
    <n v="4"/>
    <n v="4"/>
    <n v="4"/>
    <s v="good"/>
  </r>
  <r>
    <s v="Puk"/>
    <n v="2"/>
    <s v="South_Wairarapa"/>
    <s v="N166_063/197"/>
    <x v="8"/>
    <x v="8"/>
    <n v="1200"/>
    <n v="-3"/>
    <n v="1982"/>
    <s v="ka"/>
    <n v="1171"/>
    <n v="1.27"/>
    <n v="1.1200000000000001"/>
    <n v="1.2661264999999999E-4"/>
    <n v="1.41806168E-4"/>
    <n v="25"/>
    <n v="1.5"/>
    <n v="3"/>
    <n v="0"/>
    <n v="2"/>
    <n v="3"/>
    <s v="none"/>
  </r>
  <r>
    <s v="Puk"/>
    <n v="2"/>
    <s v="South_Wairarapa"/>
    <s v="N166_063/197"/>
    <x v="8"/>
    <x v="8"/>
    <n v="1200"/>
    <n v="-3"/>
    <n v="1982"/>
    <s v="ka"/>
    <n v="2631"/>
    <n v="5.75"/>
    <n v="4.5999999999999996"/>
    <n v="2.5954062500000001E-3"/>
    <n v="1.193886875E-2"/>
    <n v="25"/>
    <n v="2"/>
    <n v="2"/>
    <n v="3"/>
    <n v="3"/>
    <n v="3"/>
    <s v="none"/>
  </r>
  <r>
    <s v="Puk"/>
    <n v="2"/>
    <s v="South_Wairarapa"/>
    <s v="N166_063/197"/>
    <x v="8"/>
    <x v="8"/>
    <n v="1200"/>
    <n v="-3"/>
    <n v="1982"/>
    <s v="nd"/>
    <n v="1595"/>
    <n v="15.69"/>
    <n v="8.9499999999999993"/>
    <n v="1.9324823849999995E-2"/>
    <n v="0.17295717345749995"/>
    <n v="100"/>
    <n v="3"/>
    <n v="3"/>
    <n v="4"/>
    <n v="4"/>
    <n v="3"/>
    <s v="good"/>
  </r>
  <r>
    <s v="Puk"/>
    <n v="2"/>
    <s v="South_Wairarapa"/>
    <s v="N166_063/197"/>
    <x v="8"/>
    <x v="8"/>
    <n v="1200"/>
    <n v="-3"/>
    <n v="1982"/>
    <s v="nd"/>
    <n v="2569"/>
    <n v="17.03"/>
    <n v="10.42"/>
    <n v="2.2766640650000003E-2"/>
    <n v="0.23722839557300002"/>
    <n v="100"/>
    <n v="3"/>
    <n v="3"/>
    <n v="4"/>
    <n v="4"/>
    <n v="3"/>
    <s v="good"/>
  </r>
  <r>
    <s v="Puk"/>
    <n v="2"/>
    <s v="South_Wairarapa"/>
    <s v="N166_063/197"/>
    <x v="8"/>
    <x v="8"/>
    <n v="1200"/>
    <n v="-3"/>
    <n v="1982"/>
    <s v="nd"/>
    <n v="2634"/>
    <n v="17.77"/>
    <n v="10.42"/>
    <n v="2.4788172650000002E-2"/>
    <n v="0.25829275901300003"/>
    <n v="50"/>
    <n v="3"/>
    <n v="3"/>
    <n v="2"/>
    <n v="2"/>
    <n v="2"/>
    <s v="average"/>
  </r>
  <r>
    <s v="Puk"/>
    <n v="2"/>
    <s v="South_Wairarapa"/>
    <s v="N166_063/197"/>
    <x v="8"/>
    <x v="8"/>
    <n v="1200"/>
    <n v="-3"/>
    <n v="1982"/>
    <s v="nd"/>
    <n v="2635"/>
    <n v="17.399999999999999"/>
    <n v="10.66"/>
    <n v="2.3766659999999998E-2"/>
    <n v="0.25335259560000001"/>
    <n v="75"/>
    <n v="3"/>
    <n v="2"/>
    <n v="4"/>
    <n v="4"/>
    <n v="3"/>
    <s v="good"/>
  </r>
  <r>
    <s v="Puk"/>
    <n v="2"/>
    <s v="South_Wairarapa"/>
    <s v="N166_063/197"/>
    <x v="8"/>
    <x v="8"/>
    <n v="1200"/>
    <n v="-3"/>
    <n v="1982"/>
    <s v="ob"/>
    <n v="2570"/>
    <n v="10.16"/>
    <n v="7.74"/>
    <n v="8.1032095999999994E-3"/>
    <n v="6.2718842304000003E-2"/>
    <n v="100"/>
    <n v="3"/>
    <n v="3"/>
    <n v="4"/>
    <n v="4"/>
    <n v="4"/>
    <s v="good"/>
  </r>
  <r>
    <s v="Puk"/>
    <n v="2"/>
    <s v="South_Wairarapa"/>
    <s v="N166_063/197"/>
    <x v="8"/>
    <x v="8"/>
    <n v="1200"/>
    <n v="-3"/>
    <n v="1982"/>
    <s v="ov"/>
    <n v="1788"/>
    <n v="6.06"/>
    <n v="4.2"/>
    <n v="2.8828025999999992E-3"/>
    <n v="1.2107770919999997E-2"/>
    <n v="100"/>
    <n v="1.5"/>
    <n v="1.5"/>
    <n v="2"/>
    <n v="2"/>
    <n v="1"/>
    <s v="none"/>
  </r>
  <r>
    <s v="Puk"/>
    <n v="2"/>
    <s v="South_Wairarapa"/>
    <s v="N166_063/197"/>
    <x v="8"/>
    <x v="8"/>
    <n v="1200"/>
    <n v="-3"/>
    <n v="1982"/>
    <s v="ov"/>
    <n v="1259"/>
    <n v="10.37"/>
    <n v="5.6"/>
    <n v="8.4416466499999988E-3"/>
    <n v="4.7273221239999989E-2"/>
    <n v="100"/>
    <n v="3"/>
    <n v="2"/>
    <n v="2"/>
    <n v="2"/>
    <n v="1"/>
    <s v="low"/>
  </r>
  <r>
    <s v="Puk"/>
    <n v="2"/>
    <s v="South_Wairarapa"/>
    <s v="N166_063/197"/>
    <x v="8"/>
    <x v="8"/>
    <n v="1200"/>
    <n v="-3"/>
    <n v="1982"/>
    <s v="ov"/>
    <n v="1785"/>
    <n v="2.56"/>
    <n v="2.91"/>
    <n v="5.1445760000000005E-4"/>
    <n v="1.4970716160000001E-3"/>
    <n v="75"/>
    <n v="1"/>
    <n v="1"/>
    <n v="2"/>
    <n v="2"/>
    <n v="3"/>
    <s v="none"/>
  </r>
  <r>
    <s v="Puk"/>
    <n v="2"/>
    <s v="South_Wairarapa"/>
    <s v="N166_063/197"/>
    <x v="8"/>
    <x v="8"/>
    <n v="1200"/>
    <n v="-3"/>
    <n v="1982"/>
    <s v="ov"/>
    <n v="2571"/>
    <n v="8.98"/>
    <n v="4.08"/>
    <n v="6.3302714000000012E-3"/>
    <n v="2.5827507312000005E-2"/>
    <n v="75"/>
    <n v="4"/>
    <n v="2"/>
    <n v="2"/>
    <n v="2"/>
    <n v="2"/>
    <s v="average"/>
  </r>
  <r>
    <s v="Puk"/>
    <n v="2"/>
    <s v="South_Wairarapa"/>
    <s v="N166_063/197"/>
    <x v="8"/>
    <x v="8"/>
    <n v="1200"/>
    <n v="-3"/>
    <n v="1982"/>
    <s v="pu"/>
    <n v="2573"/>
    <n v="7.84"/>
    <n v="4.29"/>
    <n v="4.8250495999999999E-3"/>
    <n v="2.0699462783999999E-2"/>
    <n v="25"/>
    <n v="2"/>
    <n v="4"/>
    <n v="1"/>
    <n v="2"/>
    <n v="3"/>
    <s v="none"/>
  </r>
  <r>
    <s v="Puk"/>
    <n v="2"/>
    <s v="South_Wairarapa"/>
    <s v="N166_063/197"/>
    <x v="8"/>
    <x v="8"/>
    <n v="1200"/>
    <n v="-3"/>
    <n v="1982"/>
    <s v="re"/>
    <n v="2550"/>
    <n v="5.44"/>
    <n v="4.05"/>
    <n v="2.3230976000000003E-3"/>
    <n v="9.4085452800000014E-3"/>
    <n v="50"/>
    <n v="1"/>
    <n v="2"/>
    <n v="3"/>
    <n v="3"/>
    <n v="3"/>
    <s v="none"/>
  </r>
  <r>
    <s v="Puk"/>
    <n v="2"/>
    <s v="South_Wairarapa"/>
    <s v="N166_063/197"/>
    <x v="8"/>
    <x v="8"/>
    <n v="1200"/>
    <n v="-3"/>
    <n v="1982"/>
    <s v="re"/>
    <n v="1352"/>
    <n v="11.93"/>
    <n v="11"/>
    <n v="1.1172504650000002E-2"/>
    <n v="0.12289755115000002"/>
    <n v="100"/>
    <n v="3.5"/>
    <n v="3"/>
    <n v="4"/>
    <n v="4"/>
    <n v="3.5"/>
    <s v="good"/>
  </r>
  <r>
    <s v="Puk"/>
    <n v="2"/>
    <s v="South_Wairarapa"/>
    <s v="N166_063/197"/>
    <x v="8"/>
    <x v="8"/>
    <n v="1200"/>
    <n v="-3"/>
    <n v="1982"/>
    <s v="re"/>
    <n v="2432"/>
    <n v="12.39"/>
    <n v="10.77"/>
    <n v="1.2050699850000002E-2"/>
    <n v="0.12978603738450001"/>
    <n v="75"/>
    <n v="3"/>
    <n v="3"/>
    <n v="4"/>
    <n v="4"/>
    <n v="4"/>
    <s v="good"/>
  </r>
  <r>
    <s v="Puk"/>
    <n v="2"/>
    <s v="South_Wairarapa"/>
    <s v="N166_063/197"/>
    <x v="8"/>
    <x v="8"/>
    <n v="1200"/>
    <n v="-3"/>
    <n v="1982"/>
    <s v="re"/>
    <n v="2553"/>
    <n v="17.95"/>
    <n v="13.66"/>
    <n v="2.5292896249999999E-2"/>
    <n v="0.34550096277499998"/>
    <n v="100"/>
    <n v="5"/>
    <n v="3"/>
    <n v="4.5"/>
    <n v="4.5"/>
    <n v="4"/>
    <s v="best"/>
  </r>
  <r>
    <s v="Puk"/>
    <n v="2"/>
    <s v="South_Wairarapa"/>
    <s v="N166_063/197"/>
    <x v="8"/>
    <x v="8"/>
    <n v="1200"/>
    <n v="-3"/>
    <n v="1982"/>
    <s v="re"/>
    <n v="2574"/>
    <n v="10.07"/>
    <n v="12.74"/>
    <n v="7.9602846499999998E-3"/>
    <n v="0.101414026441"/>
    <n v="100"/>
    <n v="2.5"/>
    <n v="2.5"/>
    <n v="5"/>
    <n v="5"/>
    <n v="5"/>
    <s v="good"/>
  </r>
  <r>
    <s v="Puk"/>
    <n v="2"/>
    <s v="South_Wairarapa"/>
    <s v="N166_063/197"/>
    <x v="8"/>
    <x v="8"/>
    <n v="1200"/>
    <n v="-3"/>
    <n v="1982"/>
    <s v="rd"/>
    <n v="2575"/>
    <n v="8.56"/>
    <n v="3.33"/>
    <n v="5.7519776000000012E-3"/>
    <n v="1.9154085408000003E-2"/>
    <n v="75"/>
    <n v="2"/>
    <n v="3"/>
    <n v="2"/>
    <n v="2"/>
    <n v="2"/>
    <s v="none"/>
  </r>
  <r>
    <s v="Puk"/>
    <n v="2"/>
    <s v="South_Wairarapa"/>
    <s v="N166_063/197"/>
    <x v="8"/>
    <x v="8"/>
    <n v="1200"/>
    <n v="-3"/>
    <n v="1982"/>
    <s v="sm"/>
    <n v="1340"/>
    <n v="1.56"/>
    <n v="2.16"/>
    <n v="1.9103760000000004E-4"/>
    <n v="4.1264121600000011E-4"/>
    <n v="50"/>
    <n v="1"/>
    <n v="2"/>
    <n v="2"/>
    <n v="2"/>
    <n v="3"/>
    <s v="none"/>
  </r>
  <r>
    <s v="Puk"/>
    <n v="3"/>
    <s v="South_Wairarapa"/>
    <s v="N166_063/197"/>
    <x v="8"/>
    <x v="8"/>
    <n v="1200"/>
    <n v="-3"/>
    <n v="1982"/>
    <s v="am"/>
    <n v="1592"/>
    <n v="20.43"/>
    <n v="10.39"/>
    <n v="3.2764714650000006E-2"/>
    <n v="0.34042538521350008"/>
    <n v="75"/>
    <n v="3"/>
    <n v="4"/>
    <n v="2"/>
    <n v="3"/>
    <n v="2"/>
    <s v="good"/>
  </r>
  <r>
    <s v="Puk"/>
    <n v="3"/>
    <s v="South_Wairarapa"/>
    <s v="N166_063/197"/>
    <x v="8"/>
    <x v="8"/>
    <n v="1200"/>
    <n v="-3"/>
    <n v="1982"/>
    <s v="am"/>
    <n v="2560"/>
    <n v="16.04"/>
    <n v="8.66"/>
    <n v="2.0196605599999997E-2"/>
    <n v="0.17490260449599998"/>
    <n v="100"/>
    <n v="3"/>
    <n v="4"/>
    <n v="4"/>
    <n v="4"/>
    <n v="4"/>
    <s v="good"/>
  </r>
  <r>
    <s v="Puk"/>
    <n v="3"/>
    <s v="South_Wairarapa"/>
    <s v="N166_063/197"/>
    <x v="8"/>
    <x v="8"/>
    <n v="1200"/>
    <n v="-3"/>
    <n v="1982"/>
    <s v="bxs"/>
    <n v="1111"/>
    <n v="11.9"/>
    <n v="7.2"/>
    <n v="1.1116385000000001E-2"/>
    <n v="8.0037972000000013E-2"/>
    <n v="100"/>
    <n v="3"/>
    <n v="2"/>
    <n v="3"/>
    <n v="3"/>
    <n v="3"/>
    <s v="average"/>
  </r>
  <r>
    <s v="Puk"/>
    <n v="3"/>
    <s v="South_Wairarapa"/>
    <s v="N166_063/197"/>
    <x v="8"/>
    <x v="8"/>
    <n v="1200"/>
    <n v="-3"/>
    <n v="1982"/>
    <s v="br"/>
    <n v="2620"/>
    <n v="2.66"/>
    <n v="2.08"/>
    <n v="5.5543460000000015E-4"/>
    <n v="1.1553039680000004E-3"/>
    <n v="100"/>
    <n v="2"/>
    <n v="1.5"/>
    <n v="1"/>
    <n v="2"/>
    <n v="3"/>
    <s v="none"/>
  </r>
  <r>
    <s v="Puk"/>
    <n v="3"/>
    <s v="South_Wairarapa"/>
    <s v="N166_063/197"/>
    <x v="8"/>
    <x v="8"/>
    <n v="1200"/>
    <n v="-3"/>
    <n v="1982"/>
    <s v="br"/>
    <n v="2621"/>
    <n v="5.0999999999999996"/>
    <n v="2.66"/>
    <n v="2.041785E-3"/>
    <n v="5.4311480999999998E-3"/>
    <n v="75"/>
    <n v="3"/>
    <n v="2"/>
    <n v="2"/>
    <n v="2"/>
    <n v="3"/>
    <s v="low"/>
  </r>
  <r>
    <s v="Puk"/>
    <n v="3"/>
    <s v="South_Wairarapa"/>
    <s v="N166_063/197"/>
    <x v="8"/>
    <x v="8"/>
    <n v="1200"/>
    <n v="-3"/>
    <n v="1982"/>
    <s v="el"/>
    <n v="2638"/>
    <n v="12.24"/>
    <n v="5.83"/>
    <n v="1.1760681600000001E-2"/>
    <n v="6.8564773728000003E-2"/>
    <n v="25"/>
    <n v="2"/>
    <n v="3"/>
    <n v="3"/>
    <n v="3"/>
    <n v="3"/>
    <s v="low"/>
  </r>
  <r>
    <s v="Puk"/>
    <n v="3"/>
    <s v="South_Wairarapa"/>
    <s v="N166_063/197"/>
    <x v="8"/>
    <x v="8"/>
    <n v="1200"/>
    <n v="-3"/>
    <n v="1982"/>
    <s v="fa"/>
    <n v="2426"/>
    <n v="21.93"/>
    <n v="9.84"/>
    <n v="3.775260465E-2"/>
    <n v="0.37148562975600002"/>
    <n v="100"/>
    <n v="4"/>
    <n v="3"/>
    <n v="3.5"/>
    <n v="3"/>
    <n v="2"/>
    <s v="good"/>
  </r>
  <r>
    <s v="Puk"/>
    <n v="3"/>
    <s v="South_Wairarapa"/>
    <s v="N166_063/197"/>
    <x v="8"/>
    <x v="8"/>
    <n v="1200"/>
    <n v="-3"/>
    <n v="1982"/>
    <s v="fa"/>
    <n v="1482"/>
    <n v="24.16"/>
    <n v="10.31"/>
    <n v="4.5820889600000005E-2"/>
    <n v="0.47241337177600007"/>
    <n v="75"/>
    <n v="4.5"/>
    <n v="3"/>
    <n v="4"/>
    <n v="3"/>
    <n v="2"/>
    <s v="good"/>
  </r>
  <r>
    <s v="Puk"/>
    <n v="3"/>
    <s v="South_Wairarapa"/>
    <s v="N166_063/197"/>
    <x v="8"/>
    <x v="8"/>
    <n v="1200"/>
    <n v="-3"/>
    <n v="1982"/>
    <s v="fa"/>
    <n v="2548"/>
    <n v="24.77"/>
    <n v="10.67"/>
    <n v="4.816390265E-2"/>
    <n v="0.51390884127549996"/>
    <n v="100"/>
    <n v="4.5"/>
    <n v="3"/>
    <n v="4"/>
    <n v="3"/>
    <n v="2"/>
    <s v="good"/>
  </r>
  <r>
    <s v="Puk"/>
    <n v="3"/>
    <s v="South_Wairarapa"/>
    <s v="N166_063/197"/>
    <x v="8"/>
    <x v="8"/>
    <n v="1200"/>
    <n v="-3"/>
    <n v="1982"/>
    <s v="fr"/>
    <n v="2552"/>
    <n v="16.829999999999998"/>
    <n v="10.31"/>
    <n v="2.2235038649999993E-2"/>
    <n v="0.22924324848149993"/>
    <n v="75"/>
    <n v="4"/>
    <n v="3"/>
    <n v="4"/>
    <n v="4"/>
    <n v="3"/>
    <s v="best"/>
  </r>
  <r>
    <s v="Puk"/>
    <n v="3"/>
    <s v="South_Wairarapa"/>
    <s v="N166_063/197"/>
    <x v="8"/>
    <x v="8"/>
    <n v="1200"/>
    <n v="-3"/>
    <n v="1982"/>
    <s v="ka"/>
    <n v="1171"/>
    <n v="8.4"/>
    <n v="3.91"/>
    <n v="5.5389600000000008E-3"/>
    <n v="2.1657333600000005E-2"/>
    <n v="100"/>
    <n v="3"/>
    <n v="2"/>
    <n v="1"/>
    <n v="2"/>
    <n v="1"/>
    <s v="none"/>
  </r>
  <r>
    <s v="Puk"/>
    <n v="3"/>
    <s v="South_Wairarapa"/>
    <s v="N166_063/197"/>
    <x v="8"/>
    <x v="8"/>
    <n v="1200"/>
    <n v="-3"/>
    <n v="1982"/>
    <s v="ka"/>
    <n v="2631"/>
    <n v="5.75"/>
    <n v="4.26"/>
    <n v="2.5954062500000001E-3"/>
    <n v="1.1056430625E-2"/>
    <n v="75"/>
    <n v="2"/>
    <n v="3"/>
    <n v="2"/>
    <n v="2"/>
    <n v="2"/>
    <s v="none"/>
  </r>
  <r>
    <s v="Puk"/>
    <n v="3"/>
    <s v="South_Wairarapa"/>
    <s v="N166_063/197"/>
    <x v="8"/>
    <x v="8"/>
    <n v="1200"/>
    <n v="-3"/>
    <n v="1982"/>
    <s v="nd"/>
    <n v="1595"/>
    <n v="16.54"/>
    <n v="7.23"/>
    <n v="2.1475370599999998E-2"/>
    <n v="0.155266929438"/>
    <n v="100"/>
    <n v="3"/>
    <n v="2.5"/>
    <n v="3"/>
    <n v="4"/>
    <n v="2"/>
    <s v="good"/>
  </r>
  <r>
    <s v="Puk"/>
    <n v="3"/>
    <s v="South_Wairarapa"/>
    <s v="N166_063/197"/>
    <x v="8"/>
    <x v="8"/>
    <n v="1200"/>
    <n v="-3"/>
    <n v="1982"/>
    <s v="nd"/>
    <n v="2569"/>
    <n v="13.73"/>
    <n v="7.6"/>
    <n v="1.4798262650000003E-2"/>
    <n v="0.11246679614000002"/>
    <n v="75"/>
    <n v="2.5"/>
    <n v="2"/>
    <n v="3"/>
    <n v="3"/>
    <n v="3"/>
    <s v="average"/>
  </r>
  <r>
    <s v="Puk"/>
    <n v="3"/>
    <s v="South_Wairarapa"/>
    <s v="N166_063/197"/>
    <x v="8"/>
    <x v="8"/>
    <n v="1200"/>
    <n v="-3"/>
    <n v="1982"/>
    <s v="nd"/>
    <n v="2634"/>
    <n v="16.3"/>
    <n v="7.84"/>
    <n v="2.0856665000000003E-2"/>
    <n v="0.16351625360000002"/>
    <n v="100"/>
    <n v="3"/>
    <n v="3"/>
    <n v="3"/>
    <n v="3"/>
    <n v="3"/>
    <s v="average"/>
  </r>
  <r>
    <s v="Puk"/>
    <n v="3"/>
    <s v="South_Wairarapa"/>
    <s v="N166_063/197"/>
    <x v="8"/>
    <x v="8"/>
    <n v="1200"/>
    <n v="-3"/>
    <n v="1982"/>
    <s v="nd"/>
    <n v="2635"/>
    <n v="13.73"/>
    <n v="8.58"/>
    <n v="1.4798262650000003E-2"/>
    <n v="0.12696909353700003"/>
    <n v="75"/>
    <n v="3"/>
    <n v="3"/>
    <n v="3"/>
    <n v="3"/>
    <n v="3"/>
    <s v="average"/>
  </r>
  <r>
    <s v="Puk"/>
    <n v="3"/>
    <s v="South_Wairarapa"/>
    <s v="N166_063/197"/>
    <x v="8"/>
    <x v="8"/>
    <n v="1200"/>
    <n v="-3"/>
    <n v="1982"/>
    <s v="ob"/>
    <n v="2570"/>
    <n v="16.93"/>
    <n v="8.1"/>
    <n v="2.2500054650000004E-2"/>
    <n v="0.18225044266500001"/>
    <n v="75"/>
    <n v="2.5"/>
    <n v="2"/>
    <n v="2.5"/>
    <n v="2.5"/>
    <n v="2"/>
    <s v="average"/>
  </r>
  <r>
    <s v="Puk"/>
    <n v="3"/>
    <s v="South_Wairarapa"/>
    <s v="N166_063/197"/>
    <x v="8"/>
    <x v="8"/>
    <n v="1200"/>
    <n v="-3"/>
    <n v="1982"/>
    <s v="ov"/>
    <n v="1788"/>
    <n v="2.68"/>
    <n v="2.33"/>
    <n v="5.6381840000000014E-4"/>
    <n v="1.3136968720000005E-3"/>
    <n v="75"/>
    <n v="1"/>
    <n v="1.5"/>
    <n v="2"/>
    <n v="2"/>
    <n v="2"/>
    <s v="none"/>
  </r>
  <r>
    <s v="Puk"/>
    <n v="3"/>
    <s v="South_Wairarapa"/>
    <s v="N166_063/197"/>
    <x v="8"/>
    <x v="8"/>
    <n v="1200"/>
    <n v="-3"/>
    <n v="1982"/>
    <s v="ov"/>
    <n v="1259"/>
    <n v="11.66"/>
    <n v="6.18"/>
    <n v="1.06725146E-2"/>
    <n v="6.5956140228000004E-2"/>
    <n v="75"/>
    <n v="3"/>
    <n v="2"/>
    <n v="3"/>
    <n v="3"/>
    <n v="3"/>
    <s v="average"/>
  </r>
  <r>
    <s v="Puk"/>
    <n v="3"/>
    <s v="South_Wairarapa"/>
    <s v="N166_063/197"/>
    <x v="8"/>
    <x v="8"/>
    <n v="1200"/>
    <n v="-3"/>
    <n v="1982"/>
    <s v="ov"/>
    <n v="1785"/>
    <n v="3.03"/>
    <n v="1.75"/>
    <n v="7.207006499999998E-4"/>
    <n v="1.2612261374999997E-3"/>
    <n v="75"/>
    <n v="1"/>
    <n v="2"/>
    <n v="2"/>
    <n v="2"/>
    <n v="2"/>
    <s v="none"/>
  </r>
  <r>
    <s v="Puk"/>
    <n v="3"/>
    <s v="South_Wairarapa"/>
    <s v="N166_063/197"/>
    <x v="8"/>
    <x v="8"/>
    <n v="1200"/>
    <n v="-3"/>
    <n v="1982"/>
    <s v="ov"/>
    <n v="2571"/>
    <n v="6.41"/>
    <n v="3.26"/>
    <n v="3.2254158500000006E-3"/>
    <n v="1.0514855671000002E-2"/>
    <n v="75"/>
    <n v="2"/>
    <n v="2"/>
    <n v="2"/>
    <n v="2"/>
    <n v="2"/>
    <s v="low"/>
  </r>
  <r>
    <s v="Puk"/>
    <n v="3"/>
    <s v="South_Wairarapa"/>
    <s v="N166_063/197"/>
    <x v="8"/>
    <x v="8"/>
    <n v="1200"/>
    <n v="-3"/>
    <n v="1982"/>
    <s v="pu"/>
    <n v="2573"/>
    <n v="10.78"/>
    <n v="6.62"/>
    <n v="9.1223593999999984E-3"/>
    <n v="6.039001922799999E-2"/>
    <n v="100"/>
    <n v="2.5"/>
    <n v="4"/>
    <n v="3"/>
    <n v="3"/>
    <n v="2"/>
    <s v="average"/>
  </r>
  <r>
    <s v="Puk"/>
    <n v="3"/>
    <s v="South_Wairarapa"/>
    <s v="N166_063/197"/>
    <x v="8"/>
    <x v="8"/>
    <n v="1200"/>
    <n v="-3"/>
    <n v="1982"/>
    <s v="re"/>
    <n v="2550"/>
    <n v="14.59"/>
    <n v="8.68"/>
    <n v="1.671014585E-2"/>
    <n v="0.14504406597799999"/>
    <n v="100"/>
    <n v="3"/>
    <n v="2"/>
    <n v="4"/>
    <n v="3"/>
    <n v="3"/>
    <s v="average"/>
  </r>
  <r>
    <s v="Puk"/>
    <n v="3"/>
    <s v="South_Wairarapa"/>
    <s v="N166_063/197"/>
    <x v="8"/>
    <x v="8"/>
    <n v="1200"/>
    <n v="-3"/>
    <n v="1982"/>
    <s v="re"/>
    <n v="1352"/>
    <n v="17.95"/>
    <n v="13.09"/>
    <n v="2.5292896249999999E-2"/>
    <n v="0.33108401191249998"/>
    <n v="75"/>
    <n v="4"/>
    <n v="3"/>
    <n v="4"/>
    <n v="3.5"/>
    <n v="3"/>
    <s v="good"/>
  </r>
  <r>
    <s v="Puk"/>
    <n v="3"/>
    <s v="South_Wairarapa"/>
    <s v="N166_063/197"/>
    <x v="8"/>
    <x v="8"/>
    <n v="1200"/>
    <n v="-3"/>
    <n v="1982"/>
    <s v="re"/>
    <n v="2432"/>
    <n v="18.87"/>
    <n v="14.24"/>
    <n v="2.7952036650000005E-2"/>
    <n v="0.39803700189600005"/>
    <n v="75"/>
    <n v="5"/>
    <n v="3"/>
    <n v="5"/>
    <n v="4"/>
    <n v="4.5"/>
    <s v="best"/>
  </r>
  <r>
    <s v="Puk"/>
    <n v="3"/>
    <s v="South_Wairarapa"/>
    <s v="N166_063/197"/>
    <x v="8"/>
    <x v="8"/>
    <n v="1200"/>
    <n v="-3"/>
    <n v="1982"/>
    <s v="re"/>
    <n v="2553"/>
    <n v="17.72"/>
    <n v="11.93"/>
    <n v="2.46488744E-2"/>
    <n v="0.29406107159200001"/>
    <n v="75"/>
    <n v="4"/>
    <n v="3"/>
    <n v="5"/>
    <n v="4"/>
    <n v="4"/>
    <s v="best"/>
  </r>
  <r>
    <s v="Puk"/>
    <n v="3"/>
    <s v="South_Wairarapa"/>
    <s v="N166_063/197"/>
    <x v="8"/>
    <x v="8"/>
    <n v="1200"/>
    <n v="-3"/>
    <n v="1982"/>
    <s v="re"/>
    <n v="2574"/>
    <n v="13.55"/>
    <n v="9.26"/>
    <n v="1.4412796250000002E-2"/>
    <n v="0.13346249327500001"/>
    <n v="75"/>
    <n v="3"/>
    <n v="3"/>
    <n v="4"/>
    <n v="4"/>
    <n v="3.5"/>
    <s v="good"/>
  </r>
  <r>
    <s v="Puk"/>
    <n v="3"/>
    <s v="South_Wairarapa"/>
    <s v="N166_063/197"/>
    <x v="8"/>
    <x v="8"/>
    <n v="1200"/>
    <n v="-3"/>
    <n v="1982"/>
    <s v="rd"/>
    <n v="2575"/>
    <n v="9.6300000000000008"/>
    <n v="5.1100000000000003"/>
    <n v="7.2798466500000021E-3"/>
    <n v="3.7200016381500015E-2"/>
    <n v="50"/>
    <n v="1"/>
    <n v="0.5"/>
    <n v="2"/>
    <n v="2"/>
    <n v="2"/>
    <s v="none"/>
  </r>
  <r>
    <s v="Puk"/>
    <n v="3"/>
    <s v="South_Wairarapa"/>
    <s v="N166_063/197"/>
    <x v="8"/>
    <x v="8"/>
    <n v="1200"/>
    <n v="-3"/>
    <n v="1982"/>
    <s v="sm"/>
    <n v="1340"/>
    <n v="2.63"/>
    <n v="2.39"/>
    <n v="5.4297665000000003E-4"/>
    <n v="1.2977141935E-3"/>
    <n v="50"/>
    <n v="1"/>
    <n v="1.5"/>
    <n v="1"/>
    <n v="2"/>
    <n v="2"/>
    <s v="none"/>
  </r>
  <r>
    <s v="Paw"/>
    <n v="1"/>
    <s v="Southern_Hawkes_Bay_(coastal)"/>
    <s v="N146_273/737"/>
    <x v="9"/>
    <x v="6"/>
    <n v="1300"/>
    <n v="-2"/>
    <n v="1983"/>
    <s v="am"/>
    <n v="1592"/>
    <n v="43.29"/>
    <n v="17.2"/>
    <n v="0.14711089185000001"/>
    <n v="2.5303073398200002"/>
    <n v="20"/>
    <n v="4.5"/>
    <n v="4.5"/>
    <n v="3.7"/>
    <n v="4"/>
    <n v="3"/>
    <s v="best"/>
  </r>
  <r>
    <s v="Paw"/>
    <n v="1"/>
    <s v="Southern_Hawkes_Bay_(coastal)"/>
    <s v="N146_273/737"/>
    <x v="9"/>
    <x v="6"/>
    <n v="1300"/>
    <n v="-2"/>
    <n v="1983"/>
    <s v="am"/>
    <n v="2560"/>
    <n v="24.94"/>
    <n v="14.33"/>
    <n v="4.8827282600000008E-2"/>
    <n v="0.6996949596580001"/>
    <n v="10"/>
    <n v="3"/>
    <n v="4"/>
    <n v="3.5"/>
    <n v="4"/>
    <n v="3"/>
    <s v="good"/>
  </r>
  <r>
    <s v="Paw"/>
    <n v="1"/>
    <s v="Southern_Hawkes_Bay_(coastal)"/>
    <s v="N146_273/737"/>
    <x v="9"/>
    <x v="6"/>
    <n v="1300"/>
    <n v="-2"/>
    <n v="1983"/>
    <s v="co"/>
    <n v="2562"/>
    <n v="29.22"/>
    <n v="13.58"/>
    <n v="6.7023959400000013E-2"/>
    <n v="0.91018536865200017"/>
    <n v="30"/>
    <n v="3.6"/>
    <n v="3.8"/>
    <n v="3.5"/>
    <n v="3.9"/>
    <n v="3.7"/>
    <s v="good"/>
  </r>
  <r>
    <s v="Paw"/>
    <n v="1"/>
    <s v="Southern_Hawkes_Bay_(coastal)"/>
    <s v="N146_273/737"/>
    <x v="9"/>
    <x v="6"/>
    <n v="1300"/>
    <n v="-2"/>
    <n v="1983"/>
    <s v="cr"/>
    <n v="1252"/>
    <n v="26.59"/>
    <n v="10.8"/>
    <n v="5.550170585000002E-2"/>
    <n v="0.59941842318000027"/>
    <n v="40"/>
    <n v="3.6"/>
    <n v="3.8"/>
    <n v="2.6"/>
    <n v="2.6"/>
    <n v="2.5"/>
    <s v="good"/>
  </r>
  <r>
    <s v="Paw"/>
    <n v="1"/>
    <s v="Southern_Hawkes_Bay_(coastal)"/>
    <s v="N146_273/737"/>
    <x v="9"/>
    <x v="6"/>
    <n v="1300"/>
    <n v="-2"/>
    <n v="1983"/>
    <s v="fa"/>
    <n v="2548"/>
    <n v="35.54"/>
    <n v="13.02"/>
    <n v="9.915269060000001E-2"/>
    <n v="1.290968031612"/>
    <n v="20"/>
    <n v="3.2"/>
    <n v="3.5"/>
    <n v="2.5"/>
    <n v="2.5"/>
    <n v="2.2999999999999998"/>
    <s v="good"/>
  </r>
  <r>
    <s v="Paw"/>
    <n v="1"/>
    <s v="Southern_Hawkes_Bay_(coastal)"/>
    <s v="N146_273/737"/>
    <x v="9"/>
    <x v="6"/>
    <n v="1300"/>
    <n v="-2"/>
    <n v="1983"/>
    <s v="fa"/>
    <n v="1482"/>
    <n v="38.15"/>
    <n v="16.850000000000001"/>
    <n v="0.11425066625000001"/>
    <n v="1.9251237263125003"/>
    <n v="10"/>
    <n v="3.5"/>
    <n v="4"/>
    <n v="3.3"/>
    <n v="4"/>
    <n v="3.5"/>
    <s v="best"/>
  </r>
  <r>
    <s v="Paw"/>
    <n v="1"/>
    <s v="Southern_Hawkes_Bay_(coastal)"/>
    <s v="N146_273/737"/>
    <x v="9"/>
    <x v="6"/>
    <n v="1300"/>
    <n v="-2"/>
    <n v="1983"/>
    <s v="fr"/>
    <n v="2552"/>
    <n v="33.89"/>
    <n v="14.24"/>
    <n v="9.0159769849999988E-2"/>
    <n v="1.2838751226639999"/>
    <n v="20"/>
    <n v="3.1"/>
    <n v="3.5"/>
    <n v="3.2"/>
    <n v="3.8"/>
    <n v="2.5"/>
    <s v="good"/>
  </r>
  <r>
    <s v="Paw"/>
    <n v="1"/>
    <s v="Southern_Hawkes_Bay_(coastal)"/>
    <s v="N146_273/737"/>
    <x v="9"/>
    <x v="6"/>
    <n v="1300"/>
    <n v="-2"/>
    <n v="1983"/>
    <s v="ni"/>
    <n v="2547"/>
    <n v="37.49"/>
    <n v="17.45"/>
    <n v="0.11033175785"/>
    <n v="1.9252891744825"/>
    <n v="40"/>
    <n v="4.5"/>
    <n v="2.6"/>
    <n v="3.6"/>
    <n v="2.9"/>
    <n v="2.2999999999999998"/>
    <s v="good"/>
  </r>
  <r>
    <s v="Paw"/>
    <n v="1"/>
    <s v="Southern_Hawkes_Bay_(coastal)"/>
    <s v="N146_273/737"/>
    <x v="9"/>
    <x v="6"/>
    <n v="1300"/>
    <n v="-2"/>
    <n v="1983"/>
    <s v="ni"/>
    <n v="2568"/>
    <n v="31.63"/>
    <n v="13.91"/>
    <n v="7.853586664999998E-2"/>
    <n v="1.0924339051014997"/>
    <n v="60"/>
    <n v="3.6"/>
    <n v="2.6"/>
    <n v="3.6"/>
    <n v="3.3"/>
    <n v="2.8"/>
    <s v="good"/>
  </r>
  <r>
    <s v="Paw"/>
    <n v="1"/>
    <s v="Southern_Hawkes_Bay_(coastal)"/>
    <s v="N146_273/737"/>
    <x v="9"/>
    <x v="6"/>
    <n v="1300"/>
    <n v="-2"/>
    <n v="1983"/>
    <s v="nd"/>
    <n v="1596"/>
    <n v="20.11"/>
    <n v="13.55"/>
    <n v="3.1746349850000001E-2"/>
    <n v="0.43016304046750004"/>
    <n v="20"/>
    <n v="3"/>
    <n v="4"/>
    <n v="4"/>
    <n v="4"/>
    <n v="4"/>
    <s v="average"/>
  </r>
  <r>
    <s v="Paw"/>
    <n v="1"/>
    <s v="Southern_Hawkes_Bay_(coastal)"/>
    <s v="N146_273/737"/>
    <x v="9"/>
    <x v="6"/>
    <n v="1300"/>
    <n v="-2"/>
    <n v="1983"/>
    <s v="nd"/>
    <n v="2569"/>
    <n v="22.15"/>
    <n v="14.57"/>
    <n v="3.8513866249999994E-2"/>
    <n v="0.56114703126249987"/>
    <n v="20"/>
    <n v="3"/>
    <n v="4"/>
    <n v="3"/>
    <n v="3.4"/>
    <n v="3"/>
    <s v="good"/>
  </r>
  <r>
    <s v="Paw"/>
    <n v="1"/>
    <s v="Southern_Hawkes_Bay_(coastal)"/>
    <s v="N146_273/737"/>
    <x v="9"/>
    <x v="6"/>
    <n v="1300"/>
    <n v="-2"/>
    <n v="1983"/>
    <s v="nd"/>
    <n v="2634"/>
    <n v="40.520000000000003"/>
    <n v="18.95"/>
    <n v="0.12888682640000002"/>
    <n v="2.44240536028"/>
    <n v="10"/>
    <n v="4.5"/>
    <n v="4.5"/>
    <n v="3"/>
    <n v="4"/>
    <n v="2"/>
    <s v="good"/>
  </r>
  <r>
    <s v="Paw"/>
    <n v="1"/>
    <s v="Southern_Hawkes_Bay_(coastal)"/>
    <s v="N146_273/737"/>
    <x v="9"/>
    <x v="6"/>
    <n v="1300"/>
    <n v="-2"/>
    <n v="1983"/>
    <s v="nd"/>
    <n v="2635"/>
    <n v="20.399999999999999"/>
    <n v="10.199999999999999"/>
    <n v="3.2668559999999999E-2"/>
    <n v="0.33321931199999999"/>
    <n v="10"/>
    <n v="3.3"/>
    <n v="4.5"/>
    <n v="3.3"/>
    <n v="4"/>
    <n v="3.5"/>
    <s v="good"/>
  </r>
  <r>
    <s v="Paw"/>
    <n v="1"/>
    <s v="Southern_Hawkes_Bay_(coastal)"/>
    <s v="N146_273/737"/>
    <x v="9"/>
    <x v="6"/>
    <n v="1300"/>
    <n v="-2"/>
    <n v="1983"/>
    <s v="ob"/>
    <n v="2570"/>
    <n v="24.87"/>
    <n v="11.66"/>
    <n v="4.8553576649999999E-2"/>
    <n v="0.56613470373899999"/>
    <n v="40"/>
    <n v="3.3"/>
    <n v="3.4"/>
    <n v="3.5"/>
    <n v="4.0999999999999996"/>
    <n v="3.4"/>
    <s v="good"/>
  </r>
  <r>
    <s v="Paw"/>
    <n v="1"/>
    <s v="Southern_Hawkes_Bay_(coastal)"/>
    <s v="N146_273/737"/>
    <x v="9"/>
    <x v="6"/>
    <n v="1300"/>
    <n v="-2"/>
    <n v="1983"/>
    <s v="ob"/>
    <n v="1522"/>
    <n v="33.159999999999997"/>
    <n v="14.75"/>
    <n v="8.6317469599999974E-2"/>
    <n v="1.2731826765999996"/>
    <n v="40"/>
    <n v="3.7"/>
    <n v="3.5"/>
    <n v="3.6"/>
    <n v="3.6"/>
    <n v="2.9"/>
    <s v="good"/>
  </r>
  <r>
    <s v="Paw"/>
    <n v="1"/>
    <s v="Southern_Hawkes_Bay_(coastal)"/>
    <s v="N146_273/737"/>
    <x v="9"/>
    <x v="6"/>
    <n v="1300"/>
    <n v="-2"/>
    <n v="1983"/>
    <s v="ov"/>
    <n v="1788"/>
    <n v="31.05"/>
    <n v="15.25"/>
    <n v="7.568204625000001E-2"/>
    <n v="1.1541512053125"/>
    <n v="30"/>
    <n v="3.2"/>
    <n v="1.8"/>
    <n v="2.8"/>
    <n v="3.5"/>
    <n v="2.9"/>
    <s v="average"/>
  </r>
  <r>
    <s v="Paw"/>
    <n v="1"/>
    <s v="Southern_Hawkes_Bay_(coastal)"/>
    <s v="N146_273/737"/>
    <x v="9"/>
    <x v="6"/>
    <n v="1300"/>
    <n v="-2"/>
    <n v="1983"/>
    <s v="ov"/>
    <n v="2571"/>
    <n v="31.33"/>
    <n v="15.67"/>
    <n v="7.7053158649999995E-2"/>
    <n v="1.2074229960454999"/>
    <n v="30"/>
    <n v="4.0999999999999996"/>
    <n v="2.2999999999999998"/>
    <n v="3.4"/>
    <n v="4"/>
    <n v="3.1"/>
    <s v="good"/>
  </r>
  <r>
    <s v="Paw"/>
    <n v="1"/>
    <s v="Southern_Hawkes_Bay_(coastal)"/>
    <s v="N146_273/737"/>
    <x v="9"/>
    <x v="6"/>
    <n v="1300"/>
    <n v="-2"/>
    <n v="1983"/>
    <s v="pu"/>
    <n v="2573"/>
    <n v="32.97"/>
    <n v="14.24"/>
    <n v="8.5331140649999998E-2"/>
    <n v="1.215115442856"/>
    <n v="40"/>
    <n v="3.2"/>
    <n v="4"/>
    <n v="3.1"/>
    <n v="3.3"/>
    <n v="3"/>
    <s v="good"/>
  </r>
  <r>
    <s v="Paw"/>
    <n v="1"/>
    <s v="Southern_Hawkes_Bay_(coastal)"/>
    <s v="N146_273/737"/>
    <x v="9"/>
    <x v="6"/>
    <n v="1300"/>
    <n v="-2"/>
    <n v="1983"/>
    <s v="re"/>
    <n v="2550"/>
    <n v="20.25"/>
    <n v="10.66"/>
    <n v="3.2189906250000004E-2"/>
    <n v="0.34314440062500007"/>
    <n v="30"/>
    <n v="2.7"/>
    <n v="3"/>
    <n v="4"/>
    <n v="4.2"/>
    <n v="3.7"/>
    <s v="good"/>
  </r>
  <r>
    <s v="Paw"/>
    <n v="1"/>
    <s v="Southern_Hawkes_Bay_(coastal)"/>
    <s v="N146_273/737"/>
    <x v="9"/>
    <x v="6"/>
    <n v="1300"/>
    <n v="-2"/>
    <n v="1983"/>
    <s v="re"/>
    <n v="2553"/>
    <n v="27.44"/>
    <n v="11.32"/>
    <n v="5.9106857600000021E-2"/>
    <n v="0.66908962803200023"/>
    <n v="20"/>
    <n v="3.5"/>
    <n v="3"/>
    <n v="3.3"/>
    <n v="4"/>
    <n v="2.9"/>
    <s v="best"/>
  </r>
  <r>
    <s v="Paw"/>
    <n v="1"/>
    <s v="Southern_Hawkes_Bay_(coastal)"/>
    <s v="N146_273/737"/>
    <x v="9"/>
    <x v="6"/>
    <n v="1300"/>
    <n v="-2"/>
    <n v="1983"/>
    <s v="rd"/>
    <n v="2575"/>
    <n v="19.91"/>
    <n v="6.77"/>
    <n v="3.111803585E-2"/>
    <n v="0.21066910270449998"/>
    <n v="40"/>
    <n v="1.6"/>
    <n v="1.8"/>
    <n v="2.2999999999999998"/>
    <n v="2.5"/>
    <n v="2.2999999999999998"/>
    <s v="low"/>
  </r>
  <r>
    <s v="Paw"/>
    <n v="2"/>
    <s v="Southern_Hawkes_Bay_(coastal)"/>
    <s v="N146_273/737"/>
    <x v="9"/>
    <x v="6"/>
    <n v="1300"/>
    <n v="-2"/>
    <n v="1983"/>
    <s v="am"/>
    <n v="1592"/>
    <n v="34.11"/>
    <n v="16.48"/>
    <n v="9.1334129850000015E-2"/>
    <n v="1.5051864599280003"/>
    <n v="20"/>
    <n v="3.5"/>
    <n v="3.8"/>
    <n v="3.2"/>
    <n v="3.9"/>
    <n v="2.5"/>
    <s v="good"/>
  </r>
  <r>
    <s v="Paw"/>
    <n v="2"/>
    <s v="Southern_Hawkes_Bay_(coastal)"/>
    <s v="N146_273/737"/>
    <x v="9"/>
    <x v="6"/>
    <n v="1300"/>
    <n v="-2"/>
    <n v="1983"/>
    <s v="am"/>
    <n v="2560"/>
    <n v="35.83"/>
    <n v="21.5"/>
    <n v="0.10077742865"/>
    <n v="2.166714715975"/>
    <n v="10"/>
    <n v="3.3"/>
    <n v="3.5"/>
    <n v="4"/>
    <n v="4.5"/>
    <n v="3"/>
    <s v="best"/>
  </r>
  <r>
    <s v="Paw"/>
    <n v="2"/>
    <s v="Southern_Hawkes_Bay_(coastal)"/>
    <s v="N146_273/737"/>
    <x v="9"/>
    <x v="6"/>
    <n v="1300"/>
    <n v="-2"/>
    <n v="1983"/>
    <s v="co"/>
    <n v="2562"/>
    <n v="33.19"/>
    <n v="14.42"/>
    <n v="8.6473723849999989E-2"/>
    <n v="1.2469510979169998"/>
    <n v="30"/>
    <n v="3.6"/>
    <n v="3.7"/>
    <n v="3.2"/>
    <n v="3.7"/>
    <n v="3.2"/>
    <s v="good"/>
  </r>
  <r>
    <s v="Paw"/>
    <n v="2"/>
    <s v="Southern_Hawkes_Bay_(coastal)"/>
    <s v="N146_273/737"/>
    <x v="9"/>
    <x v="6"/>
    <n v="1300"/>
    <n v="-2"/>
    <n v="1983"/>
    <s v="cr"/>
    <n v="1252"/>
    <n v="27.13"/>
    <n v="11.88"/>
    <n v="5.7778896649999988E-2"/>
    <n v="0.68641329220199987"/>
    <n v="90"/>
    <n v="3.3"/>
    <n v="3.7"/>
    <n v="2.1"/>
    <n v="2.1"/>
    <n v="2"/>
    <s v="average"/>
  </r>
  <r>
    <s v="Paw"/>
    <n v="2"/>
    <s v="Southern_Hawkes_Bay_(coastal)"/>
    <s v="N146_273/737"/>
    <x v="9"/>
    <x v="6"/>
    <n v="1300"/>
    <n v="-2"/>
    <n v="1983"/>
    <s v="fa"/>
    <n v="2548"/>
    <n v="49.34"/>
    <n v="16.850000000000001"/>
    <n v="0.19110319460000005"/>
    <n v="3.2200888290100012"/>
    <n v="10"/>
    <n v="5"/>
    <n v="4.5"/>
    <n v="3.5"/>
    <n v="3.5"/>
    <n v="3"/>
    <s v="best"/>
  </r>
  <r>
    <s v="Paw"/>
    <n v="2"/>
    <s v="Southern_Hawkes_Bay_(coastal)"/>
    <s v="N146_273/737"/>
    <x v="9"/>
    <x v="6"/>
    <n v="1300"/>
    <n v="-2"/>
    <n v="1983"/>
    <s v="fr"/>
    <n v="2552"/>
    <n v="15.52"/>
    <n v="7.83"/>
    <n v="1.8908326400000001E-2"/>
    <n v="0.14805219571200001"/>
    <n v="10"/>
    <n v="2"/>
    <n v="4"/>
    <n v="4"/>
    <n v="4"/>
    <n v="4"/>
    <s v="low"/>
  </r>
  <r>
    <s v="Paw"/>
    <n v="2"/>
    <s v="Southern_Hawkes_Bay_(coastal)"/>
    <s v="N146_273/737"/>
    <x v="9"/>
    <x v="6"/>
    <n v="1300"/>
    <n v="-2"/>
    <n v="1983"/>
    <s v="ni"/>
    <n v="2547"/>
    <n v="46.36"/>
    <n v="19.09"/>
    <n v="0.16871609360000001"/>
    <n v="3.2207902268240001"/>
    <n v="40"/>
    <n v="4.3"/>
    <n v="2.6"/>
    <n v="3.8"/>
    <n v="2.9"/>
    <n v="2.6"/>
    <s v="best"/>
  </r>
  <r>
    <s v="Paw"/>
    <n v="2"/>
    <s v="Southern_Hawkes_Bay_(coastal)"/>
    <s v="N146_273/737"/>
    <x v="9"/>
    <x v="6"/>
    <n v="1300"/>
    <n v="-2"/>
    <n v="1983"/>
    <s v="ni"/>
    <n v="2568"/>
    <n v="52.76"/>
    <n v="21"/>
    <n v="0.21851398159999996"/>
    <n v="4.5887936135999992"/>
    <n v="50"/>
    <n v="4.5"/>
    <n v="2.7"/>
    <n v="3.9"/>
    <n v="3.4"/>
    <n v="2.6"/>
    <s v="best"/>
  </r>
  <r>
    <s v="Paw"/>
    <n v="2"/>
    <s v="Southern_Hawkes_Bay_(coastal)"/>
    <s v="N146_273/737"/>
    <x v="9"/>
    <x v="6"/>
    <n v="1300"/>
    <n v="-2"/>
    <n v="1983"/>
    <s v="nd"/>
    <n v="1596"/>
    <n v="42.085000000000001"/>
    <n v="17.05"/>
    <n v="0.1390350571625"/>
    <n v="2.370547724620625"/>
    <n v="40"/>
    <n v="3.9"/>
    <n v="3.9"/>
    <n v="3.2"/>
    <n v="3.3"/>
    <n v="2.4"/>
    <s v="best"/>
  </r>
  <r>
    <s v="Paw"/>
    <n v="2"/>
    <s v="Southern_Hawkes_Bay_(coastal)"/>
    <s v="N146_273/737"/>
    <x v="9"/>
    <x v="6"/>
    <n v="1300"/>
    <n v="-2"/>
    <n v="1983"/>
    <s v="nd"/>
    <n v="2634"/>
    <n v="39.79"/>
    <n v="17.489999999999998"/>
    <n v="0.12428466184999998"/>
    <n v="2.1737387357564995"/>
    <n v="10"/>
    <n v="4"/>
    <n v="4"/>
    <n v="3.3"/>
    <n v="2.5"/>
    <n v="1.5"/>
    <s v="average"/>
  </r>
  <r>
    <s v="Paw"/>
    <n v="2"/>
    <s v="Southern_Hawkes_Bay_(coastal)"/>
    <s v="N146_273/737"/>
    <x v="9"/>
    <x v="6"/>
    <n v="1300"/>
    <n v="-2"/>
    <n v="1983"/>
    <s v="nd"/>
    <n v="2635"/>
    <n v="32.5"/>
    <n v="14.57"/>
    <n v="8.2915625000000007E-2"/>
    <n v="1.2080806562500002"/>
    <n v="10"/>
    <n v="2.7"/>
    <n v="3"/>
    <n v="3"/>
    <n v="4"/>
    <n v="3"/>
    <s v="good"/>
  </r>
  <r>
    <s v="Paw"/>
    <n v="2"/>
    <s v="Southern_Hawkes_Bay_(coastal)"/>
    <s v="N146_273/737"/>
    <x v="9"/>
    <x v="6"/>
    <n v="1300"/>
    <n v="-2"/>
    <n v="1983"/>
    <s v="ob"/>
    <n v="2570"/>
    <n v="49.88"/>
    <n v="14.05"/>
    <n v="0.19530913040000003"/>
    <n v="2.7440932821200006"/>
    <n v="10"/>
    <n v="4"/>
    <n v="4.5"/>
    <n v="3"/>
    <n v="4"/>
    <n v="3"/>
    <s v="best"/>
  </r>
  <r>
    <s v="Paw"/>
    <n v="2"/>
    <s v="Southern_Hawkes_Bay_(coastal)"/>
    <s v="N146_273/737"/>
    <x v="9"/>
    <x v="6"/>
    <n v="1300"/>
    <n v="-2"/>
    <n v="1983"/>
    <s v="ob"/>
    <n v="1522"/>
    <n v="52.26"/>
    <n v="15.45"/>
    <n v="0.21439194659999997"/>
    <n v="3.3123555749699993"/>
    <n v="10"/>
    <n v="5"/>
    <n v="4.5"/>
    <n v="2.5"/>
    <n v="2"/>
    <n v="2.5"/>
    <s v="good"/>
  </r>
  <r>
    <s v="Paw"/>
    <n v="2"/>
    <s v="Southern_Hawkes_Bay_(coastal)"/>
    <s v="N146_273/737"/>
    <x v="9"/>
    <x v="6"/>
    <n v="1300"/>
    <n v="-2"/>
    <n v="1983"/>
    <s v="ov"/>
    <n v="1788"/>
    <n v="32.86"/>
    <n v="13.86"/>
    <n v="8.4762698600000005E-2"/>
    <n v="1.1748110025960001"/>
    <n v="30"/>
    <n v="2.8"/>
    <n v="2"/>
    <n v="3.1"/>
    <n v="3.1"/>
    <n v="2.2999999999999998"/>
    <s v="good"/>
  </r>
  <r>
    <s v="Paw"/>
    <n v="2"/>
    <s v="Southern_Hawkes_Bay_(coastal)"/>
    <s v="N146_273/737"/>
    <x v="9"/>
    <x v="6"/>
    <n v="1300"/>
    <n v="-2"/>
    <n v="1983"/>
    <s v="ov"/>
    <n v="2571"/>
    <n v="39.79"/>
    <n v="18.02"/>
    <n v="0.12428466184999998"/>
    <n v="2.2396096065369995"/>
    <n v="40"/>
    <n v="4.3"/>
    <n v="2.5"/>
    <n v="3.4"/>
    <n v="3.8"/>
    <n v="3.1"/>
    <s v="best"/>
  </r>
  <r>
    <s v="Paw"/>
    <n v="2"/>
    <s v="Southern_Hawkes_Bay_(coastal)"/>
    <s v="N146_273/737"/>
    <x v="9"/>
    <x v="6"/>
    <n v="1300"/>
    <n v="-2"/>
    <n v="1983"/>
    <s v="pu"/>
    <n v="2573"/>
    <n v="8.7200000000000006"/>
    <n v="10.17"/>
    <n v="5.9690144000000001E-3"/>
    <n v="6.0704876448000003E-2"/>
    <n v="10"/>
    <n v="1.5"/>
    <n v="4"/>
    <n v="4"/>
    <n v="4"/>
    <n v="4"/>
    <s v="none"/>
  </r>
  <r>
    <s v="Paw"/>
    <n v="2"/>
    <s v="Southern_Hawkes_Bay_(coastal)"/>
    <s v="N146_273/737"/>
    <x v="9"/>
    <x v="6"/>
    <n v="1300"/>
    <n v="-2"/>
    <n v="1983"/>
    <s v="re"/>
    <n v="2550"/>
    <n v="27.97"/>
    <n v="14.65"/>
    <n v="6.1412190650000004E-2"/>
    <n v="0.89968859302250004"/>
    <n v="10"/>
    <n v="3"/>
    <n v="3.5"/>
    <n v="3.5"/>
    <n v="3"/>
    <n v="3"/>
    <s v="good"/>
  </r>
  <r>
    <s v="Paw"/>
    <n v="2"/>
    <s v="Southern_Hawkes_Bay_(coastal)"/>
    <s v="N146_273/737"/>
    <x v="9"/>
    <x v="6"/>
    <n v="1300"/>
    <n v="-2"/>
    <n v="1983"/>
    <s v="re"/>
    <n v="2553"/>
    <n v="39.69"/>
    <n v="18.25"/>
    <n v="0.12366074384999999"/>
    <n v="2.2568085752624998"/>
    <n v="30"/>
    <n v="3.9"/>
    <n v="3.8"/>
    <n v="4.2"/>
    <n v="4.0999999999999996"/>
    <n v="3.6"/>
    <s v="best"/>
  </r>
  <r>
    <s v="Paw"/>
    <n v="2"/>
    <s v="Southern_Hawkes_Bay_(coastal)"/>
    <s v="N146_273/737"/>
    <x v="9"/>
    <x v="6"/>
    <n v="1300"/>
    <n v="-2"/>
    <n v="1983"/>
    <s v="rd"/>
    <n v="2575"/>
    <n v="13.81"/>
    <n v="10.62"/>
    <n v="1.497121385E-2"/>
    <n v="0.15899429108699997"/>
    <n v="10"/>
    <n v="1.5"/>
    <n v="3"/>
    <n v="2"/>
    <n v="4"/>
    <n v="3"/>
    <s v="none"/>
  </r>
  <r>
    <s v="Paw"/>
    <n v="3"/>
    <s v="Southern_Hawkes_Bay_(coastal)"/>
    <s v="N146_273/737"/>
    <x v="9"/>
    <x v="6"/>
    <n v="1300"/>
    <n v="-2"/>
    <n v="1983"/>
    <s v="co"/>
    <n v="2562"/>
    <n v="38.79"/>
    <n v="14.56"/>
    <n v="0.11811613184999997"/>
    <n v="1.7197708797359996"/>
    <n v="50"/>
    <n v="3.9"/>
    <n v="3.6"/>
    <n v="3.2"/>
    <n v="3.5"/>
    <n v="2.4"/>
    <s v="best"/>
  </r>
  <r>
    <s v="Paw"/>
    <n v="3"/>
    <s v="Southern_Hawkes_Bay_(coastal)"/>
    <s v="N146_273/737"/>
    <x v="9"/>
    <x v="6"/>
    <n v="1300"/>
    <n v="-2"/>
    <n v="1983"/>
    <s v="cr"/>
    <n v="1252"/>
    <n v="26.05"/>
    <n v="12.15"/>
    <n v="5.3270296250000009E-2"/>
    <n v="0.6472340994375001"/>
    <n v="10"/>
    <n v="3"/>
    <n v="3"/>
    <n v="2.5"/>
    <n v="3.3"/>
    <n v="3"/>
    <s v="average"/>
  </r>
  <r>
    <s v="Paw"/>
    <n v="3"/>
    <s v="Southern_Hawkes_Bay_(coastal)"/>
    <s v="N146_273/737"/>
    <x v="9"/>
    <x v="6"/>
    <n v="1300"/>
    <n v="-2"/>
    <n v="1983"/>
    <s v="fa"/>
    <n v="2548"/>
    <n v="26.51"/>
    <n v="7.66"/>
    <n v="5.5168237850000003E-2"/>
    <n v="0.42258870193100001"/>
    <n v="10"/>
    <n v="2.5"/>
    <n v="3"/>
    <n v="3"/>
    <n v="3"/>
    <n v="3"/>
    <s v="average"/>
  </r>
  <r>
    <s v="Paw"/>
    <n v="3"/>
    <s v="Southern_Hawkes_Bay_(coastal)"/>
    <s v="N146_273/737"/>
    <x v="9"/>
    <x v="6"/>
    <n v="1300"/>
    <n v="-2"/>
    <n v="1983"/>
    <s v="fr"/>
    <n v="2552"/>
    <n v="14.24"/>
    <n v="7.12"/>
    <n v="1.5918041599999998E-2"/>
    <n v="0.11333645619199999"/>
    <n v="10"/>
    <n v="2"/>
    <n v="3"/>
    <n v="3"/>
    <n v="4"/>
    <n v="4"/>
    <s v="low"/>
  </r>
  <r>
    <s v="Paw"/>
    <n v="3"/>
    <s v="Southern_Hawkes_Bay_(coastal)"/>
    <s v="N146_273/737"/>
    <x v="9"/>
    <x v="6"/>
    <n v="1300"/>
    <n v="-2"/>
    <n v="1983"/>
    <s v="ni"/>
    <n v="2547"/>
    <n v="42.95"/>
    <n v="13.91"/>
    <n v="0.14480914625000002"/>
    <n v="2.0142952243375003"/>
    <n v="50"/>
    <n v="4.2"/>
    <n v="2.8"/>
    <n v="2"/>
    <n v="2.5"/>
    <n v="1.7"/>
    <s v="good"/>
  </r>
  <r>
    <s v="Paw"/>
    <n v="3"/>
    <s v="Southern_Hawkes_Bay_(coastal)"/>
    <s v="N146_273/737"/>
    <x v="9"/>
    <x v="6"/>
    <n v="1300"/>
    <n v="-2"/>
    <n v="1983"/>
    <s v="ni"/>
    <n v="2568"/>
    <n v="40.08"/>
    <n v="12.27"/>
    <n v="0.12610290239999999"/>
    <n v="1.5472826124479999"/>
    <n v="50"/>
    <n v="4.0999999999999996"/>
    <n v="2.5"/>
    <n v="2.2999999999999998"/>
    <n v="2.6"/>
    <n v="1.7"/>
    <s v="good"/>
  </r>
  <r>
    <s v="Paw"/>
    <n v="3"/>
    <s v="Southern_Hawkes_Bay_(coastal)"/>
    <s v="N146_273/737"/>
    <x v="9"/>
    <x v="6"/>
    <n v="1300"/>
    <n v="-2"/>
    <n v="1983"/>
    <s v="nd"/>
    <n v="1596"/>
    <n v="33.81"/>
    <n v="10.93"/>
    <n v="8.9734613850000006E-2"/>
    <n v="0.98079932938050007"/>
    <n v="10"/>
    <n v="3.3"/>
    <n v="4"/>
    <n v="3.3"/>
    <n v="4"/>
    <n v="2.7"/>
    <s v="good"/>
  </r>
  <r>
    <s v="Paw"/>
    <n v="3"/>
    <s v="Southern_Hawkes_Bay_(coastal)"/>
    <s v="N146_273/737"/>
    <x v="9"/>
    <x v="6"/>
    <n v="1300"/>
    <n v="-2"/>
    <n v="1983"/>
    <s v="nd"/>
    <n v="2569"/>
    <n v="31.33"/>
    <n v="10.199999999999999"/>
    <n v="7.7053158649999995E-2"/>
    <n v="0.78594221822999988"/>
    <n v="10"/>
    <n v="3.5"/>
    <n v="4"/>
    <n v="3"/>
    <n v="4"/>
    <n v="3"/>
    <s v="best"/>
  </r>
  <r>
    <s v="Paw"/>
    <n v="3"/>
    <s v="Southern_Hawkes_Bay_(coastal)"/>
    <s v="N146_273/737"/>
    <x v="9"/>
    <x v="6"/>
    <n v="1300"/>
    <n v="-2"/>
    <n v="1983"/>
    <s v="nd"/>
    <n v="2634"/>
    <n v="40.22"/>
    <n v="18.22"/>
    <n v="0.1269853994"/>
    <n v="2.3136739770679999"/>
    <n v="10"/>
    <n v="4"/>
    <n v="4.5"/>
    <n v="3"/>
    <n v="3.5"/>
    <n v="2"/>
    <s v="good"/>
  </r>
  <r>
    <s v="Paw"/>
    <n v="3"/>
    <s v="Southern_Hawkes_Bay_(coastal)"/>
    <s v="N146_273/737"/>
    <x v="9"/>
    <x v="6"/>
    <n v="1300"/>
    <n v="-2"/>
    <n v="1983"/>
    <s v="nd"/>
    <n v="2635"/>
    <n v="30.75"/>
    <n v="14.57"/>
    <n v="7.4226656249999995E-2"/>
    <n v="1.0814823815624999"/>
    <n v="20"/>
    <n v="3.8"/>
    <n v="4"/>
    <n v="3.5"/>
    <n v="4"/>
    <n v="2.9"/>
    <s v="good"/>
  </r>
  <r>
    <s v="Paw"/>
    <n v="3"/>
    <s v="Southern_Hawkes_Bay_(coastal)"/>
    <s v="N146_273/737"/>
    <x v="9"/>
    <x v="6"/>
    <n v="1300"/>
    <n v="-2"/>
    <n v="1983"/>
    <s v="ob"/>
    <n v="2570"/>
    <n v="35.4"/>
    <n v="14.05"/>
    <n v="9.8373059999999984E-2"/>
    <n v="1.3821414929999998"/>
    <n v="10"/>
    <n v="3"/>
    <n v="3"/>
    <n v="3.3"/>
    <n v="3.5"/>
    <n v="3"/>
    <s v="best"/>
  </r>
  <r>
    <s v="Paw"/>
    <n v="3"/>
    <s v="Southern_Hawkes_Bay_(coastal)"/>
    <s v="N146_273/737"/>
    <x v="9"/>
    <x v="6"/>
    <n v="1300"/>
    <n v="-2"/>
    <n v="1983"/>
    <s v="ob"/>
    <n v="1522"/>
    <n v="42.43"/>
    <n v="13.35"/>
    <n v="0.14132393465000001"/>
    <n v="1.8866745275775001"/>
    <n v="40"/>
    <n v="4"/>
    <n v="3.4"/>
    <n v="3"/>
    <n v="3.5"/>
    <n v="2.1"/>
    <s v="best"/>
  </r>
  <r>
    <s v="Paw"/>
    <n v="3"/>
    <s v="Southern_Hawkes_Bay_(coastal)"/>
    <s v="N146_273/737"/>
    <x v="9"/>
    <x v="6"/>
    <n v="1300"/>
    <n v="-2"/>
    <n v="1983"/>
    <s v="ov"/>
    <n v="1788"/>
    <n v="17.329999999999998"/>
    <n v="8.32"/>
    <n v="2.3575818649999997E-2"/>
    <n v="0.19615081116799998"/>
    <n v="40"/>
    <n v="1.9"/>
    <n v="2.1"/>
    <n v="2.5"/>
    <n v="3"/>
    <n v="2.8"/>
    <s v="low"/>
  </r>
  <r>
    <s v="Paw"/>
    <n v="3"/>
    <s v="Southern_Hawkes_Bay_(coastal)"/>
    <s v="N146_273/737"/>
    <x v="9"/>
    <x v="6"/>
    <n v="1300"/>
    <n v="-2"/>
    <n v="1983"/>
    <s v="ov"/>
    <n v="2571"/>
    <n v="41.87"/>
    <n v="15.25"/>
    <n v="0.13761810664999999"/>
    <n v="2.0986761264124998"/>
    <n v="30"/>
    <n v="4.2"/>
    <n v="2.8"/>
    <n v="2.6"/>
    <n v="3.3"/>
    <n v="2.2000000000000002"/>
    <s v="good"/>
  </r>
  <r>
    <s v="Paw"/>
    <n v="3"/>
    <s v="Southern_Hawkes_Bay_(coastal)"/>
    <s v="N146_273/737"/>
    <x v="9"/>
    <x v="6"/>
    <n v="1300"/>
    <n v="-2"/>
    <n v="1983"/>
    <s v="re"/>
    <n v="2550"/>
    <n v="9.99"/>
    <n v="5.33"/>
    <n v="7.8343078500000014E-3"/>
    <n v="4.175686084050001E-2"/>
    <n v="10"/>
    <n v="1.5"/>
    <n v="2.5"/>
    <n v="3"/>
    <n v="3"/>
    <n v="3"/>
    <s v="none"/>
  </r>
  <r>
    <s v="K81a"/>
    <n v="1"/>
    <s v="Central_Wairarapa"/>
    <s v="N158_344/626"/>
    <x v="4"/>
    <x v="4"/>
    <n v="1080"/>
    <n v="-3"/>
    <n v="1981"/>
    <s v="bxs"/>
    <n v="1111"/>
    <n v="2.84"/>
    <n v="3.41"/>
    <n v="6.3314959999999994E-4"/>
    <n v="2.159040136E-3"/>
    <n v="3"/>
    <n v="1"/>
    <n v="2"/>
    <n v="3"/>
    <n v="3"/>
    <n v="3"/>
    <s v="none"/>
  </r>
  <r>
    <s v="K81a"/>
    <n v="1"/>
    <s v="Central_Wairarapa"/>
    <s v="N158_344/626"/>
    <x v="4"/>
    <x v="4"/>
    <n v="1080"/>
    <n v="-3"/>
    <n v="1981"/>
    <s v="co"/>
    <n v="2562"/>
    <n v="7.99"/>
    <n v="5.49"/>
    <n v="5.0114478499999997E-3"/>
    <n v="2.75128486965E-2"/>
    <n v="17"/>
    <n v="2"/>
    <n v="3"/>
    <n v="2.5"/>
    <n v="3.3"/>
    <n v="3"/>
    <s v="low"/>
  </r>
  <r>
    <s v="K81a"/>
    <n v="1"/>
    <s v="Central_Wairarapa"/>
    <s v="N158_344/626"/>
    <x v="4"/>
    <x v="4"/>
    <n v="1080"/>
    <n v="-3"/>
    <n v="1981"/>
    <s v="fa"/>
    <n v="2426"/>
    <n v="8.3000000000000007"/>
    <n v="5.93"/>
    <n v="5.4078650000000013E-3"/>
    <n v="3.2068639450000005E-2"/>
    <n v="4"/>
    <n v="2"/>
    <n v="3.5"/>
    <n v="3"/>
    <n v="3"/>
    <n v="3"/>
    <s v="none"/>
  </r>
  <r>
    <s v="K81a"/>
    <n v="1"/>
    <s v="Central_Wairarapa"/>
    <s v="N158_344/626"/>
    <x v="4"/>
    <x v="4"/>
    <n v="1080"/>
    <n v="-3"/>
    <n v="1981"/>
    <s v="fa"/>
    <n v="2548"/>
    <n v="15.58"/>
    <n v="8.06"/>
    <n v="1.9054807399999998E-2"/>
    <n v="0.15358174764399998"/>
    <n v="27"/>
    <n v="3"/>
    <n v="3.5"/>
    <n v="3"/>
    <n v="2.5"/>
    <n v="3"/>
    <s v="average"/>
  </r>
  <r>
    <s v="K81a"/>
    <n v="1"/>
    <s v="Central_Wairarapa"/>
    <s v="N158_344/626"/>
    <x v="4"/>
    <x v="4"/>
    <n v="1080"/>
    <n v="-3"/>
    <n v="1981"/>
    <s v="nd"/>
    <n v="1596"/>
    <n v="4.5599999999999996"/>
    <n v="3.58"/>
    <n v="1.6322975999999998E-3"/>
    <n v="5.8436254079999991E-3"/>
    <n v="13"/>
    <n v="2"/>
    <n v="3"/>
    <n v="2"/>
    <n v="3"/>
    <n v="3"/>
    <s v="none"/>
  </r>
  <r>
    <s v="K81a"/>
    <n v="1"/>
    <s v="Central_Wairarapa"/>
    <s v="N158_344/626"/>
    <x v="4"/>
    <x v="4"/>
    <n v="1080"/>
    <n v="-3"/>
    <n v="1981"/>
    <s v="nd"/>
    <n v="2634"/>
    <n v="5.43"/>
    <n v="4.4400000000000004"/>
    <n v="2.3145646499999994E-3"/>
    <n v="1.0276667045999999E-2"/>
    <n v="9"/>
    <n v="1"/>
    <n v="2"/>
    <n v="2"/>
    <n v="3"/>
    <n v="3"/>
    <s v="none"/>
  </r>
  <r>
    <s v="K81a"/>
    <n v="1"/>
    <s v="Central_Wairarapa"/>
    <s v="N158_344/626"/>
    <x v="4"/>
    <x v="4"/>
    <n v="1080"/>
    <n v="-3"/>
    <n v="1981"/>
    <s v="ov"/>
    <n v="1788"/>
    <n v="13.07"/>
    <n v="8.1199999999999992"/>
    <n v="1.3409754650000003E-2"/>
    <n v="0.10888720775800001"/>
    <n v="14"/>
    <n v="1.5"/>
    <n v="1.5"/>
    <n v="2"/>
    <n v="3"/>
    <n v="3"/>
    <s v="low"/>
  </r>
  <r>
    <s v="K81a"/>
    <n v="1"/>
    <s v="Central_Wairarapa"/>
    <s v="N158_344/626"/>
    <x v="4"/>
    <x v="4"/>
    <n v="1080"/>
    <n v="-3"/>
    <n v="1981"/>
    <s v="ov"/>
    <n v="2571"/>
    <n v="23.55"/>
    <n v="14.36"/>
    <n v="4.3536296250000009E-2"/>
    <n v="0.62518121415000005"/>
    <n v="37"/>
    <n v="4"/>
    <n v="2"/>
    <n v="3"/>
    <n v="3.5"/>
    <n v="2"/>
    <s v="best"/>
  </r>
  <r>
    <s v="K81a"/>
    <n v="1"/>
    <s v="Central_Wairarapa"/>
    <s v="N158_344/626"/>
    <x v="4"/>
    <x v="4"/>
    <n v="1080"/>
    <n v="-3"/>
    <n v="1981"/>
    <s v="ov"/>
    <n v="2622"/>
    <n v="16.25"/>
    <n v="9.77"/>
    <n v="2.0728906250000002E-2"/>
    <n v="0.20252141406250002"/>
    <n v="85"/>
    <n v="4"/>
    <n v="2"/>
    <n v="2.5"/>
    <n v="4"/>
    <n v="2.5"/>
    <s v="best"/>
  </r>
  <r>
    <s v="K81a"/>
    <n v="1"/>
    <s v="Central_Wairarapa"/>
    <s v="N158_344/626"/>
    <x v="4"/>
    <x v="4"/>
    <n v="1080"/>
    <n v="-3"/>
    <n v="1981"/>
    <s v="re"/>
    <n v="2431"/>
    <n v="17.079999999999998"/>
    <n v="10.25"/>
    <n v="2.2900522399999994E-2"/>
    <n v="0.23473035459999994"/>
    <n v="7"/>
    <n v="2.5"/>
    <n v="3"/>
    <n v="3"/>
    <n v="3.5"/>
    <n v="3"/>
    <s v="low"/>
  </r>
  <r>
    <s v="K81a"/>
    <n v="1"/>
    <s v="Central_Wairarapa"/>
    <s v="N158_344/626"/>
    <x v="4"/>
    <x v="4"/>
    <n v="1080"/>
    <n v="-3"/>
    <n v="1981"/>
    <s v="re"/>
    <n v="2553"/>
    <n v="14.69"/>
    <n v="9.68"/>
    <n v="1.6939993850000001E-2"/>
    <n v="0.163979140468"/>
    <n v="21"/>
    <n v="3"/>
    <n v="3"/>
    <n v="3.3"/>
    <n v="3.5"/>
    <n v="3.3"/>
    <s v="average"/>
  </r>
  <r>
    <s v="K81a"/>
    <n v="1"/>
    <s v="Central_Wairarapa"/>
    <s v="N158_344/626"/>
    <x v="4"/>
    <x v="4"/>
    <n v="1080"/>
    <n v="-3"/>
    <n v="1981"/>
    <s v="re"/>
    <n v="2574"/>
    <n v="11.62"/>
    <n v="7.4"/>
    <n v="1.0599415399999999E-2"/>
    <n v="7.8435673959999994E-2"/>
    <n v="33"/>
    <n v="3"/>
    <n v="3"/>
    <n v="3.5"/>
    <n v="3.5"/>
    <n v="3.3"/>
    <s v="average"/>
  </r>
  <r>
    <s v="K81a"/>
    <n v="1"/>
    <s v="Central_Wairarapa"/>
    <s v="N158_344/626"/>
    <x v="4"/>
    <x v="4"/>
    <n v="1080"/>
    <n v="-3"/>
    <n v="1981"/>
    <s v="rd"/>
    <n v="2575"/>
    <n v="9.48"/>
    <n v="6.16"/>
    <n v="7.054826400000002E-3"/>
    <n v="4.3457730624000011E-2"/>
    <n v="50"/>
    <n v="2"/>
    <n v="1.8"/>
    <n v="2.5"/>
    <n v="3"/>
    <n v="2.5"/>
    <s v="low"/>
  </r>
  <r>
    <s v="K81a"/>
    <n v="1"/>
    <s v="Central_Wairarapa"/>
    <s v="N158_344/626"/>
    <x v="4"/>
    <x v="4"/>
    <n v="1080"/>
    <n v="-3"/>
    <n v="1981"/>
    <s v="ov"/>
    <n v="1785"/>
    <n v="10.24"/>
    <n v="6.95"/>
    <n v="8.2313216000000008E-3"/>
    <n v="5.7207685120000004E-2"/>
    <n v="46"/>
    <n v="2"/>
    <n v="2"/>
    <n v="3"/>
    <n v="4"/>
    <n v="3"/>
    <s v="low"/>
  </r>
  <r>
    <s v="K81a"/>
    <n v="3"/>
    <s v="Central_Wairarapa"/>
    <s v="N158_344/626"/>
    <x v="4"/>
    <x v="4"/>
    <n v="1080"/>
    <n v="-3"/>
    <n v="1981"/>
    <s v="am"/>
    <n v="1592"/>
    <n v="14.22"/>
    <n v="11.45"/>
    <n v="1.5873359399999998E-2"/>
    <n v="0.18174996512999997"/>
    <n v="35"/>
    <n v="3"/>
    <n v="3"/>
    <n v="3"/>
    <n v="4"/>
    <n v="3"/>
    <s v="good"/>
  </r>
  <r>
    <s v="K81a"/>
    <n v="3"/>
    <s v="Central_Wairarapa"/>
    <s v="N158_344/626"/>
    <x v="4"/>
    <x v="4"/>
    <n v="1080"/>
    <n v="-3"/>
    <n v="1981"/>
    <s v="am"/>
    <n v="2560"/>
    <n v="9.16"/>
    <n v="7.23"/>
    <n v="6.5865896000000005E-3"/>
    <n v="4.7621042808000009E-2"/>
    <n v="17"/>
    <n v="3"/>
    <n v="4"/>
    <n v="3"/>
    <n v="4"/>
    <n v="4"/>
    <s v="average"/>
  </r>
  <r>
    <s v="K81a"/>
    <n v="3"/>
    <s v="Central_Wairarapa"/>
    <s v="N158_344/626"/>
    <x v="4"/>
    <x v="4"/>
    <n v="1080"/>
    <n v="-3"/>
    <n v="1981"/>
    <s v="bxs"/>
    <n v="1111"/>
    <n v="6.92"/>
    <n v="4.54"/>
    <n v="3.7590823999999997E-3"/>
    <n v="1.7066234095999999E-2"/>
    <n v="48"/>
    <n v="3"/>
    <n v="3"/>
    <n v="2.5"/>
    <n v="2"/>
    <n v="2"/>
    <s v="average"/>
  </r>
  <r>
    <s v="K81a"/>
    <n v="3"/>
    <s v="Central_Wairarapa"/>
    <s v="N158_344/626"/>
    <x v="4"/>
    <x v="4"/>
    <n v="1080"/>
    <n v="-3"/>
    <n v="1981"/>
    <s v="co"/>
    <n v="2562"/>
    <n v="8.83"/>
    <n v="8.6"/>
    <n v="6.1205586500000008E-3"/>
    <n v="5.2636804390000007E-2"/>
    <n v="63"/>
    <n v="3"/>
    <n v="3.5"/>
    <n v="3.5"/>
    <n v="3.5"/>
    <n v="3"/>
    <s v="average"/>
  </r>
  <r>
    <s v="K81a"/>
    <n v="3"/>
    <s v="Central_Wairarapa"/>
    <s v="N158_344/626"/>
    <x v="4"/>
    <x v="4"/>
    <n v="1080"/>
    <n v="-3"/>
    <n v="1981"/>
    <s v="fa"/>
    <n v="2426"/>
    <n v="17.420000000000002"/>
    <n v="9.01"/>
    <n v="2.3821327400000005E-2"/>
    <n v="0.21463015987400005"/>
    <n v="45"/>
    <n v="4.5"/>
    <n v="4.5"/>
    <n v="3"/>
    <n v="2"/>
    <n v="1.5"/>
    <s v="best"/>
  </r>
  <r>
    <s v="K81a"/>
    <n v="3"/>
    <s v="Central_Wairarapa"/>
    <s v="N158_344/626"/>
    <x v="4"/>
    <x v="4"/>
    <n v="1080"/>
    <n v="-3"/>
    <n v="1981"/>
    <s v="fa"/>
    <n v="2548"/>
    <n v="13.04"/>
    <n v="9.36"/>
    <n v="1.3348265599999999E-2"/>
    <n v="0.12493976601599999"/>
    <n v="55"/>
    <n v="4"/>
    <n v="4"/>
    <n v="3"/>
    <n v="2.5"/>
    <n v="2"/>
    <s v="good"/>
  </r>
  <r>
    <s v="K81a"/>
    <n v="3"/>
    <s v="Central_Wairarapa"/>
    <s v="N158_344/626"/>
    <x v="4"/>
    <x v="4"/>
    <n v="1080"/>
    <n v="-3"/>
    <n v="1981"/>
    <s v="nd"/>
    <n v="1596"/>
    <n v="17.27"/>
    <n v="9.01"/>
    <n v="2.341285265E-2"/>
    <n v="0.21094980237649999"/>
    <n v="48"/>
    <n v="3.5"/>
    <n v="3"/>
    <n v="3.3"/>
    <n v="4"/>
    <n v="3"/>
    <s v="best"/>
  </r>
  <r>
    <s v="K81a"/>
    <n v="3"/>
    <s v="Central_Wairarapa"/>
    <s v="N158_344/626"/>
    <x v="4"/>
    <x v="4"/>
    <n v="1080"/>
    <n v="-3"/>
    <n v="1981"/>
    <s v="nd"/>
    <n v="2634"/>
    <n v="11.84"/>
    <n v="9.1300000000000008"/>
    <n v="1.1004569600000002E-2"/>
    <n v="0.10047172044800003"/>
    <n v="18"/>
    <n v="2.5"/>
    <n v="3.5"/>
    <n v="2.5"/>
    <n v="3.5"/>
    <n v="3"/>
    <s v="average"/>
  </r>
  <r>
    <s v="K81a"/>
    <n v="3"/>
    <s v="Central_Wairarapa"/>
    <s v="N158_344/626"/>
    <x v="4"/>
    <x v="4"/>
    <n v="1080"/>
    <n v="-3"/>
    <n v="1981"/>
    <s v="ov"/>
    <n v="1788"/>
    <n v="9.5399999999999991"/>
    <n v="6.83"/>
    <n v="7.1444105999999979E-3"/>
    <n v="4.8796324397999989E-2"/>
    <n v="13"/>
    <n v="2.5"/>
    <n v="1.8"/>
    <n v="2.5"/>
    <n v="4"/>
    <n v="3"/>
    <s v="average"/>
  </r>
  <r>
    <s v="K81a"/>
    <n v="3"/>
    <s v="Central_Wairarapa"/>
    <s v="N158_344/626"/>
    <x v="4"/>
    <x v="4"/>
    <n v="1080"/>
    <n v="-3"/>
    <n v="1981"/>
    <s v="ov"/>
    <n v="1785"/>
    <n v="7.89"/>
    <n v="5.65"/>
    <n v="4.88678985E-3"/>
    <n v="2.7610362652500001E-2"/>
    <n v="45"/>
    <n v="2.5"/>
    <n v="2"/>
    <n v="3"/>
    <n v="3.3"/>
    <n v="2.5"/>
    <s v="average"/>
  </r>
  <r>
    <s v="K81a"/>
    <n v="3"/>
    <s v="Central_Wairarapa"/>
    <s v="N158_344/626"/>
    <x v="4"/>
    <x v="4"/>
    <n v="1080"/>
    <n v="-3"/>
    <n v="1981"/>
    <s v="ov"/>
    <n v="2571"/>
    <n v="12.72"/>
    <n v="10.6"/>
    <n v="1.2701174400000001E-2"/>
    <n v="0.13463244864000001"/>
    <n v="37"/>
    <n v="3"/>
    <n v="2"/>
    <n v="3.5"/>
    <n v="4.5"/>
    <n v="4.3"/>
    <s v="best"/>
  </r>
  <r>
    <s v="K81a"/>
    <n v="3"/>
    <s v="Central_Wairarapa"/>
    <s v="N158_344/626"/>
    <x v="4"/>
    <x v="4"/>
    <n v="1080"/>
    <n v="-3"/>
    <n v="1981"/>
    <s v="ov"/>
    <n v="2622"/>
    <n v="11.07"/>
    <n v="8.9499999999999993"/>
    <n v="9.6197746500000011E-3"/>
    <n v="8.6096983117499998E-2"/>
    <n v="70"/>
    <n v="3"/>
    <n v="2"/>
    <n v="2.5"/>
    <n v="4"/>
    <n v="3"/>
    <s v="good"/>
  </r>
  <r>
    <s v="K81a"/>
    <n v="3"/>
    <s v="Central_Wairarapa"/>
    <s v="N158_344/626"/>
    <x v="4"/>
    <x v="4"/>
    <n v="1080"/>
    <n v="-3"/>
    <n v="1981"/>
    <s v="re"/>
    <n v="2431"/>
    <n v="10.25"/>
    <n v="10.02"/>
    <n v="8.2474062499999987E-3"/>
    <n v="8.2639010624999981E-2"/>
    <n v="36"/>
    <n v="3"/>
    <n v="3"/>
    <n v="4"/>
    <n v="4.5"/>
    <n v="3.5"/>
    <s v="average"/>
  </r>
  <r>
    <s v="K81a"/>
    <n v="3"/>
    <s v="Central_Wairarapa"/>
    <s v="N158_344/626"/>
    <x v="4"/>
    <x v="4"/>
    <n v="1080"/>
    <n v="-3"/>
    <n v="1981"/>
    <s v="re"/>
    <n v="2432"/>
    <n v="14.46"/>
    <n v="11.73"/>
    <n v="1.6413690600000003E-2"/>
    <n v="0.19253259073800003"/>
    <n v="60"/>
    <n v="4.5"/>
    <n v="4"/>
    <n v="3.5"/>
    <n v="3.5"/>
    <n v="2.5"/>
    <s v="best"/>
  </r>
  <r>
    <s v="K81a"/>
    <n v="3"/>
    <s v="Central_Wairarapa"/>
    <s v="N158_344/626"/>
    <x v="4"/>
    <x v="4"/>
    <n v="1080"/>
    <n v="-3"/>
    <n v="1981"/>
    <s v="re"/>
    <n v="2550"/>
    <n v="15.37"/>
    <n v="10.82"/>
    <n v="1.8544596650000002E-2"/>
    <n v="0.20065253575300002"/>
    <n v="13"/>
    <n v="3"/>
    <n v="2.7"/>
    <n v="3.5"/>
    <n v="3.5"/>
    <n v="3"/>
    <s v="average"/>
  </r>
  <r>
    <s v="K81a"/>
    <n v="3"/>
    <s v="Central_Wairarapa"/>
    <s v="N158_344/626"/>
    <x v="4"/>
    <x v="4"/>
    <n v="1080"/>
    <n v="-3"/>
    <n v="1981"/>
    <s v="re"/>
    <n v="2553"/>
    <n v="11.96"/>
    <n v="9.91"/>
    <n v="1.1228765600000003E-2"/>
    <n v="0.11127706709600003"/>
    <n v="33"/>
    <n v="4"/>
    <n v="4"/>
    <n v="4"/>
    <n v="4"/>
    <n v="4"/>
    <s v="good"/>
  </r>
  <r>
    <s v="K81a"/>
    <n v="3"/>
    <s v="Central_Wairarapa"/>
    <s v="N158_344/626"/>
    <x v="4"/>
    <x v="4"/>
    <n v="1080"/>
    <n v="-3"/>
    <n v="1981"/>
    <s v="re"/>
    <n v="2574"/>
    <n v="12.41"/>
    <n v="9.68"/>
    <n v="1.2089635850000001E-2"/>
    <n v="0.117027675028"/>
    <n v="67"/>
    <n v="4"/>
    <n v="4"/>
    <n v="3.5"/>
    <n v="4"/>
    <n v="3"/>
    <s v="good"/>
  </r>
  <r>
    <s v="K81a"/>
    <n v="3"/>
    <s v="Central_Wairarapa"/>
    <s v="N158_344/626"/>
    <x v="4"/>
    <x v="4"/>
    <n v="1080"/>
    <n v="-3"/>
    <n v="1981"/>
    <s v="rd"/>
    <n v="2575"/>
    <n v="7.94"/>
    <n v="6.16"/>
    <n v="4.9489225999999999E-3"/>
    <n v="3.0485363216000001E-2"/>
    <n v="51"/>
    <n v="2.5"/>
    <n v="2"/>
    <n v="2.5"/>
    <n v="4.5"/>
    <n v="4"/>
    <s v="average"/>
  </r>
  <r>
    <s v="K81a"/>
    <n v="3"/>
    <s v="Central_Wairarapa"/>
    <s v="N158_344/626"/>
    <x v="4"/>
    <x v="4"/>
    <n v="1080"/>
    <n v="-3"/>
    <n v="1981"/>
    <s v="br"/>
    <n v="2621"/>
    <n v="5.98"/>
    <n v="4.03"/>
    <n v="2.8071914000000007E-3"/>
    <n v="1.1312981342000003E-2"/>
    <n v="43"/>
    <n v="2.5"/>
    <n v="2"/>
    <n v="3.3"/>
    <n v="4"/>
    <n v="3.5"/>
    <s v="average"/>
  </r>
  <r>
    <s v="Mor"/>
    <n v="1"/>
    <s v="Central_Hawkes_Bay"/>
    <s v="N141_295/063"/>
    <x v="10"/>
    <x v="6"/>
    <n v="900"/>
    <n v="-2"/>
    <n v="1986"/>
    <s v="am"/>
    <n v="3266"/>
    <n v="21.86"/>
    <n v="10"/>
    <n v="3.7511978599999996E-2"/>
    <n v="0.37511978599999996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am"/>
    <n v="3267"/>
    <n v="33.65"/>
    <n v="15.36"/>
    <n v="8.8887316249999987E-2"/>
    <n v="1.3653091775999997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am"/>
    <n v="3268"/>
    <n v="18.010000000000002"/>
    <n v="3.26"/>
    <n v="2.5462267850000001E-2"/>
    <n v="8.3006993190999995E-2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am"/>
    <n v="3269"/>
    <n v="24.72"/>
    <n v="11.29"/>
    <n v="4.7969654399999992E-2"/>
    <n v="0.54157739817599981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am"/>
    <n v="2770"/>
    <n v="20.85"/>
    <n v="9.52"/>
    <n v="3.4125716250000007E-2"/>
    <n v="0.32487681870000007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am"/>
    <n v="2460"/>
    <n v="29.6"/>
    <n v="13.52"/>
    <n v="6.877856000000003E-2"/>
    <n v="0.92988613120000041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co"/>
    <n v="2562"/>
    <n v="40.44"/>
    <n v="17.059999999999999"/>
    <n v="0.1283783976"/>
    <n v="2.1901354630559999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nd"/>
    <n v="3270"/>
    <n v="27.7"/>
    <n v="12.62"/>
    <n v="6.0232264999999986E-2"/>
    <n v="0.76013118429999982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nd"/>
    <n v="3271"/>
    <n v="18.73"/>
    <n v="8.5299999999999994"/>
    <n v="2.7538812650000001E-2"/>
    <n v="0.2349060719045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nd"/>
    <n v="2569"/>
    <n v="36.65"/>
    <n v="16.690000000000001"/>
    <n v="0.10544296625000001"/>
    <n v="1.7598431067125002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nd"/>
    <n v="1596"/>
    <n v="25.84"/>
    <n v="11.76"/>
    <n v="5.2414889600000007E-2"/>
    <n v="0.6163991016960001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nd"/>
    <n v="3068"/>
    <n v="4.1399999999999997"/>
    <n v="1.89"/>
    <n v="1.3454586000000001E-3"/>
    <n v="2.5429167540000001E-3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pu"/>
    <n v="3272"/>
    <n v="26.63"/>
    <n v="11.4"/>
    <n v="5.5668816649999994E-2"/>
    <n v="0.63462450980999996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pu"/>
    <n v="3273"/>
    <n v="10.1"/>
    <n v="4.32"/>
    <n v="8.0077849999999982E-3"/>
    <n v="3.4593631199999995E-2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pu"/>
    <n v="2573"/>
    <n v="23.62"/>
    <n v="10.11"/>
    <n v="4.3795495400000009E-2"/>
    <n v="0.44277245849400004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ra"/>
    <n v="1257"/>
    <n v="21.07"/>
    <n v="9.6199999999999992"/>
    <n v="3.4849674650000002E-2"/>
    <n v="0.33525387013300001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ra"/>
    <n v="1825"/>
    <n v="19.809999999999999"/>
    <n v="9.0500000000000007"/>
    <n v="3.080623385E-2"/>
    <n v="0.27879641634250002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te"/>
    <n v="2768"/>
    <n v="32.090000000000003"/>
    <n v="12.03"/>
    <n v="8.0836795850000018E-2"/>
    <n v="0.97246665407550015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te"/>
    <n v="1609"/>
    <n v="33.99"/>
    <n v="12.75"/>
    <n v="9.0692627850000013E-2"/>
    <n v="1.1563310050875002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te"/>
    <n v="3275"/>
    <n v="15.25"/>
    <n v="5.72"/>
    <n v="1.8256156249999999E-2"/>
    <n v="0.10442521375"/>
    <s v="?"/>
    <s v="?"/>
    <s v="?"/>
    <s v="?"/>
    <s v="?"/>
    <s v="?"/>
    <s v="none"/>
  </r>
  <r>
    <s v="Mor"/>
    <n v="1"/>
    <s v="Central_Hawkes_Bay"/>
    <s v="N141_295/063"/>
    <x v="10"/>
    <x v="6"/>
    <n v="900"/>
    <n v="-2"/>
    <n v="1986"/>
    <s v="te"/>
    <n v="3274"/>
    <n v="26.87"/>
    <n v="10.08"/>
    <n v="5.667675665E-2"/>
    <n v="0.57130170703200001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am"/>
    <n v="3266"/>
    <n v="25.73"/>
    <n v="11.75"/>
    <n v="5.1969582650000012E-2"/>
    <n v="0.61064259613750016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am"/>
    <n v="3267"/>
    <n v="19.91"/>
    <n v="13.63"/>
    <n v="3.111803585E-2"/>
    <n v="0.42413882863550001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am"/>
    <n v="3268"/>
    <n v="17.690000000000001"/>
    <n v="8.08"/>
    <n v="2.456548385E-2"/>
    <n v="0.198489109508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am"/>
    <n v="3269"/>
    <n v="25.71"/>
    <n v="11.74"/>
    <n v="5.1888821850000003E-2"/>
    <n v="0.60917476851899999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am"/>
    <n v="2770"/>
    <n v="11.25"/>
    <n v="5.14"/>
    <n v="9.9351562500000004E-3"/>
    <n v="5.1066703125000001E-2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am"/>
    <n v="2460"/>
    <n v="25.85"/>
    <n v="11.8"/>
    <n v="5.2455466249999999E-2"/>
    <n v="0.61897450175000002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co"/>
    <n v="2562"/>
    <n v="33.6"/>
    <n v="14.17"/>
    <n v="8.8623360000000012E-2"/>
    <n v="1.2557930112000002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nd"/>
    <n v="3270"/>
    <n v="35.78"/>
    <n v="16.29"/>
    <n v="0.1004963594"/>
    <n v="1.637085694626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nd"/>
    <n v="3271"/>
    <n v="23.46"/>
    <n v="10.68"/>
    <n v="4.3204170600000001E-2"/>
    <n v="0.46142054200799998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nd"/>
    <n v="2569"/>
    <n v="27.79"/>
    <n v="12.65"/>
    <n v="6.0624301849999992E-2"/>
    <n v="0.76689741840249992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nd"/>
    <n v="1596"/>
    <n v="32.880000000000003"/>
    <n v="14.98"/>
    <n v="8.4865910400000022E-2"/>
    <n v="1.2712913377920003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nd"/>
    <n v="3068"/>
    <n v="32.15"/>
    <n v="14.64"/>
    <n v="8.1139366250000011E-2"/>
    <n v="1.1878803219000003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pu"/>
    <n v="3272"/>
    <n v="35.369999999999997"/>
    <n v="15.14"/>
    <n v="9.8206396649999972E-2"/>
    <n v="1.4868448452809997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pu"/>
    <n v="3273"/>
    <n v="24.72"/>
    <n v="10.58"/>
    <n v="4.7969654399999992E-2"/>
    <n v="0.50751894355199989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pu"/>
    <n v="2573"/>
    <n v="27.66"/>
    <n v="11.83"/>
    <n v="6.0058434600000002E-2"/>
    <n v="0.71049128131799999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ra"/>
    <n v="1257"/>
    <n v="26.18"/>
    <n v="11.96"/>
    <n v="5.3803303399999995E-2"/>
    <n v="0.64348750866399995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ra"/>
    <n v="1825"/>
    <n v="17.5"/>
    <n v="7.99"/>
    <n v="2.4040624999999999E-2"/>
    <n v="0.19208459375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te"/>
    <n v="2768"/>
    <n v="29.91"/>
    <n v="11.22"/>
    <n v="7.0226735849999999E-2"/>
    <n v="0.78794397623700008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te"/>
    <n v="1609"/>
    <n v="21.89"/>
    <n v="8.2100000000000009"/>
    <n v="3.7615009850000006E-2"/>
    <n v="0.30881923086850011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te"/>
    <n v="3275"/>
    <n v="28.19"/>
    <n v="10.57"/>
    <n v="6.2382073850000018E-2"/>
    <n v="0.65937852059450019"/>
    <s v="?"/>
    <s v="?"/>
    <s v="?"/>
    <s v="?"/>
    <s v="?"/>
    <s v="?"/>
    <s v="none"/>
  </r>
  <r>
    <s v="Mor"/>
    <n v="2"/>
    <s v="Central_Hawkes_Bay"/>
    <s v="N141_295/063"/>
    <x v="10"/>
    <x v="6"/>
    <n v="900"/>
    <n v="-2"/>
    <n v="1986"/>
    <s v="te"/>
    <n v="3274"/>
    <n v="19.920000000000002"/>
    <n v="7.47"/>
    <n v="3.1149302400000002E-2"/>
    <n v="0.232685288928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am"/>
    <n v="3266"/>
    <n v="20.16"/>
    <n v="9.2100000000000009"/>
    <n v="3.1904409600000003E-2"/>
    <n v="0.29383961241600004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am"/>
    <n v="3267"/>
    <n v="16.63"/>
    <n v="7.59"/>
    <n v="2.1709716650000002E-2"/>
    <n v="0.16477674937350001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am"/>
    <n v="3268"/>
    <n v="14.31"/>
    <n v="6.53"/>
    <n v="1.6074923850000002E-2"/>
    <n v="0.10496925274050002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am"/>
    <n v="3269"/>
    <n v="25.34"/>
    <n v="11.57"/>
    <n v="5.0406074600000003E-2"/>
    <n v="0.58319828312200006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am"/>
    <n v="2770"/>
    <n v="15.23"/>
    <n v="6.96"/>
    <n v="1.8208302649999997E-2"/>
    <n v="0.12672978644399999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am"/>
    <n v="2460"/>
    <n v="24.16"/>
    <n v="11.03"/>
    <n v="4.5820889600000005E-2"/>
    <n v="0.50540441228800004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co"/>
    <n v="2562"/>
    <n v="29.11"/>
    <n v="12.28"/>
    <n v="6.6520279849999989E-2"/>
    <n v="0.81686903655799981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nd"/>
    <n v="3270"/>
    <n v="29.29"/>
    <n v="13.33"/>
    <n v="6.7345471850000005E-2"/>
    <n v="0.8977151397605001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nd"/>
    <n v="3271"/>
    <n v="12.2"/>
    <n v="5.56"/>
    <n v="1.168394E-2"/>
    <n v="6.49627064E-2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nd"/>
    <n v="2569"/>
    <n v="22.89"/>
    <n v="10.42"/>
    <n v="4.113023985E-2"/>
    <n v="0.42857709923699999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nd"/>
    <n v="1596"/>
    <n v="30.15"/>
    <n v="13.73"/>
    <n v="7.1358266249999996E-2"/>
    <n v="0.97974899561249995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nd"/>
    <n v="3068"/>
    <n v="29.76"/>
    <n v="13.55"/>
    <n v="6.9524121600000016E-2"/>
    <n v="0.94205184768000028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pu"/>
    <n v="3272"/>
    <n v="33.68"/>
    <n v="14.41"/>
    <n v="8.90458784E-2"/>
    <n v="1.2831511077440001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pu"/>
    <n v="3273"/>
    <n v="25.85"/>
    <n v="11.06"/>
    <n v="5.2455466249999999E-2"/>
    <n v="0.58015745672499996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pu"/>
    <n v="2573"/>
    <n v="20.72"/>
    <n v="8.8699999999999992"/>
    <n v="3.3701494400000004E-2"/>
    <n v="0.298932255328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ra"/>
    <n v="1257"/>
    <n v="21.27"/>
    <n v="9.7200000000000006"/>
    <n v="3.5514412650000007E-2"/>
    <n v="0.34520009095800008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ra"/>
    <n v="1825"/>
    <n v="19.63"/>
    <n v="8.9700000000000006"/>
    <n v="3.0248946650000004E-2"/>
    <n v="0.27133305145050007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te"/>
    <n v="2768"/>
    <n v="26.37"/>
    <n v="9.89"/>
    <n v="5.4587086649999998E-2"/>
    <n v="0.53986628696850003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te"/>
    <n v="1609"/>
    <n v="26.19"/>
    <n v="9.82"/>
    <n v="5.3844413850000009E-2"/>
    <n v="0.5287521440070001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te"/>
    <n v="3275"/>
    <n v="17.350000000000001"/>
    <n v="6.51"/>
    <n v="2.3630266250000004E-2"/>
    <n v="0.15383303328750003"/>
    <s v="?"/>
    <s v="?"/>
    <s v="?"/>
    <s v="?"/>
    <s v="?"/>
    <s v="?"/>
    <s v="none"/>
  </r>
  <r>
    <s v="Mor"/>
    <n v="3"/>
    <s v="Central_Hawkes_Bay"/>
    <s v="N141_295/063"/>
    <x v="10"/>
    <x v="6"/>
    <n v="900"/>
    <n v="-2"/>
    <n v="1986"/>
    <s v="te"/>
    <n v="3274"/>
    <n v="20.57"/>
    <n v="7.71"/>
    <n v="3.3215304649999999E-2"/>
    <n v="0.25608999885149997"/>
    <s v="?"/>
    <s v="?"/>
    <s v="?"/>
    <s v="?"/>
    <s v="?"/>
    <s v="?"/>
    <s v="none"/>
  </r>
  <r>
    <s v="Wen"/>
    <n v="1"/>
    <s v="Central_Poverty_Bay"/>
    <s v="N98_539/567"/>
    <x v="11"/>
    <x v="6"/>
    <n v="1750"/>
    <n v="-2"/>
    <n v="1986"/>
    <s v="am"/>
    <s v="?"/>
    <n v="27.68"/>
    <n v="12.64"/>
    <n v="6.0145318399999995E-2"/>
    <n v="0.76023682457599995"/>
    <s v="?"/>
    <s v="?"/>
    <s v="?"/>
    <s v="?"/>
    <s v="?"/>
    <s v="?"/>
    <s v="none"/>
  </r>
  <r>
    <s v="Wen"/>
    <n v="1"/>
    <s v="Central_Poverty_Bay"/>
    <s v="N98_539/567"/>
    <x v="11"/>
    <x v="6"/>
    <n v="1750"/>
    <n v="-2"/>
    <n v="1986"/>
    <s v="co"/>
    <s v="?"/>
    <n v="30.93"/>
    <n v="13.05"/>
    <n v="7.5098194650000005E-2"/>
    <n v="0.9800314401825001"/>
    <s v="?"/>
    <s v="?"/>
    <s v="?"/>
    <s v="?"/>
    <s v="?"/>
    <s v="?"/>
    <s v="none"/>
  </r>
  <r>
    <s v="Wen"/>
    <n v="1"/>
    <s v="Central_Poverty_Bay"/>
    <s v="N98_539/567"/>
    <x v="11"/>
    <x v="6"/>
    <n v="1750"/>
    <n v="-2"/>
    <n v="1986"/>
    <s v="nd"/>
    <s v="?"/>
    <n v="26.16"/>
    <n v="11.89"/>
    <n v="5.3721129600000007E-2"/>
    <n v="0.63874423094400012"/>
    <s v="?"/>
    <s v="?"/>
    <s v="?"/>
    <s v="?"/>
    <s v="?"/>
    <s v="?"/>
    <s v="none"/>
  </r>
  <r>
    <s v="Wen"/>
    <n v="1"/>
    <s v="Central_Poverty_Bay"/>
    <s v="N98_539/567"/>
    <x v="11"/>
    <x v="6"/>
    <n v="1750"/>
    <n v="-2"/>
    <n v="1986"/>
    <s v="pu"/>
    <s v="?"/>
    <n v="38.51"/>
    <n v="16.46"/>
    <n v="0.11641707785000001"/>
    <n v="1.9162251014110003"/>
    <s v="?"/>
    <s v="?"/>
    <s v="?"/>
    <s v="?"/>
    <s v="?"/>
    <s v="?"/>
    <s v="none"/>
  </r>
  <r>
    <s v="Wen"/>
    <n v="1"/>
    <s v="Central_Poverty_Bay"/>
    <s v="N98_539/567"/>
    <x v="11"/>
    <x v="6"/>
    <n v="1750"/>
    <n v="-2"/>
    <n v="1986"/>
    <s v="ra"/>
    <s v="?"/>
    <n v="24"/>
    <n v="10.96"/>
    <n v="4.5215999999999999E-2"/>
    <n v="0.49556736000000001"/>
    <s v="?"/>
    <s v="?"/>
    <s v="?"/>
    <s v="?"/>
    <s v="?"/>
    <s v="?"/>
    <s v="none"/>
  </r>
  <r>
    <s v="Wen"/>
    <n v="1"/>
    <s v="Central_Poverty_Bay"/>
    <s v="N98_539/567"/>
    <x v="11"/>
    <x v="6"/>
    <n v="1750"/>
    <n v="-2"/>
    <n v="1986"/>
    <s v="te"/>
    <s v="?"/>
    <n v="29.02"/>
    <n v="10.87"/>
    <n v="6.6109591400000001E-2"/>
    <n v="0.71861125851800001"/>
    <s v="?"/>
    <s v="?"/>
    <s v="?"/>
    <s v="?"/>
    <s v="?"/>
    <s v="?"/>
    <s v="none"/>
  </r>
  <r>
    <s v="WSh"/>
    <n v="1"/>
    <s v="Southern_Hawkes_Bay"/>
    <s v="N151_922/226"/>
    <x v="6"/>
    <x v="0"/>
    <n v="1250"/>
    <n v="-2"/>
    <n v="1983"/>
    <s v="fa"/>
    <n v="2548"/>
    <n v="41.63"/>
    <n v="12.64"/>
    <n v="0.13604496665000002"/>
    <n v="1.7196083784560003"/>
    <n v="28"/>
    <n v="4.2"/>
    <n v="3.2"/>
    <n v="2.2999999999999998"/>
    <n v="1.9"/>
    <n v="1.7"/>
    <s v="average"/>
  </r>
  <r>
    <s v="WSh"/>
    <n v="1"/>
    <s v="Southern_Hawkes_Bay"/>
    <s v="N151_922/226"/>
    <x v="6"/>
    <x v="0"/>
    <n v="1250"/>
    <n v="-2"/>
    <n v="1983"/>
    <s v="fr"/>
    <n v="2552"/>
    <n v="33.35"/>
    <n v="10.61"/>
    <n v="8.7309466250000009E-2"/>
    <n v="0.92635343691250005"/>
    <n v="33"/>
    <n v="4.5"/>
    <n v="4"/>
    <n v="2.8"/>
    <n v="3"/>
    <n v="1.5"/>
    <s v="good"/>
  </r>
  <r>
    <s v="WSh"/>
    <n v="1"/>
    <s v="Southern_Hawkes_Bay"/>
    <s v="N151_922/226"/>
    <x v="6"/>
    <x v="0"/>
    <n v="1250"/>
    <n v="-2"/>
    <n v="1983"/>
    <s v="ni"/>
    <n v="2568"/>
    <n v="28.21"/>
    <n v="9.4700000000000006"/>
    <n v="6.2470621850000005E-2"/>
    <n v="0.59159678891950007"/>
    <n v="94"/>
    <n v="4.5999999999999996"/>
    <n v="3"/>
    <n v="2"/>
    <n v="1.8"/>
    <n v="1.2"/>
    <s v="good"/>
  </r>
  <r>
    <s v="WSh"/>
    <n v="1"/>
    <s v="Southern_Hawkes_Bay"/>
    <s v="N151_922/226"/>
    <x v="6"/>
    <x v="0"/>
    <n v="1250"/>
    <n v="-2"/>
    <n v="1983"/>
    <s v="ob"/>
    <n v="1522"/>
    <n v="27.36"/>
    <n v="11.49"/>
    <n v="5.8762713600000002E-2"/>
    <n v="0.67518357926400008"/>
    <n v="67"/>
    <n v="4.7"/>
    <n v="3.3"/>
    <n v="3.4"/>
    <n v="3.4"/>
    <n v="3"/>
    <s v="good"/>
  </r>
  <r>
    <s v="WSh"/>
    <n v="1"/>
    <s v="Southern_Hawkes_Bay"/>
    <s v="N151_922/226"/>
    <x v="6"/>
    <x v="0"/>
    <n v="1250"/>
    <n v="-2"/>
    <n v="1983"/>
    <s v="re"/>
    <s v="?"/>
    <n v="22.34"/>
    <n v="8.84"/>
    <n v="3.9177434599999998E-2"/>
    <n v="0.34632852186399998"/>
    <n v="25"/>
    <n v="3.8"/>
    <n v="3.5"/>
    <n v="3"/>
    <n v="3.5"/>
    <n v="3"/>
    <s v="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Y2:AI16" firstHeaderRow="1" firstDataRow="2" firstDataCol="1"/>
  <pivotFields count="22">
    <pivotField showAll="0"/>
    <pivotField showAll="0"/>
    <pivotField showAll="0"/>
    <pivotField showAll="0"/>
    <pivotField axis="axisRow" showAll="0">
      <items count="13">
        <item x="1"/>
        <item x="0"/>
        <item x="10"/>
        <item x="3"/>
        <item x="9"/>
        <item x="2"/>
        <item x="6"/>
        <item x="4"/>
        <item x="7"/>
        <item x="5"/>
        <item x="8"/>
        <item x="11"/>
        <item t="default"/>
      </items>
    </pivotField>
    <pivotField axis="axisCol" showAll="0">
      <items count="10">
        <item x="3"/>
        <item x="0"/>
        <item x="2"/>
        <item x="6"/>
        <item x="5"/>
        <item x="4"/>
        <item x="1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Promedio de Vol" fld="14" subtotal="average" baseField="4" baseItem="0"/>
  </dataFields>
  <formats count="28">
    <format dxfId="27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26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25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24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23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22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21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20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19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18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17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16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15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14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13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12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11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10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9">
      <pivotArea collapsedLevelsAreSubtotals="1" fieldPosition="0">
        <references count="2">
          <reference field="4" count="4">
            <x v="8"/>
            <x v="9"/>
            <x v="10"/>
            <x v="11"/>
          </reference>
          <reference field="5" count="6" selected="0">
            <x v="3"/>
            <x v="4"/>
            <x v="5"/>
            <x v="6"/>
            <x v="7"/>
            <x v="8"/>
          </reference>
        </references>
      </pivotArea>
    </format>
    <format dxfId="8">
      <pivotArea field="4" grandCol="1" collapsedLevelsAreSubtotals="1" axis="axisRow" fieldPosition="0">
        <references count="1">
          <reference field="4" count="4">
            <x v="8"/>
            <x v="9"/>
            <x v="10"/>
            <x v="11"/>
          </reference>
        </references>
      </pivotArea>
    </format>
    <format dxfId="7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6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5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4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3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2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0">
      <pivotArea collapsedLevelsAreSubtotals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9"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7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4" width="4.85546875" bestFit="1" customWidth="1"/>
    <col min="15" max="15" width="4" bestFit="1" customWidth="1"/>
    <col min="16" max="16" width="7.28515625" bestFit="1" customWidth="1"/>
    <col min="17" max="17" width="9.28515625" bestFit="1" customWidth="1"/>
    <col min="18" max="18" width="10.42578125" bestFit="1" customWidth="1"/>
    <col min="19" max="19" width="9.7109375" bestFit="1" customWidth="1"/>
    <col min="20" max="20" width="8" bestFit="1" customWidth="1"/>
    <col min="21" max="21" width="3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>
        <v>40</v>
      </c>
      <c r="O2">
        <v>4</v>
      </c>
      <c r="P2">
        <v>3</v>
      </c>
      <c r="Q2">
        <v>3.5</v>
      </c>
      <c r="R2">
        <v>4</v>
      </c>
      <c r="S2">
        <v>3.5</v>
      </c>
      <c r="T2" t="s">
        <v>25</v>
      </c>
    </row>
    <row r="3" spans="1:23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>
        <v>90</v>
      </c>
      <c r="O3">
        <v>4.5</v>
      </c>
      <c r="P3">
        <v>4</v>
      </c>
      <c r="Q3">
        <v>3.5</v>
      </c>
      <c r="R3">
        <v>3.5</v>
      </c>
      <c r="S3">
        <v>3</v>
      </c>
      <c r="T3" t="s">
        <v>27</v>
      </c>
      <c r="V3" s="2"/>
    </row>
    <row r="4" spans="1:23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>
        <v>50</v>
      </c>
      <c r="O4">
        <v>2.2999999999999998</v>
      </c>
      <c r="P4">
        <v>2.5</v>
      </c>
      <c r="Q4">
        <v>3</v>
      </c>
      <c r="R4">
        <v>3.5</v>
      </c>
      <c r="S4">
        <v>3</v>
      </c>
      <c r="T4" t="s">
        <v>30</v>
      </c>
      <c r="V4" s="2"/>
      <c r="W4" s="2"/>
    </row>
    <row r="5" spans="1:23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>
        <v>70</v>
      </c>
      <c r="O5">
        <v>3.7</v>
      </c>
      <c r="P5">
        <v>3</v>
      </c>
      <c r="Q5">
        <v>3.3</v>
      </c>
      <c r="R5">
        <v>4</v>
      </c>
      <c r="S5">
        <v>3.5</v>
      </c>
      <c r="T5" t="s">
        <v>25</v>
      </c>
      <c r="V5" s="2"/>
    </row>
    <row r="6" spans="1:23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>
        <v>90</v>
      </c>
      <c r="O6">
        <v>4</v>
      </c>
      <c r="P6">
        <v>2.7</v>
      </c>
      <c r="Q6">
        <v>3.3</v>
      </c>
      <c r="R6">
        <v>3</v>
      </c>
      <c r="S6">
        <v>3</v>
      </c>
      <c r="T6" t="s">
        <v>25</v>
      </c>
    </row>
    <row r="7" spans="1:23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>
        <v>70</v>
      </c>
      <c r="O7">
        <v>5</v>
      </c>
      <c r="P7">
        <v>4</v>
      </c>
      <c r="Q7">
        <v>5</v>
      </c>
      <c r="R7">
        <v>4</v>
      </c>
      <c r="S7">
        <v>4.5</v>
      </c>
      <c r="T7" t="s">
        <v>27</v>
      </c>
    </row>
    <row r="8" spans="1:23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>
        <v>80</v>
      </c>
      <c r="O8">
        <v>4</v>
      </c>
      <c r="P8">
        <v>2</v>
      </c>
      <c r="Q8">
        <v>3</v>
      </c>
      <c r="R8">
        <v>3</v>
      </c>
      <c r="S8">
        <v>3</v>
      </c>
      <c r="T8" t="s">
        <v>25</v>
      </c>
    </row>
    <row r="9" spans="1:23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>
        <v>100</v>
      </c>
      <c r="O9">
        <v>5</v>
      </c>
      <c r="P9">
        <v>4.5</v>
      </c>
      <c r="Q9">
        <v>3.5</v>
      </c>
      <c r="R9">
        <v>4</v>
      </c>
      <c r="S9">
        <v>2</v>
      </c>
      <c r="T9" t="s">
        <v>27</v>
      </c>
    </row>
    <row r="10" spans="1:23" x14ac:dyDescent="0.25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>
        <v>80</v>
      </c>
      <c r="O10">
        <v>2.5</v>
      </c>
      <c r="P10">
        <v>2.5</v>
      </c>
      <c r="Q10">
        <v>3.3</v>
      </c>
      <c r="R10">
        <v>3.5</v>
      </c>
      <c r="S10">
        <v>3.5</v>
      </c>
      <c r="T10" t="s">
        <v>38</v>
      </c>
    </row>
    <row r="11" spans="1:23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>
        <v>50</v>
      </c>
      <c r="O11">
        <v>4</v>
      </c>
      <c r="P11">
        <v>4</v>
      </c>
      <c r="Q11">
        <v>3.3</v>
      </c>
      <c r="R11">
        <v>3</v>
      </c>
      <c r="S11">
        <v>3</v>
      </c>
      <c r="T11" t="s">
        <v>25</v>
      </c>
    </row>
    <row r="12" spans="1:23" x14ac:dyDescent="0.25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>
        <v>70</v>
      </c>
      <c r="O12">
        <v>1.5</v>
      </c>
      <c r="P12">
        <v>3</v>
      </c>
      <c r="Q12">
        <v>3</v>
      </c>
      <c r="R12">
        <v>3</v>
      </c>
      <c r="S12">
        <v>3</v>
      </c>
      <c r="T12" t="s">
        <v>30</v>
      </c>
    </row>
    <row r="13" spans="1:23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>
        <v>10</v>
      </c>
      <c r="O13">
        <v>4</v>
      </c>
      <c r="P13">
        <v>4</v>
      </c>
      <c r="Q13">
        <v>3.3</v>
      </c>
      <c r="R13">
        <v>3</v>
      </c>
      <c r="S13">
        <v>2</v>
      </c>
      <c r="T13" t="s">
        <v>25</v>
      </c>
    </row>
    <row r="14" spans="1:23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>
        <v>60</v>
      </c>
      <c r="O14">
        <v>2.5</v>
      </c>
      <c r="P14">
        <v>3</v>
      </c>
      <c r="Q14">
        <v>3</v>
      </c>
      <c r="R14">
        <v>4</v>
      </c>
      <c r="S14">
        <v>4</v>
      </c>
      <c r="T14" t="s">
        <v>30</v>
      </c>
    </row>
    <row r="15" spans="1:23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>
        <v>80</v>
      </c>
      <c r="O15">
        <v>3.5</v>
      </c>
      <c r="P15">
        <v>4</v>
      </c>
      <c r="Q15">
        <v>4</v>
      </c>
      <c r="R15">
        <v>3.5</v>
      </c>
      <c r="S15">
        <v>3.5</v>
      </c>
      <c r="T15" t="s">
        <v>27</v>
      </c>
    </row>
    <row r="16" spans="1:23" x14ac:dyDescent="0.25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>
        <v>100</v>
      </c>
      <c r="O16">
        <v>3</v>
      </c>
      <c r="P16">
        <v>2</v>
      </c>
      <c r="Q16">
        <v>3</v>
      </c>
      <c r="R16">
        <v>3</v>
      </c>
      <c r="S16">
        <v>3</v>
      </c>
      <c r="T16" t="s">
        <v>25</v>
      </c>
    </row>
    <row r="17" spans="1:20" x14ac:dyDescent="0.25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>
        <v>90</v>
      </c>
      <c r="O17">
        <v>5</v>
      </c>
      <c r="P17">
        <v>4.5</v>
      </c>
      <c r="Q17">
        <v>5</v>
      </c>
      <c r="R17">
        <v>4</v>
      </c>
      <c r="S17">
        <v>4</v>
      </c>
      <c r="T17" t="s">
        <v>27</v>
      </c>
    </row>
    <row r="18" spans="1:20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>
        <v>100</v>
      </c>
      <c r="O18">
        <v>3</v>
      </c>
      <c r="P18">
        <v>1.8</v>
      </c>
      <c r="Q18">
        <v>3</v>
      </c>
      <c r="R18">
        <v>3</v>
      </c>
      <c r="S18">
        <v>3</v>
      </c>
      <c r="T18" t="s">
        <v>38</v>
      </c>
    </row>
    <row r="19" spans="1:20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>
        <v>100</v>
      </c>
      <c r="O19">
        <v>4</v>
      </c>
      <c r="P19">
        <v>4</v>
      </c>
      <c r="Q19">
        <v>3.3</v>
      </c>
      <c r="R19">
        <v>4</v>
      </c>
      <c r="S19">
        <v>3</v>
      </c>
      <c r="T19" t="s">
        <v>27</v>
      </c>
    </row>
    <row r="20" spans="1:20" x14ac:dyDescent="0.25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>
        <v>70</v>
      </c>
      <c r="O20">
        <v>2</v>
      </c>
      <c r="P20">
        <v>2</v>
      </c>
      <c r="Q20">
        <v>3.3</v>
      </c>
      <c r="R20">
        <v>4</v>
      </c>
      <c r="S20">
        <v>3.5</v>
      </c>
      <c r="T20" t="s">
        <v>30</v>
      </c>
    </row>
    <row r="21" spans="1:20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>
        <v>60</v>
      </c>
      <c r="O21">
        <v>4</v>
      </c>
      <c r="P21">
        <v>3</v>
      </c>
      <c r="Q21">
        <v>3</v>
      </c>
      <c r="R21">
        <v>3</v>
      </c>
      <c r="S21">
        <v>2</v>
      </c>
      <c r="T21" t="s">
        <v>25</v>
      </c>
    </row>
    <row r="22" spans="1:20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>
        <v>50</v>
      </c>
      <c r="O22">
        <v>2.7</v>
      </c>
      <c r="P22">
        <v>4</v>
      </c>
      <c r="Q22">
        <v>3.3</v>
      </c>
      <c r="R22">
        <v>3.5</v>
      </c>
      <c r="S22">
        <v>3</v>
      </c>
      <c r="T22" t="s">
        <v>38</v>
      </c>
    </row>
    <row r="23" spans="1:20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>
        <v>20</v>
      </c>
      <c r="O23">
        <v>4</v>
      </c>
      <c r="P23">
        <v>3.5</v>
      </c>
      <c r="Q23">
        <v>3</v>
      </c>
      <c r="R23">
        <v>3</v>
      </c>
      <c r="S23">
        <v>1</v>
      </c>
      <c r="T23" t="s">
        <v>38</v>
      </c>
    </row>
    <row r="24" spans="1:20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>
        <v>30</v>
      </c>
      <c r="O24">
        <v>3</v>
      </c>
      <c r="P24">
        <v>4</v>
      </c>
      <c r="Q24">
        <v>3</v>
      </c>
      <c r="R24">
        <v>3</v>
      </c>
      <c r="S24">
        <v>3</v>
      </c>
      <c r="T24" t="s">
        <v>38</v>
      </c>
    </row>
    <row r="25" spans="1:20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>
        <v>70</v>
      </c>
      <c r="O25">
        <v>2.7</v>
      </c>
      <c r="P25">
        <v>4</v>
      </c>
      <c r="Q25">
        <v>3.5</v>
      </c>
      <c r="R25">
        <v>3.5</v>
      </c>
      <c r="S25">
        <v>3.5</v>
      </c>
      <c r="T25" t="s">
        <v>25</v>
      </c>
    </row>
    <row r="26" spans="1:20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>
        <v>60</v>
      </c>
      <c r="O26">
        <v>5</v>
      </c>
      <c r="P26">
        <v>2.7</v>
      </c>
      <c r="Q26">
        <v>3.5</v>
      </c>
      <c r="R26">
        <v>3</v>
      </c>
      <c r="S26">
        <v>2</v>
      </c>
      <c r="T26" t="s">
        <v>25</v>
      </c>
    </row>
    <row r="27" spans="1:20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>
        <v>50</v>
      </c>
      <c r="O27">
        <v>4.3</v>
      </c>
      <c r="P27">
        <v>4.5</v>
      </c>
      <c r="Q27">
        <v>3.3</v>
      </c>
      <c r="R27">
        <v>3.5</v>
      </c>
      <c r="S27">
        <v>3</v>
      </c>
      <c r="T27" t="s">
        <v>25</v>
      </c>
    </row>
    <row r="28" spans="1:20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>
        <v>50</v>
      </c>
      <c r="O28">
        <v>2.5</v>
      </c>
      <c r="P28">
        <v>2</v>
      </c>
      <c r="Q28">
        <v>3.2</v>
      </c>
      <c r="R28">
        <v>3.3</v>
      </c>
      <c r="S28">
        <v>3</v>
      </c>
      <c r="T28" t="s">
        <v>38</v>
      </c>
    </row>
    <row r="29" spans="1:20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>
        <v>90</v>
      </c>
      <c r="O29">
        <v>4.3</v>
      </c>
      <c r="P29">
        <v>4.5</v>
      </c>
      <c r="Q29">
        <v>3.5</v>
      </c>
      <c r="R29">
        <v>4</v>
      </c>
      <c r="S29">
        <v>3.3</v>
      </c>
      <c r="T29" t="s">
        <v>25</v>
      </c>
    </row>
    <row r="30" spans="1:20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>
        <v>80</v>
      </c>
      <c r="O30">
        <v>3</v>
      </c>
      <c r="P30">
        <v>2.5</v>
      </c>
      <c r="Q30">
        <v>2</v>
      </c>
      <c r="R30">
        <v>2</v>
      </c>
      <c r="S30">
        <v>2</v>
      </c>
      <c r="T30" t="s">
        <v>38</v>
      </c>
    </row>
    <row r="31" spans="1:20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>
        <v>30</v>
      </c>
      <c r="O31">
        <v>4</v>
      </c>
      <c r="P31">
        <v>4</v>
      </c>
      <c r="Q31">
        <v>4</v>
      </c>
      <c r="R31">
        <v>2.5</v>
      </c>
      <c r="S31">
        <v>2</v>
      </c>
      <c r="T31" t="s">
        <v>25</v>
      </c>
    </row>
    <row r="32" spans="1:20" x14ac:dyDescent="0.25">
      <c r="A32" t="s">
        <v>40</v>
      </c>
      <c r="B32">
        <v>1</v>
      </c>
      <c r="C32" t="s">
        <v>41</v>
      </c>
      <c r="D32" t="s">
        <v>42</v>
      </c>
      <c r="E32" t="s">
        <v>43</v>
      </c>
      <c r="F32">
        <v>200</v>
      </c>
      <c r="G32">
        <v>1400</v>
      </c>
      <c r="H32">
        <v>-2</v>
      </c>
      <c r="I32">
        <v>1980</v>
      </c>
      <c r="J32" t="s">
        <v>26</v>
      </c>
      <c r="K32">
        <v>1487</v>
      </c>
      <c r="L32">
        <v>27.98</v>
      </c>
      <c r="M32">
        <v>8.64</v>
      </c>
      <c r="N32" t="s">
        <v>44</v>
      </c>
      <c r="O32">
        <v>2.2999999999999998</v>
      </c>
      <c r="P32">
        <v>4</v>
      </c>
      <c r="Q32">
        <v>2</v>
      </c>
      <c r="R32">
        <v>2</v>
      </c>
      <c r="S32">
        <v>2</v>
      </c>
      <c r="T32" t="s">
        <v>30</v>
      </c>
    </row>
    <row r="33" spans="1:20" x14ac:dyDescent="0.25">
      <c r="A33" t="s">
        <v>40</v>
      </c>
      <c r="B33">
        <v>1</v>
      </c>
      <c r="C33" t="s">
        <v>41</v>
      </c>
      <c r="D33" t="s">
        <v>42</v>
      </c>
      <c r="E33" t="s">
        <v>43</v>
      </c>
      <c r="F33">
        <v>200</v>
      </c>
      <c r="G33">
        <v>1400</v>
      </c>
      <c r="H33">
        <v>-2</v>
      </c>
      <c r="I33">
        <v>1980</v>
      </c>
      <c r="J33" t="s">
        <v>32</v>
      </c>
      <c r="K33">
        <v>1596</v>
      </c>
      <c r="L33">
        <v>25.99</v>
      </c>
      <c r="M33">
        <v>9.6</v>
      </c>
      <c r="N33" t="s">
        <v>44</v>
      </c>
      <c r="O33">
        <v>4</v>
      </c>
      <c r="P33">
        <v>4</v>
      </c>
      <c r="Q33">
        <v>3</v>
      </c>
      <c r="R33">
        <v>4</v>
      </c>
      <c r="S33">
        <v>2.7</v>
      </c>
      <c r="T33" t="s">
        <v>27</v>
      </c>
    </row>
    <row r="34" spans="1:20" x14ac:dyDescent="0.25">
      <c r="A34" t="s">
        <v>40</v>
      </c>
      <c r="B34">
        <v>1</v>
      </c>
      <c r="C34" t="s">
        <v>41</v>
      </c>
      <c r="D34" t="s">
        <v>42</v>
      </c>
      <c r="E34" t="s">
        <v>43</v>
      </c>
      <c r="F34">
        <v>200</v>
      </c>
      <c r="G34">
        <v>1400</v>
      </c>
      <c r="H34">
        <v>-2</v>
      </c>
      <c r="I34">
        <v>1980</v>
      </c>
      <c r="J34" t="s">
        <v>33</v>
      </c>
      <c r="K34">
        <v>2088</v>
      </c>
      <c r="L34">
        <v>33.409999999999997</v>
      </c>
      <c r="M34">
        <v>8.35</v>
      </c>
      <c r="N34" t="s">
        <v>44</v>
      </c>
      <c r="O34">
        <v>4</v>
      </c>
      <c r="P34">
        <v>2.8</v>
      </c>
      <c r="Q34">
        <v>2.5</v>
      </c>
      <c r="R34">
        <v>1.5</v>
      </c>
      <c r="S34">
        <v>1.5</v>
      </c>
      <c r="T34" t="s">
        <v>38</v>
      </c>
    </row>
    <row r="35" spans="1:20" x14ac:dyDescent="0.25">
      <c r="A35" t="s">
        <v>40</v>
      </c>
      <c r="B35">
        <v>1</v>
      </c>
      <c r="C35" t="s">
        <v>41</v>
      </c>
      <c r="D35" t="s">
        <v>42</v>
      </c>
      <c r="E35" t="s">
        <v>43</v>
      </c>
      <c r="F35">
        <v>200</v>
      </c>
      <c r="G35">
        <v>1400</v>
      </c>
      <c r="H35">
        <v>-2</v>
      </c>
      <c r="I35">
        <v>1980</v>
      </c>
      <c r="J35" t="s">
        <v>35</v>
      </c>
      <c r="K35">
        <v>1521</v>
      </c>
      <c r="L35">
        <v>33.299999999999997</v>
      </c>
      <c r="M35">
        <v>13.32</v>
      </c>
      <c r="N35" t="s">
        <v>44</v>
      </c>
      <c r="O35">
        <v>4</v>
      </c>
      <c r="P35">
        <v>2.2999999999999998</v>
      </c>
      <c r="Q35">
        <v>3.3</v>
      </c>
      <c r="R35">
        <v>2</v>
      </c>
      <c r="S35">
        <v>1</v>
      </c>
      <c r="T35" t="s">
        <v>25</v>
      </c>
    </row>
    <row r="36" spans="1:20" x14ac:dyDescent="0.25">
      <c r="A36" t="s">
        <v>40</v>
      </c>
      <c r="B36">
        <v>1</v>
      </c>
      <c r="C36" t="s">
        <v>41</v>
      </c>
      <c r="D36" t="s">
        <v>42</v>
      </c>
      <c r="E36" t="s">
        <v>43</v>
      </c>
      <c r="F36">
        <v>200</v>
      </c>
      <c r="G36">
        <v>1400</v>
      </c>
      <c r="H36">
        <v>-2</v>
      </c>
      <c r="I36">
        <v>1980</v>
      </c>
      <c r="J36" t="s">
        <v>36</v>
      </c>
      <c r="K36">
        <v>1523</v>
      </c>
      <c r="L36">
        <v>33.130000000000003</v>
      </c>
      <c r="M36">
        <v>12.33</v>
      </c>
      <c r="N36" t="s">
        <v>44</v>
      </c>
      <c r="O36">
        <v>4</v>
      </c>
      <c r="P36">
        <v>4</v>
      </c>
      <c r="Q36">
        <v>3.5</v>
      </c>
      <c r="R36">
        <v>4</v>
      </c>
      <c r="S36">
        <v>2.7</v>
      </c>
      <c r="T36" t="s">
        <v>25</v>
      </c>
    </row>
    <row r="37" spans="1:20" x14ac:dyDescent="0.25">
      <c r="A37" t="s">
        <v>40</v>
      </c>
      <c r="B37">
        <v>1</v>
      </c>
      <c r="C37" t="s">
        <v>41</v>
      </c>
      <c r="D37" t="s">
        <v>42</v>
      </c>
      <c r="E37" t="s">
        <v>43</v>
      </c>
      <c r="F37">
        <v>200</v>
      </c>
      <c r="G37">
        <v>1400</v>
      </c>
      <c r="H37">
        <v>-2</v>
      </c>
      <c r="I37">
        <v>1980</v>
      </c>
      <c r="J37" t="s">
        <v>37</v>
      </c>
      <c r="K37">
        <v>1524</v>
      </c>
      <c r="L37">
        <v>12.79</v>
      </c>
      <c r="M37">
        <v>8.82</v>
      </c>
      <c r="N37" t="s">
        <v>44</v>
      </c>
      <c r="O37">
        <v>2.5</v>
      </c>
      <c r="P37">
        <v>3</v>
      </c>
      <c r="Q37">
        <v>3.3</v>
      </c>
      <c r="R37">
        <v>4</v>
      </c>
      <c r="S37">
        <v>4</v>
      </c>
      <c r="T37" t="s">
        <v>30</v>
      </c>
    </row>
    <row r="38" spans="1:20" x14ac:dyDescent="0.25">
      <c r="A38" t="s">
        <v>40</v>
      </c>
      <c r="B38">
        <v>2</v>
      </c>
      <c r="C38" t="s">
        <v>41</v>
      </c>
      <c r="D38" t="s">
        <v>42</v>
      </c>
      <c r="E38" t="s">
        <v>43</v>
      </c>
      <c r="F38">
        <v>200</v>
      </c>
      <c r="G38">
        <v>1400</v>
      </c>
      <c r="H38">
        <v>-2</v>
      </c>
      <c r="I38">
        <v>1980</v>
      </c>
      <c r="J38" t="s">
        <v>24</v>
      </c>
      <c r="K38">
        <v>1520</v>
      </c>
      <c r="L38">
        <v>25.92</v>
      </c>
      <c r="M38">
        <v>12.12</v>
      </c>
      <c r="N38" t="s">
        <v>44</v>
      </c>
      <c r="O38">
        <v>3.3</v>
      </c>
      <c r="P38">
        <v>3</v>
      </c>
      <c r="Q38">
        <v>4</v>
      </c>
      <c r="R38">
        <v>3.5</v>
      </c>
      <c r="S38">
        <v>3.5</v>
      </c>
      <c r="T38" t="s">
        <v>25</v>
      </c>
    </row>
    <row r="39" spans="1:20" x14ac:dyDescent="0.25">
      <c r="A39" t="s">
        <v>40</v>
      </c>
      <c r="B39">
        <v>2</v>
      </c>
      <c r="C39" t="s">
        <v>41</v>
      </c>
      <c r="D39" t="s">
        <v>42</v>
      </c>
      <c r="E39" t="s">
        <v>43</v>
      </c>
      <c r="F39">
        <v>200</v>
      </c>
      <c r="G39">
        <v>1400</v>
      </c>
      <c r="H39">
        <v>-2</v>
      </c>
      <c r="I39">
        <v>1980</v>
      </c>
      <c r="J39" t="s">
        <v>26</v>
      </c>
      <c r="K39">
        <v>1487</v>
      </c>
      <c r="L39">
        <v>26.94</v>
      </c>
      <c r="M39">
        <v>9.93</v>
      </c>
      <c r="N39" t="s">
        <v>44</v>
      </c>
      <c r="O39">
        <v>3.3</v>
      </c>
      <c r="P39">
        <v>4</v>
      </c>
      <c r="Q39">
        <v>3</v>
      </c>
      <c r="R39">
        <v>3.5</v>
      </c>
      <c r="S39">
        <v>3</v>
      </c>
      <c r="T39" t="s">
        <v>25</v>
      </c>
    </row>
    <row r="40" spans="1:20" x14ac:dyDescent="0.25">
      <c r="A40" t="s">
        <v>40</v>
      </c>
      <c r="B40">
        <v>2</v>
      </c>
      <c r="C40" t="s">
        <v>41</v>
      </c>
      <c r="D40" t="s">
        <v>42</v>
      </c>
      <c r="E40" t="s">
        <v>43</v>
      </c>
      <c r="F40">
        <v>200</v>
      </c>
      <c r="G40">
        <v>1400</v>
      </c>
      <c r="H40">
        <v>-2</v>
      </c>
      <c r="I40">
        <v>1980</v>
      </c>
      <c r="J40" t="s">
        <v>45</v>
      </c>
      <c r="K40">
        <v>1362</v>
      </c>
      <c r="L40">
        <v>11.88</v>
      </c>
      <c r="M40">
        <v>8.23</v>
      </c>
      <c r="N40" t="s">
        <v>44</v>
      </c>
      <c r="O40">
        <v>2</v>
      </c>
      <c r="P40">
        <v>4</v>
      </c>
      <c r="Q40">
        <v>4</v>
      </c>
      <c r="R40">
        <v>4</v>
      </c>
      <c r="S40">
        <v>4</v>
      </c>
      <c r="T40" t="s">
        <v>30</v>
      </c>
    </row>
    <row r="41" spans="1:20" x14ac:dyDescent="0.25">
      <c r="A41" t="s">
        <v>40</v>
      </c>
      <c r="B41">
        <v>2</v>
      </c>
      <c r="C41" t="s">
        <v>41</v>
      </c>
      <c r="D41" t="s">
        <v>42</v>
      </c>
      <c r="E41" t="s">
        <v>43</v>
      </c>
      <c r="F41">
        <v>200</v>
      </c>
      <c r="G41">
        <v>1400</v>
      </c>
      <c r="H41">
        <v>-2</v>
      </c>
      <c r="I41">
        <v>1980</v>
      </c>
      <c r="J41" t="s">
        <v>32</v>
      </c>
      <c r="K41">
        <v>1596</v>
      </c>
      <c r="L41">
        <v>24.42</v>
      </c>
      <c r="M41">
        <v>10.47</v>
      </c>
      <c r="N41" t="s">
        <v>44</v>
      </c>
      <c r="O41">
        <v>4.5</v>
      </c>
      <c r="P41">
        <v>4</v>
      </c>
      <c r="Q41">
        <v>4.3</v>
      </c>
      <c r="R41">
        <v>3.7</v>
      </c>
      <c r="S41">
        <v>3.3</v>
      </c>
      <c r="T41" t="s">
        <v>27</v>
      </c>
    </row>
    <row r="42" spans="1:20" x14ac:dyDescent="0.25">
      <c r="A42" t="s">
        <v>40</v>
      </c>
      <c r="B42">
        <v>2</v>
      </c>
      <c r="C42" t="s">
        <v>41</v>
      </c>
      <c r="D42" t="s">
        <v>42</v>
      </c>
      <c r="E42" t="s">
        <v>43</v>
      </c>
      <c r="F42">
        <v>200</v>
      </c>
      <c r="G42">
        <v>1400</v>
      </c>
      <c r="H42">
        <v>-2</v>
      </c>
      <c r="I42">
        <v>1980</v>
      </c>
      <c r="J42" t="s">
        <v>33</v>
      </c>
      <c r="K42">
        <v>2088</v>
      </c>
      <c r="L42">
        <v>31.74</v>
      </c>
      <c r="M42">
        <v>11.69</v>
      </c>
      <c r="N42" t="s">
        <v>44</v>
      </c>
      <c r="O42">
        <v>4</v>
      </c>
      <c r="P42">
        <v>2.5</v>
      </c>
      <c r="Q42">
        <v>3</v>
      </c>
      <c r="R42">
        <v>3</v>
      </c>
      <c r="S42">
        <v>2</v>
      </c>
      <c r="T42" t="s">
        <v>25</v>
      </c>
    </row>
    <row r="43" spans="1:20" x14ac:dyDescent="0.25">
      <c r="A43" t="s">
        <v>40</v>
      </c>
      <c r="B43">
        <v>2</v>
      </c>
      <c r="C43" t="s">
        <v>41</v>
      </c>
      <c r="D43" t="s">
        <v>42</v>
      </c>
      <c r="E43" t="s">
        <v>43</v>
      </c>
      <c r="F43">
        <v>200</v>
      </c>
      <c r="G43">
        <v>1400</v>
      </c>
      <c r="H43">
        <v>-2</v>
      </c>
      <c r="I43">
        <v>1980</v>
      </c>
      <c r="J43" t="s">
        <v>34</v>
      </c>
      <c r="K43">
        <v>1522</v>
      </c>
      <c r="L43">
        <v>39.72</v>
      </c>
      <c r="M43">
        <v>13.82</v>
      </c>
      <c r="N43" t="s">
        <v>44</v>
      </c>
      <c r="O43">
        <v>5</v>
      </c>
      <c r="P43">
        <v>4</v>
      </c>
      <c r="Q43">
        <v>3.3</v>
      </c>
      <c r="R43">
        <v>3</v>
      </c>
      <c r="S43">
        <v>2</v>
      </c>
      <c r="T43" t="s">
        <v>27</v>
      </c>
    </row>
    <row r="44" spans="1:20" x14ac:dyDescent="0.25">
      <c r="A44" t="s">
        <v>40</v>
      </c>
      <c r="B44">
        <v>2</v>
      </c>
      <c r="C44" t="s">
        <v>41</v>
      </c>
      <c r="D44" t="s">
        <v>42</v>
      </c>
      <c r="E44" t="s">
        <v>43</v>
      </c>
      <c r="F44">
        <v>200</v>
      </c>
      <c r="G44">
        <v>1400</v>
      </c>
      <c r="H44">
        <v>-2</v>
      </c>
      <c r="I44">
        <v>1980</v>
      </c>
      <c r="J44" t="s">
        <v>35</v>
      </c>
      <c r="K44">
        <v>1521</v>
      </c>
      <c r="L44">
        <v>31.38</v>
      </c>
      <c r="M44">
        <v>13.32</v>
      </c>
      <c r="N44" t="s">
        <v>44</v>
      </c>
      <c r="O44">
        <v>4.3</v>
      </c>
      <c r="P44">
        <v>2.7</v>
      </c>
      <c r="Q44">
        <v>4</v>
      </c>
      <c r="R44">
        <v>3.5</v>
      </c>
      <c r="S44">
        <v>3.3</v>
      </c>
      <c r="T44" t="s">
        <v>27</v>
      </c>
    </row>
    <row r="45" spans="1:20" x14ac:dyDescent="0.25">
      <c r="A45" t="s">
        <v>40</v>
      </c>
      <c r="B45">
        <v>2</v>
      </c>
      <c r="C45" t="s">
        <v>41</v>
      </c>
      <c r="D45" t="s">
        <v>42</v>
      </c>
      <c r="E45" t="s">
        <v>43</v>
      </c>
      <c r="F45">
        <v>200</v>
      </c>
      <c r="G45">
        <v>1400</v>
      </c>
      <c r="H45">
        <v>-2</v>
      </c>
      <c r="I45">
        <v>1980</v>
      </c>
      <c r="J45" t="s">
        <v>36</v>
      </c>
      <c r="K45">
        <v>1523</v>
      </c>
      <c r="L45">
        <v>31.72</v>
      </c>
      <c r="M45">
        <v>9.9600000000000009</v>
      </c>
      <c r="N45" t="s">
        <v>44</v>
      </c>
      <c r="O45">
        <v>4.5</v>
      </c>
      <c r="P45">
        <v>4</v>
      </c>
      <c r="Q45">
        <v>3.5</v>
      </c>
      <c r="R45">
        <v>3.5</v>
      </c>
      <c r="S45">
        <v>3</v>
      </c>
      <c r="T45" t="s">
        <v>27</v>
      </c>
    </row>
    <row r="46" spans="1:20" x14ac:dyDescent="0.25">
      <c r="A46" t="s">
        <v>40</v>
      </c>
      <c r="B46">
        <v>2</v>
      </c>
      <c r="C46" t="s">
        <v>41</v>
      </c>
      <c r="D46" t="s">
        <v>42</v>
      </c>
      <c r="E46" t="s">
        <v>43</v>
      </c>
      <c r="F46">
        <v>200</v>
      </c>
      <c r="G46">
        <v>1400</v>
      </c>
      <c r="H46">
        <v>-2</v>
      </c>
      <c r="I46">
        <v>1980</v>
      </c>
      <c r="J46" t="s">
        <v>37</v>
      </c>
      <c r="K46">
        <v>1524</v>
      </c>
      <c r="L46">
        <v>23.36</v>
      </c>
      <c r="M46">
        <v>10.33</v>
      </c>
      <c r="N46" t="s">
        <v>44</v>
      </c>
      <c r="O46">
        <v>3.3</v>
      </c>
      <c r="P46">
        <v>3</v>
      </c>
      <c r="Q46">
        <v>3</v>
      </c>
      <c r="R46">
        <v>4</v>
      </c>
      <c r="S46">
        <v>4</v>
      </c>
      <c r="T46" t="s">
        <v>25</v>
      </c>
    </row>
    <row r="47" spans="1:20" x14ac:dyDescent="0.25">
      <c r="A47" t="s">
        <v>40</v>
      </c>
      <c r="B47">
        <v>3</v>
      </c>
      <c r="C47" t="s">
        <v>41</v>
      </c>
      <c r="D47" t="s">
        <v>42</v>
      </c>
      <c r="E47" t="s">
        <v>43</v>
      </c>
      <c r="F47">
        <v>200</v>
      </c>
      <c r="G47">
        <v>1400</v>
      </c>
      <c r="H47">
        <v>-2</v>
      </c>
      <c r="I47">
        <v>1980</v>
      </c>
      <c r="J47" t="s">
        <v>24</v>
      </c>
      <c r="K47">
        <v>1520</v>
      </c>
      <c r="L47">
        <v>13.99</v>
      </c>
      <c r="M47">
        <v>5.59</v>
      </c>
      <c r="N47" t="s">
        <v>44</v>
      </c>
      <c r="O47">
        <v>2</v>
      </c>
      <c r="P47">
        <v>4</v>
      </c>
      <c r="Q47">
        <v>3</v>
      </c>
      <c r="R47">
        <v>4</v>
      </c>
      <c r="S47">
        <v>3</v>
      </c>
      <c r="T47" t="s">
        <v>30</v>
      </c>
    </row>
    <row r="48" spans="1:20" x14ac:dyDescent="0.25">
      <c r="A48" t="s">
        <v>40</v>
      </c>
      <c r="B48">
        <v>3</v>
      </c>
      <c r="C48" t="s">
        <v>41</v>
      </c>
      <c r="D48" t="s">
        <v>42</v>
      </c>
      <c r="E48" t="s">
        <v>43</v>
      </c>
      <c r="F48">
        <v>200</v>
      </c>
      <c r="G48">
        <v>1400</v>
      </c>
      <c r="H48">
        <v>-2</v>
      </c>
      <c r="I48">
        <v>1980</v>
      </c>
      <c r="J48" t="s">
        <v>26</v>
      </c>
      <c r="K48">
        <v>1487</v>
      </c>
      <c r="L48">
        <v>3.0720000000000001</v>
      </c>
      <c r="M48">
        <v>9.93</v>
      </c>
      <c r="N48" t="s">
        <v>44</v>
      </c>
      <c r="O48">
        <v>3</v>
      </c>
      <c r="P48">
        <v>4</v>
      </c>
      <c r="Q48">
        <v>2</v>
      </c>
      <c r="R48">
        <v>2</v>
      </c>
      <c r="S48">
        <v>1</v>
      </c>
      <c r="T48" t="s">
        <v>25</v>
      </c>
    </row>
    <row r="49" spans="1:20" x14ac:dyDescent="0.25">
      <c r="A49" t="s">
        <v>40</v>
      </c>
      <c r="B49">
        <v>3</v>
      </c>
      <c r="C49" t="s">
        <v>41</v>
      </c>
      <c r="D49" t="s">
        <v>42</v>
      </c>
      <c r="E49" t="s">
        <v>43</v>
      </c>
      <c r="F49">
        <v>200</v>
      </c>
      <c r="G49">
        <v>1400</v>
      </c>
      <c r="H49">
        <v>-2</v>
      </c>
      <c r="I49">
        <v>1980</v>
      </c>
      <c r="J49" t="s">
        <v>45</v>
      </c>
      <c r="K49">
        <v>1362</v>
      </c>
      <c r="L49">
        <v>26.5</v>
      </c>
      <c r="M49">
        <v>10.97</v>
      </c>
      <c r="N49" t="s">
        <v>44</v>
      </c>
      <c r="O49">
        <v>3.5</v>
      </c>
      <c r="P49">
        <v>3.5</v>
      </c>
      <c r="Q49">
        <v>3.7</v>
      </c>
      <c r="R49">
        <v>4</v>
      </c>
      <c r="S49">
        <v>3.7</v>
      </c>
      <c r="T49" t="s">
        <v>25</v>
      </c>
    </row>
    <row r="50" spans="1:20" x14ac:dyDescent="0.25">
      <c r="A50" t="s">
        <v>40</v>
      </c>
      <c r="B50">
        <v>3</v>
      </c>
      <c r="C50" t="s">
        <v>41</v>
      </c>
      <c r="D50" t="s">
        <v>42</v>
      </c>
      <c r="E50" t="s">
        <v>43</v>
      </c>
      <c r="F50">
        <v>200</v>
      </c>
      <c r="G50">
        <v>1400</v>
      </c>
      <c r="H50">
        <v>-2</v>
      </c>
      <c r="I50">
        <v>1980</v>
      </c>
      <c r="J50" t="s">
        <v>32</v>
      </c>
      <c r="K50">
        <v>1596</v>
      </c>
      <c r="L50">
        <v>24.42</v>
      </c>
      <c r="M50">
        <v>7.85</v>
      </c>
      <c r="N50" t="s">
        <v>44</v>
      </c>
      <c r="O50">
        <v>3</v>
      </c>
      <c r="P50">
        <v>3.5</v>
      </c>
      <c r="Q50">
        <v>3.3</v>
      </c>
      <c r="R50">
        <v>3.3</v>
      </c>
      <c r="S50">
        <v>3.3</v>
      </c>
      <c r="T50" t="s">
        <v>25</v>
      </c>
    </row>
    <row r="51" spans="1:20" x14ac:dyDescent="0.25">
      <c r="A51" t="s">
        <v>40</v>
      </c>
      <c r="B51">
        <v>3</v>
      </c>
      <c r="C51" t="s">
        <v>41</v>
      </c>
      <c r="D51" t="s">
        <v>42</v>
      </c>
      <c r="E51" t="s">
        <v>43</v>
      </c>
      <c r="F51">
        <v>200</v>
      </c>
      <c r="G51">
        <v>1400</v>
      </c>
      <c r="H51">
        <v>-2</v>
      </c>
      <c r="I51">
        <v>1980</v>
      </c>
      <c r="J51" t="s">
        <v>33</v>
      </c>
      <c r="K51">
        <v>2088</v>
      </c>
      <c r="L51">
        <v>32.99</v>
      </c>
      <c r="M51">
        <v>12.53</v>
      </c>
      <c r="N51" t="s">
        <v>44</v>
      </c>
      <c r="O51">
        <v>5</v>
      </c>
      <c r="P51">
        <v>2.5</v>
      </c>
      <c r="Q51">
        <v>4</v>
      </c>
      <c r="R51">
        <v>3</v>
      </c>
      <c r="S51">
        <v>2</v>
      </c>
      <c r="T51" t="s">
        <v>25</v>
      </c>
    </row>
    <row r="52" spans="1:20" x14ac:dyDescent="0.25">
      <c r="A52" t="s">
        <v>40</v>
      </c>
      <c r="B52">
        <v>3</v>
      </c>
      <c r="C52" t="s">
        <v>41</v>
      </c>
      <c r="D52" t="s">
        <v>42</v>
      </c>
      <c r="E52" t="s">
        <v>43</v>
      </c>
      <c r="F52">
        <v>200</v>
      </c>
      <c r="G52">
        <v>1400</v>
      </c>
      <c r="H52">
        <v>-2</v>
      </c>
      <c r="I52">
        <v>1980</v>
      </c>
      <c r="J52" t="s">
        <v>34</v>
      </c>
      <c r="K52">
        <v>1522</v>
      </c>
      <c r="L52">
        <v>30.48</v>
      </c>
      <c r="M52">
        <v>12.09</v>
      </c>
      <c r="N52" t="s">
        <v>44</v>
      </c>
      <c r="O52">
        <v>4.5</v>
      </c>
      <c r="P52">
        <v>4</v>
      </c>
      <c r="Q52">
        <v>3.5</v>
      </c>
      <c r="R52">
        <v>3.5</v>
      </c>
      <c r="S52">
        <v>2.5</v>
      </c>
      <c r="T52" t="s">
        <v>27</v>
      </c>
    </row>
    <row r="53" spans="1:20" x14ac:dyDescent="0.25">
      <c r="A53" t="s">
        <v>40</v>
      </c>
      <c r="B53">
        <v>3</v>
      </c>
      <c r="C53" t="s">
        <v>41</v>
      </c>
      <c r="D53" t="s">
        <v>42</v>
      </c>
      <c r="E53" t="s">
        <v>43</v>
      </c>
      <c r="F53">
        <v>200</v>
      </c>
      <c r="G53">
        <v>1400</v>
      </c>
      <c r="H53">
        <v>-2</v>
      </c>
      <c r="I53">
        <v>1980</v>
      </c>
      <c r="J53" t="s">
        <v>35</v>
      </c>
      <c r="K53">
        <v>1521</v>
      </c>
      <c r="L53">
        <v>9.99</v>
      </c>
      <c r="M53">
        <v>7.49</v>
      </c>
      <c r="N53" t="s">
        <v>44</v>
      </c>
      <c r="O53">
        <v>2</v>
      </c>
      <c r="P53">
        <v>2</v>
      </c>
      <c r="Q53">
        <v>3</v>
      </c>
      <c r="R53">
        <v>4</v>
      </c>
      <c r="S53">
        <v>4</v>
      </c>
      <c r="T53" t="s">
        <v>30</v>
      </c>
    </row>
    <row r="54" spans="1:20" x14ac:dyDescent="0.25">
      <c r="A54" t="s">
        <v>40</v>
      </c>
      <c r="B54">
        <v>3</v>
      </c>
      <c r="C54" t="s">
        <v>41</v>
      </c>
      <c r="D54" t="s">
        <v>42</v>
      </c>
      <c r="E54" t="s">
        <v>43</v>
      </c>
      <c r="F54">
        <v>200</v>
      </c>
      <c r="G54">
        <v>1400</v>
      </c>
      <c r="H54">
        <v>-2</v>
      </c>
      <c r="I54">
        <v>1980</v>
      </c>
      <c r="J54" t="s">
        <v>36</v>
      </c>
      <c r="K54">
        <v>1523</v>
      </c>
      <c r="L54">
        <v>39.65</v>
      </c>
      <c r="M54">
        <v>10.56</v>
      </c>
      <c r="N54" t="s">
        <v>44</v>
      </c>
      <c r="O54">
        <v>4</v>
      </c>
      <c r="P54">
        <v>4.5</v>
      </c>
      <c r="Q54">
        <v>3</v>
      </c>
      <c r="R54">
        <v>3</v>
      </c>
      <c r="S54">
        <v>1</v>
      </c>
      <c r="T54" t="s">
        <v>27</v>
      </c>
    </row>
    <row r="55" spans="1:20" x14ac:dyDescent="0.25">
      <c r="A55" t="s">
        <v>40</v>
      </c>
      <c r="B55">
        <v>3</v>
      </c>
      <c r="C55" t="s">
        <v>41</v>
      </c>
      <c r="D55" t="s">
        <v>42</v>
      </c>
      <c r="E55" t="s">
        <v>43</v>
      </c>
      <c r="F55">
        <v>200</v>
      </c>
      <c r="G55">
        <v>1400</v>
      </c>
      <c r="H55">
        <v>-2</v>
      </c>
      <c r="I55">
        <v>1980</v>
      </c>
      <c r="J55" t="s">
        <v>37</v>
      </c>
      <c r="K55">
        <v>1524</v>
      </c>
      <c r="L55">
        <v>22.72</v>
      </c>
      <c r="M55">
        <v>11.52</v>
      </c>
      <c r="N55" t="s">
        <v>44</v>
      </c>
      <c r="O55">
        <v>3</v>
      </c>
      <c r="P55">
        <v>2.5</v>
      </c>
      <c r="Q55">
        <v>3.5</v>
      </c>
      <c r="R55">
        <v>3.5</v>
      </c>
      <c r="S55">
        <v>2.8</v>
      </c>
      <c r="T55" t="s">
        <v>25</v>
      </c>
    </row>
    <row r="56" spans="1:20" x14ac:dyDescent="0.25">
      <c r="A56" t="s">
        <v>46</v>
      </c>
      <c r="B56">
        <v>1</v>
      </c>
      <c r="C56" t="s">
        <v>47</v>
      </c>
      <c r="D56" t="s">
        <v>48</v>
      </c>
      <c r="E56" t="s">
        <v>49</v>
      </c>
      <c r="F56">
        <v>130</v>
      </c>
      <c r="G56">
        <v>1000</v>
      </c>
      <c r="H56">
        <v>-3</v>
      </c>
      <c r="I56">
        <v>1980</v>
      </c>
      <c r="J56" t="s">
        <v>24</v>
      </c>
      <c r="K56">
        <v>1520</v>
      </c>
      <c r="L56">
        <v>10.1</v>
      </c>
      <c r="M56">
        <v>8.1999999999999993</v>
      </c>
      <c r="N56">
        <v>60</v>
      </c>
      <c r="O56">
        <v>3</v>
      </c>
      <c r="P56">
        <v>4</v>
      </c>
      <c r="Q56">
        <v>3.5</v>
      </c>
      <c r="R56">
        <v>3.5</v>
      </c>
      <c r="S56">
        <v>3.2</v>
      </c>
      <c r="T56" t="s">
        <v>38</v>
      </c>
    </row>
    <row r="57" spans="1:20" x14ac:dyDescent="0.25">
      <c r="A57" t="s">
        <v>46</v>
      </c>
      <c r="B57">
        <v>1</v>
      </c>
      <c r="C57" t="s">
        <v>47</v>
      </c>
      <c r="D57" t="s">
        <v>48</v>
      </c>
      <c r="E57" t="s">
        <v>49</v>
      </c>
      <c r="F57">
        <v>130</v>
      </c>
      <c r="G57">
        <v>1000</v>
      </c>
      <c r="H57">
        <v>-3</v>
      </c>
      <c r="I57">
        <v>1980</v>
      </c>
      <c r="J57" t="s">
        <v>45</v>
      </c>
      <c r="K57">
        <v>1362</v>
      </c>
      <c r="L57">
        <v>4.7</v>
      </c>
      <c r="M57">
        <v>5.5</v>
      </c>
      <c r="N57">
        <v>20</v>
      </c>
      <c r="O57">
        <v>1</v>
      </c>
      <c r="P57">
        <v>1.5</v>
      </c>
      <c r="Q57">
        <v>2</v>
      </c>
      <c r="R57">
        <v>3</v>
      </c>
      <c r="S57">
        <v>3</v>
      </c>
      <c r="T57" t="s">
        <v>50</v>
      </c>
    </row>
    <row r="58" spans="1:20" x14ac:dyDescent="0.25">
      <c r="A58" t="s">
        <v>46</v>
      </c>
      <c r="B58">
        <v>1</v>
      </c>
      <c r="C58" t="s">
        <v>47</v>
      </c>
      <c r="D58" t="s">
        <v>48</v>
      </c>
      <c r="E58" t="s">
        <v>49</v>
      </c>
      <c r="F58">
        <v>130</v>
      </c>
      <c r="G58">
        <v>1000</v>
      </c>
      <c r="H58">
        <v>-3</v>
      </c>
      <c r="I58">
        <v>1980</v>
      </c>
      <c r="J58" t="s">
        <v>32</v>
      </c>
      <c r="K58">
        <v>1596</v>
      </c>
      <c r="L58">
        <v>17</v>
      </c>
      <c r="M58">
        <v>12.6</v>
      </c>
      <c r="N58">
        <v>50</v>
      </c>
      <c r="O58">
        <v>4.3</v>
      </c>
      <c r="P58">
        <v>4</v>
      </c>
      <c r="Q58">
        <v>3.2</v>
      </c>
      <c r="R58">
        <v>4</v>
      </c>
      <c r="S58">
        <v>3.5</v>
      </c>
      <c r="T58" t="s">
        <v>25</v>
      </c>
    </row>
    <row r="59" spans="1:20" x14ac:dyDescent="0.25">
      <c r="A59" t="s">
        <v>46</v>
      </c>
      <c r="B59">
        <v>1</v>
      </c>
      <c r="C59" t="s">
        <v>47</v>
      </c>
      <c r="D59" t="s">
        <v>48</v>
      </c>
      <c r="E59" t="s">
        <v>49</v>
      </c>
      <c r="F59">
        <v>130</v>
      </c>
      <c r="G59">
        <v>1000</v>
      </c>
      <c r="H59">
        <v>-3</v>
      </c>
      <c r="I59">
        <v>1980</v>
      </c>
      <c r="J59" t="s">
        <v>33</v>
      </c>
      <c r="K59">
        <v>2088</v>
      </c>
      <c r="L59">
        <v>10.3</v>
      </c>
      <c r="M59">
        <v>9.4</v>
      </c>
      <c r="N59">
        <v>80</v>
      </c>
      <c r="O59">
        <v>3</v>
      </c>
      <c r="P59">
        <v>2.5</v>
      </c>
      <c r="Q59">
        <v>3</v>
      </c>
      <c r="R59">
        <v>3</v>
      </c>
      <c r="S59">
        <v>3</v>
      </c>
      <c r="T59" t="s">
        <v>25</v>
      </c>
    </row>
    <row r="60" spans="1:20" x14ac:dyDescent="0.25">
      <c r="A60" t="s">
        <v>46</v>
      </c>
      <c r="B60">
        <v>1</v>
      </c>
      <c r="C60" t="s">
        <v>47</v>
      </c>
      <c r="D60" t="s">
        <v>48</v>
      </c>
      <c r="E60" t="s">
        <v>49</v>
      </c>
      <c r="F60">
        <v>130</v>
      </c>
      <c r="G60">
        <v>1000</v>
      </c>
      <c r="H60">
        <v>-3</v>
      </c>
      <c r="I60">
        <v>1980</v>
      </c>
      <c r="J60" t="s">
        <v>34</v>
      </c>
      <c r="K60">
        <v>1522</v>
      </c>
      <c r="L60">
        <v>21.6</v>
      </c>
      <c r="M60">
        <v>12</v>
      </c>
      <c r="N60">
        <v>40</v>
      </c>
      <c r="O60">
        <v>4</v>
      </c>
      <c r="P60">
        <v>3.7</v>
      </c>
      <c r="Q60">
        <v>3.5</v>
      </c>
      <c r="R60">
        <v>3.5</v>
      </c>
      <c r="S60">
        <v>3</v>
      </c>
      <c r="T60" t="s">
        <v>25</v>
      </c>
    </row>
    <row r="61" spans="1:20" x14ac:dyDescent="0.25">
      <c r="A61" t="s">
        <v>46</v>
      </c>
      <c r="B61">
        <v>1</v>
      </c>
      <c r="C61" t="s">
        <v>47</v>
      </c>
      <c r="D61" t="s">
        <v>48</v>
      </c>
      <c r="E61" t="s">
        <v>49</v>
      </c>
      <c r="F61">
        <v>130</v>
      </c>
      <c r="G61">
        <v>1000</v>
      </c>
      <c r="H61">
        <v>-3</v>
      </c>
      <c r="I61">
        <v>1980</v>
      </c>
      <c r="J61" t="s">
        <v>35</v>
      </c>
      <c r="K61">
        <v>1521</v>
      </c>
      <c r="L61">
        <v>11.3</v>
      </c>
      <c r="M61">
        <v>10</v>
      </c>
      <c r="N61">
        <v>40</v>
      </c>
      <c r="O61">
        <v>2.7</v>
      </c>
      <c r="P61">
        <v>2</v>
      </c>
      <c r="Q61">
        <v>3.2</v>
      </c>
      <c r="R61">
        <v>4</v>
      </c>
      <c r="S61">
        <v>3</v>
      </c>
      <c r="T61" t="s">
        <v>38</v>
      </c>
    </row>
    <row r="62" spans="1:20" x14ac:dyDescent="0.25">
      <c r="A62" t="s">
        <v>46</v>
      </c>
      <c r="B62">
        <v>1</v>
      </c>
      <c r="C62" t="s">
        <v>47</v>
      </c>
      <c r="D62" t="s">
        <v>48</v>
      </c>
      <c r="E62" t="s">
        <v>49</v>
      </c>
      <c r="F62">
        <v>130</v>
      </c>
      <c r="G62">
        <v>1000</v>
      </c>
      <c r="H62">
        <v>-3</v>
      </c>
      <c r="I62">
        <v>1980</v>
      </c>
      <c r="J62" t="s">
        <v>36</v>
      </c>
      <c r="K62">
        <v>1523</v>
      </c>
      <c r="L62">
        <v>12.7</v>
      </c>
      <c r="M62">
        <v>9.3000000000000007</v>
      </c>
      <c r="N62">
        <v>80</v>
      </c>
      <c r="O62">
        <v>2.9</v>
      </c>
      <c r="P62">
        <v>4</v>
      </c>
      <c r="Q62">
        <v>3.2</v>
      </c>
      <c r="R62">
        <v>3.9</v>
      </c>
      <c r="S62">
        <v>3.4</v>
      </c>
      <c r="T62" t="s">
        <v>25</v>
      </c>
    </row>
    <row r="63" spans="1:20" x14ac:dyDescent="0.25">
      <c r="A63" t="s">
        <v>46</v>
      </c>
      <c r="B63">
        <v>1</v>
      </c>
      <c r="C63" t="s">
        <v>47</v>
      </c>
      <c r="D63" t="s">
        <v>48</v>
      </c>
      <c r="E63" t="s">
        <v>49</v>
      </c>
      <c r="F63">
        <v>130</v>
      </c>
      <c r="G63">
        <v>1000</v>
      </c>
      <c r="H63">
        <v>-3</v>
      </c>
      <c r="I63">
        <v>1980</v>
      </c>
      <c r="J63" t="s">
        <v>37</v>
      </c>
      <c r="K63">
        <v>1524</v>
      </c>
      <c r="L63">
        <v>5.4</v>
      </c>
      <c r="M63">
        <v>4.5</v>
      </c>
      <c r="N63">
        <v>20</v>
      </c>
      <c r="O63">
        <v>1</v>
      </c>
      <c r="P63">
        <v>2</v>
      </c>
      <c r="Q63">
        <v>3</v>
      </c>
      <c r="R63">
        <v>3</v>
      </c>
      <c r="S63">
        <v>3</v>
      </c>
      <c r="T63" t="s">
        <v>50</v>
      </c>
    </row>
    <row r="64" spans="1:20" x14ac:dyDescent="0.25">
      <c r="A64" t="s">
        <v>46</v>
      </c>
      <c r="B64">
        <v>2</v>
      </c>
      <c r="C64" t="s">
        <v>47</v>
      </c>
      <c r="D64" t="s">
        <v>48</v>
      </c>
      <c r="E64" t="s">
        <v>49</v>
      </c>
      <c r="F64">
        <v>130</v>
      </c>
      <c r="G64">
        <v>1000</v>
      </c>
      <c r="H64">
        <v>-3</v>
      </c>
      <c r="I64">
        <v>1980</v>
      </c>
      <c r="J64" t="s">
        <v>24</v>
      </c>
      <c r="K64">
        <v>1520</v>
      </c>
      <c r="L64">
        <v>6.8</v>
      </c>
      <c r="M64">
        <v>5.5</v>
      </c>
      <c r="N64">
        <v>60</v>
      </c>
      <c r="O64">
        <v>2.5</v>
      </c>
      <c r="P64">
        <v>3.5</v>
      </c>
      <c r="Q64">
        <v>3.5</v>
      </c>
      <c r="R64">
        <v>3.5</v>
      </c>
      <c r="S64">
        <v>3</v>
      </c>
      <c r="T64" t="s">
        <v>30</v>
      </c>
    </row>
    <row r="65" spans="1:20" x14ac:dyDescent="0.25">
      <c r="A65" t="s">
        <v>46</v>
      </c>
      <c r="B65">
        <v>2</v>
      </c>
      <c r="C65" t="s">
        <v>47</v>
      </c>
      <c r="D65" t="s">
        <v>48</v>
      </c>
      <c r="E65" t="s">
        <v>49</v>
      </c>
      <c r="F65">
        <v>130</v>
      </c>
      <c r="G65">
        <v>1000</v>
      </c>
      <c r="H65">
        <v>-3</v>
      </c>
      <c r="I65">
        <v>1980</v>
      </c>
      <c r="J65" t="s">
        <v>26</v>
      </c>
      <c r="K65">
        <v>1487</v>
      </c>
      <c r="L65">
        <v>17.8</v>
      </c>
      <c r="M65">
        <v>10</v>
      </c>
      <c r="N65">
        <v>10</v>
      </c>
      <c r="O65">
        <v>4</v>
      </c>
      <c r="P65">
        <v>4</v>
      </c>
      <c r="Q65">
        <v>3.5</v>
      </c>
      <c r="R65">
        <v>4</v>
      </c>
      <c r="S65">
        <v>2</v>
      </c>
      <c r="T65" t="s">
        <v>25</v>
      </c>
    </row>
    <row r="66" spans="1:20" x14ac:dyDescent="0.25">
      <c r="A66" t="s">
        <v>46</v>
      </c>
      <c r="B66">
        <v>2</v>
      </c>
      <c r="C66" t="s">
        <v>47</v>
      </c>
      <c r="D66" t="s">
        <v>48</v>
      </c>
      <c r="E66" t="s">
        <v>49</v>
      </c>
      <c r="F66">
        <v>130</v>
      </c>
      <c r="G66">
        <v>1000</v>
      </c>
      <c r="H66">
        <v>-3</v>
      </c>
      <c r="I66">
        <v>1980</v>
      </c>
      <c r="J66" t="s">
        <v>32</v>
      </c>
      <c r="K66">
        <v>1596</v>
      </c>
      <c r="L66">
        <v>20.399999999999999</v>
      </c>
      <c r="M66">
        <v>10.199999999999999</v>
      </c>
      <c r="N66">
        <v>60</v>
      </c>
      <c r="O66">
        <v>4</v>
      </c>
      <c r="P66">
        <v>4</v>
      </c>
      <c r="Q66">
        <v>3</v>
      </c>
      <c r="R66">
        <v>3</v>
      </c>
      <c r="S66">
        <v>2.5</v>
      </c>
      <c r="T66" t="s">
        <v>25</v>
      </c>
    </row>
    <row r="67" spans="1:20" x14ac:dyDescent="0.25">
      <c r="A67" t="s">
        <v>46</v>
      </c>
      <c r="B67">
        <v>2</v>
      </c>
      <c r="C67" t="s">
        <v>47</v>
      </c>
      <c r="D67" t="s">
        <v>48</v>
      </c>
      <c r="E67" t="s">
        <v>49</v>
      </c>
      <c r="F67">
        <v>130</v>
      </c>
      <c r="G67">
        <v>1000</v>
      </c>
      <c r="H67">
        <v>-3</v>
      </c>
      <c r="I67">
        <v>1980</v>
      </c>
      <c r="J67" t="s">
        <v>33</v>
      </c>
      <c r="K67">
        <v>2088</v>
      </c>
      <c r="L67">
        <v>19.100000000000001</v>
      </c>
      <c r="M67">
        <v>9.6999999999999993</v>
      </c>
      <c r="N67">
        <v>60</v>
      </c>
      <c r="O67">
        <v>3.7</v>
      </c>
      <c r="P67">
        <v>3</v>
      </c>
      <c r="Q67">
        <v>2</v>
      </c>
      <c r="R67">
        <v>2</v>
      </c>
      <c r="S67">
        <v>1.5</v>
      </c>
      <c r="T67" t="s">
        <v>25</v>
      </c>
    </row>
    <row r="68" spans="1:20" x14ac:dyDescent="0.25">
      <c r="A68" t="s">
        <v>46</v>
      </c>
      <c r="B68">
        <v>2</v>
      </c>
      <c r="C68" t="s">
        <v>47</v>
      </c>
      <c r="D68" t="s">
        <v>48</v>
      </c>
      <c r="E68" t="s">
        <v>49</v>
      </c>
      <c r="F68">
        <v>130</v>
      </c>
      <c r="G68">
        <v>1000</v>
      </c>
      <c r="H68">
        <v>-3</v>
      </c>
      <c r="I68">
        <v>1980</v>
      </c>
      <c r="J68" t="s">
        <v>34</v>
      </c>
      <c r="K68">
        <v>1522</v>
      </c>
      <c r="L68">
        <v>15.5</v>
      </c>
      <c r="M68">
        <v>9.8000000000000007</v>
      </c>
      <c r="N68">
        <v>40</v>
      </c>
      <c r="O68">
        <v>4</v>
      </c>
      <c r="P68">
        <v>3.5</v>
      </c>
      <c r="Q68">
        <v>3.5</v>
      </c>
      <c r="R68">
        <v>3.5</v>
      </c>
      <c r="S68">
        <v>3</v>
      </c>
      <c r="T68" t="s">
        <v>25</v>
      </c>
    </row>
    <row r="69" spans="1:20" x14ac:dyDescent="0.25">
      <c r="A69" t="s">
        <v>46</v>
      </c>
      <c r="B69">
        <v>2</v>
      </c>
      <c r="C69" t="s">
        <v>47</v>
      </c>
      <c r="D69" t="s">
        <v>48</v>
      </c>
      <c r="E69" t="s">
        <v>49</v>
      </c>
      <c r="F69">
        <v>130</v>
      </c>
      <c r="G69">
        <v>1000</v>
      </c>
      <c r="H69">
        <v>-3</v>
      </c>
      <c r="I69">
        <v>1980</v>
      </c>
      <c r="J69" t="s">
        <v>35</v>
      </c>
      <c r="K69">
        <v>1521</v>
      </c>
      <c r="L69">
        <v>13.5</v>
      </c>
      <c r="M69">
        <v>7.7</v>
      </c>
      <c r="N69">
        <v>30</v>
      </c>
      <c r="O69">
        <v>3</v>
      </c>
      <c r="P69">
        <v>2</v>
      </c>
      <c r="Q69">
        <v>3.3</v>
      </c>
      <c r="R69">
        <v>4</v>
      </c>
      <c r="S69">
        <v>3.5</v>
      </c>
      <c r="T69" t="s">
        <v>25</v>
      </c>
    </row>
    <row r="70" spans="1:20" x14ac:dyDescent="0.25">
      <c r="A70" t="s">
        <v>46</v>
      </c>
      <c r="B70">
        <v>2</v>
      </c>
      <c r="C70" t="s">
        <v>47</v>
      </c>
      <c r="D70" t="s">
        <v>48</v>
      </c>
      <c r="E70" t="s">
        <v>49</v>
      </c>
      <c r="F70">
        <v>130</v>
      </c>
      <c r="G70">
        <v>1000</v>
      </c>
      <c r="H70">
        <v>-3</v>
      </c>
      <c r="I70">
        <v>1980</v>
      </c>
      <c r="J70" t="s">
        <v>36</v>
      </c>
      <c r="K70">
        <v>1523</v>
      </c>
      <c r="L70">
        <v>20.8</v>
      </c>
      <c r="M70">
        <v>12</v>
      </c>
      <c r="N70">
        <v>20</v>
      </c>
      <c r="O70">
        <v>3</v>
      </c>
      <c r="P70">
        <v>4</v>
      </c>
      <c r="Q70">
        <v>3</v>
      </c>
      <c r="R70">
        <v>3.5</v>
      </c>
      <c r="S70">
        <v>3</v>
      </c>
      <c r="T70" t="s">
        <v>38</v>
      </c>
    </row>
    <row r="71" spans="1:20" x14ac:dyDescent="0.25">
      <c r="A71" t="s">
        <v>46</v>
      </c>
      <c r="B71">
        <v>2</v>
      </c>
      <c r="C71" t="s">
        <v>47</v>
      </c>
      <c r="D71" t="s">
        <v>48</v>
      </c>
      <c r="E71" t="s">
        <v>49</v>
      </c>
      <c r="F71">
        <v>130</v>
      </c>
      <c r="G71">
        <v>1000</v>
      </c>
      <c r="H71">
        <v>-3</v>
      </c>
      <c r="I71">
        <v>1980</v>
      </c>
      <c r="J71" t="s">
        <v>37</v>
      </c>
      <c r="K71">
        <v>1524</v>
      </c>
      <c r="L71">
        <v>11.5</v>
      </c>
      <c r="M71">
        <v>5.8</v>
      </c>
      <c r="N71">
        <v>40</v>
      </c>
      <c r="O71">
        <v>1.5</v>
      </c>
      <c r="P71">
        <v>2</v>
      </c>
      <c r="Q71">
        <v>2.5</v>
      </c>
      <c r="R71">
        <v>3.5</v>
      </c>
      <c r="S71">
        <v>2.5</v>
      </c>
      <c r="T71" t="s">
        <v>50</v>
      </c>
    </row>
    <row r="72" spans="1:20" x14ac:dyDescent="0.25">
      <c r="A72" t="s">
        <v>46</v>
      </c>
      <c r="B72">
        <v>3</v>
      </c>
      <c r="C72" t="s">
        <v>47</v>
      </c>
      <c r="D72" t="s">
        <v>48</v>
      </c>
      <c r="E72" t="s">
        <v>49</v>
      </c>
      <c r="F72">
        <v>130</v>
      </c>
      <c r="G72">
        <v>1000</v>
      </c>
      <c r="H72">
        <v>-3</v>
      </c>
      <c r="I72">
        <v>1980</v>
      </c>
      <c r="J72" t="s">
        <v>26</v>
      </c>
      <c r="K72">
        <v>1487</v>
      </c>
      <c r="L72">
        <v>37.6</v>
      </c>
      <c r="M72">
        <v>13</v>
      </c>
      <c r="N72">
        <v>10</v>
      </c>
      <c r="O72">
        <v>5</v>
      </c>
      <c r="P72">
        <v>4</v>
      </c>
      <c r="Q72">
        <v>2</v>
      </c>
      <c r="R72">
        <v>2</v>
      </c>
      <c r="S72">
        <v>1</v>
      </c>
      <c r="T72" t="s">
        <v>25</v>
      </c>
    </row>
    <row r="73" spans="1:20" x14ac:dyDescent="0.25">
      <c r="A73" t="s">
        <v>46</v>
      </c>
      <c r="B73">
        <v>3</v>
      </c>
      <c r="C73" t="s">
        <v>47</v>
      </c>
      <c r="D73" t="s">
        <v>48</v>
      </c>
      <c r="E73" t="s">
        <v>49</v>
      </c>
      <c r="F73">
        <v>130</v>
      </c>
      <c r="G73">
        <v>1000</v>
      </c>
      <c r="H73">
        <v>-3</v>
      </c>
      <c r="I73">
        <v>1980</v>
      </c>
      <c r="J73" t="s">
        <v>32</v>
      </c>
      <c r="K73">
        <v>1596</v>
      </c>
      <c r="L73">
        <v>24.5</v>
      </c>
      <c r="M73">
        <v>12</v>
      </c>
      <c r="N73">
        <v>20</v>
      </c>
      <c r="O73">
        <v>4</v>
      </c>
      <c r="P73">
        <v>4</v>
      </c>
      <c r="Q73">
        <v>4</v>
      </c>
      <c r="R73">
        <v>4</v>
      </c>
      <c r="S73">
        <v>2</v>
      </c>
      <c r="T73" t="s">
        <v>25</v>
      </c>
    </row>
    <row r="74" spans="1:20" x14ac:dyDescent="0.25">
      <c r="A74" t="s">
        <v>46</v>
      </c>
      <c r="B74">
        <v>3</v>
      </c>
      <c r="C74" t="s">
        <v>47</v>
      </c>
      <c r="D74" t="s">
        <v>48</v>
      </c>
      <c r="E74" t="s">
        <v>49</v>
      </c>
      <c r="F74">
        <v>130</v>
      </c>
      <c r="G74">
        <v>1000</v>
      </c>
      <c r="H74">
        <v>-3</v>
      </c>
      <c r="I74">
        <v>1980</v>
      </c>
      <c r="J74" t="s">
        <v>33</v>
      </c>
      <c r="K74">
        <v>2088</v>
      </c>
      <c r="L74">
        <v>17.600000000000001</v>
      </c>
      <c r="M74">
        <v>9</v>
      </c>
      <c r="N74">
        <v>90</v>
      </c>
      <c r="O74">
        <v>4.5</v>
      </c>
      <c r="P74">
        <v>2.5</v>
      </c>
      <c r="Q74">
        <v>3</v>
      </c>
      <c r="R74">
        <v>2</v>
      </c>
      <c r="S74">
        <v>1.5</v>
      </c>
      <c r="T74" t="s">
        <v>25</v>
      </c>
    </row>
    <row r="75" spans="1:20" x14ac:dyDescent="0.25">
      <c r="A75" t="s">
        <v>46</v>
      </c>
      <c r="B75">
        <v>3</v>
      </c>
      <c r="C75" t="s">
        <v>47</v>
      </c>
      <c r="D75" t="s">
        <v>48</v>
      </c>
      <c r="E75" t="s">
        <v>49</v>
      </c>
      <c r="F75">
        <v>130</v>
      </c>
      <c r="G75">
        <v>1000</v>
      </c>
      <c r="H75">
        <v>-3</v>
      </c>
      <c r="I75">
        <v>1980</v>
      </c>
      <c r="J75" t="s">
        <v>35</v>
      </c>
      <c r="K75">
        <v>1521</v>
      </c>
      <c r="L75">
        <v>16.2</v>
      </c>
      <c r="M75">
        <v>10.199999999999999</v>
      </c>
      <c r="N75">
        <v>60</v>
      </c>
      <c r="O75">
        <v>4</v>
      </c>
      <c r="P75">
        <v>2.2999999999999998</v>
      </c>
      <c r="Q75">
        <v>3</v>
      </c>
      <c r="R75">
        <v>3.3</v>
      </c>
      <c r="S75">
        <v>3</v>
      </c>
      <c r="T75" t="s">
        <v>27</v>
      </c>
    </row>
    <row r="76" spans="1:20" x14ac:dyDescent="0.25">
      <c r="A76" t="s">
        <v>46</v>
      </c>
      <c r="B76">
        <v>3</v>
      </c>
      <c r="C76" t="s">
        <v>47</v>
      </c>
      <c r="D76" t="s">
        <v>48</v>
      </c>
      <c r="E76" t="s">
        <v>49</v>
      </c>
      <c r="F76">
        <v>130</v>
      </c>
      <c r="G76">
        <v>1000</v>
      </c>
      <c r="H76">
        <v>-3</v>
      </c>
      <c r="I76">
        <v>1980</v>
      </c>
      <c r="J76" t="s">
        <v>36</v>
      </c>
      <c r="K76">
        <v>1523</v>
      </c>
      <c r="L76">
        <v>11.5</v>
      </c>
      <c r="M76">
        <v>9</v>
      </c>
      <c r="N76">
        <v>20</v>
      </c>
      <c r="O76">
        <v>2.7</v>
      </c>
      <c r="P76">
        <v>3.7</v>
      </c>
      <c r="Q76">
        <v>4</v>
      </c>
      <c r="R76">
        <v>4</v>
      </c>
      <c r="S76">
        <v>3</v>
      </c>
      <c r="T76" t="s">
        <v>25</v>
      </c>
    </row>
    <row r="77" spans="1:20" x14ac:dyDescent="0.25">
      <c r="A77" t="s">
        <v>46</v>
      </c>
      <c r="B77">
        <v>3</v>
      </c>
      <c r="C77" t="s">
        <v>47</v>
      </c>
      <c r="D77" t="s">
        <v>48</v>
      </c>
      <c r="E77" t="s">
        <v>49</v>
      </c>
      <c r="F77">
        <v>130</v>
      </c>
      <c r="G77">
        <v>1000</v>
      </c>
      <c r="H77">
        <v>-3</v>
      </c>
      <c r="I77">
        <v>1980</v>
      </c>
      <c r="J77" t="s">
        <v>37</v>
      </c>
      <c r="K77">
        <v>1524</v>
      </c>
      <c r="L77">
        <v>7.6</v>
      </c>
      <c r="M77">
        <v>5.5</v>
      </c>
      <c r="N77">
        <v>20</v>
      </c>
      <c r="O77">
        <v>1</v>
      </c>
      <c r="P77">
        <v>2</v>
      </c>
      <c r="Q77">
        <v>2</v>
      </c>
      <c r="R77">
        <v>3</v>
      </c>
      <c r="S77">
        <v>3</v>
      </c>
      <c r="T77" t="s">
        <v>50</v>
      </c>
    </row>
    <row r="78" spans="1:20" x14ac:dyDescent="0.25">
      <c r="A78" t="s">
        <v>51</v>
      </c>
      <c r="B78">
        <v>1</v>
      </c>
      <c r="C78" t="s">
        <v>52</v>
      </c>
      <c r="D78" t="s">
        <v>53</v>
      </c>
      <c r="E78" t="s">
        <v>54</v>
      </c>
      <c r="F78">
        <v>70</v>
      </c>
      <c r="G78">
        <v>1000</v>
      </c>
      <c r="H78">
        <v>-2</v>
      </c>
      <c r="I78">
        <v>1981</v>
      </c>
      <c r="J78" t="s">
        <v>55</v>
      </c>
      <c r="K78">
        <v>1094</v>
      </c>
      <c r="L78">
        <v>3.4</v>
      </c>
      <c r="M78">
        <v>5.5</v>
      </c>
      <c r="N78">
        <v>50</v>
      </c>
      <c r="O78">
        <v>1</v>
      </c>
      <c r="P78">
        <v>1</v>
      </c>
      <c r="Q78">
        <v>3</v>
      </c>
      <c r="R78">
        <v>3</v>
      </c>
      <c r="S78">
        <v>3</v>
      </c>
      <c r="T78" t="s">
        <v>50</v>
      </c>
    </row>
    <row r="79" spans="1:20" x14ac:dyDescent="0.25">
      <c r="A79" t="s">
        <v>51</v>
      </c>
      <c r="B79">
        <v>1</v>
      </c>
      <c r="C79" t="s">
        <v>52</v>
      </c>
      <c r="D79" t="s">
        <v>53</v>
      </c>
      <c r="E79" t="s">
        <v>54</v>
      </c>
      <c r="F79">
        <v>70</v>
      </c>
      <c r="G79">
        <v>1000</v>
      </c>
      <c r="H79">
        <v>-2</v>
      </c>
      <c r="I79">
        <v>1981</v>
      </c>
      <c r="J79" t="s">
        <v>56</v>
      </c>
      <c r="K79">
        <v>1111</v>
      </c>
      <c r="L79">
        <v>17.600000000000001</v>
      </c>
      <c r="M79">
        <v>12.6</v>
      </c>
      <c r="N79">
        <v>71</v>
      </c>
      <c r="O79">
        <v>3.5</v>
      </c>
      <c r="P79">
        <v>3</v>
      </c>
      <c r="Q79">
        <v>3.3</v>
      </c>
      <c r="R79">
        <v>2.5</v>
      </c>
      <c r="S79">
        <v>2</v>
      </c>
      <c r="T79" t="s">
        <v>25</v>
      </c>
    </row>
    <row r="80" spans="1:20" x14ac:dyDescent="0.25">
      <c r="A80" t="s">
        <v>51</v>
      </c>
      <c r="B80">
        <v>1</v>
      </c>
      <c r="C80" t="s">
        <v>52</v>
      </c>
      <c r="D80" t="s">
        <v>53</v>
      </c>
      <c r="E80" t="s">
        <v>54</v>
      </c>
      <c r="F80">
        <v>70</v>
      </c>
      <c r="G80">
        <v>1000</v>
      </c>
      <c r="H80">
        <v>-2</v>
      </c>
      <c r="I80">
        <v>1981</v>
      </c>
      <c r="J80" t="s">
        <v>57</v>
      </c>
      <c r="K80">
        <v>1112</v>
      </c>
      <c r="L80">
        <v>14</v>
      </c>
      <c r="M80">
        <v>10</v>
      </c>
      <c r="N80">
        <v>100</v>
      </c>
      <c r="O80">
        <v>2.5</v>
      </c>
      <c r="P80">
        <v>1.5</v>
      </c>
      <c r="Q80">
        <v>3</v>
      </c>
      <c r="R80">
        <v>4</v>
      </c>
      <c r="S80">
        <v>4</v>
      </c>
      <c r="T80" t="s">
        <v>30</v>
      </c>
    </row>
    <row r="81" spans="1:20" x14ac:dyDescent="0.25">
      <c r="A81" t="s">
        <v>51</v>
      </c>
      <c r="B81">
        <v>1</v>
      </c>
      <c r="C81" t="s">
        <v>52</v>
      </c>
      <c r="D81" t="s">
        <v>53</v>
      </c>
      <c r="E81" t="s">
        <v>54</v>
      </c>
      <c r="F81">
        <v>70</v>
      </c>
      <c r="G81">
        <v>1000</v>
      </c>
      <c r="H81">
        <v>-2</v>
      </c>
      <c r="I81">
        <v>1981</v>
      </c>
      <c r="J81" t="s">
        <v>57</v>
      </c>
      <c r="K81">
        <v>1113</v>
      </c>
      <c r="L81">
        <v>8.8000000000000007</v>
      </c>
      <c r="M81">
        <v>11.4</v>
      </c>
      <c r="N81">
        <v>100</v>
      </c>
      <c r="O81">
        <v>2</v>
      </c>
      <c r="P81">
        <v>2</v>
      </c>
      <c r="Q81">
        <v>4</v>
      </c>
      <c r="R81">
        <v>4</v>
      </c>
      <c r="S81">
        <v>4</v>
      </c>
      <c r="T81" t="s">
        <v>30</v>
      </c>
    </row>
    <row r="82" spans="1:20" x14ac:dyDescent="0.25">
      <c r="A82" t="s">
        <v>51</v>
      </c>
      <c r="B82">
        <v>1</v>
      </c>
      <c r="C82" t="s">
        <v>52</v>
      </c>
      <c r="D82" t="s">
        <v>53</v>
      </c>
      <c r="E82" t="s">
        <v>54</v>
      </c>
      <c r="F82">
        <v>70</v>
      </c>
      <c r="G82">
        <v>1000</v>
      </c>
      <c r="H82">
        <v>-2</v>
      </c>
      <c r="I82">
        <v>1981</v>
      </c>
      <c r="J82" t="s">
        <v>58</v>
      </c>
      <c r="K82">
        <v>1338</v>
      </c>
      <c r="L82">
        <v>15.8</v>
      </c>
      <c r="M82">
        <v>10</v>
      </c>
      <c r="N82">
        <v>38</v>
      </c>
      <c r="O82">
        <v>3.5</v>
      </c>
      <c r="P82">
        <v>3.5</v>
      </c>
      <c r="Q82">
        <v>3.3</v>
      </c>
      <c r="R82">
        <v>3.5</v>
      </c>
      <c r="S82">
        <v>3</v>
      </c>
      <c r="T82" t="s">
        <v>38</v>
      </c>
    </row>
    <row r="83" spans="1:20" x14ac:dyDescent="0.25">
      <c r="A83" t="s">
        <v>51</v>
      </c>
      <c r="B83">
        <v>1</v>
      </c>
      <c r="C83" t="s">
        <v>52</v>
      </c>
      <c r="D83" t="s">
        <v>53</v>
      </c>
      <c r="E83" t="s">
        <v>54</v>
      </c>
      <c r="F83">
        <v>70</v>
      </c>
      <c r="G83">
        <v>1000</v>
      </c>
      <c r="H83">
        <v>-2</v>
      </c>
      <c r="I83">
        <v>1981</v>
      </c>
      <c r="J83" t="s">
        <v>59</v>
      </c>
      <c r="K83">
        <v>1482</v>
      </c>
      <c r="L83">
        <v>15.5</v>
      </c>
      <c r="M83">
        <v>10.5</v>
      </c>
      <c r="N83">
        <v>50</v>
      </c>
      <c r="O83">
        <v>3</v>
      </c>
      <c r="P83">
        <v>3.3</v>
      </c>
      <c r="Q83">
        <v>3.3</v>
      </c>
      <c r="R83">
        <v>3</v>
      </c>
      <c r="S83">
        <v>3</v>
      </c>
      <c r="T83" t="s">
        <v>27</v>
      </c>
    </row>
    <row r="84" spans="1:20" x14ac:dyDescent="0.25">
      <c r="A84" t="s">
        <v>51</v>
      </c>
      <c r="B84">
        <v>1</v>
      </c>
      <c r="C84" t="s">
        <v>52</v>
      </c>
      <c r="D84" t="s">
        <v>53</v>
      </c>
      <c r="E84" t="s">
        <v>54</v>
      </c>
      <c r="F84">
        <v>70</v>
      </c>
      <c r="G84">
        <v>1000</v>
      </c>
      <c r="H84">
        <v>-2</v>
      </c>
      <c r="I84">
        <v>1981</v>
      </c>
      <c r="J84" t="s">
        <v>59</v>
      </c>
      <c r="K84">
        <v>1978</v>
      </c>
      <c r="L84">
        <v>14.6</v>
      </c>
      <c r="M84">
        <v>11.1</v>
      </c>
      <c r="N84">
        <v>100</v>
      </c>
      <c r="O84">
        <v>4</v>
      </c>
      <c r="P84">
        <v>3</v>
      </c>
      <c r="Q84">
        <v>3.5</v>
      </c>
      <c r="R84">
        <v>3.5</v>
      </c>
      <c r="S84">
        <v>3.3</v>
      </c>
      <c r="T84" t="s">
        <v>25</v>
      </c>
    </row>
    <row r="85" spans="1:20" x14ac:dyDescent="0.25">
      <c r="A85" t="s">
        <v>51</v>
      </c>
      <c r="B85">
        <v>1</v>
      </c>
      <c r="C85" t="s">
        <v>52</v>
      </c>
      <c r="D85" t="s">
        <v>53</v>
      </c>
      <c r="E85" t="s">
        <v>54</v>
      </c>
      <c r="F85">
        <v>70</v>
      </c>
      <c r="G85">
        <v>1000</v>
      </c>
      <c r="H85">
        <v>-2</v>
      </c>
      <c r="I85">
        <v>1981</v>
      </c>
      <c r="J85" t="s">
        <v>26</v>
      </c>
      <c r="K85">
        <v>1339</v>
      </c>
      <c r="L85">
        <v>17.3</v>
      </c>
      <c r="M85">
        <v>13.2</v>
      </c>
      <c r="N85">
        <v>71</v>
      </c>
      <c r="O85">
        <v>3.3</v>
      </c>
      <c r="P85">
        <v>3</v>
      </c>
      <c r="Q85">
        <v>3</v>
      </c>
      <c r="R85">
        <v>3</v>
      </c>
      <c r="S85">
        <v>3</v>
      </c>
      <c r="T85" t="s">
        <v>38</v>
      </c>
    </row>
    <row r="86" spans="1:20" x14ac:dyDescent="0.25">
      <c r="A86" t="s">
        <v>51</v>
      </c>
      <c r="B86">
        <v>1</v>
      </c>
      <c r="C86" t="s">
        <v>52</v>
      </c>
      <c r="D86" t="s">
        <v>53</v>
      </c>
      <c r="E86" t="s">
        <v>54</v>
      </c>
      <c r="F86">
        <v>70</v>
      </c>
      <c r="G86">
        <v>1000</v>
      </c>
      <c r="H86">
        <v>-2</v>
      </c>
      <c r="I86">
        <v>1981</v>
      </c>
      <c r="J86" t="s">
        <v>26</v>
      </c>
      <c r="K86">
        <v>1786</v>
      </c>
      <c r="L86">
        <v>13.3</v>
      </c>
      <c r="M86">
        <v>10.8</v>
      </c>
      <c r="N86">
        <v>75</v>
      </c>
      <c r="O86">
        <v>4</v>
      </c>
      <c r="P86">
        <v>3.8</v>
      </c>
      <c r="Q86">
        <v>4</v>
      </c>
      <c r="R86">
        <v>4</v>
      </c>
      <c r="S86">
        <v>4</v>
      </c>
      <c r="T86" t="s">
        <v>27</v>
      </c>
    </row>
    <row r="87" spans="1:20" x14ac:dyDescent="0.25">
      <c r="A87" t="s">
        <v>51</v>
      </c>
      <c r="B87">
        <v>1</v>
      </c>
      <c r="C87" t="s">
        <v>52</v>
      </c>
      <c r="D87" t="s">
        <v>53</v>
      </c>
      <c r="E87" t="s">
        <v>54</v>
      </c>
      <c r="F87">
        <v>70</v>
      </c>
      <c r="G87">
        <v>1000</v>
      </c>
      <c r="H87">
        <v>-2</v>
      </c>
      <c r="I87">
        <v>1981</v>
      </c>
      <c r="J87" t="s">
        <v>26</v>
      </c>
      <c r="K87">
        <v>2447</v>
      </c>
      <c r="L87">
        <v>19.8</v>
      </c>
      <c r="M87">
        <v>10.7</v>
      </c>
      <c r="N87">
        <v>75</v>
      </c>
      <c r="O87">
        <v>4.5</v>
      </c>
      <c r="P87">
        <v>3</v>
      </c>
      <c r="Q87">
        <v>3</v>
      </c>
      <c r="R87">
        <v>3</v>
      </c>
      <c r="S87">
        <v>2.5</v>
      </c>
      <c r="T87" t="s">
        <v>25</v>
      </c>
    </row>
    <row r="88" spans="1:20" x14ac:dyDescent="0.25">
      <c r="A88" t="s">
        <v>51</v>
      </c>
      <c r="B88">
        <v>1</v>
      </c>
      <c r="C88" t="s">
        <v>52</v>
      </c>
      <c r="D88" t="s">
        <v>53</v>
      </c>
      <c r="E88" t="s">
        <v>54</v>
      </c>
      <c r="F88">
        <v>70</v>
      </c>
      <c r="G88">
        <v>1000</v>
      </c>
      <c r="H88">
        <v>-2</v>
      </c>
      <c r="I88">
        <v>1981</v>
      </c>
      <c r="J88" t="s">
        <v>60</v>
      </c>
      <c r="K88">
        <v>1595</v>
      </c>
      <c r="L88">
        <v>5.2</v>
      </c>
      <c r="M88">
        <v>4.3</v>
      </c>
      <c r="N88">
        <v>75</v>
      </c>
      <c r="O88">
        <v>0.5</v>
      </c>
      <c r="P88">
        <v>0.5</v>
      </c>
      <c r="Q88">
        <v>4</v>
      </c>
      <c r="R88">
        <v>4</v>
      </c>
      <c r="S88">
        <v>4</v>
      </c>
      <c r="T88" t="s">
        <v>50</v>
      </c>
    </row>
    <row r="89" spans="1:20" x14ac:dyDescent="0.25">
      <c r="A89" t="s">
        <v>51</v>
      </c>
      <c r="B89">
        <v>1</v>
      </c>
      <c r="C89" t="s">
        <v>52</v>
      </c>
      <c r="D89" t="s">
        <v>53</v>
      </c>
      <c r="E89" t="s">
        <v>54</v>
      </c>
      <c r="F89">
        <v>70</v>
      </c>
      <c r="G89">
        <v>1000</v>
      </c>
      <c r="H89">
        <v>-2</v>
      </c>
      <c r="I89">
        <v>1981</v>
      </c>
      <c r="J89" t="s">
        <v>61</v>
      </c>
      <c r="K89">
        <v>1171</v>
      </c>
      <c r="L89">
        <v>15</v>
      </c>
      <c r="M89">
        <v>11.3</v>
      </c>
      <c r="N89">
        <v>88</v>
      </c>
      <c r="O89">
        <v>2.2999999999999998</v>
      </c>
      <c r="P89">
        <v>1.7</v>
      </c>
      <c r="Q89">
        <v>3</v>
      </c>
      <c r="R89">
        <v>3</v>
      </c>
      <c r="S89">
        <v>2</v>
      </c>
      <c r="T89" t="s">
        <v>30</v>
      </c>
    </row>
    <row r="90" spans="1:20" x14ac:dyDescent="0.25">
      <c r="A90" t="s">
        <v>51</v>
      </c>
      <c r="B90">
        <v>1</v>
      </c>
      <c r="C90" t="s">
        <v>52</v>
      </c>
      <c r="D90" t="s">
        <v>53</v>
      </c>
      <c r="E90" t="s">
        <v>54</v>
      </c>
      <c r="F90">
        <v>70</v>
      </c>
      <c r="G90">
        <v>1000</v>
      </c>
      <c r="H90">
        <v>-2</v>
      </c>
      <c r="I90">
        <v>1981</v>
      </c>
      <c r="J90" t="s">
        <v>32</v>
      </c>
      <c r="K90">
        <v>1596</v>
      </c>
      <c r="L90">
        <v>15.3</v>
      </c>
      <c r="M90">
        <v>10.8</v>
      </c>
      <c r="N90">
        <v>75</v>
      </c>
      <c r="O90">
        <v>3</v>
      </c>
      <c r="P90">
        <v>3</v>
      </c>
      <c r="Q90">
        <v>3</v>
      </c>
      <c r="R90">
        <v>4</v>
      </c>
      <c r="S90">
        <v>3.5</v>
      </c>
      <c r="T90" t="s">
        <v>27</v>
      </c>
    </row>
    <row r="91" spans="1:20" x14ac:dyDescent="0.25">
      <c r="A91" t="s">
        <v>51</v>
      </c>
      <c r="B91">
        <v>1</v>
      </c>
      <c r="C91" t="s">
        <v>52</v>
      </c>
      <c r="D91" t="s">
        <v>53</v>
      </c>
      <c r="E91" t="s">
        <v>54</v>
      </c>
      <c r="F91">
        <v>70</v>
      </c>
      <c r="G91">
        <v>1000</v>
      </c>
      <c r="H91">
        <v>-2</v>
      </c>
      <c r="I91">
        <v>1981</v>
      </c>
      <c r="J91" t="s">
        <v>34</v>
      </c>
      <c r="K91">
        <v>2459</v>
      </c>
      <c r="L91">
        <v>19</v>
      </c>
      <c r="M91">
        <v>16</v>
      </c>
      <c r="N91">
        <v>88</v>
      </c>
      <c r="O91">
        <v>4.3</v>
      </c>
      <c r="P91">
        <v>3</v>
      </c>
      <c r="Q91">
        <v>4.8</v>
      </c>
      <c r="R91">
        <v>4</v>
      </c>
      <c r="S91">
        <v>4</v>
      </c>
      <c r="T91" t="s">
        <v>27</v>
      </c>
    </row>
    <row r="92" spans="1:20" x14ac:dyDescent="0.25">
      <c r="A92" t="s">
        <v>51</v>
      </c>
      <c r="B92">
        <v>1</v>
      </c>
      <c r="C92" t="s">
        <v>52</v>
      </c>
      <c r="D92" t="s">
        <v>53</v>
      </c>
      <c r="E92" t="s">
        <v>54</v>
      </c>
      <c r="F92">
        <v>70</v>
      </c>
      <c r="G92">
        <v>1000</v>
      </c>
      <c r="H92">
        <v>-2</v>
      </c>
      <c r="I92">
        <v>1981</v>
      </c>
      <c r="J92" t="s">
        <v>35</v>
      </c>
      <c r="K92">
        <v>1785</v>
      </c>
      <c r="L92">
        <v>7.2</v>
      </c>
      <c r="M92">
        <v>6</v>
      </c>
      <c r="N92">
        <v>50</v>
      </c>
      <c r="O92">
        <v>1.3</v>
      </c>
      <c r="P92">
        <v>1.3</v>
      </c>
      <c r="Q92">
        <v>4</v>
      </c>
      <c r="R92">
        <v>4</v>
      </c>
      <c r="S92">
        <v>4</v>
      </c>
      <c r="T92" t="s">
        <v>50</v>
      </c>
    </row>
    <row r="93" spans="1:20" x14ac:dyDescent="0.25">
      <c r="A93" t="s">
        <v>51</v>
      </c>
      <c r="B93">
        <v>1</v>
      </c>
      <c r="C93" t="s">
        <v>52</v>
      </c>
      <c r="D93" t="s">
        <v>53</v>
      </c>
      <c r="E93" t="s">
        <v>54</v>
      </c>
      <c r="F93">
        <v>70</v>
      </c>
      <c r="G93">
        <v>1000</v>
      </c>
      <c r="H93">
        <v>-2</v>
      </c>
      <c r="I93">
        <v>1981</v>
      </c>
      <c r="J93" t="s">
        <v>36</v>
      </c>
      <c r="K93">
        <v>1598</v>
      </c>
      <c r="L93">
        <v>15.9</v>
      </c>
      <c r="M93">
        <v>12.8</v>
      </c>
      <c r="N93">
        <v>100</v>
      </c>
      <c r="O93">
        <v>4</v>
      </c>
      <c r="P93">
        <v>4</v>
      </c>
      <c r="Q93">
        <v>3.3</v>
      </c>
      <c r="R93">
        <v>4</v>
      </c>
      <c r="S93">
        <v>3</v>
      </c>
      <c r="T93" t="s">
        <v>27</v>
      </c>
    </row>
    <row r="94" spans="1:20" x14ac:dyDescent="0.25">
      <c r="A94" t="s">
        <v>51</v>
      </c>
      <c r="B94">
        <v>1</v>
      </c>
      <c r="C94" t="s">
        <v>52</v>
      </c>
      <c r="D94" t="s">
        <v>53</v>
      </c>
      <c r="E94" t="s">
        <v>54</v>
      </c>
      <c r="F94">
        <v>70</v>
      </c>
      <c r="G94">
        <v>1000</v>
      </c>
      <c r="H94">
        <v>-2</v>
      </c>
      <c r="I94">
        <v>1981</v>
      </c>
      <c r="J94" t="s">
        <v>62</v>
      </c>
      <c r="K94">
        <v>1787</v>
      </c>
      <c r="L94">
        <v>18.100000000000001</v>
      </c>
      <c r="M94">
        <v>14.8</v>
      </c>
      <c r="N94">
        <v>100</v>
      </c>
      <c r="O94">
        <v>4.5999999999999996</v>
      </c>
      <c r="P94">
        <v>4</v>
      </c>
      <c r="Q94">
        <v>4.3</v>
      </c>
      <c r="R94">
        <v>4.3</v>
      </c>
      <c r="S94">
        <v>4</v>
      </c>
      <c r="T94" t="s">
        <v>27</v>
      </c>
    </row>
    <row r="95" spans="1:20" x14ac:dyDescent="0.25">
      <c r="A95" t="s">
        <v>51</v>
      </c>
      <c r="B95">
        <v>1</v>
      </c>
      <c r="C95" t="s">
        <v>52</v>
      </c>
      <c r="D95" t="s">
        <v>53</v>
      </c>
      <c r="E95" t="s">
        <v>54</v>
      </c>
      <c r="F95">
        <v>70</v>
      </c>
      <c r="G95">
        <v>1000</v>
      </c>
      <c r="H95">
        <v>-2</v>
      </c>
      <c r="I95">
        <v>1981</v>
      </c>
      <c r="J95" t="s">
        <v>62</v>
      </c>
      <c r="K95">
        <v>2482</v>
      </c>
      <c r="L95">
        <v>17</v>
      </c>
      <c r="M95">
        <v>14.1</v>
      </c>
      <c r="N95">
        <v>88</v>
      </c>
      <c r="O95">
        <v>4.5</v>
      </c>
      <c r="P95">
        <v>3</v>
      </c>
      <c r="Q95">
        <v>3.7</v>
      </c>
      <c r="R95">
        <v>3.7</v>
      </c>
      <c r="S95">
        <v>3.7</v>
      </c>
      <c r="T95" t="s">
        <v>27</v>
      </c>
    </row>
    <row r="96" spans="1:20" x14ac:dyDescent="0.25">
      <c r="A96" t="s">
        <v>51</v>
      </c>
      <c r="B96">
        <v>1</v>
      </c>
      <c r="C96" t="s">
        <v>52</v>
      </c>
      <c r="D96" t="s">
        <v>53</v>
      </c>
      <c r="E96" t="s">
        <v>54</v>
      </c>
      <c r="F96">
        <v>70</v>
      </c>
      <c r="G96">
        <v>1000</v>
      </c>
      <c r="H96">
        <v>-2</v>
      </c>
      <c r="I96">
        <v>1981</v>
      </c>
      <c r="J96" t="s">
        <v>62</v>
      </c>
      <c r="K96">
        <v>2431</v>
      </c>
      <c r="L96">
        <v>26.1</v>
      </c>
      <c r="M96">
        <v>16</v>
      </c>
      <c r="N96">
        <v>38</v>
      </c>
      <c r="O96">
        <v>5</v>
      </c>
      <c r="P96">
        <v>3</v>
      </c>
      <c r="Q96">
        <v>4</v>
      </c>
      <c r="R96">
        <v>4</v>
      </c>
      <c r="S96">
        <v>2.7</v>
      </c>
      <c r="T96" t="s">
        <v>27</v>
      </c>
    </row>
    <row r="97" spans="1:20" x14ac:dyDescent="0.25">
      <c r="A97" t="s">
        <v>51</v>
      </c>
      <c r="B97">
        <v>1</v>
      </c>
      <c r="C97" t="s">
        <v>52</v>
      </c>
      <c r="D97" t="s">
        <v>53</v>
      </c>
      <c r="E97" t="s">
        <v>54</v>
      </c>
      <c r="F97">
        <v>70</v>
      </c>
      <c r="G97">
        <v>1000</v>
      </c>
      <c r="H97">
        <v>-2</v>
      </c>
      <c r="I97">
        <v>1981</v>
      </c>
      <c r="J97" t="s">
        <v>37</v>
      </c>
      <c r="K97">
        <v>1524</v>
      </c>
      <c r="L97">
        <v>12.2</v>
      </c>
      <c r="M97">
        <v>13.8</v>
      </c>
      <c r="N97">
        <v>50</v>
      </c>
      <c r="O97">
        <v>2</v>
      </c>
      <c r="P97">
        <v>1.5</v>
      </c>
      <c r="Q97">
        <v>3</v>
      </c>
      <c r="R97">
        <v>3</v>
      </c>
      <c r="S97">
        <v>3</v>
      </c>
      <c r="T97" t="s">
        <v>30</v>
      </c>
    </row>
    <row r="98" spans="1:20" x14ac:dyDescent="0.25">
      <c r="A98" t="s">
        <v>51</v>
      </c>
      <c r="B98">
        <v>1</v>
      </c>
      <c r="C98" t="s">
        <v>52</v>
      </c>
      <c r="D98" t="s">
        <v>53</v>
      </c>
      <c r="E98" t="s">
        <v>54</v>
      </c>
      <c r="F98">
        <v>70</v>
      </c>
      <c r="G98">
        <v>1000</v>
      </c>
      <c r="H98">
        <v>-2</v>
      </c>
      <c r="I98">
        <v>1981</v>
      </c>
      <c r="J98" t="s">
        <v>63</v>
      </c>
      <c r="K98">
        <v>1340</v>
      </c>
      <c r="L98">
        <v>9.3000000000000007</v>
      </c>
      <c r="M98">
        <v>4.3</v>
      </c>
      <c r="N98">
        <v>63</v>
      </c>
      <c r="O98">
        <v>1</v>
      </c>
      <c r="P98">
        <v>1.2</v>
      </c>
      <c r="Q98">
        <v>1</v>
      </c>
      <c r="R98">
        <v>1</v>
      </c>
      <c r="S98">
        <v>1</v>
      </c>
      <c r="T98" t="s">
        <v>50</v>
      </c>
    </row>
    <row r="99" spans="1:20" x14ac:dyDescent="0.25">
      <c r="A99" t="s">
        <v>51</v>
      </c>
      <c r="B99">
        <v>1</v>
      </c>
      <c r="C99" t="s">
        <v>52</v>
      </c>
      <c r="D99" t="s">
        <v>53</v>
      </c>
      <c r="E99" t="s">
        <v>54</v>
      </c>
      <c r="F99">
        <v>70</v>
      </c>
      <c r="G99">
        <v>1000</v>
      </c>
      <c r="H99">
        <v>-2</v>
      </c>
      <c r="I99">
        <v>1981</v>
      </c>
      <c r="J99" t="s">
        <v>62</v>
      </c>
      <c r="K99">
        <v>2428</v>
      </c>
      <c r="L99">
        <v>22.6</v>
      </c>
      <c r="M99">
        <v>13.4</v>
      </c>
      <c r="N99">
        <v>100</v>
      </c>
      <c r="O99">
        <v>5</v>
      </c>
      <c r="P99">
        <v>3</v>
      </c>
      <c r="Q99">
        <v>2.2999999999999998</v>
      </c>
      <c r="R99">
        <v>2.7</v>
      </c>
      <c r="S99">
        <v>2</v>
      </c>
      <c r="T99" t="s">
        <v>27</v>
      </c>
    </row>
    <row r="100" spans="1:20" x14ac:dyDescent="0.25">
      <c r="A100" t="s">
        <v>51</v>
      </c>
      <c r="B100">
        <v>2</v>
      </c>
      <c r="C100" t="s">
        <v>52</v>
      </c>
      <c r="D100" t="s">
        <v>53</v>
      </c>
      <c r="E100" t="s">
        <v>54</v>
      </c>
      <c r="F100">
        <v>70</v>
      </c>
      <c r="G100">
        <v>1000</v>
      </c>
      <c r="H100">
        <v>-2</v>
      </c>
      <c r="I100">
        <v>1981</v>
      </c>
      <c r="J100" t="s">
        <v>55</v>
      </c>
      <c r="K100">
        <v>1094</v>
      </c>
      <c r="L100">
        <v>7.8</v>
      </c>
      <c r="M100">
        <v>7.4</v>
      </c>
      <c r="N100">
        <v>63</v>
      </c>
      <c r="O100">
        <v>1</v>
      </c>
      <c r="P100">
        <v>1</v>
      </c>
      <c r="Q100">
        <v>3</v>
      </c>
      <c r="R100">
        <v>3</v>
      </c>
      <c r="S100">
        <v>3</v>
      </c>
      <c r="T100" t="s">
        <v>50</v>
      </c>
    </row>
    <row r="101" spans="1:20" x14ac:dyDescent="0.25">
      <c r="A101" t="s">
        <v>51</v>
      </c>
      <c r="B101">
        <v>2</v>
      </c>
      <c r="C101" t="s">
        <v>52</v>
      </c>
      <c r="D101" t="s">
        <v>53</v>
      </c>
      <c r="E101" t="s">
        <v>54</v>
      </c>
      <c r="F101">
        <v>70</v>
      </c>
      <c r="G101">
        <v>1000</v>
      </c>
      <c r="H101">
        <v>-2</v>
      </c>
      <c r="I101">
        <v>1981</v>
      </c>
      <c r="J101" t="s">
        <v>56</v>
      </c>
      <c r="K101">
        <v>1111</v>
      </c>
      <c r="L101">
        <v>16.399999999999999</v>
      </c>
      <c r="M101">
        <v>13.3</v>
      </c>
      <c r="N101">
        <v>100</v>
      </c>
      <c r="O101">
        <v>4.5</v>
      </c>
      <c r="P101">
        <v>3</v>
      </c>
      <c r="Q101">
        <v>3.3</v>
      </c>
      <c r="R101">
        <v>3.3</v>
      </c>
      <c r="S101">
        <v>2.7</v>
      </c>
      <c r="T101" t="s">
        <v>25</v>
      </c>
    </row>
    <row r="102" spans="1:20" x14ac:dyDescent="0.25">
      <c r="A102" t="s">
        <v>51</v>
      </c>
      <c r="B102">
        <v>2</v>
      </c>
      <c r="C102" t="s">
        <v>52</v>
      </c>
      <c r="D102" t="s">
        <v>53</v>
      </c>
      <c r="E102" t="s">
        <v>54</v>
      </c>
      <c r="F102">
        <v>70</v>
      </c>
      <c r="G102">
        <v>1000</v>
      </c>
      <c r="H102">
        <v>-2</v>
      </c>
      <c r="I102">
        <v>1981</v>
      </c>
      <c r="J102" t="s">
        <v>57</v>
      </c>
      <c r="K102">
        <v>1112</v>
      </c>
      <c r="L102">
        <v>11.9</v>
      </c>
      <c r="M102">
        <v>9.6999999999999993</v>
      </c>
      <c r="N102">
        <v>100</v>
      </c>
      <c r="O102">
        <v>2.2999999999999998</v>
      </c>
      <c r="P102">
        <v>1.8</v>
      </c>
      <c r="Q102">
        <v>3</v>
      </c>
      <c r="R102">
        <v>3.5</v>
      </c>
      <c r="S102">
        <v>3.2</v>
      </c>
      <c r="T102" t="s">
        <v>30</v>
      </c>
    </row>
    <row r="103" spans="1:20" x14ac:dyDescent="0.25">
      <c r="A103" t="s">
        <v>51</v>
      </c>
      <c r="B103">
        <v>2</v>
      </c>
      <c r="C103" t="s">
        <v>52</v>
      </c>
      <c r="D103" t="s">
        <v>53</v>
      </c>
      <c r="E103" t="s">
        <v>54</v>
      </c>
      <c r="F103">
        <v>70</v>
      </c>
      <c r="G103">
        <v>1000</v>
      </c>
      <c r="H103">
        <v>-2</v>
      </c>
      <c r="I103">
        <v>1981</v>
      </c>
      <c r="J103" t="s">
        <v>57</v>
      </c>
      <c r="K103">
        <v>1113</v>
      </c>
      <c r="L103">
        <v>10.4</v>
      </c>
      <c r="M103">
        <v>9.4</v>
      </c>
      <c r="N103">
        <v>88</v>
      </c>
      <c r="O103">
        <v>2</v>
      </c>
      <c r="P103">
        <v>1.7</v>
      </c>
      <c r="Q103">
        <v>4</v>
      </c>
      <c r="R103">
        <v>4</v>
      </c>
      <c r="S103">
        <v>4</v>
      </c>
      <c r="T103" t="s">
        <v>30</v>
      </c>
    </row>
    <row r="104" spans="1:20" x14ac:dyDescent="0.25">
      <c r="A104" t="s">
        <v>51</v>
      </c>
      <c r="B104">
        <v>2</v>
      </c>
      <c r="C104" t="s">
        <v>52</v>
      </c>
      <c r="D104" t="s">
        <v>53</v>
      </c>
      <c r="E104" t="s">
        <v>54</v>
      </c>
      <c r="F104">
        <v>70</v>
      </c>
      <c r="G104">
        <v>1000</v>
      </c>
      <c r="H104">
        <v>-2</v>
      </c>
      <c r="I104">
        <v>1981</v>
      </c>
      <c r="J104" t="s">
        <v>58</v>
      </c>
      <c r="K104">
        <v>1338</v>
      </c>
      <c r="L104">
        <v>13.5</v>
      </c>
      <c r="M104">
        <v>10</v>
      </c>
      <c r="N104">
        <v>13</v>
      </c>
      <c r="O104">
        <v>3</v>
      </c>
      <c r="P104">
        <v>4</v>
      </c>
      <c r="Q104">
        <v>3</v>
      </c>
      <c r="R104">
        <v>4</v>
      </c>
      <c r="S104">
        <v>3.3</v>
      </c>
      <c r="T104" t="s">
        <v>30</v>
      </c>
    </row>
    <row r="105" spans="1:20" x14ac:dyDescent="0.25">
      <c r="A105" t="s">
        <v>51</v>
      </c>
      <c r="B105">
        <v>2</v>
      </c>
      <c r="C105" t="s">
        <v>52</v>
      </c>
      <c r="D105" t="s">
        <v>53</v>
      </c>
      <c r="E105" t="s">
        <v>54</v>
      </c>
      <c r="F105">
        <v>70</v>
      </c>
      <c r="G105">
        <v>1000</v>
      </c>
      <c r="H105">
        <v>-2</v>
      </c>
      <c r="I105">
        <v>1981</v>
      </c>
      <c r="J105" t="s">
        <v>59</v>
      </c>
      <c r="K105">
        <v>1482</v>
      </c>
      <c r="L105">
        <v>23</v>
      </c>
      <c r="M105">
        <v>11</v>
      </c>
      <c r="N105">
        <v>13</v>
      </c>
      <c r="O105">
        <v>3</v>
      </c>
      <c r="P105">
        <v>3.5</v>
      </c>
      <c r="Q105">
        <v>2</v>
      </c>
      <c r="R105">
        <v>1</v>
      </c>
      <c r="S105">
        <v>1</v>
      </c>
      <c r="T105" t="s">
        <v>38</v>
      </c>
    </row>
    <row r="106" spans="1:20" x14ac:dyDescent="0.25">
      <c r="A106" t="s">
        <v>51</v>
      </c>
      <c r="B106">
        <v>2</v>
      </c>
      <c r="C106" t="s">
        <v>52</v>
      </c>
      <c r="D106" t="s">
        <v>53</v>
      </c>
      <c r="E106" t="s">
        <v>54</v>
      </c>
      <c r="F106">
        <v>70</v>
      </c>
      <c r="G106">
        <v>1000</v>
      </c>
      <c r="H106">
        <v>-2</v>
      </c>
      <c r="I106">
        <v>1981</v>
      </c>
      <c r="J106" t="s">
        <v>59</v>
      </c>
      <c r="K106">
        <v>1978</v>
      </c>
      <c r="L106">
        <v>23.7</v>
      </c>
      <c r="M106">
        <v>12.6</v>
      </c>
      <c r="N106">
        <v>88</v>
      </c>
      <c r="O106">
        <v>5</v>
      </c>
      <c r="P106">
        <v>3.3</v>
      </c>
      <c r="Q106">
        <v>3</v>
      </c>
      <c r="R106">
        <v>2</v>
      </c>
      <c r="S106">
        <v>2</v>
      </c>
      <c r="T106" t="s">
        <v>25</v>
      </c>
    </row>
    <row r="107" spans="1:20" x14ac:dyDescent="0.25">
      <c r="A107" t="s">
        <v>51</v>
      </c>
      <c r="B107">
        <v>2</v>
      </c>
      <c r="C107" t="s">
        <v>52</v>
      </c>
      <c r="D107" t="s">
        <v>53</v>
      </c>
      <c r="E107" t="s">
        <v>54</v>
      </c>
      <c r="F107">
        <v>70</v>
      </c>
      <c r="G107">
        <v>1000</v>
      </c>
      <c r="H107">
        <v>-2</v>
      </c>
      <c r="I107">
        <v>1981</v>
      </c>
      <c r="J107" t="s">
        <v>26</v>
      </c>
      <c r="K107">
        <v>1339</v>
      </c>
      <c r="L107">
        <v>33.799999999999997</v>
      </c>
      <c r="M107">
        <v>16</v>
      </c>
      <c r="N107">
        <v>50</v>
      </c>
      <c r="O107">
        <v>5</v>
      </c>
      <c r="P107">
        <v>3</v>
      </c>
      <c r="Q107">
        <v>2</v>
      </c>
      <c r="R107">
        <v>2</v>
      </c>
      <c r="S107">
        <v>0.5</v>
      </c>
      <c r="T107" t="s">
        <v>25</v>
      </c>
    </row>
    <row r="108" spans="1:20" x14ac:dyDescent="0.25">
      <c r="A108" t="s">
        <v>51</v>
      </c>
      <c r="B108">
        <v>2</v>
      </c>
      <c r="C108" t="s">
        <v>52</v>
      </c>
      <c r="D108" t="s">
        <v>53</v>
      </c>
      <c r="E108" t="s">
        <v>54</v>
      </c>
      <c r="F108">
        <v>70</v>
      </c>
      <c r="G108">
        <v>1000</v>
      </c>
      <c r="H108">
        <v>-2</v>
      </c>
      <c r="I108">
        <v>1981</v>
      </c>
      <c r="J108" t="s">
        <v>26</v>
      </c>
      <c r="K108">
        <v>1786</v>
      </c>
      <c r="L108">
        <v>17</v>
      </c>
      <c r="M108">
        <v>15.3</v>
      </c>
      <c r="N108">
        <v>75</v>
      </c>
      <c r="O108">
        <v>4.7</v>
      </c>
      <c r="P108">
        <v>4</v>
      </c>
      <c r="Q108">
        <v>3.5</v>
      </c>
      <c r="R108">
        <v>4</v>
      </c>
      <c r="S108">
        <v>4</v>
      </c>
      <c r="T108" t="s">
        <v>27</v>
      </c>
    </row>
    <row r="109" spans="1:20" x14ac:dyDescent="0.25">
      <c r="A109" t="s">
        <v>51</v>
      </c>
      <c r="B109">
        <v>2</v>
      </c>
      <c r="C109" t="s">
        <v>52</v>
      </c>
      <c r="D109" t="s">
        <v>53</v>
      </c>
      <c r="E109" t="s">
        <v>54</v>
      </c>
      <c r="F109">
        <v>70</v>
      </c>
      <c r="G109">
        <v>1000</v>
      </c>
      <c r="H109">
        <v>-2</v>
      </c>
      <c r="I109">
        <v>1981</v>
      </c>
      <c r="J109" t="s">
        <v>26</v>
      </c>
      <c r="K109">
        <v>2447</v>
      </c>
      <c r="L109">
        <v>20.8</v>
      </c>
      <c r="M109">
        <v>12.6</v>
      </c>
      <c r="N109">
        <v>63</v>
      </c>
      <c r="O109">
        <v>4</v>
      </c>
      <c r="P109">
        <v>3</v>
      </c>
      <c r="Q109">
        <v>3.3</v>
      </c>
      <c r="R109">
        <v>3.5</v>
      </c>
      <c r="S109">
        <v>3.5</v>
      </c>
      <c r="T109" t="s">
        <v>25</v>
      </c>
    </row>
    <row r="110" spans="1:20" x14ac:dyDescent="0.25">
      <c r="A110" t="s">
        <v>51</v>
      </c>
      <c r="B110">
        <v>2</v>
      </c>
      <c r="C110" t="s">
        <v>52</v>
      </c>
      <c r="D110" t="s">
        <v>53</v>
      </c>
      <c r="E110" t="s">
        <v>54</v>
      </c>
      <c r="F110">
        <v>70</v>
      </c>
      <c r="G110">
        <v>1000</v>
      </c>
      <c r="H110">
        <v>-2</v>
      </c>
      <c r="I110">
        <v>1981</v>
      </c>
      <c r="J110" t="s">
        <v>60</v>
      </c>
      <c r="K110">
        <v>1595</v>
      </c>
      <c r="L110">
        <v>6.5</v>
      </c>
      <c r="M110">
        <v>4.4000000000000004</v>
      </c>
      <c r="N110">
        <v>63</v>
      </c>
      <c r="O110">
        <v>0.5</v>
      </c>
      <c r="P110">
        <v>0.5</v>
      </c>
      <c r="Q110">
        <v>4</v>
      </c>
      <c r="R110">
        <v>4.5</v>
      </c>
      <c r="S110">
        <v>4</v>
      </c>
      <c r="T110" t="s">
        <v>50</v>
      </c>
    </row>
    <row r="111" spans="1:20" x14ac:dyDescent="0.25">
      <c r="A111" t="s">
        <v>51</v>
      </c>
      <c r="B111">
        <v>2</v>
      </c>
      <c r="C111" t="s">
        <v>52</v>
      </c>
      <c r="D111" t="s">
        <v>53</v>
      </c>
      <c r="E111" t="s">
        <v>54</v>
      </c>
      <c r="F111">
        <v>70</v>
      </c>
      <c r="G111">
        <v>1000</v>
      </c>
      <c r="H111">
        <v>-2</v>
      </c>
      <c r="I111">
        <v>1981</v>
      </c>
      <c r="J111" t="s">
        <v>61</v>
      </c>
      <c r="K111">
        <v>1171</v>
      </c>
      <c r="L111">
        <v>10.4</v>
      </c>
      <c r="M111">
        <v>6.4</v>
      </c>
      <c r="N111">
        <v>75</v>
      </c>
      <c r="O111">
        <v>1.7</v>
      </c>
      <c r="P111">
        <v>1.5</v>
      </c>
      <c r="Q111">
        <v>0</v>
      </c>
      <c r="R111">
        <v>0</v>
      </c>
      <c r="S111">
        <v>0</v>
      </c>
      <c r="T111" t="s">
        <v>50</v>
      </c>
    </row>
    <row r="112" spans="1:20" x14ac:dyDescent="0.25">
      <c r="A112" t="s">
        <v>51</v>
      </c>
      <c r="B112">
        <v>2</v>
      </c>
      <c r="C112" t="s">
        <v>52</v>
      </c>
      <c r="D112" t="s">
        <v>53</v>
      </c>
      <c r="E112" t="s">
        <v>54</v>
      </c>
      <c r="F112">
        <v>70</v>
      </c>
      <c r="G112">
        <v>1000</v>
      </c>
      <c r="H112">
        <v>-2</v>
      </c>
      <c r="I112">
        <v>1981</v>
      </c>
      <c r="J112" t="s">
        <v>32</v>
      </c>
      <c r="K112">
        <v>1596</v>
      </c>
      <c r="L112">
        <v>12.6</v>
      </c>
      <c r="M112">
        <v>8</v>
      </c>
      <c r="N112">
        <v>37</v>
      </c>
      <c r="O112">
        <v>2.5</v>
      </c>
      <c r="P112">
        <v>3.5</v>
      </c>
      <c r="Q112">
        <v>4</v>
      </c>
      <c r="R112">
        <v>4</v>
      </c>
      <c r="S112">
        <v>4</v>
      </c>
      <c r="T112" t="s">
        <v>38</v>
      </c>
    </row>
    <row r="113" spans="1:20" x14ac:dyDescent="0.25">
      <c r="A113" t="s">
        <v>51</v>
      </c>
      <c r="B113">
        <v>2</v>
      </c>
      <c r="C113" t="s">
        <v>52</v>
      </c>
      <c r="D113" t="s">
        <v>53</v>
      </c>
      <c r="E113" t="s">
        <v>54</v>
      </c>
      <c r="F113">
        <v>70</v>
      </c>
      <c r="G113">
        <v>1000</v>
      </c>
      <c r="H113">
        <v>-2</v>
      </c>
      <c r="I113">
        <v>1981</v>
      </c>
      <c r="J113" t="s">
        <v>34</v>
      </c>
      <c r="K113">
        <v>1337</v>
      </c>
      <c r="L113">
        <v>22.2</v>
      </c>
      <c r="M113">
        <v>14.6</v>
      </c>
      <c r="N113">
        <v>63</v>
      </c>
      <c r="O113">
        <v>5</v>
      </c>
      <c r="P113">
        <v>3</v>
      </c>
      <c r="Q113">
        <v>4</v>
      </c>
      <c r="R113">
        <v>4</v>
      </c>
      <c r="S113">
        <v>3.2</v>
      </c>
      <c r="T113" t="s">
        <v>27</v>
      </c>
    </row>
    <row r="114" spans="1:20" x14ac:dyDescent="0.25">
      <c r="A114" t="s">
        <v>51</v>
      </c>
      <c r="B114">
        <v>2</v>
      </c>
      <c r="C114" t="s">
        <v>52</v>
      </c>
      <c r="D114" t="s">
        <v>53</v>
      </c>
      <c r="E114" t="s">
        <v>54</v>
      </c>
      <c r="F114">
        <v>70</v>
      </c>
      <c r="G114">
        <v>1000</v>
      </c>
      <c r="H114">
        <v>-2</v>
      </c>
      <c r="I114">
        <v>1981</v>
      </c>
      <c r="J114" t="s">
        <v>34</v>
      </c>
      <c r="K114">
        <v>2459</v>
      </c>
      <c r="L114">
        <v>19.600000000000001</v>
      </c>
      <c r="M114">
        <v>15.4</v>
      </c>
      <c r="N114">
        <v>100</v>
      </c>
      <c r="O114">
        <v>5</v>
      </c>
      <c r="P114">
        <v>3</v>
      </c>
      <c r="Q114">
        <v>5</v>
      </c>
      <c r="R114">
        <v>4.3</v>
      </c>
      <c r="S114">
        <v>3</v>
      </c>
      <c r="T114" t="s">
        <v>27</v>
      </c>
    </row>
    <row r="115" spans="1:20" x14ac:dyDescent="0.25">
      <c r="A115" t="s">
        <v>51</v>
      </c>
      <c r="B115">
        <v>2</v>
      </c>
      <c r="C115" t="s">
        <v>52</v>
      </c>
      <c r="D115" t="s">
        <v>53</v>
      </c>
      <c r="E115" t="s">
        <v>54</v>
      </c>
      <c r="F115">
        <v>70</v>
      </c>
      <c r="G115">
        <v>1000</v>
      </c>
      <c r="H115">
        <v>-2</v>
      </c>
      <c r="I115">
        <v>1981</v>
      </c>
      <c r="J115" t="s">
        <v>35</v>
      </c>
      <c r="K115">
        <v>1785</v>
      </c>
      <c r="L115">
        <v>9.8000000000000007</v>
      </c>
      <c r="M115">
        <v>7.5</v>
      </c>
      <c r="N115">
        <v>75</v>
      </c>
      <c r="O115">
        <v>1.7</v>
      </c>
      <c r="P115">
        <v>1.3</v>
      </c>
      <c r="Q115">
        <v>3.3</v>
      </c>
      <c r="R115">
        <v>4</v>
      </c>
      <c r="S115">
        <v>3.5</v>
      </c>
      <c r="T115" t="s">
        <v>30</v>
      </c>
    </row>
    <row r="116" spans="1:20" x14ac:dyDescent="0.25">
      <c r="A116" t="s">
        <v>51</v>
      </c>
      <c r="B116">
        <v>2</v>
      </c>
      <c r="C116" t="s">
        <v>52</v>
      </c>
      <c r="D116" t="s">
        <v>53</v>
      </c>
      <c r="E116" t="s">
        <v>54</v>
      </c>
      <c r="F116">
        <v>70</v>
      </c>
      <c r="G116">
        <v>1000</v>
      </c>
      <c r="H116">
        <v>-2</v>
      </c>
      <c r="I116">
        <v>1981</v>
      </c>
      <c r="J116" t="s">
        <v>36</v>
      </c>
      <c r="K116">
        <v>1598</v>
      </c>
      <c r="L116">
        <v>15.2</v>
      </c>
      <c r="M116">
        <v>14.4</v>
      </c>
      <c r="N116">
        <v>100</v>
      </c>
      <c r="O116">
        <v>4.5</v>
      </c>
      <c r="P116">
        <v>4</v>
      </c>
      <c r="Q116">
        <v>3</v>
      </c>
      <c r="R116">
        <v>4</v>
      </c>
      <c r="S116">
        <v>3</v>
      </c>
      <c r="T116" t="s">
        <v>25</v>
      </c>
    </row>
    <row r="117" spans="1:20" x14ac:dyDescent="0.25">
      <c r="A117" t="s">
        <v>51</v>
      </c>
      <c r="B117">
        <v>2</v>
      </c>
      <c r="C117" t="s">
        <v>52</v>
      </c>
      <c r="D117" t="s">
        <v>53</v>
      </c>
      <c r="E117" t="s">
        <v>54</v>
      </c>
      <c r="F117">
        <v>70</v>
      </c>
      <c r="G117">
        <v>1000</v>
      </c>
      <c r="H117">
        <v>-2</v>
      </c>
      <c r="I117">
        <v>1981</v>
      </c>
      <c r="J117" t="s">
        <v>62</v>
      </c>
      <c r="K117">
        <v>1787</v>
      </c>
      <c r="L117">
        <v>19.600000000000001</v>
      </c>
      <c r="M117">
        <v>16.600000000000001</v>
      </c>
      <c r="N117">
        <v>100</v>
      </c>
      <c r="O117">
        <v>5</v>
      </c>
      <c r="P117">
        <v>3</v>
      </c>
      <c r="Q117">
        <v>4</v>
      </c>
      <c r="R117">
        <v>4</v>
      </c>
      <c r="S117">
        <v>3</v>
      </c>
      <c r="T117" t="s">
        <v>27</v>
      </c>
    </row>
    <row r="118" spans="1:20" x14ac:dyDescent="0.25">
      <c r="A118" t="s">
        <v>51</v>
      </c>
      <c r="B118">
        <v>2</v>
      </c>
      <c r="C118" t="s">
        <v>52</v>
      </c>
      <c r="D118" t="s">
        <v>53</v>
      </c>
      <c r="E118" t="s">
        <v>54</v>
      </c>
      <c r="F118">
        <v>70</v>
      </c>
      <c r="G118">
        <v>1000</v>
      </c>
      <c r="H118">
        <v>-2</v>
      </c>
      <c r="I118">
        <v>1981</v>
      </c>
      <c r="J118" t="s">
        <v>62</v>
      </c>
      <c r="K118">
        <v>2482</v>
      </c>
      <c r="L118">
        <v>17</v>
      </c>
      <c r="M118">
        <v>14.1</v>
      </c>
      <c r="N118">
        <v>88</v>
      </c>
      <c r="O118">
        <v>4.5</v>
      </c>
      <c r="P118">
        <v>3</v>
      </c>
      <c r="Q118">
        <v>3.7</v>
      </c>
      <c r="R118">
        <v>3.7</v>
      </c>
      <c r="S118">
        <v>3.7</v>
      </c>
      <c r="T118" t="s">
        <v>27</v>
      </c>
    </row>
    <row r="119" spans="1:20" x14ac:dyDescent="0.25">
      <c r="A119" t="s">
        <v>51</v>
      </c>
      <c r="B119">
        <v>2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62</v>
      </c>
      <c r="K119">
        <v>2431</v>
      </c>
      <c r="L119">
        <v>26</v>
      </c>
      <c r="M119">
        <v>14</v>
      </c>
      <c r="N119">
        <v>88</v>
      </c>
      <c r="O119">
        <v>5</v>
      </c>
      <c r="P119">
        <v>3.5</v>
      </c>
      <c r="Q119">
        <v>3.5</v>
      </c>
      <c r="R119">
        <v>4</v>
      </c>
      <c r="S119">
        <v>3.3</v>
      </c>
      <c r="T119" t="s">
        <v>27</v>
      </c>
    </row>
    <row r="120" spans="1:20" x14ac:dyDescent="0.25">
      <c r="A120" t="s">
        <v>51</v>
      </c>
      <c r="B120">
        <v>2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64</v>
      </c>
      <c r="K120">
        <v>1192</v>
      </c>
      <c r="L120">
        <v>8.9</v>
      </c>
      <c r="M120">
        <v>5.2</v>
      </c>
      <c r="N120">
        <v>63</v>
      </c>
      <c r="O120">
        <v>2.5</v>
      </c>
      <c r="P120">
        <v>1.8</v>
      </c>
      <c r="Q120">
        <v>3</v>
      </c>
      <c r="R120">
        <v>3</v>
      </c>
      <c r="S120">
        <v>3</v>
      </c>
      <c r="T120" t="s">
        <v>50</v>
      </c>
    </row>
    <row r="121" spans="1:20" x14ac:dyDescent="0.25">
      <c r="A121" t="s">
        <v>51</v>
      </c>
      <c r="B121">
        <v>2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37</v>
      </c>
      <c r="K121">
        <v>1524</v>
      </c>
      <c r="L121">
        <v>10.3</v>
      </c>
      <c r="M121">
        <v>7.8</v>
      </c>
      <c r="N121">
        <v>100</v>
      </c>
      <c r="O121">
        <v>2.2999999999999998</v>
      </c>
      <c r="P121">
        <v>2</v>
      </c>
      <c r="Q121">
        <v>3</v>
      </c>
      <c r="R121">
        <v>3</v>
      </c>
      <c r="S121">
        <v>3</v>
      </c>
      <c r="T121" t="s">
        <v>30</v>
      </c>
    </row>
    <row r="122" spans="1:20" x14ac:dyDescent="0.25">
      <c r="A122" t="s">
        <v>51</v>
      </c>
      <c r="B122">
        <v>22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39</v>
      </c>
      <c r="K122">
        <v>2435</v>
      </c>
      <c r="L122">
        <v>19.600000000000001</v>
      </c>
      <c r="M122">
        <v>12.3</v>
      </c>
      <c r="N122">
        <v>75</v>
      </c>
      <c r="O122">
        <v>3.3</v>
      </c>
      <c r="P122">
        <v>3</v>
      </c>
      <c r="Q122">
        <v>3.3</v>
      </c>
      <c r="R122">
        <v>3.5</v>
      </c>
      <c r="S122">
        <v>3.5</v>
      </c>
      <c r="T122" t="s">
        <v>27</v>
      </c>
    </row>
    <row r="123" spans="1:20" x14ac:dyDescent="0.25">
      <c r="A123" t="s">
        <v>51</v>
      </c>
      <c r="B123">
        <v>2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63</v>
      </c>
      <c r="K123">
        <v>1340</v>
      </c>
      <c r="L123">
        <v>20.100000000000001</v>
      </c>
      <c r="M123">
        <v>6.9</v>
      </c>
      <c r="N123">
        <v>88</v>
      </c>
      <c r="O123">
        <v>3</v>
      </c>
      <c r="P123">
        <v>2.5</v>
      </c>
      <c r="Q123">
        <v>1</v>
      </c>
      <c r="R123">
        <v>0.5</v>
      </c>
      <c r="S123">
        <v>0</v>
      </c>
      <c r="T123" t="s">
        <v>30</v>
      </c>
    </row>
    <row r="124" spans="1:20" x14ac:dyDescent="0.25">
      <c r="A124" t="s">
        <v>51</v>
      </c>
      <c r="B124">
        <v>3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55</v>
      </c>
      <c r="K124">
        <v>1094</v>
      </c>
      <c r="L124">
        <v>13.5</v>
      </c>
      <c r="M124">
        <v>4</v>
      </c>
      <c r="N124">
        <v>13</v>
      </c>
      <c r="O124">
        <v>0.5</v>
      </c>
      <c r="P124">
        <v>0</v>
      </c>
      <c r="Q124">
        <v>1</v>
      </c>
      <c r="R124">
        <v>1</v>
      </c>
      <c r="S124">
        <v>1</v>
      </c>
      <c r="T124" t="s">
        <v>50</v>
      </c>
    </row>
    <row r="125" spans="1:20" x14ac:dyDescent="0.25">
      <c r="A125" t="s">
        <v>51</v>
      </c>
      <c r="B125">
        <v>3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56</v>
      </c>
      <c r="K125">
        <v>1111</v>
      </c>
      <c r="L125">
        <v>14.2</v>
      </c>
      <c r="M125">
        <v>10.8</v>
      </c>
      <c r="N125">
        <v>100</v>
      </c>
      <c r="O125">
        <v>3</v>
      </c>
      <c r="P125">
        <v>2.8</v>
      </c>
      <c r="Q125">
        <v>3.3</v>
      </c>
      <c r="R125">
        <v>3.3</v>
      </c>
      <c r="S125">
        <v>3</v>
      </c>
      <c r="T125" t="s">
        <v>25</v>
      </c>
    </row>
    <row r="126" spans="1:20" x14ac:dyDescent="0.25">
      <c r="A126" t="s">
        <v>51</v>
      </c>
      <c r="B126">
        <v>3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57</v>
      </c>
      <c r="K126">
        <v>1112</v>
      </c>
      <c r="L126">
        <v>13.1</v>
      </c>
      <c r="M126">
        <v>10.6</v>
      </c>
      <c r="N126">
        <v>88</v>
      </c>
      <c r="O126">
        <v>2</v>
      </c>
      <c r="P126">
        <v>2</v>
      </c>
      <c r="Q126">
        <v>3</v>
      </c>
      <c r="R126">
        <v>3</v>
      </c>
      <c r="S126">
        <v>3</v>
      </c>
      <c r="T126" t="s">
        <v>50</v>
      </c>
    </row>
    <row r="127" spans="1:20" x14ac:dyDescent="0.25">
      <c r="A127" t="s">
        <v>51</v>
      </c>
      <c r="B127">
        <v>3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57</v>
      </c>
      <c r="K127">
        <v>1113</v>
      </c>
      <c r="L127">
        <v>9.6</v>
      </c>
      <c r="M127">
        <v>7</v>
      </c>
      <c r="N127">
        <v>100</v>
      </c>
      <c r="O127">
        <v>2.6</v>
      </c>
      <c r="P127">
        <v>2</v>
      </c>
      <c r="Q127">
        <v>3</v>
      </c>
      <c r="R127">
        <v>3</v>
      </c>
      <c r="S127">
        <v>3</v>
      </c>
      <c r="T127" t="s">
        <v>30</v>
      </c>
    </row>
    <row r="128" spans="1:20" x14ac:dyDescent="0.25">
      <c r="A128" t="s">
        <v>51</v>
      </c>
      <c r="B128">
        <v>3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58</v>
      </c>
      <c r="K128">
        <v>1338</v>
      </c>
      <c r="L128">
        <v>18.899999999999999</v>
      </c>
      <c r="M128">
        <v>9</v>
      </c>
      <c r="N128">
        <v>13</v>
      </c>
      <c r="O128">
        <v>2</v>
      </c>
      <c r="P128">
        <v>3.5</v>
      </c>
      <c r="Q128">
        <v>3</v>
      </c>
      <c r="R128">
        <v>3.5</v>
      </c>
      <c r="S128">
        <v>3</v>
      </c>
      <c r="T128" t="s">
        <v>50</v>
      </c>
    </row>
    <row r="129" spans="1:20" x14ac:dyDescent="0.25">
      <c r="A129" t="s">
        <v>51</v>
      </c>
      <c r="B129">
        <v>3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59</v>
      </c>
      <c r="K129">
        <v>1482</v>
      </c>
      <c r="L129">
        <v>20</v>
      </c>
      <c r="M129">
        <v>13.2</v>
      </c>
      <c r="N129">
        <v>75</v>
      </c>
      <c r="O129">
        <v>4.5</v>
      </c>
      <c r="P129">
        <v>3</v>
      </c>
      <c r="Q129">
        <v>4</v>
      </c>
      <c r="R129">
        <v>4</v>
      </c>
      <c r="S129">
        <v>4</v>
      </c>
      <c r="T129" t="s">
        <v>27</v>
      </c>
    </row>
    <row r="130" spans="1:20" x14ac:dyDescent="0.25">
      <c r="A130" t="s">
        <v>51</v>
      </c>
      <c r="B130">
        <v>3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59</v>
      </c>
      <c r="K130">
        <v>1978</v>
      </c>
      <c r="L130">
        <v>26.6</v>
      </c>
      <c r="M130">
        <v>13.5</v>
      </c>
      <c r="N130">
        <v>75</v>
      </c>
      <c r="O130">
        <v>5</v>
      </c>
      <c r="P130">
        <v>3</v>
      </c>
      <c r="Q130">
        <v>2.5</v>
      </c>
      <c r="R130">
        <v>2</v>
      </c>
      <c r="S130">
        <v>1</v>
      </c>
      <c r="T130" t="s">
        <v>25</v>
      </c>
    </row>
    <row r="131" spans="1:20" x14ac:dyDescent="0.25">
      <c r="A131" t="s">
        <v>51</v>
      </c>
      <c r="B131">
        <v>3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26</v>
      </c>
      <c r="K131">
        <v>1339</v>
      </c>
      <c r="L131">
        <v>23.9</v>
      </c>
      <c r="M131">
        <v>12.7</v>
      </c>
      <c r="N131">
        <v>37</v>
      </c>
      <c r="O131">
        <v>4</v>
      </c>
      <c r="P131">
        <v>3</v>
      </c>
      <c r="Q131">
        <v>3</v>
      </c>
      <c r="R131">
        <v>3</v>
      </c>
      <c r="S131">
        <v>3</v>
      </c>
      <c r="T131" t="s">
        <v>25</v>
      </c>
    </row>
    <row r="132" spans="1:20" x14ac:dyDescent="0.25">
      <c r="A132" t="s">
        <v>51</v>
      </c>
      <c r="B132">
        <v>3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26</v>
      </c>
      <c r="K132">
        <v>1786</v>
      </c>
      <c r="L132">
        <v>17.8</v>
      </c>
      <c r="M132">
        <v>12.2</v>
      </c>
      <c r="N132">
        <v>63</v>
      </c>
      <c r="O132">
        <v>4.7</v>
      </c>
      <c r="P132">
        <v>3.1</v>
      </c>
      <c r="Q132">
        <v>3</v>
      </c>
      <c r="R132">
        <v>3</v>
      </c>
      <c r="S132">
        <v>3</v>
      </c>
      <c r="T132" t="s">
        <v>25</v>
      </c>
    </row>
    <row r="133" spans="1:20" x14ac:dyDescent="0.25">
      <c r="A133" t="s">
        <v>51</v>
      </c>
      <c r="B133">
        <v>3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26</v>
      </c>
      <c r="K133">
        <v>2447</v>
      </c>
      <c r="L133">
        <v>21.4</v>
      </c>
      <c r="M133">
        <v>12.7</v>
      </c>
      <c r="N133">
        <v>75</v>
      </c>
      <c r="O133">
        <v>4.5999999999999996</v>
      </c>
      <c r="P133">
        <v>4</v>
      </c>
      <c r="Q133">
        <v>3</v>
      </c>
      <c r="R133">
        <v>3</v>
      </c>
      <c r="S133">
        <v>3</v>
      </c>
      <c r="T133" t="s">
        <v>27</v>
      </c>
    </row>
    <row r="134" spans="1:20" x14ac:dyDescent="0.25">
      <c r="A134" t="s">
        <v>51</v>
      </c>
      <c r="B134">
        <v>3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60</v>
      </c>
      <c r="K134">
        <v>1595</v>
      </c>
      <c r="L134">
        <v>7.8</v>
      </c>
      <c r="M134">
        <v>5.3</v>
      </c>
      <c r="N134">
        <v>50</v>
      </c>
      <c r="O134">
        <v>1</v>
      </c>
      <c r="P134">
        <v>1.5</v>
      </c>
      <c r="Q134">
        <v>4</v>
      </c>
      <c r="R134">
        <v>4</v>
      </c>
      <c r="S134">
        <v>4</v>
      </c>
      <c r="T134" t="s">
        <v>50</v>
      </c>
    </row>
    <row r="135" spans="1:20" x14ac:dyDescent="0.25">
      <c r="A135" t="s">
        <v>51</v>
      </c>
      <c r="B135">
        <v>3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61</v>
      </c>
      <c r="K135">
        <v>1171</v>
      </c>
      <c r="L135">
        <v>13.1</v>
      </c>
      <c r="M135">
        <v>10.1</v>
      </c>
      <c r="N135">
        <v>100</v>
      </c>
      <c r="O135">
        <v>2</v>
      </c>
      <c r="P135">
        <v>2</v>
      </c>
      <c r="Q135">
        <v>2</v>
      </c>
      <c r="R135">
        <v>2</v>
      </c>
      <c r="S135">
        <v>2</v>
      </c>
      <c r="T135" t="s">
        <v>30</v>
      </c>
    </row>
    <row r="136" spans="1:20" x14ac:dyDescent="0.25">
      <c r="A136" t="s">
        <v>51</v>
      </c>
      <c r="B136">
        <v>3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32</v>
      </c>
      <c r="K136">
        <v>1596</v>
      </c>
      <c r="L136">
        <v>15.1</v>
      </c>
      <c r="M136">
        <v>12.3</v>
      </c>
      <c r="N136">
        <v>88</v>
      </c>
      <c r="O136">
        <v>3.5</v>
      </c>
      <c r="P136">
        <v>3</v>
      </c>
      <c r="Q136">
        <v>3.3</v>
      </c>
      <c r="R136">
        <v>4</v>
      </c>
      <c r="S136">
        <v>4</v>
      </c>
      <c r="T136" t="s">
        <v>27</v>
      </c>
    </row>
    <row r="137" spans="1:20" x14ac:dyDescent="0.25">
      <c r="A137" t="s">
        <v>51</v>
      </c>
      <c r="B137">
        <v>3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34</v>
      </c>
      <c r="K137">
        <v>1337</v>
      </c>
      <c r="L137">
        <v>24.5</v>
      </c>
      <c r="M137">
        <v>13.5</v>
      </c>
      <c r="N137">
        <v>75</v>
      </c>
      <c r="O137">
        <v>5</v>
      </c>
      <c r="P137">
        <v>3</v>
      </c>
      <c r="Q137">
        <v>4</v>
      </c>
      <c r="R137">
        <v>4</v>
      </c>
      <c r="S137">
        <v>2.5</v>
      </c>
      <c r="T137" t="s">
        <v>27</v>
      </c>
    </row>
    <row r="138" spans="1:20" x14ac:dyDescent="0.25">
      <c r="A138" t="s">
        <v>51</v>
      </c>
      <c r="B138">
        <v>3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34</v>
      </c>
      <c r="K138">
        <v>2459</v>
      </c>
      <c r="L138">
        <v>23.7</v>
      </c>
      <c r="M138">
        <v>13.3</v>
      </c>
      <c r="N138">
        <v>88</v>
      </c>
      <c r="O138">
        <v>5</v>
      </c>
      <c r="P138">
        <v>3</v>
      </c>
      <c r="Q138">
        <v>3.5</v>
      </c>
      <c r="R138">
        <v>3.5</v>
      </c>
      <c r="S138">
        <v>2.5</v>
      </c>
      <c r="T138" t="s">
        <v>27</v>
      </c>
    </row>
    <row r="139" spans="1:20" x14ac:dyDescent="0.25">
      <c r="A139" t="s">
        <v>51</v>
      </c>
      <c r="B139">
        <v>3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35</v>
      </c>
      <c r="K139">
        <v>1785</v>
      </c>
      <c r="L139">
        <v>10.5</v>
      </c>
      <c r="M139">
        <v>7.6</v>
      </c>
      <c r="N139">
        <v>88</v>
      </c>
      <c r="O139">
        <v>2.2999999999999998</v>
      </c>
      <c r="P139">
        <v>2</v>
      </c>
      <c r="Q139">
        <v>3</v>
      </c>
      <c r="R139">
        <v>3.5</v>
      </c>
      <c r="S139">
        <v>3</v>
      </c>
      <c r="T139" t="s">
        <v>30</v>
      </c>
    </row>
    <row r="140" spans="1:20" x14ac:dyDescent="0.25">
      <c r="A140" t="s">
        <v>51</v>
      </c>
      <c r="B140">
        <v>3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36</v>
      </c>
      <c r="K140">
        <v>1598</v>
      </c>
      <c r="L140">
        <v>14</v>
      </c>
      <c r="M140">
        <v>10.3</v>
      </c>
      <c r="N140">
        <v>100</v>
      </c>
      <c r="O140">
        <v>3.5</v>
      </c>
      <c r="P140">
        <v>4</v>
      </c>
      <c r="Q140">
        <v>2</v>
      </c>
      <c r="R140">
        <v>3</v>
      </c>
      <c r="S140">
        <v>2</v>
      </c>
      <c r="T140" t="s">
        <v>38</v>
      </c>
    </row>
    <row r="141" spans="1:20" x14ac:dyDescent="0.25">
      <c r="A141" t="s">
        <v>51</v>
      </c>
      <c r="B141">
        <v>3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62</v>
      </c>
      <c r="K141">
        <v>1787</v>
      </c>
      <c r="L141">
        <v>21.8</v>
      </c>
      <c r="M141">
        <v>13.8</v>
      </c>
      <c r="N141">
        <v>100</v>
      </c>
      <c r="O141">
        <v>5</v>
      </c>
      <c r="P141">
        <v>3</v>
      </c>
      <c r="Q141">
        <v>3</v>
      </c>
      <c r="R141">
        <v>3</v>
      </c>
      <c r="S141">
        <v>2</v>
      </c>
      <c r="T141" t="s">
        <v>27</v>
      </c>
    </row>
    <row r="142" spans="1:20" x14ac:dyDescent="0.25">
      <c r="A142" t="s">
        <v>51</v>
      </c>
      <c r="B142">
        <v>3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62</v>
      </c>
      <c r="K142">
        <v>2482</v>
      </c>
      <c r="L142">
        <v>16.399999999999999</v>
      </c>
      <c r="M142">
        <v>12.1</v>
      </c>
      <c r="N142">
        <v>88</v>
      </c>
      <c r="O142">
        <v>4.8</v>
      </c>
      <c r="P142">
        <v>3</v>
      </c>
      <c r="Q142">
        <v>3.3</v>
      </c>
      <c r="R142">
        <v>3.5</v>
      </c>
      <c r="S142">
        <v>2</v>
      </c>
      <c r="T142" t="s">
        <v>27</v>
      </c>
    </row>
    <row r="143" spans="1:20" x14ac:dyDescent="0.25">
      <c r="A143" t="s">
        <v>51</v>
      </c>
      <c r="B143">
        <v>3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62</v>
      </c>
      <c r="K143">
        <v>2431</v>
      </c>
      <c r="L143">
        <v>17.600000000000001</v>
      </c>
      <c r="M143">
        <v>12.4</v>
      </c>
      <c r="N143">
        <v>100</v>
      </c>
      <c r="O143">
        <v>3.5</v>
      </c>
      <c r="P143">
        <v>3.3</v>
      </c>
      <c r="Q143">
        <v>3</v>
      </c>
      <c r="R143">
        <v>3</v>
      </c>
      <c r="S143">
        <v>2</v>
      </c>
      <c r="T143" t="s">
        <v>25</v>
      </c>
    </row>
    <row r="144" spans="1:20" x14ac:dyDescent="0.25">
      <c r="A144" t="s">
        <v>51</v>
      </c>
      <c r="B144">
        <v>3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64</v>
      </c>
      <c r="K144">
        <v>1192</v>
      </c>
      <c r="L144">
        <v>12.2</v>
      </c>
      <c r="M144">
        <v>4.4000000000000004</v>
      </c>
      <c r="N144">
        <v>75</v>
      </c>
      <c r="O144">
        <v>3</v>
      </c>
      <c r="P144">
        <v>2</v>
      </c>
      <c r="Q144">
        <v>3</v>
      </c>
      <c r="R144">
        <v>2.5</v>
      </c>
      <c r="S144">
        <v>2.5</v>
      </c>
      <c r="T144" t="s">
        <v>30</v>
      </c>
    </row>
    <row r="145" spans="1:20" x14ac:dyDescent="0.25">
      <c r="A145" t="s">
        <v>51</v>
      </c>
      <c r="B145">
        <v>3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37</v>
      </c>
      <c r="K145">
        <v>1524</v>
      </c>
      <c r="L145">
        <v>9</v>
      </c>
      <c r="M145">
        <v>6.8</v>
      </c>
      <c r="N145">
        <v>100</v>
      </c>
      <c r="O145">
        <v>2</v>
      </c>
      <c r="P145">
        <v>1.5</v>
      </c>
      <c r="Q145">
        <v>2</v>
      </c>
      <c r="R145">
        <v>4</v>
      </c>
      <c r="S145">
        <v>3.5</v>
      </c>
      <c r="T145" t="s">
        <v>50</v>
      </c>
    </row>
    <row r="146" spans="1:20" x14ac:dyDescent="0.25">
      <c r="A146" t="s">
        <v>51</v>
      </c>
      <c r="B146">
        <v>3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39</v>
      </c>
      <c r="K146">
        <v>2435</v>
      </c>
      <c r="L146">
        <v>20.3</v>
      </c>
      <c r="M146">
        <v>13.6</v>
      </c>
      <c r="N146">
        <v>63</v>
      </c>
      <c r="O146">
        <v>4</v>
      </c>
      <c r="P146">
        <v>2.7</v>
      </c>
      <c r="Q146">
        <v>3</v>
      </c>
      <c r="R146">
        <v>2.5</v>
      </c>
      <c r="S146">
        <v>2</v>
      </c>
      <c r="T146" t="s">
        <v>25</v>
      </c>
    </row>
    <row r="147" spans="1:20" x14ac:dyDescent="0.25">
      <c r="A147" t="s">
        <v>51</v>
      </c>
      <c r="B147">
        <v>3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63</v>
      </c>
      <c r="K147">
        <v>1340</v>
      </c>
      <c r="L147">
        <v>8.8000000000000007</v>
      </c>
      <c r="M147">
        <v>6.3</v>
      </c>
      <c r="N147">
        <v>100</v>
      </c>
      <c r="O147">
        <v>2</v>
      </c>
      <c r="P147">
        <v>2</v>
      </c>
      <c r="Q147">
        <v>1</v>
      </c>
      <c r="R147">
        <v>2</v>
      </c>
      <c r="S147">
        <v>2</v>
      </c>
      <c r="T147" t="s">
        <v>50</v>
      </c>
    </row>
    <row r="148" spans="1:20" x14ac:dyDescent="0.25">
      <c r="A148" t="s">
        <v>65</v>
      </c>
      <c r="B148">
        <v>1</v>
      </c>
      <c r="C148" t="s">
        <v>66</v>
      </c>
      <c r="D148" t="s">
        <v>67</v>
      </c>
      <c r="E148" t="s">
        <v>68</v>
      </c>
      <c r="F148">
        <v>180</v>
      </c>
      <c r="G148">
        <v>1080</v>
      </c>
      <c r="H148">
        <v>-3</v>
      </c>
      <c r="I148">
        <v>1981</v>
      </c>
      <c r="J148" t="s">
        <v>55</v>
      </c>
      <c r="K148">
        <v>1094</v>
      </c>
      <c r="L148">
        <v>2.86</v>
      </c>
      <c r="M148">
        <v>3.2</v>
      </c>
      <c r="N148">
        <v>25</v>
      </c>
      <c r="O148">
        <v>2</v>
      </c>
      <c r="P148">
        <v>2</v>
      </c>
      <c r="Q148">
        <v>2</v>
      </c>
      <c r="R148">
        <v>2</v>
      </c>
      <c r="S148">
        <v>2</v>
      </c>
      <c r="T148" t="s">
        <v>50</v>
      </c>
    </row>
    <row r="149" spans="1:20" x14ac:dyDescent="0.25">
      <c r="A149" t="s">
        <v>65</v>
      </c>
      <c r="B149">
        <v>1</v>
      </c>
      <c r="C149" t="s">
        <v>66</v>
      </c>
      <c r="D149" t="s">
        <v>67</v>
      </c>
      <c r="E149" t="s">
        <v>68</v>
      </c>
      <c r="F149">
        <v>180</v>
      </c>
      <c r="G149">
        <v>1080</v>
      </c>
      <c r="H149">
        <v>-3</v>
      </c>
      <c r="I149">
        <v>1981</v>
      </c>
      <c r="J149" t="s">
        <v>56</v>
      </c>
      <c r="K149">
        <v>1111</v>
      </c>
      <c r="L149">
        <v>4.49</v>
      </c>
      <c r="M149">
        <v>4.1100000000000003</v>
      </c>
      <c r="N149">
        <v>44</v>
      </c>
      <c r="O149">
        <v>2.5</v>
      </c>
      <c r="P149">
        <v>3</v>
      </c>
      <c r="Q149">
        <v>3</v>
      </c>
      <c r="R149">
        <v>3</v>
      </c>
      <c r="S149">
        <v>3</v>
      </c>
      <c r="T149" t="s">
        <v>30</v>
      </c>
    </row>
    <row r="150" spans="1:20" x14ac:dyDescent="0.25">
      <c r="A150" t="s">
        <v>65</v>
      </c>
      <c r="B150">
        <v>1</v>
      </c>
      <c r="C150" t="s">
        <v>66</v>
      </c>
      <c r="D150" t="s">
        <v>67</v>
      </c>
      <c r="E150" t="s">
        <v>68</v>
      </c>
      <c r="F150">
        <v>180</v>
      </c>
      <c r="G150">
        <v>1080</v>
      </c>
      <c r="H150">
        <v>-3</v>
      </c>
      <c r="I150">
        <v>1981</v>
      </c>
      <c r="J150" t="s">
        <v>57</v>
      </c>
      <c r="K150">
        <v>1112</v>
      </c>
      <c r="L150">
        <v>9.89</v>
      </c>
      <c r="M150">
        <v>6.68</v>
      </c>
      <c r="N150">
        <v>100</v>
      </c>
      <c r="O150">
        <v>3.5</v>
      </c>
      <c r="P150">
        <v>2</v>
      </c>
      <c r="Q150">
        <v>3</v>
      </c>
      <c r="R150">
        <v>4</v>
      </c>
      <c r="S150">
        <v>3</v>
      </c>
      <c r="T150" t="s">
        <v>27</v>
      </c>
    </row>
    <row r="151" spans="1:20" x14ac:dyDescent="0.25">
      <c r="A151" t="s">
        <v>65</v>
      </c>
      <c r="B151">
        <v>1</v>
      </c>
      <c r="C151" t="s">
        <v>66</v>
      </c>
      <c r="D151" t="s">
        <v>67</v>
      </c>
      <c r="E151" t="s">
        <v>68</v>
      </c>
      <c r="F151">
        <v>180</v>
      </c>
      <c r="G151">
        <v>1080</v>
      </c>
      <c r="H151">
        <v>-3</v>
      </c>
      <c r="I151">
        <v>1981</v>
      </c>
      <c r="J151" t="s">
        <v>60</v>
      </c>
      <c r="K151">
        <v>1595</v>
      </c>
      <c r="L151">
        <v>5.34</v>
      </c>
      <c r="M151">
        <v>3.05</v>
      </c>
      <c r="N151">
        <v>75</v>
      </c>
      <c r="O151">
        <v>2.7</v>
      </c>
      <c r="P151">
        <v>1</v>
      </c>
      <c r="Q151">
        <v>3</v>
      </c>
      <c r="R151">
        <v>4</v>
      </c>
      <c r="S151">
        <v>4</v>
      </c>
      <c r="T151" t="s">
        <v>30</v>
      </c>
    </row>
    <row r="152" spans="1:20" x14ac:dyDescent="0.25">
      <c r="A152" t="s">
        <v>65</v>
      </c>
      <c r="B152">
        <v>1</v>
      </c>
      <c r="C152" t="s">
        <v>66</v>
      </c>
      <c r="D152" t="s">
        <v>67</v>
      </c>
      <c r="E152" t="s">
        <v>68</v>
      </c>
      <c r="F152">
        <v>180</v>
      </c>
      <c r="G152">
        <v>1080</v>
      </c>
      <c r="H152">
        <v>-3</v>
      </c>
      <c r="I152">
        <v>1981</v>
      </c>
      <c r="J152" t="s">
        <v>26</v>
      </c>
      <c r="K152">
        <v>1339</v>
      </c>
      <c r="L152">
        <v>3.28</v>
      </c>
      <c r="M152">
        <v>4.07</v>
      </c>
      <c r="N152">
        <v>75</v>
      </c>
      <c r="O152">
        <v>2</v>
      </c>
      <c r="P152">
        <v>3</v>
      </c>
      <c r="Q152">
        <v>3</v>
      </c>
      <c r="R152">
        <v>3</v>
      </c>
      <c r="S152">
        <v>3</v>
      </c>
      <c r="T152" t="s">
        <v>30</v>
      </c>
    </row>
    <row r="153" spans="1:20" x14ac:dyDescent="0.25">
      <c r="A153" t="s">
        <v>65</v>
      </c>
      <c r="B153">
        <v>1</v>
      </c>
      <c r="C153" t="s">
        <v>66</v>
      </c>
      <c r="D153" t="s">
        <v>67</v>
      </c>
      <c r="E153" t="s">
        <v>68</v>
      </c>
      <c r="F153">
        <v>180</v>
      </c>
      <c r="G153">
        <v>1080</v>
      </c>
      <c r="H153">
        <v>-3</v>
      </c>
      <c r="I153">
        <v>1981</v>
      </c>
      <c r="J153" t="s">
        <v>26</v>
      </c>
      <c r="K153">
        <v>2447</v>
      </c>
      <c r="L153">
        <v>7.62</v>
      </c>
      <c r="M153">
        <v>5.39</v>
      </c>
      <c r="N153">
        <v>100</v>
      </c>
      <c r="O153">
        <v>3</v>
      </c>
      <c r="P153">
        <v>3</v>
      </c>
      <c r="Q153">
        <v>3</v>
      </c>
      <c r="R153">
        <v>3.5</v>
      </c>
      <c r="S153">
        <v>3</v>
      </c>
      <c r="T153" t="s">
        <v>25</v>
      </c>
    </row>
    <row r="154" spans="1:20" x14ac:dyDescent="0.25">
      <c r="A154" t="s">
        <v>65</v>
      </c>
      <c r="B154">
        <v>1</v>
      </c>
      <c r="C154" t="s">
        <v>66</v>
      </c>
      <c r="D154" t="s">
        <v>67</v>
      </c>
      <c r="E154" t="s">
        <v>68</v>
      </c>
      <c r="F154">
        <v>180</v>
      </c>
      <c r="G154">
        <v>1080</v>
      </c>
      <c r="H154">
        <v>-3</v>
      </c>
      <c r="I154">
        <v>1981</v>
      </c>
      <c r="J154" t="s">
        <v>26</v>
      </c>
      <c r="K154">
        <v>1786</v>
      </c>
      <c r="L154">
        <v>6.05</v>
      </c>
      <c r="M154">
        <v>5.39</v>
      </c>
      <c r="N154">
        <v>88</v>
      </c>
      <c r="O154">
        <v>4</v>
      </c>
      <c r="P154">
        <v>4</v>
      </c>
      <c r="Q154">
        <v>3.5</v>
      </c>
      <c r="R154">
        <v>3.5</v>
      </c>
      <c r="S154">
        <v>3.5</v>
      </c>
      <c r="T154" t="s">
        <v>25</v>
      </c>
    </row>
    <row r="155" spans="1:20" x14ac:dyDescent="0.25">
      <c r="A155" t="s">
        <v>65</v>
      </c>
      <c r="B155">
        <v>1</v>
      </c>
      <c r="C155" t="s">
        <v>66</v>
      </c>
      <c r="D155" t="s">
        <v>67</v>
      </c>
      <c r="E155" t="s">
        <v>68</v>
      </c>
      <c r="F155">
        <v>180</v>
      </c>
      <c r="G155">
        <v>1080</v>
      </c>
      <c r="H155">
        <v>-3</v>
      </c>
      <c r="I155">
        <v>1981</v>
      </c>
      <c r="J155" t="s">
        <v>32</v>
      </c>
      <c r="K155">
        <v>1596</v>
      </c>
      <c r="L155">
        <v>6.38</v>
      </c>
      <c r="M155">
        <v>5.07</v>
      </c>
      <c r="N155">
        <v>88</v>
      </c>
      <c r="O155">
        <v>3</v>
      </c>
      <c r="P155">
        <v>4</v>
      </c>
      <c r="Q155">
        <v>3.5</v>
      </c>
      <c r="R155">
        <v>4</v>
      </c>
      <c r="S155">
        <v>4</v>
      </c>
      <c r="T155" t="s">
        <v>27</v>
      </c>
    </row>
    <row r="156" spans="1:20" x14ac:dyDescent="0.25">
      <c r="A156" t="s">
        <v>65</v>
      </c>
      <c r="B156">
        <v>1</v>
      </c>
      <c r="C156" t="s">
        <v>66</v>
      </c>
      <c r="D156" t="s">
        <v>67</v>
      </c>
      <c r="E156" t="s">
        <v>68</v>
      </c>
      <c r="F156">
        <v>180</v>
      </c>
      <c r="G156">
        <v>1080</v>
      </c>
      <c r="H156">
        <v>-3</v>
      </c>
      <c r="I156">
        <v>1981</v>
      </c>
      <c r="J156" t="s">
        <v>61</v>
      </c>
      <c r="K156">
        <v>1171</v>
      </c>
      <c r="L156">
        <v>6.16</v>
      </c>
      <c r="M156">
        <v>4.3</v>
      </c>
      <c r="N156">
        <v>40</v>
      </c>
      <c r="O156">
        <v>3</v>
      </c>
      <c r="P156">
        <v>2</v>
      </c>
      <c r="Q156">
        <v>1</v>
      </c>
      <c r="R156">
        <v>1</v>
      </c>
      <c r="S156">
        <v>1</v>
      </c>
      <c r="T156" t="s">
        <v>30</v>
      </c>
    </row>
    <row r="157" spans="1:20" x14ac:dyDescent="0.25">
      <c r="A157" t="s">
        <v>65</v>
      </c>
      <c r="B157">
        <v>1</v>
      </c>
      <c r="C157" t="s">
        <v>66</v>
      </c>
      <c r="D157" t="s">
        <v>67</v>
      </c>
      <c r="E157" t="s">
        <v>68</v>
      </c>
      <c r="F157">
        <v>180</v>
      </c>
      <c r="G157">
        <v>1080</v>
      </c>
      <c r="H157">
        <v>-3</v>
      </c>
      <c r="I157">
        <v>1981</v>
      </c>
      <c r="J157" t="s">
        <v>34</v>
      </c>
      <c r="K157">
        <v>2469</v>
      </c>
      <c r="L157">
        <v>19.920000000000002</v>
      </c>
      <c r="M157">
        <v>7.37</v>
      </c>
      <c r="N157">
        <v>13</v>
      </c>
      <c r="O157">
        <v>2</v>
      </c>
      <c r="P157">
        <v>2.5</v>
      </c>
      <c r="Q157">
        <v>3</v>
      </c>
      <c r="R157">
        <v>3</v>
      </c>
      <c r="S157">
        <v>3</v>
      </c>
      <c r="T157" t="s">
        <v>30</v>
      </c>
    </row>
    <row r="158" spans="1:20" x14ac:dyDescent="0.25">
      <c r="A158" t="s">
        <v>65</v>
      </c>
      <c r="B158">
        <v>1</v>
      </c>
      <c r="C158" t="s">
        <v>66</v>
      </c>
      <c r="D158" t="s">
        <v>67</v>
      </c>
      <c r="E158" t="s">
        <v>68</v>
      </c>
      <c r="F158">
        <v>180</v>
      </c>
      <c r="G158">
        <v>1080</v>
      </c>
      <c r="H158">
        <v>-3</v>
      </c>
      <c r="I158">
        <v>1981</v>
      </c>
      <c r="J158" t="s">
        <v>35</v>
      </c>
      <c r="K158">
        <v>1785</v>
      </c>
      <c r="L158">
        <v>3.91</v>
      </c>
      <c r="M158">
        <v>3.91</v>
      </c>
      <c r="N158">
        <v>63</v>
      </c>
      <c r="O158">
        <v>2.5</v>
      </c>
      <c r="P158">
        <v>1.5</v>
      </c>
      <c r="Q158">
        <v>3</v>
      </c>
      <c r="R158">
        <v>4</v>
      </c>
      <c r="S158">
        <v>3</v>
      </c>
      <c r="T158" t="s">
        <v>38</v>
      </c>
    </row>
    <row r="159" spans="1:20" x14ac:dyDescent="0.25">
      <c r="A159" t="s">
        <v>65</v>
      </c>
      <c r="B159">
        <v>1</v>
      </c>
      <c r="C159" t="s">
        <v>66</v>
      </c>
      <c r="D159" t="s">
        <v>67</v>
      </c>
      <c r="E159" t="s">
        <v>68</v>
      </c>
      <c r="F159">
        <v>180</v>
      </c>
      <c r="G159">
        <v>1080</v>
      </c>
      <c r="H159">
        <v>-3</v>
      </c>
      <c r="I159">
        <v>1981</v>
      </c>
      <c r="J159" t="s">
        <v>36</v>
      </c>
      <c r="K159">
        <v>1598</v>
      </c>
      <c r="L159">
        <v>10.75</v>
      </c>
      <c r="M159">
        <v>9.26</v>
      </c>
      <c r="N159">
        <v>88</v>
      </c>
      <c r="O159">
        <v>4</v>
      </c>
      <c r="P159">
        <v>4</v>
      </c>
      <c r="Q159">
        <v>4</v>
      </c>
      <c r="R159">
        <v>4</v>
      </c>
      <c r="S159">
        <v>4</v>
      </c>
      <c r="T159" t="s">
        <v>27</v>
      </c>
    </row>
    <row r="160" spans="1:20" x14ac:dyDescent="0.25">
      <c r="A160" t="s">
        <v>65</v>
      </c>
      <c r="B160">
        <v>1</v>
      </c>
      <c r="C160" t="s">
        <v>66</v>
      </c>
      <c r="D160" t="s">
        <v>67</v>
      </c>
      <c r="E160" t="s">
        <v>68</v>
      </c>
      <c r="F160">
        <v>180</v>
      </c>
      <c r="G160">
        <v>1080</v>
      </c>
      <c r="H160">
        <v>-3</v>
      </c>
      <c r="I160">
        <v>1981</v>
      </c>
      <c r="J160" t="s">
        <v>62</v>
      </c>
      <c r="K160">
        <v>2428</v>
      </c>
      <c r="L160">
        <v>3.63</v>
      </c>
      <c r="M160">
        <v>5.0199999999999996</v>
      </c>
      <c r="N160">
        <v>63</v>
      </c>
      <c r="O160">
        <v>4</v>
      </c>
      <c r="P160">
        <v>3.5</v>
      </c>
      <c r="Q160">
        <v>4</v>
      </c>
      <c r="R160">
        <v>4</v>
      </c>
      <c r="S160">
        <v>3.5</v>
      </c>
      <c r="T160" t="s">
        <v>25</v>
      </c>
    </row>
    <row r="161" spans="1:20" x14ac:dyDescent="0.25">
      <c r="A161" t="s">
        <v>65</v>
      </c>
      <c r="B161">
        <v>1</v>
      </c>
      <c r="C161" t="s">
        <v>66</v>
      </c>
      <c r="D161" t="s">
        <v>67</v>
      </c>
      <c r="E161" t="s">
        <v>68</v>
      </c>
      <c r="F161">
        <v>180</v>
      </c>
      <c r="G161">
        <v>1080</v>
      </c>
      <c r="H161">
        <v>-3</v>
      </c>
      <c r="I161">
        <v>1981</v>
      </c>
      <c r="J161" t="s">
        <v>62</v>
      </c>
      <c r="K161">
        <v>2431</v>
      </c>
      <c r="L161">
        <v>6.14</v>
      </c>
      <c r="M161">
        <v>5.86</v>
      </c>
      <c r="N161">
        <v>75</v>
      </c>
      <c r="O161">
        <v>4</v>
      </c>
      <c r="P161">
        <v>3</v>
      </c>
      <c r="Q161">
        <v>4</v>
      </c>
      <c r="R161">
        <v>4</v>
      </c>
      <c r="S161">
        <v>4</v>
      </c>
      <c r="T161" t="s">
        <v>27</v>
      </c>
    </row>
    <row r="162" spans="1:20" x14ac:dyDescent="0.25">
      <c r="A162" t="s">
        <v>65</v>
      </c>
      <c r="B162">
        <v>1</v>
      </c>
      <c r="C162" t="s">
        <v>66</v>
      </c>
      <c r="D162" t="s">
        <v>67</v>
      </c>
      <c r="E162" t="s">
        <v>68</v>
      </c>
      <c r="F162">
        <v>180</v>
      </c>
      <c r="G162">
        <v>1080</v>
      </c>
      <c r="H162">
        <v>-3</v>
      </c>
      <c r="I162">
        <v>1981</v>
      </c>
      <c r="J162" t="s">
        <v>62</v>
      </c>
      <c r="K162">
        <v>1787</v>
      </c>
      <c r="L162">
        <v>5.3</v>
      </c>
      <c r="M162">
        <v>4.88</v>
      </c>
      <c r="N162">
        <v>38</v>
      </c>
      <c r="O162">
        <v>3.5</v>
      </c>
      <c r="P162">
        <v>3</v>
      </c>
      <c r="Q162">
        <v>4</v>
      </c>
      <c r="R162">
        <v>4</v>
      </c>
      <c r="S162">
        <v>4</v>
      </c>
      <c r="T162" t="s">
        <v>25</v>
      </c>
    </row>
    <row r="163" spans="1:20" x14ac:dyDescent="0.25">
      <c r="A163" t="s">
        <v>65</v>
      </c>
      <c r="B163">
        <v>1</v>
      </c>
      <c r="C163" t="s">
        <v>66</v>
      </c>
      <c r="D163" t="s">
        <v>67</v>
      </c>
      <c r="E163" t="s">
        <v>68</v>
      </c>
      <c r="F163">
        <v>180</v>
      </c>
      <c r="G163">
        <v>1080</v>
      </c>
      <c r="H163">
        <v>-3</v>
      </c>
      <c r="I163">
        <v>1981</v>
      </c>
      <c r="J163" t="s">
        <v>39</v>
      </c>
      <c r="K163">
        <v>2435</v>
      </c>
      <c r="L163">
        <v>14.93</v>
      </c>
      <c r="M163">
        <v>9.39</v>
      </c>
      <c r="N163">
        <v>63</v>
      </c>
      <c r="O163">
        <v>4</v>
      </c>
      <c r="P163">
        <v>3</v>
      </c>
      <c r="Q163">
        <v>3</v>
      </c>
      <c r="R163">
        <v>2.5</v>
      </c>
      <c r="S163">
        <v>2.5</v>
      </c>
      <c r="T163" t="s">
        <v>25</v>
      </c>
    </row>
    <row r="164" spans="1:20" x14ac:dyDescent="0.25">
      <c r="A164" t="s">
        <v>65</v>
      </c>
      <c r="B164">
        <v>1</v>
      </c>
      <c r="C164" t="s">
        <v>66</v>
      </c>
      <c r="D164" t="s">
        <v>67</v>
      </c>
      <c r="E164" t="s">
        <v>68</v>
      </c>
      <c r="F164">
        <v>180</v>
      </c>
      <c r="G164">
        <v>1080</v>
      </c>
      <c r="H164">
        <v>-3</v>
      </c>
      <c r="I164">
        <v>1981</v>
      </c>
      <c r="J164" t="s">
        <v>37</v>
      </c>
      <c r="K164">
        <v>1524</v>
      </c>
      <c r="L164">
        <v>3.21</v>
      </c>
      <c r="M164">
        <v>3.72</v>
      </c>
      <c r="N164">
        <v>50</v>
      </c>
      <c r="O164">
        <v>1.5</v>
      </c>
      <c r="P164">
        <v>2</v>
      </c>
      <c r="Q164">
        <v>2</v>
      </c>
      <c r="R164">
        <v>4</v>
      </c>
      <c r="S164">
        <v>4</v>
      </c>
      <c r="T164" t="s">
        <v>30</v>
      </c>
    </row>
    <row r="165" spans="1:20" x14ac:dyDescent="0.25">
      <c r="A165" t="s">
        <v>65</v>
      </c>
      <c r="B165">
        <v>1</v>
      </c>
      <c r="C165" t="s">
        <v>66</v>
      </c>
      <c r="D165" t="s">
        <v>67</v>
      </c>
      <c r="E165" t="s">
        <v>68</v>
      </c>
      <c r="F165">
        <v>180</v>
      </c>
      <c r="G165">
        <v>1080</v>
      </c>
      <c r="H165">
        <v>-3</v>
      </c>
      <c r="I165">
        <v>1981</v>
      </c>
      <c r="J165" t="s">
        <v>63</v>
      </c>
      <c r="K165">
        <v>1340</v>
      </c>
      <c r="L165">
        <v>5.93</v>
      </c>
      <c r="M165">
        <v>6.48</v>
      </c>
      <c r="N165">
        <v>100</v>
      </c>
      <c r="O165">
        <v>1.8</v>
      </c>
      <c r="P165">
        <v>1.8</v>
      </c>
      <c r="Q165">
        <v>2</v>
      </c>
      <c r="R165">
        <v>2</v>
      </c>
      <c r="S165">
        <v>3</v>
      </c>
      <c r="T165" t="s">
        <v>30</v>
      </c>
    </row>
    <row r="166" spans="1:20" x14ac:dyDescent="0.25">
      <c r="A166" t="s">
        <v>65</v>
      </c>
      <c r="B166">
        <v>1</v>
      </c>
      <c r="C166" t="s">
        <v>66</v>
      </c>
      <c r="D166" t="s">
        <v>67</v>
      </c>
      <c r="E166" t="s">
        <v>68</v>
      </c>
      <c r="F166">
        <v>180</v>
      </c>
      <c r="G166">
        <v>1080</v>
      </c>
      <c r="H166">
        <v>-3</v>
      </c>
      <c r="I166">
        <v>1981</v>
      </c>
      <c r="J166" t="s">
        <v>69</v>
      </c>
      <c r="K166">
        <v>1780</v>
      </c>
      <c r="L166">
        <v>6.24</v>
      </c>
      <c r="M166">
        <v>4.8499999999999996</v>
      </c>
      <c r="N166">
        <v>25</v>
      </c>
      <c r="O166">
        <v>2.5</v>
      </c>
      <c r="P166">
        <v>4</v>
      </c>
      <c r="Q166">
        <v>3</v>
      </c>
      <c r="R166">
        <v>3</v>
      </c>
      <c r="S166">
        <v>3</v>
      </c>
      <c r="T166" t="s">
        <v>30</v>
      </c>
    </row>
    <row r="167" spans="1:20" x14ac:dyDescent="0.25">
      <c r="A167" t="s">
        <v>65</v>
      </c>
      <c r="B167">
        <v>2</v>
      </c>
      <c r="C167" t="s">
        <v>66</v>
      </c>
      <c r="D167" t="s">
        <v>67</v>
      </c>
      <c r="E167" t="s">
        <v>68</v>
      </c>
      <c r="F167">
        <v>180</v>
      </c>
      <c r="G167">
        <v>1080</v>
      </c>
      <c r="H167">
        <v>-3</v>
      </c>
      <c r="I167">
        <v>1981</v>
      </c>
      <c r="J167" t="s">
        <v>55</v>
      </c>
      <c r="K167">
        <v>1094</v>
      </c>
      <c r="L167">
        <v>1.03</v>
      </c>
      <c r="M167">
        <v>2.17</v>
      </c>
      <c r="N167">
        <v>13</v>
      </c>
      <c r="O167">
        <v>2</v>
      </c>
      <c r="P167">
        <v>2</v>
      </c>
      <c r="Q167">
        <v>2</v>
      </c>
      <c r="R167">
        <v>2</v>
      </c>
      <c r="S167">
        <v>2</v>
      </c>
      <c r="T167" t="s">
        <v>50</v>
      </c>
    </row>
    <row r="168" spans="1:20" x14ac:dyDescent="0.25">
      <c r="A168" t="s">
        <v>65</v>
      </c>
      <c r="B168">
        <v>2</v>
      </c>
      <c r="C168" t="s">
        <v>66</v>
      </c>
      <c r="D168" t="s">
        <v>67</v>
      </c>
      <c r="E168" t="s">
        <v>68</v>
      </c>
      <c r="F168">
        <v>180</v>
      </c>
      <c r="G168">
        <v>1080</v>
      </c>
      <c r="H168">
        <v>-3</v>
      </c>
      <c r="I168">
        <v>1981</v>
      </c>
      <c r="J168" t="s">
        <v>56</v>
      </c>
      <c r="K168">
        <v>1111</v>
      </c>
      <c r="L168">
        <v>6.29</v>
      </c>
      <c r="M168">
        <v>4.62</v>
      </c>
      <c r="N168">
        <v>100</v>
      </c>
      <c r="O168">
        <v>3</v>
      </c>
      <c r="P168">
        <v>2.5</v>
      </c>
      <c r="Q168">
        <v>2</v>
      </c>
      <c r="R168">
        <v>2</v>
      </c>
      <c r="S168">
        <v>2.5</v>
      </c>
      <c r="T168" t="s">
        <v>38</v>
      </c>
    </row>
    <row r="169" spans="1:20" x14ac:dyDescent="0.25">
      <c r="A169" t="s">
        <v>65</v>
      </c>
      <c r="B169">
        <v>2</v>
      </c>
      <c r="C169" t="s">
        <v>66</v>
      </c>
      <c r="D169" t="s">
        <v>67</v>
      </c>
      <c r="E169" t="s">
        <v>68</v>
      </c>
      <c r="F169">
        <v>180</v>
      </c>
      <c r="G169">
        <v>1080</v>
      </c>
      <c r="H169">
        <v>-3</v>
      </c>
      <c r="I169">
        <v>1981</v>
      </c>
      <c r="J169" t="s">
        <v>57</v>
      </c>
      <c r="K169">
        <v>1112</v>
      </c>
      <c r="L169">
        <v>11.43</v>
      </c>
      <c r="M169">
        <v>7.83</v>
      </c>
      <c r="N169">
        <v>88</v>
      </c>
      <c r="O169">
        <v>3</v>
      </c>
      <c r="P169">
        <v>2</v>
      </c>
      <c r="Q169">
        <v>3.5</v>
      </c>
      <c r="R169">
        <v>4</v>
      </c>
      <c r="S169">
        <v>4</v>
      </c>
      <c r="T169" t="s">
        <v>27</v>
      </c>
    </row>
    <row r="170" spans="1:20" x14ac:dyDescent="0.25">
      <c r="A170" t="s">
        <v>65</v>
      </c>
      <c r="B170">
        <v>2</v>
      </c>
      <c r="C170" t="s">
        <v>66</v>
      </c>
      <c r="D170" t="s">
        <v>67</v>
      </c>
      <c r="E170" t="s">
        <v>68</v>
      </c>
      <c r="F170">
        <v>180</v>
      </c>
      <c r="G170">
        <v>1080</v>
      </c>
      <c r="H170">
        <v>-3</v>
      </c>
      <c r="I170">
        <v>1981</v>
      </c>
      <c r="J170" t="s">
        <v>57</v>
      </c>
      <c r="K170">
        <v>1113</v>
      </c>
      <c r="L170">
        <v>3.98</v>
      </c>
      <c r="M170">
        <v>3.98</v>
      </c>
      <c r="N170">
        <v>75</v>
      </c>
      <c r="O170">
        <v>3</v>
      </c>
      <c r="P170">
        <v>2</v>
      </c>
      <c r="Q170">
        <v>3</v>
      </c>
      <c r="R170">
        <v>4</v>
      </c>
      <c r="S170">
        <v>3</v>
      </c>
      <c r="T170" t="s">
        <v>38</v>
      </c>
    </row>
    <row r="171" spans="1:20" x14ac:dyDescent="0.25">
      <c r="A171" t="s">
        <v>65</v>
      </c>
      <c r="B171">
        <v>2</v>
      </c>
      <c r="C171" t="s">
        <v>66</v>
      </c>
      <c r="D171" t="s">
        <v>67</v>
      </c>
      <c r="E171" t="s">
        <v>68</v>
      </c>
      <c r="F171">
        <v>180</v>
      </c>
      <c r="G171">
        <v>1080</v>
      </c>
      <c r="H171">
        <v>-3</v>
      </c>
      <c r="I171">
        <v>1981</v>
      </c>
      <c r="J171" t="s">
        <v>60</v>
      </c>
      <c r="K171">
        <v>1595</v>
      </c>
      <c r="L171">
        <v>2.8</v>
      </c>
      <c r="M171">
        <v>2.92</v>
      </c>
      <c r="N171">
        <v>75</v>
      </c>
      <c r="O171">
        <v>2.5</v>
      </c>
      <c r="P171">
        <v>1.8</v>
      </c>
      <c r="Q171">
        <v>3.2</v>
      </c>
      <c r="R171">
        <v>3.5</v>
      </c>
      <c r="S171">
        <v>3.5</v>
      </c>
      <c r="T171" t="s">
        <v>30</v>
      </c>
    </row>
    <row r="172" spans="1:20" x14ac:dyDescent="0.25">
      <c r="A172" t="s">
        <v>65</v>
      </c>
      <c r="B172">
        <v>2</v>
      </c>
      <c r="C172" t="s">
        <v>66</v>
      </c>
      <c r="D172" t="s">
        <v>67</v>
      </c>
      <c r="E172" t="s">
        <v>68</v>
      </c>
      <c r="F172">
        <v>180</v>
      </c>
      <c r="G172">
        <v>1080</v>
      </c>
      <c r="H172">
        <v>-3</v>
      </c>
      <c r="I172">
        <v>1981</v>
      </c>
      <c r="J172" t="s">
        <v>58</v>
      </c>
      <c r="K172">
        <v>1338</v>
      </c>
      <c r="L172">
        <v>6.07</v>
      </c>
      <c r="M172">
        <v>5.89</v>
      </c>
      <c r="N172">
        <v>63</v>
      </c>
      <c r="O172">
        <v>3</v>
      </c>
      <c r="P172">
        <v>3</v>
      </c>
      <c r="Q172">
        <v>2</v>
      </c>
      <c r="R172">
        <v>2</v>
      </c>
      <c r="S172">
        <v>2.5</v>
      </c>
      <c r="T172" t="s">
        <v>30</v>
      </c>
    </row>
    <row r="173" spans="1:20" x14ac:dyDescent="0.25">
      <c r="A173" t="s">
        <v>65</v>
      </c>
      <c r="B173">
        <v>2</v>
      </c>
      <c r="C173" t="s">
        <v>66</v>
      </c>
      <c r="D173" t="s">
        <v>67</v>
      </c>
      <c r="E173" t="s">
        <v>68</v>
      </c>
      <c r="F173">
        <v>180</v>
      </c>
      <c r="G173">
        <v>1080</v>
      </c>
      <c r="H173">
        <v>-3</v>
      </c>
      <c r="I173">
        <v>1981</v>
      </c>
      <c r="J173" t="s">
        <v>59</v>
      </c>
      <c r="K173">
        <v>1978</v>
      </c>
      <c r="L173">
        <v>4.04</v>
      </c>
      <c r="M173">
        <v>4.66</v>
      </c>
      <c r="N173">
        <v>50</v>
      </c>
      <c r="O173">
        <v>2.5</v>
      </c>
      <c r="P173">
        <v>3</v>
      </c>
      <c r="Q173">
        <v>3.5</v>
      </c>
      <c r="R173">
        <v>3.5</v>
      </c>
      <c r="S173">
        <v>3.5</v>
      </c>
      <c r="T173" t="s">
        <v>38</v>
      </c>
    </row>
    <row r="174" spans="1:20" x14ac:dyDescent="0.25">
      <c r="A174" t="s">
        <v>65</v>
      </c>
      <c r="B174">
        <v>2</v>
      </c>
      <c r="C174" t="s">
        <v>66</v>
      </c>
      <c r="D174" t="s">
        <v>67</v>
      </c>
      <c r="E174" t="s">
        <v>68</v>
      </c>
      <c r="F174">
        <v>180</v>
      </c>
      <c r="G174">
        <v>1080</v>
      </c>
      <c r="H174">
        <v>-3</v>
      </c>
      <c r="I174">
        <v>1981</v>
      </c>
      <c r="J174" t="s">
        <v>59</v>
      </c>
      <c r="K174">
        <v>1482</v>
      </c>
      <c r="L174">
        <v>11.03</v>
      </c>
      <c r="M174">
        <v>6.25</v>
      </c>
      <c r="N174">
        <v>38</v>
      </c>
      <c r="O174">
        <v>3.5</v>
      </c>
      <c r="P174">
        <v>3.5</v>
      </c>
      <c r="Q174">
        <v>3</v>
      </c>
      <c r="R174">
        <v>2.5</v>
      </c>
      <c r="S174">
        <v>2</v>
      </c>
      <c r="T174" t="s">
        <v>38</v>
      </c>
    </row>
    <row r="175" spans="1:20" x14ac:dyDescent="0.25">
      <c r="A175" t="s">
        <v>65</v>
      </c>
      <c r="B175">
        <v>2</v>
      </c>
      <c r="C175" t="s">
        <v>66</v>
      </c>
      <c r="D175" t="s">
        <v>67</v>
      </c>
      <c r="E175" t="s">
        <v>68</v>
      </c>
      <c r="F175">
        <v>180</v>
      </c>
      <c r="G175">
        <v>1080</v>
      </c>
      <c r="H175">
        <v>-3</v>
      </c>
      <c r="I175">
        <v>1981</v>
      </c>
      <c r="J175" t="s">
        <v>26</v>
      </c>
      <c r="K175">
        <v>1339</v>
      </c>
      <c r="L175">
        <v>12.49</v>
      </c>
      <c r="M175">
        <v>10.119999999999999</v>
      </c>
      <c r="N175">
        <v>63</v>
      </c>
      <c r="O175">
        <v>4.5</v>
      </c>
      <c r="P175">
        <v>3</v>
      </c>
      <c r="Q175">
        <v>3.5</v>
      </c>
      <c r="R175">
        <v>3.5</v>
      </c>
      <c r="S175">
        <v>3.5</v>
      </c>
      <c r="T175" t="s">
        <v>27</v>
      </c>
    </row>
    <row r="176" spans="1:20" x14ac:dyDescent="0.25">
      <c r="A176" t="s">
        <v>65</v>
      </c>
      <c r="B176">
        <v>2</v>
      </c>
      <c r="C176" t="s">
        <v>66</v>
      </c>
      <c r="D176" t="s">
        <v>67</v>
      </c>
      <c r="E176" t="s">
        <v>68</v>
      </c>
      <c r="F176">
        <v>180</v>
      </c>
      <c r="G176">
        <v>1080</v>
      </c>
      <c r="H176">
        <v>-3</v>
      </c>
      <c r="I176">
        <v>1981</v>
      </c>
      <c r="J176" t="s">
        <v>26</v>
      </c>
      <c r="K176">
        <v>2447</v>
      </c>
      <c r="L176">
        <v>9.99</v>
      </c>
      <c r="M176">
        <v>6.83</v>
      </c>
      <c r="N176">
        <v>88</v>
      </c>
      <c r="O176">
        <v>4</v>
      </c>
      <c r="P176">
        <v>3</v>
      </c>
      <c r="Q176">
        <v>3.5</v>
      </c>
      <c r="R176">
        <v>3</v>
      </c>
      <c r="S176">
        <v>2.5</v>
      </c>
      <c r="T176" t="s">
        <v>25</v>
      </c>
    </row>
    <row r="177" spans="1:20" x14ac:dyDescent="0.25">
      <c r="A177" t="s">
        <v>65</v>
      </c>
      <c r="B177">
        <v>2</v>
      </c>
      <c r="C177" t="s">
        <v>66</v>
      </c>
      <c r="D177" t="s">
        <v>67</v>
      </c>
      <c r="E177" t="s">
        <v>68</v>
      </c>
      <c r="F177">
        <v>180</v>
      </c>
      <c r="G177">
        <v>1080</v>
      </c>
      <c r="H177">
        <v>-3</v>
      </c>
      <c r="I177">
        <v>1981</v>
      </c>
      <c r="J177" t="s">
        <v>26</v>
      </c>
      <c r="K177">
        <v>1786</v>
      </c>
      <c r="L177">
        <v>17.739999999999998</v>
      </c>
      <c r="M177">
        <v>9.99</v>
      </c>
      <c r="N177">
        <v>100</v>
      </c>
      <c r="O177">
        <v>5</v>
      </c>
      <c r="P177">
        <v>3</v>
      </c>
      <c r="Q177">
        <v>3</v>
      </c>
      <c r="R177">
        <v>2.5</v>
      </c>
      <c r="S177">
        <v>2</v>
      </c>
      <c r="T177" t="s">
        <v>27</v>
      </c>
    </row>
    <row r="178" spans="1:20" x14ac:dyDescent="0.25">
      <c r="A178" t="s">
        <v>65</v>
      </c>
      <c r="B178">
        <v>2</v>
      </c>
      <c r="C178" t="s">
        <v>66</v>
      </c>
      <c r="D178" t="s">
        <v>67</v>
      </c>
      <c r="E178" t="s">
        <v>68</v>
      </c>
      <c r="F178">
        <v>180</v>
      </c>
      <c r="G178">
        <v>1080</v>
      </c>
      <c r="H178">
        <v>-3</v>
      </c>
      <c r="I178">
        <v>1981</v>
      </c>
      <c r="J178" t="s">
        <v>32</v>
      </c>
      <c r="K178">
        <v>1596</v>
      </c>
      <c r="L178">
        <v>2.73</v>
      </c>
      <c r="M178">
        <v>3.77</v>
      </c>
      <c r="N178">
        <v>100</v>
      </c>
      <c r="O178">
        <v>2.5</v>
      </c>
      <c r="P178">
        <v>4</v>
      </c>
      <c r="Q178">
        <v>3.5</v>
      </c>
      <c r="R178">
        <v>4.5</v>
      </c>
      <c r="S178">
        <v>4</v>
      </c>
      <c r="T178" t="s">
        <v>25</v>
      </c>
    </row>
    <row r="179" spans="1:20" x14ac:dyDescent="0.25">
      <c r="A179" t="s">
        <v>65</v>
      </c>
      <c r="B179">
        <v>2</v>
      </c>
      <c r="C179" t="s">
        <v>66</v>
      </c>
      <c r="D179" t="s">
        <v>67</v>
      </c>
      <c r="E179" t="s">
        <v>68</v>
      </c>
      <c r="F179">
        <v>180</v>
      </c>
      <c r="G179">
        <v>1080</v>
      </c>
      <c r="H179">
        <v>-3</v>
      </c>
      <c r="I179">
        <v>1981</v>
      </c>
      <c r="J179" t="s">
        <v>61</v>
      </c>
      <c r="K179">
        <v>1171</v>
      </c>
      <c r="L179">
        <v>2.79</v>
      </c>
      <c r="M179">
        <v>2.9</v>
      </c>
      <c r="N179">
        <v>75</v>
      </c>
      <c r="O179">
        <v>2</v>
      </c>
      <c r="P179">
        <v>2</v>
      </c>
      <c r="Q179">
        <v>2</v>
      </c>
      <c r="R179">
        <v>2</v>
      </c>
      <c r="S179">
        <v>3</v>
      </c>
      <c r="T179" t="s">
        <v>30</v>
      </c>
    </row>
    <row r="180" spans="1:20" x14ac:dyDescent="0.25">
      <c r="A180" t="s">
        <v>65</v>
      </c>
      <c r="B180">
        <v>2</v>
      </c>
      <c r="C180" t="s">
        <v>66</v>
      </c>
      <c r="D180" t="s">
        <v>67</v>
      </c>
      <c r="E180" t="s">
        <v>68</v>
      </c>
      <c r="F180">
        <v>180</v>
      </c>
      <c r="G180">
        <v>1080</v>
      </c>
      <c r="H180">
        <v>-3</v>
      </c>
      <c r="I180">
        <v>1981</v>
      </c>
      <c r="J180" t="s">
        <v>34</v>
      </c>
      <c r="K180">
        <v>2469</v>
      </c>
      <c r="L180">
        <v>9.8800000000000008</v>
      </c>
      <c r="M180">
        <v>8.94</v>
      </c>
      <c r="N180">
        <v>88</v>
      </c>
      <c r="O180">
        <v>4</v>
      </c>
      <c r="P180">
        <v>3</v>
      </c>
      <c r="Q180">
        <v>3.5</v>
      </c>
      <c r="R180">
        <v>3.5</v>
      </c>
      <c r="S180">
        <v>3.5</v>
      </c>
      <c r="T180" t="s">
        <v>25</v>
      </c>
    </row>
    <row r="181" spans="1:20" x14ac:dyDescent="0.25">
      <c r="A181" t="s">
        <v>65</v>
      </c>
      <c r="B181">
        <v>2</v>
      </c>
      <c r="C181" t="s">
        <v>66</v>
      </c>
      <c r="D181" t="s">
        <v>67</v>
      </c>
      <c r="E181" t="s">
        <v>68</v>
      </c>
      <c r="F181">
        <v>180</v>
      </c>
      <c r="G181">
        <v>1080</v>
      </c>
      <c r="H181">
        <v>-3</v>
      </c>
      <c r="I181">
        <v>1981</v>
      </c>
      <c r="J181" t="s">
        <v>34</v>
      </c>
      <c r="K181">
        <v>1337</v>
      </c>
      <c r="L181">
        <v>8.6300000000000008</v>
      </c>
      <c r="M181">
        <v>8.2100000000000009</v>
      </c>
      <c r="N181">
        <v>100</v>
      </c>
      <c r="O181">
        <v>4</v>
      </c>
      <c r="P181">
        <v>3</v>
      </c>
      <c r="Q181">
        <v>3.5</v>
      </c>
      <c r="R181">
        <v>3.5</v>
      </c>
      <c r="S181">
        <v>3.5</v>
      </c>
      <c r="T181" t="s">
        <v>25</v>
      </c>
    </row>
    <row r="182" spans="1:20" x14ac:dyDescent="0.25">
      <c r="A182" t="s">
        <v>65</v>
      </c>
      <c r="B182">
        <v>2</v>
      </c>
      <c r="C182" t="s">
        <v>66</v>
      </c>
      <c r="D182" t="s">
        <v>67</v>
      </c>
      <c r="E182" t="s">
        <v>68</v>
      </c>
      <c r="F182">
        <v>180</v>
      </c>
      <c r="G182">
        <v>1080</v>
      </c>
      <c r="H182">
        <v>-3</v>
      </c>
      <c r="I182">
        <v>1981</v>
      </c>
      <c r="J182" t="s">
        <v>35</v>
      </c>
      <c r="K182">
        <v>1785</v>
      </c>
      <c r="L182">
        <v>4.3899999999999997</v>
      </c>
      <c r="M182">
        <v>4.03</v>
      </c>
      <c r="N182">
        <v>88</v>
      </c>
      <c r="O182">
        <v>1.5</v>
      </c>
      <c r="P182">
        <v>1.5</v>
      </c>
      <c r="Q182">
        <v>2</v>
      </c>
      <c r="R182">
        <v>2</v>
      </c>
      <c r="S182">
        <v>3</v>
      </c>
      <c r="T182" t="s">
        <v>50</v>
      </c>
    </row>
    <row r="183" spans="1:20" x14ac:dyDescent="0.25">
      <c r="A183" t="s">
        <v>65</v>
      </c>
      <c r="B183">
        <v>2</v>
      </c>
      <c r="C183" t="s">
        <v>66</v>
      </c>
      <c r="D183" t="s">
        <v>67</v>
      </c>
      <c r="E183" t="s">
        <v>68</v>
      </c>
      <c r="F183">
        <v>180</v>
      </c>
      <c r="G183">
        <v>1080</v>
      </c>
      <c r="H183">
        <v>-3</v>
      </c>
      <c r="I183">
        <v>1981</v>
      </c>
      <c r="J183" t="s">
        <v>36</v>
      </c>
      <c r="K183">
        <v>1598</v>
      </c>
      <c r="L183">
        <v>7.94</v>
      </c>
      <c r="M183">
        <v>7.77</v>
      </c>
      <c r="N183">
        <v>100</v>
      </c>
      <c r="O183">
        <v>3.5</v>
      </c>
      <c r="P183">
        <v>4</v>
      </c>
      <c r="Q183">
        <v>2.5</v>
      </c>
      <c r="R183">
        <v>4</v>
      </c>
      <c r="S183">
        <v>3.3</v>
      </c>
      <c r="T183" t="s">
        <v>27</v>
      </c>
    </row>
    <row r="184" spans="1:20" x14ac:dyDescent="0.25">
      <c r="A184" t="s">
        <v>65</v>
      </c>
      <c r="B184">
        <v>2</v>
      </c>
      <c r="C184" t="s">
        <v>66</v>
      </c>
      <c r="D184" t="s">
        <v>67</v>
      </c>
      <c r="E184" t="s">
        <v>68</v>
      </c>
      <c r="F184">
        <v>180</v>
      </c>
      <c r="G184">
        <v>1080</v>
      </c>
      <c r="H184">
        <v>-3</v>
      </c>
      <c r="I184">
        <v>1981</v>
      </c>
      <c r="J184" t="s">
        <v>62</v>
      </c>
      <c r="K184">
        <v>2428</v>
      </c>
      <c r="L184">
        <v>6.48</v>
      </c>
      <c r="M184">
        <v>6.42</v>
      </c>
      <c r="N184">
        <v>38</v>
      </c>
      <c r="O184">
        <v>4</v>
      </c>
      <c r="P184">
        <v>3.5</v>
      </c>
      <c r="Q184">
        <v>4</v>
      </c>
      <c r="R184">
        <v>4</v>
      </c>
      <c r="S184">
        <v>3.5</v>
      </c>
      <c r="T184" t="s">
        <v>25</v>
      </c>
    </row>
    <row r="185" spans="1:20" x14ac:dyDescent="0.25">
      <c r="A185" t="s">
        <v>65</v>
      </c>
      <c r="B185">
        <v>2</v>
      </c>
      <c r="C185" t="s">
        <v>66</v>
      </c>
      <c r="D185" t="s">
        <v>67</v>
      </c>
      <c r="E185" t="s">
        <v>68</v>
      </c>
      <c r="F185">
        <v>180</v>
      </c>
      <c r="G185">
        <v>1080</v>
      </c>
      <c r="H185">
        <v>-3</v>
      </c>
      <c r="I185">
        <v>1981</v>
      </c>
      <c r="J185" t="s">
        <v>62</v>
      </c>
      <c r="K185">
        <v>2431</v>
      </c>
      <c r="L185">
        <v>6.28</v>
      </c>
      <c r="M185">
        <v>6.7</v>
      </c>
      <c r="N185">
        <v>100</v>
      </c>
      <c r="O185">
        <v>4</v>
      </c>
      <c r="P185">
        <v>3</v>
      </c>
      <c r="Q185">
        <v>4</v>
      </c>
      <c r="R185">
        <v>4</v>
      </c>
      <c r="S185">
        <v>3.5</v>
      </c>
      <c r="T185" t="s">
        <v>25</v>
      </c>
    </row>
    <row r="186" spans="1:20" x14ac:dyDescent="0.25">
      <c r="A186" t="s">
        <v>65</v>
      </c>
      <c r="B186">
        <v>2</v>
      </c>
      <c r="C186" t="s">
        <v>66</v>
      </c>
      <c r="D186" t="s">
        <v>67</v>
      </c>
      <c r="E186" t="s">
        <v>68</v>
      </c>
      <c r="F186">
        <v>180</v>
      </c>
      <c r="G186">
        <v>1080</v>
      </c>
      <c r="H186">
        <v>-3</v>
      </c>
      <c r="I186">
        <v>1981</v>
      </c>
      <c r="J186" t="s">
        <v>62</v>
      </c>
      <c r="K186">
        <v>1787</v>
      </c>
      <c r="L186">
        <v>11.58</v>
      </c>
      <c r="M186">
        <v>8.3699999999999992</v>
      </c>
      <c r="N186">
        <v>63</v>
      </c>
      <c r="O186">
        <v>4</v>
      </c>
      <c r="P186">
        <v>3.5</v>
      </c>
      <c r="Q186">
        <v>4</v>
      </c>
      <c r="R186">
        <v>4</v>
      </c>
      <c r="S186">
        <v>3.5</v>
      </c>
      <c r="T186" t="s">
        <v>27</v>
      </c>
    </row>
    <row r="187" spans="1:20" x14ac:dyDescent="0.25">
      <c r="A187" t="s">
        <v>65</v>
      </c>
      <c r="B187">
        <v>2</v>
      </c>
      <c r="C187" t="s">
        <v>66</v>
      </c>
      <c r="D187" t="s">
        <v>67</v>
      </c>
      <c r="E187" t="s">
        <v>68</v>
      </c>
      <c r="F187">
        <v>180</v>
      </c>
      <c r="G187">
        <v>1080</v>
      </c>
      <c r="H187">
        <v>-3</v>
      </c>
      <c r="I187">
        <v>1981</v>
      </c>
      <c r="J187" t="s">
        <v>39</v>
      </c>
      <c r="K187">
        <v>2435</v>
      </c>
      <c r="L187">
        <v>3.56</v>
      </c>
      <c r="M187">
        <v>4.2699999999999996</v>
      </c>
      <c r="N187">
        <v>25</v>
      </c>
      <c r="O187">
        <v>3</v>
      </c>
      <c r="P187">
        <v>3</v>
      </c>
      <c r="Q187">
        <v>3</v>
      </c>
      <c r="R187">
        <v>3</v>
      </c>
      <c r="S187">
        <v>3</v>
      </c>
      <c r="T187" t="s">
        <v>38</v>
      </c>
    </row>
    <row r="188" spans="1:20" x14ac:dyDescent="0.25">
      <c r="A188" t="s">
        <v>65</v>
      </c>
      <c r="B188">
        <v>2</v>
      </c>
      <c r="C188" t="s">
        <v>66</v>
      </c>
      <c r="D188" t="s">
        <v>67</v>
      </c>
      <c r="E188" t="s">
        <v>68</v>
      </c>
      <c r="F188">
        <v>180</v>
      </c>
      <c r="G188">
        <v>1080</v>
      </c>
      <c r="H188">
        <v>-3</v>
      </c>
      <c r="I188">
        <v>1981</v>
      </c>
      <c r="J188" t="s">
        <v>37</v>
      </c>
      <c r="K188">
        <v>1524</v>
      </c>
      <c r="L188">
        <v>2.57</v>
      </c>
      <c r="M188">
        <v>3.08</v>
      </c>
      <c r="N188">
        <v>75</v>
      </c>
      <c r="O188">
        <v>2</v>
      </c>
      <c r="P188">
        <v>2</v>
      </c>
      <c r="Q188">
        <v>2</v>
      </c>
      <c r="R188">
        <v>4</v>
      </c>
      <c r="S188">
        <v>3</v>
      </c>
      <c r="T188" t="s">
        <v>30</v>
      </c>
    </row>
    <row r="189" spans="1:20" x14ac:dyDescent="0.25">
      <c r="A189" t="s">
        <v>65</v>
      </c>
      <c r="B189">
        <v>2</v>
      </c>
      <c r="C189" t="s">
        <v>66</v>
      </c>
      <c r="D189" t="s">
        <v>67</v>
      </c>
      <c r="E189" t="s">
        <v>68</v>
      </c>
      <c r="F189">
        <v>180</v>
      </c>
      <c r="G189">
        <v>1080</v>
      </c>
      <c r="H189">
        <v>-3</v>
      </c>
      <c r="I189">
        <v>1981</v>
      </c>
      <c r="J189" t="s">
        <v>63</v>
      </c>
      <c r="K189">
        <v>1340</v>
      </c>
      <c r="L189">
        <v>5.37</v>
      </c>
      <c r="M189">
        <v>5.74</v>
      </c>
      <c r="N189">
        <v>100</v>
      </c>
      <c r="O189">
        <v>1.5</v>
      </c>
      <c r="P189">
        <v>1</v>
      </c>
      <c r="Q189">
        <v>1.5</v>
      </c>
      <c r="R189">
        <v>1.5</v>
      </c>
      <c r="S189">
        <v>2</v>
      </c>
      <c r="T189" t="s">
        <v>50</v>
      </c>
    </row>
    <row r="190" spans="1:20" x14ac:dyDescent="0.25">
      <c r="A190" t="s">
        <v>65</v>
      </c>
      <c r="B190">
        <v>2</v>
      </c>
      <c r="C190" t="s">
        <v>66</v>
      </c>
      <c r="D190" t="s">
        <v>67</v>
      </c>
      <c r="E190" t="s">
        <v>68</v>
      </c>
      <c r="F190">
        <v>180</v>
      </c>
      <c r="G190">
        <v>1080</v>
      </c>
      <c r="H190">
        <v>-3</v>
      </c>
      <c r="I190">
        <v>1981</v>
      </c>
      <c r="J190" t="s">
        <v>69</v>
      </c>
      <c r="K190">
        <v>1780</v>
      </c>
      <c r="L190">
        <v>2.6</v>
      </c>
      <c r="M190">
        <v>3.64</v>
      </c>
      <c r="N190">
        <v>38</v>
      </c>
      <c r="O190">
        <v>1</v>
      </c>
      <c r="P190">
        <v>2</v>
      </c>
      <c r="Q190">
        <v>2</v>
      </c>
      <c r="R190">
        <v>2</v>
      </c>
      <c r="S190">
        <v>3</v>
      </c>
      <c r="T190" t="s">
        <v>50</v>
      </c>
    </row>
    <row r="191" spans="1:20" x14ac:dyDescent="0.25">
      <c r="A191" t="s">
        <v>65</v>
      </c>
      <c r="B191">
        <v>3</v>
      </c>
      <c r="C191" t="s">
        <v>66</v>
      </c>
      <c r="D191" t="s">
        <v>67</v>
      </c>
      <c r="E191" t="s">
        <v>68</v>
      </c>
      <c r="F191">
        <v>180</v>
      </c>
      <c r="G191">
        <v>1080</v>
      </c>
      <c r="H191">
        <v>-3</v>
      </c>
      <c r="I191">
        <v>1981</v>
      </c>
      <c r="J191" t="s">
        <v>55</v>
      </c>
      <c r="K191">
        <v>1094</v>
      </c>
      <c r="L191">
        <v>5.26</v>
      </c>
      <c r="M191">
        <v>5.48</v>
      </c>
      <c r="N191">
        <v>63</v>
      </c>
      <c r="O191">
        <v>2</v>
      </c>
      <c r="P191">
        <v>1.5</v>
      </c>
      <c r="Q191">
        <v>2</v>
      </c>
      <c r="R191">
        <v>2</v>
      </c>
      <c r="S191">
        <v>2</v>
      </c>
      <c r="T191" t="s">
        <v>50</v>
      </c>
    </row>
    <row r="192" spans="1:20" x14ac:dyDescent="0.25">
      <c r="A192" t="s">
        <v>65</v>
      </c>
      <c r="B192">
        <v>3</v>
      </c>
      <c r="C192" t="s">
        <v>66</v>
      </c>
      <c r="D192" t="s">
        <v>67</v>
      </c>
      <c r="E192" t="s">
        <v>68</v>
      </c>
      <c r="F192">
        <v>180</v>
      </c>
      <c r="G192">
        <v>1080</v>
      </c>
      <c r="H192">
        <v>-3</v>
      </c>
      <c r="I192">
        <v>1981</v>
      </c>
      <c r="J192" t="s">
        <v>56</v>
      </c>
      <c r="K192">
        <v>1111</v>
      </c>
      <c r="L192">
        <v>4.88</v>
      </c>
      <c r="M192">
        <v>4.1100000000000003</v>
      </c>
      <c r="N192">
        <v>88</v>
      </c>
      <c r="O192">
        <v>3.5</v>
      </c>
      <c r="P192">
        <v>2.5</v>
      </c>
      <c r="Q192">
        <v>2</v>
      </c>
      <c r="R192">
        <v>2</v>
      </c>
      <c r="S192">
        <v>2</v>
      </c>
      <c r="T192" t="s">
        <v>38</v>
      </c>
    </row>
    <row r="193" spans="1:20" x14ac:dyDescent="0.25">
      <c r="A193" t="s">
        <v>65</v>
      </c>
      <c r="B193">
        <v>3</v>
      </c>
      <c r="C193" t="s">
        <v>66</v>
      </c>
      <c r="D193" t="s">
        <v>67</v>
      </c>
      <c r="E193" t="s">
        <v>68</v>
      </c>
      <c r="F193">
        <v>180</v>
      </c>
      <c r="G193">
        <v>1080</v>
      </c>
      <c r="H193">
        <v>-3</v>
      </c>
      <c r="I193">
        <v>1981</v>
      </c>
      <c r="J193" t="s">
        <v>57</v>
      </c>
      <c r="K193">
        <v>1112</v>
      </c>
      <c r="L193">
        <v>7.83</v>
      </c>
      <c r="M193">
        <v>6.68</v>
      </c>
      <c r="N193">
        <v>100</v>
      </c>
      <c r="O193">
        <v>3</v>
      </c>
      <c r="P193">
        <v>1.8</v>
      </c>
      <c r="Q193">
        <v>3.5</v>
      </c>
      <c r="R193">
        <v>4</v>
      </c>
      <c r="S193">
        <v>4</v>
      </c>
      <c r="T193" t="s">
        <v>25</v>
      </c>
    </row>
    <row r="194" spans="1:20" x14ac:dyDescent="0.25">
      <c r="A194" t="s">
        <v>65</v>
      </c>
      <c r="B194">
        <v>3</v>
      </c>
      <c r="C194" t="s">
        <v>66</v>
      </c>
      <c r="D194" t="s">
        <v>67</v>
      </c>
      <c r="E194" t="s">
        <v>68</v>
      </c>
      <c r="F194">
        <v>180</v>
      </c>
      <c r="G194">
        <v>1080</v>
      </c>
      <c r="H194">
        <v>-3</v>
      </c>
      <c r="I194">
        <v>1981</v>
      </c>
      <c r="J194" t="s">
        <v>57</v>
      </c>
      <c r="K194">
        <v>1113</v>
      </c>
      <c r="L194">
        <v>4.62</v>
      </c>
      <c r="M194">
        <v>4.1100000000000003</v>
      </c>
      <c r="N194">
        <v>88</v>
      </c>
      <c r="O194">
        <v>3</v>
      </c>
      <c r="P194">
        <v>2</v>
      </c>
      <c r="Q194">
        <v>2.5</v>
      </c>
      <c r="R194">
        <v>3.5</v>
      </c>
      <c r="S194">
        <v>3</v>
      </c>
      <c r="T194" t="s">
        <v>38</v>
      </c>
    </row>
    <row r="195" spans="1:20" x14ac:dyDescent="0.25">
      <c r="A195" t="s">
        <v>65</v>
      </c>
      <c r="B195">
        <v>3</v>
      </c>
      <c r="C195" t="s">
        <v>66</v>
      </c>
      <c r="D195" t="s">
        <v>67</v>
      </c>
      <c r="E195" t="s">
        <v>68</v>
      </c>
      <c r="F195">
        <v>180</v>
      </c>
      <c r="G195">
        <v>1080</v>
      </c>
      <c r="H195">
        <v>-3</v>
      </c>
      <c r="I195">
        <v>1981</v>
      </c>
      <c r="J195" t="s">
        <v>60</v>
      </c>
      <c r="K195">
        <v>1595</v>
      </c>
      <c r="L195">
        <v>2.29</v>
      </c>
      <c r="M195">
        <v>2.67</v>
      </c>
      <c r="N195">
        <v>75</v>
      </c>
      <c r="O195">
        <v>2.5</v>
      </c>
      <c r="P195">
        <v>1.5</v>
      </c>
      <c r="Q195">
        <v>3</v>
      </c>
      <c r="R195">
        <v>4</v>
      </c>
      <c r="S195">
        <v>4</v>
      </c>
      <c r="T195" t="s">
        <v>30</v>
      </c>
    </row>
    <row r="196" spans="1:20" x14ac:dyDescent="0.25">
      <c r="A196" t="s">
        <v>65</v>
      </c>
      <c r="B196">
        <v>3</v>
      </c>
      <c r="C196" t="s">
        <v>66</v>
      </c>
      <c r="D196" t="s">
        <v>67</v>
      </c>
      <c r="E196" t="s">
        <v>68</v>
      </c>
      <c r="F196">
        <v>180</v>
      </c>
      <c r="G196">
        <v>1080</v>
      </c>
      <c r="H196">
        <v>-3</v>
      </c>
      <c r="I196">
        <v>1981</v>
      </c>
      <c r="J196" t="s">
        <v>58</v>
      </c>
      <c r="K196">
        <v>1338</v>
      </c>
      <c r="L196">
        <v>7.28</v>
      </c>
      <c r="M196">
        <v>7.45</v>
      </c>
      <c r="N196">
        <v>63</v>
      </c>
      <c r="O196">
        <v>4</v>
      </c>
      <c r="P196">
        <v>3</v>
      </c>
      <c r="Q196">
        <v>3.3</v>
      </c>
      <c r="R196">
        <v>3.3</v>
      </c>
      <c r="S196">
        <v>3</v>
      </c>
      <c r="T196" t="s">
        <v>25</v>
      </c>
    </row>
    <row r="197" spans="1:20" x14ac:dyDescent="0.25">
      <c r="A197" t="s">
        <v>65</v>
      </c>
      <c r="B197">
        <v>3</v>
      </c>
      <c r="C197" t="s">
        <v>66</v>
      </c>
      <c r="D197" t="s">
        <v>67</v>
      </c>
      <c r="E197" t="s">
        <v>68</v>
      </c>
      <c r="F197">
        <v>180</v>
      </c>
      <c r="G197">
        <v>1080</v>
      </c>
      <c r="H197">
        <v>-3</v>
      </c>
      <c r="I197">
        <v>1981</v>
      </c>
      <c r="J197" t="s">
        <v>59</v>
      </c>
      <c r="K197">
        <v>1978</v>
      </c>
      <c r="L197">
        <v>16.54</v>
      </c>
      <c r="M197">
        <v>9.93</v>
      </c>
      <c r="N197">
        <v>100</v>
      </c>
      <c r="O197">
        <v>5</v>
      </c>
      <c r="P197">
        <v>3.3</v>
      </c>
      <c r="Q197">
        <v>3.3</v>
      </c>
      <c r="R197">
        <v>2.5</v>
      </c>
      <c r="S197">
        <v>2</v>
      </c>
      <c r="T197" t="s">
        <v>27</v>
      </c>
    </row>
    <row r="198" spans="1:20" x14ac:dyDescent="0.25">
      <c r="A198" t="s">
        <v>65</v>
      </c>
      <c r="B198">
        <v>3</v>
      </c>
      <c r="C198" t="s">
        <v>66</v>
      </c>
      <c r="D198" t="s">
        <v>67</v>
      </c>
      <c r="E198" t="s">
        <v>68</v>
      </c>
      <c r="F198">
        <v>180</v>
      </c>
      <c r="G198">
        <v>1080</v>
      </c>
      <c r="H198">
        <v>-3</v>
      </c>
      <c r="I198">
        <v>1981</v>
      </c>
      <c r="J198" t="s">
        <v>59</v>
      </c>
      <c r="K198">
        <v>1482</v>
      </c>
      <c r="L198">
        <v>10.54</v>
      </c>
      <c r="M198">
        <v>7.84</v>
      </c>
      <c r="N198">
        <v>88</v>
      </c>
      <c r="O198">
        <v>4</v>
      </c>
      <c r="P198">
        <v>3.3</v>
      </c>
      <c r="Q198">
        <v>3.3</v>
      </c>
      <c r="R198">
        <v>3.5</v>
      </c>
      <c r="S198">
        <v>3.5</v>
      </c>
      <c r="T198" t="s">
        <v>25</v>
      </c>
    </row>
    <row r="199" spans="1:20" x14ac:dyDescent="0.25">
      <c r="A199" t="s">
        <v>65</v>
      </c>
      <c r="B199">
        <v>3</v>
      </c>
      <c r="C199" t="s">
        <v>66</v>
      </c>
      <c r="D199" t="s">
        <v>67</v>
      </c>
      <c r="E199" t="s">
        <v>68</v>
      </c>
      <c r="F199">
        <v>180</v>
      </c>
      <c r="G199">
        <v>1080</v>
      </c>
      <c r="H199">
        <v>-3</v>
      </c>
      <c r="I199">
        <v>1981</v>
      </c>
      <c r="J199" t="s">
        <v>26</v>
      </c>
      <c r="K199">
        <v>1339</v>
      </c>
      <c r="L199">
        <v>3.81</v>
      </c>
      <c r="M199">
        <v>4.7300000000000004</v>
      </c>
      <c r="N199">
        <v>100</v>
      </c>
      <c r="O199">
        <v>3</v>
      </c>
      <c r="P199">
        <v>2.7</v>
      </c>
      <c r="Q199">
        <v>3</v>
      </c>
      <c r="R199">
        <v>3</v>
      </c>
      <c r="S199">
        <v>3.5</v>
      </c>
      <c r="T199" t="s">
        <v>25</v>
      </c>
    </row>
    <row r="200" spans="1:20" x14ac:dyDescent="0.25">
      <c r="A200" t="s">
        <v>65</v>
      </c>
      <c r="B200">
        <v>3</v>
      </c>
      <c r="C200" t="s">
        <v>66</v>
      </c>
      <c r="D200" t="s">
        <v>67</v>
      </c>
      <c r="E200" t="s">
        <v>68</v>
      </c>
      <c r="F200">
        <v>180</v>
      </c>
      <c r="G200">
        <v>1080</v>
      </c>
      <c r="H200">
        <v>-3</v>
      </c>
      <c r="I200">
        <v>1981</v>
      </c>
      <c r="J200" t="s">
        <v>26</v>
      </c>
      <c r="K200">
        <v>2447</v>
      </c>
      <c r="L200">
        <v>11.57</v>
      </c>
      <c r="M200">
        <v>8.41</v>
      </c>
      <c r="N200">
        <v>100</v>
      </c>
      <c r="O200">
        <v>4</v>
      </c>
      <c r="P200">
        <v>3</v>
      </c>
      <c r="Q200">
        <v>3.5</v>
      </c>
      <c r="R200">
        <v>3.5</v>
      </c>
      <c r="S200">
        <v>3.5</v>
      </c>
      <c r="T200" t="s">
        <v>27</v>
      </c>
    </row>
    <row r="201" spans="1:20" x14ac:dyDescent="0.25">
      <c r="A201" t="s">
        <v>65</v>
      </c>
      <c r="B201">
        <v>3</v>
      </c>
      <c r="C201" t="s">
        <v>66</v>
      </c>
      <c r="D201" t="s">
        <v>67</v>
      </c>
      <c r="E201" t="s">
        <v>68</v>
      </c>
      <c r="F201">
        <v>180</v>
      </c>
      <c r="G201">
        <v>1080</v>
      </c>
      <c r="H201">
        <v>-3</v>
      </c>
      <c r="I201">
        <v>1981</v>
      </c>
      <c r="J201" t="s">
        <v>26</v>
      </c>
      <c r="K201">
        <v>1786</v>
      </c>
      <c r="L201">
        <v>13.67</v>
      </c>
      <c r="M201">
        <v>8.81</v>
      </c>
      <c r="N201">
        <v>100</v>
      </c>
      <c r="O201">
        <v>4.8</v>
      </c>
      <c r="P201">
        <v>3</v>
      </c>
      <c r="Q201">
        <v>3.5</v>
      </c>
      <c r="R201">
        <v>3.5</v>
      </c>
      <c r="S201">
        <v>3</v>
      </c>
      <c r="T201" t="s">
        <v>27</v>
      </c>
    </row>
    <row r="202" spans="1:20" x14ac:dyDescent="0.25">
      <c r="A202" t="s">
        <v>65</v>
      </c>
      <c r="B202">
        <v>3</v>
      </c>
      <c r="C202" t="s">
        <v>66</v>
      </c>
      <c r="D202" t="s">
        <v>67</v>
      </c>
      <c r="E202" t="s">
        <v>68</v>
      </c>
      <c r="F202">
        <v>180</v>
      </c>
      <c r="G202">
        <v>1080</v>
      </c>
      <c r="H202">
        <v>-3</v>
      </c>
      <c r="I202">
        <v>1981</v>
      </c>
      <c r="J202" t="s">
        <v>32</v>
      </c>
      <c r="K202">
        <v>1596</v>
      </c>
      <c r="L202">
        <v>7.03</v>
      </c>
      <c r="M202">
        <v>5.99</v>
      </c>
      <c r="N202">
        <v>88</v>
      </c>
      <c r="O202">
        <v>3.5</v>
      </c>
      <c r="P202">
        <v>2.7</v>
      </c>
      <c r="Q202">
        <v>3.5</v>
      </c>
      <c r="R202">
        <v>4</v>
      </c>
      <c r="S202">
        <v>4</v>
      </c>
      <c r="T202" t="s">
        <v>27</v>
      </c>
    </row>
    <row r="203" spans="1:20" x14ac:dyDescent="0.25">
      <c r="A203" t="s">
        <v>65</v>
      </c>
      <c r="B203">
        <v>3</v>
      </c>
      <c r="C203" t="s">
        <v>66</v>
      </c>
      <c r="D203" t="s">
        <v>67</v>
      </c>
      <c r="E203" t="s">
        <v>68</v>
      </c>
      <c r="F203">
        <v>180</v>
      </c>
      <c r="G203">
        <v>1080</v>
      </c>
      <c r="H203">
        <v>-3</v>
      </c>
      <c r="I203">
        <v>1981</v>
      </c>
      <c r="J203" t="s">
        <v>61</v>
      </c>
      <c r="K203">
        <v>1171</v>
      </c>
      <c r="L203" t="s">
        <v>44</v>
      </c>
      <c r="M203" t="s">
        <v>44</v>
      </c>
      <c r="N203" t="s">
        <v>44</v>
      </c>
      <c r="O203">
        <v>2.5</v>
      </c>
      <c r="P203">
        <v>2</v>
      </c>
      <c r="Q203">
        <v>1</v>
      </c>
      <c r="R203">
        <v>1</v>
      </c>
      <c r="S203">
        <v>1</v>
      </c>
      <c r="T203" t="s">
        <v>50</v>
      </c>
    </row>
    <row r="204" spans="1:20" x14ac:dyDescent="0.25">
      <c r="A204" t="s">
        <v>65</v>
      </c>
      <c r="B204">
        <v>3</v>
      </c>
      <c r="C204" t="s">
        <v>66</v>
      </c>
      <c r="D204" t="s">
        <v>67</v>
      </c>
      <c r="E204" t="s">
        <v>68</v>
      </c>
      <c r="F204">
        <v>180</v>
      </c>
      <c r="G204">
        <v>1080</v>
      </c>
      <c r="H204">
        <v>-3</v>
      </c>
      <c r="I204">
        <v>1981</v>
      </c>
      <c r="J204" t="s">
        <v>34</v>
      </c>
      <c r="K204">
        <v>2469</v>
      </c>
      <c r="L204">
        <v>7.68</v>
      </c>
      <c r="M204">
        <v>8</v>
      </c>
      <c r="N204">
        <v>88</v>
      </c>
      <c r="O204">
        <v>4.5</v>
      </c>
      <c r="P204">
        <v>3</v>
      </c>
      <c r="Q204">
        <v>4</v>
      </c>
      <c r="R204">
        <v>4</v>
      </c>
      <c r="S204">
        <v>4</v>
      </c>
      <c r="T204" t="s">
        <v>27</v>
      </c>
    </row>
    <row r="205" spans="1:20" x14ac:dyDescent="0.25">
      <c r="A205" t="s">
        <v>65</v>
      </c>
      <c r="B205">
        <v>3</v>
      </c>
      <c r="C205" t="s">
        <v>66</v>
      </c>
      <c r="D205" t="s">
        <v>67</v>
      </c>
      <c r="E205" t="s">
        <v>68</v>
      </c>
      <c r="F205">
        <v>180</v>
      </c>
      <c r="G205">
        <v>1080</v>
      </c>
      <c r="H205">
        <v>-3</v>
      </c>
      <c r="I205">
        <v>1981</v>
      </c>
      <c r="J205" t="s">
        <v>35</v>
      </c>
      <c r="K205">
        <v>1785</v>
      </c>
      <c r="L205">
        <v>3.2</v>
      </c>
      <c r="M205">
        <v>3.56</v>
      </c>
      <c r="N205">
        <v>88</v>
      </c>
      <c r="O205">
        <v>1.5</v>
      </c>
      <c r="P205">
        <v>1.8</v>
      </c>
      <c r="Q205">
        <v>2.5</v>
      </c>
      <c r="R205">
        <v>3.3</v>
      </c>
      <c r="S205">
        <v>3.5</v>
      </c>
      <c r="T205" t="s">
        <v>30</v>
      </c>
    </row>
    <row r="206" spans="1:20" x14ac:dyDescent="0.25">
      <c r="A206" t="s">
        <v>65</v>
      </c>
      <c r="B206">
        <v>3</v>
      </c>
      <c r="C206" t="s">
        <v>66</v>
      </c>
      <c r="D206" t="s">
        <v>67</v>
      </c>
      <c r="E206" t="s">
        <v>68</v>
      </c>
      <c r="F206">
        <v>180</v>
      </c>
      <c r="G206">
        <v>1080</v>
      </c>
      <c r="H206">
        <v>-3</v>
      </c>
      <c r="I206">
        <v>1981</v>
      </c>
      <c r="J206" t="s">
        <v>36</v>
      </c>
      <c r="K206">
        <v>1598</v>
      </c>
      <c r="L206">
        <v>6.78</v>
      </c>
      <c r="M206">
        <v>5.62</v>
      </c>
      <c r="N206">
        <v>63</v>
      </c>
      <c r="O206">
        <v>3</v>
      </c>
      <c r="P206">
        <v>4</v>
      </c>
      <c r="Q206">
        <v>2.5</v>
      </c>
      <c r="R206">
        <v>3</v>
      </c>
      <c r="S206">
        <v>2</v>
      </c>
      <c r="T206" t="s">
        <v>38</v>
      </c>
    </row>
    <row r="207" spans="1:20" x14ac:dyDescent="0.25">
      <c r="A207" t="s">
        <v>65</v>
      </c>
      <c r="B207">
        <v>3</v>
      </c>
      <c r="C207" t="s">
        <v>66</v>
      </c>
      <c r="D207" t="s">
        <v>67</v>
      </c>
      <c r="E207" t="s">
        <v>68</v>
      </c>
      <c r="F207">
        <v>180</v>
      </c>
      <c r="G207">
        <v>1080</v>
      </c>
      <c r="H207">
        <v>-3</v>
      </c>
      <c r="I207">
        <v>1981</v>
      </c>
      <c r="J207" t="s">
        <v>62</v>
      </c>
      <c r="K207">
        <v>2428</v>
      </c>
      <c r="L207">
        <v>5.16</v>
      </c>
      <c r="M207">
        <v>5.86</v>
      </c>
      <c r="N207">
        <v>75</v>
      </c>
      <c r="O207">
        <v>4</v>
      </c>
      <c r="P207">
        <v>3</v>
      </c>
      <c r="Q207">
        <v>4</v>
      </c>
      <c r="R207">
        <v>4</v>
      </c>
      <c r="S207">
        <v>4</v>
      </c>
      <c r="T207" t="s">
        <v>27</v>
      </c>
    </row>
    <row r="208" spans="1:20" x14ac:dyDescent="0.25">
      <c r="A208" t="s">
        <v>65</v>
      </c>
      <c r="B208">
        <v>3</v>
      </c>
      <c r="C208" t="s">
        <v>66</v>
      </c>
      <c r="D208" t="s">
        <v>67</v>
      </c>
      <c r="E208" t="s">
        <v>68</v>
      </c>
      <c r="F208">
        <v>180</v>
      </c>
      <c r="G208">
        <v>1080</v>
      </c>
      <c r="H208">
        <v>-3</v>
      </c>
      <c r="I208">
        <v>1981</v>
      </c>
      <c r="J208" t="s">
        <v>62</v>
      </c>
      <c r="K208">
        <v>2431</v>
      </c>
      <c r="L208">
        <v>3.35</v>
      </c>
      <c r="M208">
        <v>5.16</v>
      </c>
      <c r="N208">
        <v>100</v>
      </c>
      <c r="O208">
        <v>3</v>
      </c>
      <c r="P208">
        <v>3</v>
      </c>
      <c r="Q208">
        <v>4.5</v>
      </c>
      <c r="R208">
        <v>4</v>
      </c>
      <c r="S208">
        <v>4</v>
      </c>
      <c r="T208" t="s">
        <v>25</v>
      </c>
    </row>
    <row r="209" spans="1:20" x14ac:dyDescent="0.25">
      <c r="A209" t="s">
        <v>65</v>
      </c>
      <c r="B209">
        <v>3</v>
      </c>
      <c r="C209" t="s">
        <v>66</v>
      </c>
      <c r="D209" t="s">
        <v>67</v>
      </c>
      <c r="E209" t="s">
        <v>68</v>
      </c>
      <c r="F209">
        <v>180</v>
      </c>
      <c r="G209">
        <v>1080</v>
      </c>
      <c r="H209">
        <v>-3</v>
      </c>
      <c r="I209">
        <v>1981</v>
      </c>
      <c r="J209" t="s">
        <v>62</v>
      </c>
      <c r="K209">
        <v>1787</v>
      </c>
      <c r="L209">
        <v>3.77</v>
      </c>
      <c r="M209">
        <v>4.88</v>
      </c>
      <c r="N209">
        <v>88</v>
      </c>
      <c r="O209">
        <v>4</v>
      </c>
      <c r="P209">
        <v>3.5</v>
      </c>
      <c r="Q209">
        <v>4</v>
      </c>
      <c r="R209">
        <v>4</v>
      </c>
      <c r="S209">
        <v>4</v>
      </c>
      <c r="T209" t="s">
        <v>27</v>
      </c>
    </row>
    <row r="210" spans="1:20" x14ac:dyDescent="0.25">
      <c r="A210" t="s">
        <v>65</v>
      </c>
      <c r="B210">
        <v>3</v>
      </c>
      <c r="C210" t="s">
        <v>66</v>
      </c>
      <c r="D210" t="s">
        <v>67</v>
      </c>
      <c r="E210" t="s">
        <v>68</v>
      </c>
      <c r="F210">
        <v>180</v>
      </c>
      <c r="G210">
        <v>1080</v>
      </c>
      <c r="H210">
        <v>-3</v>
      </c>
      <c r="I210">
        <v>1981</v>
      </c>
      <c r="J210" t="s">
        <v>37</v>
      </c>
      <c r="K210">
        <v>1524</v>
      </c>
      <c r="L210">
        <v>4.49</v>
      </c>
      <c r="M210">
        <v>4.49</v>
      </c>
      <c r="N210">
        <v>88</v>
      </c>
      <c r="O210">
        <v>2.2999999999999998</v>
      </c>
      <c r="P210">
        <v>2</v>
      </c>
      <c r="Q210">
        <v>2.5</v>
      </c>
      <c r="R210">
        <v>4</v>
      </c>
      <c r="S210">
        <v>3</v>
      </c>
      <c r="T210" t="s">
        <v>30</v>
      </c>
    </row>
    <row r="211" spans="1:20" x14ac:dyDescent="0.25">
      <c r="A211" t="s">
        <v>65</v>
      </c>
      <c r="B211">
        <v>3</v>
      </c>
      <c r="C211" t="s">
        <v>66</v>
      </c>
      <c r="D211" t="s">
        <v>67</v>
      </c>
      <c r="E211" t="s">
        <v>68</v>
      </c>
      <c r="F211">
        <v>180</v>
      </c>
      <c r="G211">
        <v>1080</v>
      </c>
      <c r="H211">
        <v>-3</v>
      </c>
      <c r="I211">
        <v>1981</v>
      </c>
      <c r="J211" t="s">
        <v>63</v>
      </c>
      <c r="K211">
        <v>1340</v>
      </c>
      <c r="L211">
        <v>6.11</v>
      </c>
      <c r="M211">
        <v>5.74</v>
      </c>
      <c r="N211">
        <v>100</v>
      </c>
      <c r="O211">
        <v>2.5</v>
      </c>
      <c r="P211">
        <v>1.5</v>
      </c>
      <c r="Q211">
        <v>1.5</v>
      </c>
      <c r="R211">
        <v>1</v>
      </c>
      <c r="S211">
        <v>1</v>
      </c>
      <c r="T211" t="s">
        <v>30</v>
      </c>
    </row>
    <row r="212" spans="1:20" x14ac:dyDescent="0.25">
      <c r="A212" t="s">
        <v>65</v>
      </c>
      <c r="B212">
        <v>3</v>
      </c>
      <c r="C212" t="s">
        <v>66</v>
      </c>
      <c r="D212" t="s">
        <v>67</v>
      </c>
      <c r="E212" t="s">
        <v>68</v>
      </c>
      <c r="F212">
        <v>180</v>
      </c>
      <c r="G212">
        <v>1080</v>
      </c>
      <c r="H212">
        <v>-3</v>
      </c>
      <c r="I212">
        <v>1981</v>
      </c>
      <c r="J212" t="s">
        <v>69</v>
      </c>
      <c r="K212">
        <v>1780</v>
      </c>
      <c r="L212">
        <v>3.51</v>
      </c>
      <c r="M212">
        <v>4.68</v>
      </c>
      <c r="N212">
        <v>25</v>
      </c>
      <c r="O212">
        <v>1.5</v>
      </c>
      <c r="P212">
        <v>1.5</v>
      </c>
      <c r="Q212">
        <v>2</v>
      </c>
      <c r="R212">
        <v>2</v>
      </c>
      <c r="S212">
        <v>3</v>
      </c>
      <c r="T212" t="s">
        <v>30</v>
      </c>
    </row>
    <row r="213" spans="1:20" x14ac:dyDescent="0.25">
      <c r="A213" t="s">
        <v>70</v>
      </c>
      <c r="B213">
        <v>1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12</v>
      </c>
      <c r="M213">
        <v>10.3</v>
      </c>
      <c r="N213">
        <v>38</v>
      </c>
      <c r="O213">
        <v>2.8</v>
      </c>
      <c r="P213">
        <v>3.2</v>
      </c>
      <c r="Q213">
        <v>2.8</v>
      </c>
      <c r="R213">
        <v>3.2</v>
      </c>
      <c r="S213">
        <v>3</v>
      </c>
      <c r="T213" t="s">
        <v>30</v>
      </c>
    </row>
    <row r="214" spans="1:20" x14ac:dyDescent="0.25">
      <c r="A214" t="s">
        <v>70</v>
      </c>
      <c r="B214">
        <v>1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15</v>
      </c>
      <c r="M214">
        <v>8.4</v>
      </c>
      <c r="N214">
        <v>88</v>
      </c>
      <c r="O214">
        <v>3</v>
      </c>
      <c r="P214">
        <v>3</v>
      </c>
      <c r="Q214">
        <v>3</v>
      </c>
      <c r="R214">
        <v>3</v>
      </c>
      <c r="S214">
        <v>2</v>
      </c>
      <c r="T214" t="s">
        <v>38</v>
      </c>
    </row>
    <row r="215" spans="1:20" x14ac:dyDescent="0.25">
      <c r="A215" t="s">
        <v>70</v>
      </c>
      <c r="B215">
        <v>1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13</v>
      </c>
      <c r="M215">
        <v>11.1</v>
      </c>
      <c r="N215">
        <v>100</v>
      </c>
      <c r="O215">
        <v>3</v>
      </c>
      <c r="P215">
        <v>2</v>
      </c>
      <c r="Q215">
        <v>3.5</v>
      </c>
      <c r="R215">
        <v>3</v>
      </c>
      <c r="S215">
        <v>3</v>
      </c>
      <c r="T215" t="s">
        <v>38</v>
      </c>
    </row>
    <row r="216" spans="1:20" x14ac:dyDescent="0.25">
      <c r="A216" t="s">
        <v>70</v>
      </c>
      <c r="B216">
        <v>1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8.6</v>
      </c>
      <c r="M216">
        <v>9.5</v>
      </c>
      <c r="N216">
        <v>100</v>
      </c>
      <c r="O216">
        <v>2</v>
      </c>
      <c r="P216">
        <v>1.5</v>
      </c>
      <c r="Q216">
        <v>4</v>
      </c>
      <c r="R216">
        <v>4</v>
      </c>
      <c r="S216">
        <v>4</v>
      </c>
      <c r="T216" t="s">
        <v>30</v>
      </c>
    </row>
    <row r="217" spans="1:20" x14ac:dyDescent="0.25">
      <c r="A217" t="s">
        <v>70</v>
      </c>
      <c r="B217">
        <v>1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8.1999999999999993</v>
      </c>
      <c r="M217">
        <v>6.6</v>
      </c>
      <c r="N217">
        <v>63</v>
      </c>
      <c r="O217">
        <v>4</v>
      </c>
      <c r="P217">
        <v>4</v>
      </c>
      <c r="Q217">
        <v>3</v>
      </c>
      <c r="R217">
        <v>3</v>
      </c>
      <c r="S217">
        <v>3</v>
      </c>
      <c r="T217" t="s">
        <v>38</v>
      </c>
    </row>
    <row r="218" spans="1:20" x14ac:dyDescent="0.25">
      <c r="A218" t="s">
        <v>70</v>
      </c>
      <c r="B218">
        <v>1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15.7</v>
      </c>
      <c r="M218">
        <v>10</v>
      </c>
      <c r="N218">
        <v>100</v>
      </c>
      <c r="O218">
        <v>4</v>
      </c>
      <c r="P218">
        <v>3</v>
      </c>
      <c r="Q218">
        <v>2.5</v>
      </c>
      <c r="R218">
        <v>2.5</v>
      </c>
      <c r="S218">
        <v>2.5</v>
      </c>
      <c r="T218" t="s">
        <v>25</v>
      </c>
    </row>
    <row r="219" spans="1:20" x14ac:dyDescent="0.25">
      <c r="A219" t="s">
        <v>70</v>
      </c>
      <c r="B219">
        <v>1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15.9</v>
      </c>
      <c r="M219">
        <v>8.8000000000000007</v>
      </c>
      <c r="N219">
        <v>75</v>
      </c>
      <c r="O219">
        <v>4</v>
      </c>
      <c r="P219">
        <v>3</v>
      </c>
      <c r="Q219">
        <v>3</v>
      </c>
      <c r="R219">
        <v>2</v>
      </c>
      <c r="S219">
        <v>2.5</v>
      </c>
      <c r="T219" t="s">
        <v>25</v>
      </c>
    </row>
    <row r="220" spans="1:20" x14ac:dyDescent="0.25">
      <c r="A220" t="s">
        <v>70</v>
      </c>
      <c r="B220">
        <v>1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13.7</v>
      </c>
      <c r="M220">
        <v>9.9</v>
      </c>
      <c r="N220">
        <v>88</v>
      </c>
      <c r="O220">
        <v>4</v>
      </c>
      <c r="P220">
        <v>3</v>
      </c>
      <c r="Q220">
        <v>2.5</v>
      </c>
      <c r="R220">
        <v>2.5</v>
      </c>
      <c r="S220">
        <v>2.5</v>
      </c>
      <c r="T220" t="s">
        <v>38</v>
      </c>
    </row>
    <row r="221" spans="1:20" x14ac:dyDescent="0.25">
      <c r="A221" t="s">
        <v>70</v>
      </c>
      <c r="B221">
        <v>1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11.2</v>
      </c>
      <c r="M221">
        <v>9.1</v>
      </c>
      <c r="N221">
        <v>88</v>
      </c>
      <c r="O221">
        <v>4</v>
      </c>
      <c r="P221">
        <v>3.5</v>
      </c>
      <c r="Q221">
        <v>3</v>
      </c>
      <c r="R221">
        <v>3.5</v>
      </c>
      <c r="S221">
        <v>3</v>
      </c>
      <c r="T221" t="s">
        <v>25</v>
      </c>
    </row>
    <row r="222" spans="1:20" x14ac:dyDescent="0.25">
      <c r="A222" t="s">
        <v>70</v>
      </c>
      <c r="B222">
        <v>1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18.899999999999999</v>
      </c>
      <c r="M222">
        <v>11.8</v>
      </c>
      <c r="N222">
        <v>75</v>
      </c>
      <c r="O222">
        <v>5</v>
      </c>
      <c r="P222">
        <v>3</v>
      </c>
      <c r="Q222">
        <v>2.5</v>
      </c>
      <c r="R222">
        <v>2.5</v>
      </c>
      <c r="S222">
        <v>2</v>
      </c>
      <c r="T222" t="s">
        <v>38</v>
      </c>
    </row>
    <row r="223" spans="1:20" x14ac:dyDescent="0.25">
      <c r="A223" t="s">
        <v>70</v>
      </c>
      <c r="B223">
        <v>1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11.6</v>
      </c>
      <c r="M223">
        <v>8.9</v>
      </c>
      <c r="N223">
        <v>100</v>
      </c>
      <c r="O223">
        <v>4</v>
      </c>
      <c r="P223">
        <v>3</v>
      </c>
      <c r="Q223">
        <v>4</v>
      </c>
      <c r="R223">
        <v>4</v>
      </c>
      <c r="S223">
        <v>4</v>
      </c>
      <c r="T223" t="s">
        <v>27</v>
      </c>
    </row>
    <row r="224" spans="1:20" x14ac:dyDescent="0.25">
      <c r="A224" t="s">
        <v>70</v>
      </c>
      <c r="B224">
        <v>1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8.6</v>
      </c>
      <c r="M224">
        <v>8.9</v>
      </c>
      <c r="N224">
        <v>100</v>
      </c>
      <c r="O224">
        <v>3</v>
      </c>
      <c r="P224">
        <v>2.5</v>
      </c>
      <c r="Q224">
        <v>2.8</v>
      </c>
      <c r="R224">
        <v>3</v>
      </c>
      <c r="S224">
        <v>2.8</v>
      </c>
      <c r="T224" t="s">
        <v>30</v>
      </c>
    </row>
    <row r="225" spans="1:20" x14ac:dyDescent="0.25">
      <c r="A225" t="s">
        <v>70</v>
      </c>
      <c r="B225">
        <v>1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13.4</v>
      </c>
      <c r="M225">
        <v>12.3</v>
      </c>
      <c r="N225">
        <v>88</v>
      </c>
      <c r="O225">
        <v>4</v>
      </c>
      <c r="P225">
        <v>3</v>
      </c>
      <c r="Q225">
        <v>3.5</v>
      </c>
      <c r="R225">
        <v>3</v>
      </c>
      <c r="S225">
        <v>2.5</v>
      </c>
      <c r="T225" t="s">
        <v>27</v>
      </c>
    </row>
    <row r="226" spans="1:20" x14ac:dyDescent="0.25">
      <c r="A226" t="s">
        <v>70</v>
      </c>
      <c r="B226">
        <v>1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19.600000000000001</v>
      </c>
      <c r="M226">
        <v>11.8</v>
      </c>
      <c r="N226">
        <v>63</v>
      </c>
      <c r="O226">
        <v>5</v>
      </c>
      <c r="P226">
        <v>3</v>
      </c>
      <c r="Q226">
        <v>3.5</v>
      </c>
      <c r="R226">
        <v>3</v>
      </c>
      <c r="S226">
        <v>2</v>
      </c>
      <c r="T226" t="s">
        <v>27</v>
      </c>
    </row>
    <row r="227" spans="1:20" x14ac:dyDescent="0.25">
      <c r="A227" t="s">
        <v>70</v>
      </c>
      <c r="B227">
        <v>1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11.1</v>
      </c>
      <c r="M227">
        <v>8.6999999999999993</v>
      </c>
      <c r="N227">
        <v>88</v>
      </c>
      <c r="O227">
        <v>3</v>
      </c>
      <c r="P227">
        <v>2</v>
      </c>
      <c r="Q227">
        <v>3</v>
      </c>
      <c r="R227">
        <v>4</v>
      </c>
      <c r="S227">
        <v>4</v>
      </c>
      <c r="T227" t="s">
        <v>25</v>
      </c>
    </row>
    <row r="228" spans="1:20" x14ac:dyDescent="0.25">
      <c r="A228" t="s">
        <v>70</v>
      </c>
      <c r="B228">
        <v>1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10.8</v>
      </c>
      <c r="M228">
        <v>10</v>
      </c>
      <c r="N228">
        <v>75</v>
      </c>
      <c r="O228">
        <v>3</v>
      </c>
      <c r="P228">
        <v>4</v>
      </c>
      <c r="Q228">
        <v>3</v>
      </c>
      <c r="R228">
        <v>4</v>
      </c>
      <c r="S228">
        <v>3</v>
      </c>
      <c r="T228" t="s">
        <v>25</v>
      </c>
    </row>
    <row r="229" spans="1:20" x14ac:dyDescent="0.25">
      <c r="A229" t="s">
        <v>70</v>
      </c>
      <c r="B229">
        <v>1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11.2</v>
      </c>
      <c r="M229">
        <v>12.2</v>
      </c>
      <c r="N229">
        <v>75</v>
      </c>
      <c r="O229">
        <v>5</v>
      </c>
      <c r="P229">
        <v>3</v>
      </c>
      <c r="Q229">
        <v>4</v>
      </c>
      <c r="R229">
        <v>3.5</v>
      </c>
      <c r="S229">
        <v>3.5</v>
      </c>
      <c r="T229" t="s">
        <v>25</v>
      </c>
    </row>
    <row r="230" spans="1:20" x14ac:dyDescent="0.25">
      <c r="A230" t="s">
        <v>70</v>
      </c>
      <c r="B230">
        <v>1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14</v>
      </c>
      <c r="M230">
        <v>13</v>
      </c>
      <c r="N230">
        <v>63</v>
      </c>
      <c r="O230">
        <v>5</v>
      </c>
      <c r="P230">
        <v>3</v>
      </c>
      <c r="Q230">
        <v>3</v>
      </c>
      <c r="R230">
        <v>2</v>
      </c>
      <c r="S230">
        <v>2.5</v>
      </c>
      <c r="T230" t="s">
        <v>25</v>
      </c>
    </row>
    <row r="231" spans="1:20" x14ac:dyDescent="0.25">
      <c r="A231" t="s">
        <v>70</v>
      </c>
      <c r="B231">
        <v>1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9</v>
      </c>
      <c r="M231">
        <v>9.6</v>
      </c>
      <c r="N231">
        <v>75</v>
      </c>
      <c r="O231">
        <v>4</v>
      </c>
      <c r="P231">
        <v>3</v>
      </c>
      <c r="Q231">
        <v>4</v>
      </c>
      <c r="R231">
        <v>3</v>
      </c>
      <c r="S231">
        <v>2.5</v>
      </c>
      <c r="T231" t="s">
        <v>25</v>
      </c>
    </row>
    <row r="232" spans="1:20" x14ac:dyDescent="0.25">
      <c r="A232" t="s">
        <v>70</v>
      </c>
      <c r="B232">
        <v>1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14.4</v>
      </c>
      <c r="M232">
        <v>12.9</v>
      </c>
      <c r="N232">
        <v>88</v>
      </c>
      <c r="O232">
        <v>5</v>
      </c>
      <c r="P232">
        <v>3</v>
      </c>
      <c r="Q232">
        <v>3</v>
      </c>
      <c r="R232">
        <v>3</v>
      </c>
      <c r="S232">
        <v>2.5</v>
      </c>
      <c r="T232" t="s">
        <v>25</v>
      </c>
    </row>
    <row r="233" spans="1:20" x14ac:dyDescent="0.25">
      <c r="A233" t="s">
        <v>70</v>
      </c>
      <c r="B233">
        <v>1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8.8000000000000007</v>
      </c>
      <c r="M233">
        <v>5.3</v>
      </c>
      <c r="N233">
        <v>63</v>
      </c>
      <c r="O233">
        <v>3</v>
      </c>
      <c r="P233">
        <v>3</v>
      </c>
      <c r="Q233">
        <v>3</v>
      </c>
      <c r="R233">
        <v>4</v>
      </c>
      <c r="S233">
        <v>4</v>
      </c>
      <c r="T233" t="s">
        <v>38</v>
      </c>
    </row>
    <row r="234" spans="1:20" x14ac:dyDescent="0.25">
      <c r="A234" t="s">
        <v>70</v>
      </c>
      <c r="B234">
        <v>1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37</v>
      </c>
      <c r="K234">
        <v>1524</v>
      </c>
      <c r="L234">
        <v>6.5</v>
      </c>
      <c r="M234">
        <v>7</v>
      </c>
      <c r="N234">
        <v>50</v>
      </c>
      <c r="O234">
        <v>2.5</v>
      </c>
      <c r="P234">
        <v>2.5</v>
      </c>
      <c r="Q234">
        <v>3</v>
      </c>
      <c r="R234">
        <v>3</v>
      </c>
      <c r="S234">
        <v>3</v>
      </c>
      <c r="T234" t="s">
        <v>30</v>
      </c>
    </row>
    <row r="235" spans="1:20" x14ac:dyDescent="0.25">
      <c r="A235" t="s">
        <v>70</v>
      </c>
      <c r="B235">
        <v>1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63</v>
      </c>
      <c r="K235">
        <v>1340</v>
      </c>
      <c r="L235">
        <v>5.7</v>
      </c>
      <c r="M235">
        <v>5.7</v>
      </c>
      <c r="N235">
        <v>100</v>
      </c>
      <c r="O235">
        <v>3</v>
      </c>
      <c r="P235">
        <v>2</v>
      </c>
      <c r="Q235">
        <v>3</v>
      </c>
      <c r="R235">
        <v>3</v>
      </c>
      <c r="S235">
        <v>3</v>
      </c>
      <c r="T235" t="s">
        <v>30</v>
      </c>
    </row>
    <row r="236" spans="1:20" x14ac:dyDescent="0.25">
      <c r="A236" t="s">
        <v>70</v>
      </c>
      <c r="B236">
        <v>1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60</v>
      </c>
      <c r="K236">
        <v>1595</v>
      </c>
      <c r="L236">
        <v>8</v>
      </c>
      <c r="M236">
        <v>4.9000000000000004</v>
      </c>
      <c r="N236">
        <v>88</v>
      </c>
      <c r="O236">
        <v>3.5</v>
      </c>
      <c r="P236">
        <v>1.5</v>
      </c>
      <c r="Q236">
        <v>4</v>
      </c>
      <c r="R236">
        <v>4</v>
      </c>
      <c r="S236">
        <v>4</v>
      </c>
      <c r="T236" t="s">
        <v>38</v>
      </c>
    </row>
    <row r="237" spans="1:20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55</v>
      </c>
      <c r="K237">
        <v>1094</v>
      </c>
      <c r="L237">
        <v>7.3</v>
      </c>
      <c r="M237">
        <v>6.8</v>
      </c>
      <c r="N237">
        <v>2.5</v>
      </c>
      <c r="O237">
        <v>3.5</v>
      </c>
      <c r="P237">
        <v>3.5</v>
      </c>
      <c r="Q237">
        <v>3.5</v>
      </c>
      <c r="R237">
        <v>3.5</v>
      </c>
      <c r="S237">
        <v>1.5</v>
      </c>
      <c r="T237" t="s">
        <v>50</v>
      </c>
    </row>
    <row r="238" spans="1:20" x14ac:dyDescent="0.25">
      <c r="A238" t="s">
        <v>70</v>
      </c>
      <c r="B238">
        <v>2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56</v>
      </c>
      <c r="K238">
        <v>1111</v>
      </c>
      <c r="L238">
        <v>6.9</v>
      </c>
      <c r="M238">
        <v>5.6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2</v>
      </c>
      <c r="T238" t="s">
        <v>50</v>
      </c>
    </row>
    <row r="239" spans="1:20" x14ac:dyDescent="0.25">
      <c r="A239" t="s">
        <v>70</v>
      </c>
      <c r="B239">
        <v>2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57</v>
      </c>
      <c r="K239">
        <v>1112</v>
      </c>
      <c r="L239">
        <v>7.4</v>
      </c>
      <c r="M239">
        <v>6.6</v>
      </c>
      <c r="N239">
        <v>3</v>
      </c>
      <c r="O239">
        <v>2</v>
      </c>
      <c r="P239">
        <v>3</v>
      </c>
      <c r="Q239">
        <v>3</v>
      </c>
      <c r="R239">
        <v>3</v>
      </c>
      <c r="S239">
        <v>1</v>
      </c>
      <c r="T239" t="s">
        <v>50</v>
      </c>
    </row>
    <row r="240" spans="1:20" x14ac:dyDescent="0.25">
      <c r="A240" t="s">
        <v>70</v>
      </c>
      <c r="B240">
        <v>2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1113</v>
      </c>
      <c r="L240">
        <v>6.6</v>
      </c>
      <c r="M240">
        <v>5.4</v>
      </c>
      <c r="N240">
        <v>3</v>
      </c>
      <c r="O240">
        <v>2</v>
      </c>
      <c r="P240">
        <v>3</v>
      </c>
      <c r="Q240">
        <v>3</v>
      </c>
      <c r="R240">
        <v>3.5</v>
      </c>
      <c r="S240">
        <v>1.5</v>
      </c>
      <c r="T240" t="s">
        <v>50</v>
      </c>
    </row>
    <row r="241" spans="1:20" x14ac:dyDescent="0.25">
      <c r="A241" t="s">
        <v>70</v>
      </c>
      <c r="B241">
        <v>2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58</v>
      </c>
      <c r="K241">
        <v>1338</v>
      </c>
      <c r="L241">
        <v>7.3</v>
      </c>
      <c r="M241">
        <v>5.6</v>
      </c>
      <c r="N241">
        <v>3.5</v>
      </c>
      <c r="O241">
        <v>3</v>
      </c>
      <c r="P241">
        <v>2.5</v>
      </c>
      <c r="Q241">
        <v>2.5</v>
      </c>
      <c r="R241">
        <v>2.5</v>
      </c>
      <c r="S241">
        <v>1.5</v>
      </c>
      <c r="T241" t="s">
        <v>50</v>
      </c>
    </row>
    <row r="242" spans="1:20" x14ac:dyDescent="0.25">
      <c r="A242" t="s">
        <v>70</v>
      </c>
      <c r="B242">
        <v>2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59</v>
      </c>
      <c r="K242">
        <v>1978</v>
      </c>
      <c r="L242">
        <v>19.600000000000001</v>
      </c>
      <c r="M242">
        <v>10.3</v>
      </c>
      <c r="N242">
        <v>3</v>
      </c>
      <c r="O242">
        <v>3</v>
      </c>
      <c r="P242">
        <v>2.5</v>
      </c>
      <c r="Q242">
        <v>2.5</v>
      </c>
      <c r="R242">
        <v>2</v>
      </c>
      <c r="S242">
        <v>2</v>
      </c>
      <c r="T242" t="s">
        <v>50</v>
      </c>
    </row>
    <row r="243" spans="1:20" x14ac:dyDescent="0.25">
      <c r="A243" t="s">
        <v>70</v>
      </c>
      <c r="B243">
        <v>2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1482</v>
      </c>
      <c r="L243">
        <v>15.4</v>
      </c>
      <c r="M243">
        <v>15.8</v>
      </c>
      <c r="N243">
        <v>4</v>
      </c>
      <c r="O243">
        <v>3</v>
      </c>
      <c r="P243">
        <v>3</v>
      </c>
      <c r="Q243">
        <v>3</v>
      </c>
      <c r="R243">
        <v>3</v>
      </c>
      <c r="S243">
        <v>3</v>
      </c>
      <c r="T243" t="s">
        <v>50</v>
      </c>
    </row>
    <row r="244" spans="1:20" x14ac:dyDescent="0.25">
      <c r="A244" t="s">
        <v>70</v>
      </c>
      <c r="B244">
        <v>2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26</v>
      </c>
      <c r="K244">
        <v>1339</v>
      </c>
      <c r="L244">
        <v>15</v>
      </c>
      <c r="M244">
        <v>11.6</v>
      </c>
      <c r="N244">
        <v>4</v>
      </c>
      <c r="O244">
        <v>3</v>
      </c>
      <c r="P244">
        <v>2</v>
      </c>
      <c r="Q244">
        <v>2</v>
      </c>
      <c r="R244">
        <v>2</v>
      </c>
      <c r="S244">
        <v>3</v>
      </c>
      <c r="T244" t="s">
        <v>50</v>
      </c>
    </row>
    <row r="245" spans="1:20" x14ac:dyDescent="0.25">
      <c r="A245" t="s">
        <v>70</v>
      </c>
      <c r="B245">
        <v>2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2447</v>
      </c>
      <c r="L245">
        <v>13.9</v>
      </c>
      <c r="M245">
        <v>11.1</v>
      </c>
      <c r="N245">
        <v>5</v>
      </c>
      <c r="O245">
        <v>3</v>
      </c>
      <c r="P245">
        <v>3</v>
      </c>
      <c r="Q245">
        <v>2.5</v>
      </c>
      <c r="R245">
        <v>2</v>
      </c>
      <c r="S245">
        <v>3</v>
      </c>
      <c r="T245" t="s">
        <v>50</v>
      </c>
    </row>
    <row r="246" spans="1:20" x14ac:dyDescent="0.25">
      <c r="A246" t="s">
        <v>70</v>
      </c>
      <c r="B246">
        <v>2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1786</v>
      </c>
      <c r="L246">
        <v>15.6</v>
      </c>
      <c r="M246">
        <v>12.1</v>
      </c>
      <c r="N246">
        <v>4</v>
      </c>
      <c r="O246">
        <v>3</v>
      </c>
      <c r="P246">
        <v>3.5</v>
      </c>
      <c r="Q246">
        <v>3</v>
      </c>
      <c r="R246">
        <v>2</v>
      </c>
      <c r="S246">
        <v>3</v>
      </c>
      <c r="T246" t="s">
        <v>50</v>
      </c>
    </row>
    <row r="247" spans="1:20" x14ac:dyDescent="0.25">
      <c r="A247" t="s">
        <v>70</v>
      </c>
      <c r="B247">
        <v>2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32</v>
      </c>
      <c r="K247">
        <v>1596</v>
      </c>
      <c r="L247">
        <v>7.9</v>
      </c>
      <c r="M247">
        <v>8.6</v>
      </c>
      <c r="N247">
        <v>2.5</v>
      </c>
      <c r="O247">
        <v>3</v>
      </c>
      <c r="P247">
        <v>2.5</v>
      </c>
      <c r="Q247">
        <v>4</v>
      </c>
      <c r="R247">
        <v>3.5</v>
      </c>
      <c r="S247">
        <v>1</v>
      </c>
      <c r="T247" t="s">
        <v>50</v>
      </c>
    </row>
    <row r="248" spans="1:20" x14ac:dyDescent="0.25">
      <c r="A248" t="s">
        <v>70</v>
      </c>
      <c r="B248">
        <v>2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61</v>
      </c>
      <c r="K248">
        <v>1171</v>
      </c>
      <c r="L248">
        <v>6.6</v>
      </c>
      <c r="M248">
        <v>5.8</v>
      </c>
      <c r="N248">
        <v>2</v>
      </c>
      <c r="O248">
        <v>3</v>
      </c>
      <c r="P248">
        <v>2.5</v>
      </c>
      <c r="Q248">
        <v>2.5</v>
      </c>
      <c r="R248">
        <v>3</v>
      </c>
      <c r="S248">
        <v>0.5</v>
      </c>
      <c r="T248" t="s">
        <v>50</v>
      </c>
    </row>
    <row r="249" spans="1:20" x14ac:dyDescent="0.25">
      <c r="A249" t="s">
        <v>70</v>
      </c>
      <c r="B249">
        <v>2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34</v>
      </c>
      <c r="K249">
        <v>2469</v>
      </c>
      <c r="L249">
        <v>15.2</v>
      </c>
      <c r="M249">
        <v>12.3</v>
      </c>
      <c r="N249">
        <v>5</v>
      </c>
      <c r="O249">
        <v>3</v>
      </c>
      <c r="P249">
        <v>4</v>
      </c>
      <c r="Q249">
        <v>3.5</v>
      </c>
      <c r="R249">
        <v>3</v>
      </c>
      <c r="S249">
        <v>4</v>
      </c>
      <c r="T249" t="s">
        <v>50</v>
      </c>
    </row>
    <row r="250" spans="1:20" x14ac:dyDescent="0.25">
      <c r="A250" t="s">
        <v>70</v>
      </c>
      <c r="B250">
        <v>2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1337</v>
      </c>
      <c r="L250">
        <v>17.100000000000001</v>
      </c>
      <c r="M250">
        <v>12.1</v>
      </c>
      <c r="N250">
        <v>5</v>
      </c>
      <c r="O250">
        <v>3</v>
      </c>
      <c r="P250">
        <v>3.5</v>
      </c>
      <c r="Q250">
        <v>3</v>
      </c>
      <c r="R250">
        <v>3</v>
      </c>
      <c r="S250">
        <v>4</v>
      </c>
      <c r="T250" t="s">
        <v>50</v>
      </c>
    </row>
    <row r="251" spans="1:20" x14ac:dyDescent="0.25">
      <c r="A251" t="s">
        <v>70</v>
      </c>
      <c r="B251">
        <v>2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35</v>
      </c>
      <c r="K251">
        <v>1785</v>
      </c>
      <c r="L251">
        <v>5.5</v>
      </c>
      <c r="M251">
        <v>3.4</v>
      </c>
      <c r="N251">
        <v>2</v>
      </c>
      <c r="O251">
        <v>1</v>
      </c>
      <c r="P251">
        <v>3</v>
      </c>
      <c r="Q251">
        <v>2.5</v>
      </c>
      <c r="R251">
        <v>3</v>
      </c>
      <c r="S251">
        <v>1</v>
      </c>
      <c r="T251" t="s">
        <v>50</v>
      </c>
    </row>
    <row r="252" spans="1:20" x14ac:dyDescent="0.25">
      <c r="A252" t="s">
        <v>70</v>
      </c>
      <c r="B252">
        <v>2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36</v>
      </c>
      <c r="K252">
        <v>1598</v>
      </c>
      <c r="L252">
        <v>15.3</v>
      </c>
      <c r="M252">
        <v>12.7</v>
      </c>
      <c r="N252">
        <v>3</v>
      </c>
      <c r="O252">
        <v>4</v>
      </c>
      <c r="P252">
        <v>2.5</v>
      </c>
      <c r="Q252">
        <v>3</v>
      </c>
      <c r="R252">
        <v>2</v>
      </c>
      <c r="S252">
        <v>3</v>
      </c>
      <c r="T252" t="s">
        <v>50</v>
      </c>
    </row>
    <row r="253" spans="1:20" x14ac:dyDescent="0.25">
      <c r="A253" t="s">
        <v>70</v>
      </c>
      <c r="B253">
        <v>2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62</v>
      </c>
      <c r="K253">
        <v>2428</v>
      </c>
      <c r="L253">
        <v>10.9</v>
      </c>
      <c r="M253">
        <v>9.8000000000000007</v>
      </c>
      <c r="N253">
        <v>4</v>
      </c>
      <c r="O253">
        <v>3</v>
      </c>
      <c r="P253">
        <v>2.5</v>
      </c>
      <c r="Q253">
        <v>2</v>
      </c>
      <c r="R253">
        <v>3</v>
      </c>
      <c r="S253">
        <v>4</v>
      </c>
      <c r="T253" t="s">
        <v>50</v>
      </c>
    </row>
    <row r="254" spans="1:20" x14ac:dyDescent="0.25">
      <c r="A254" t="s">
        <v>70</v>
      </c>
      <c r="B254">
        <v>2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2430</v>
      </c>
      <c r="L254">
        <v>13</v>
      </c>
      <c r="M254">
        <v>10.4</v>
      </c>
      <c r="N254">
        <v>4</v>
      </c>
      <c r="O254">
        <v>3</v>
      </c>
      <c r="P254">
        <v>3.5</v>
      </c>
      <c r="Q254">
        <v>2.5</v>
      </c>
      <c r="R254">
        <v>2</v>
      </c>
      <c r="S254">
        <v>4</v>
      </c>
      <c r="T254" t="s">
        <v>50</v>
      </c>
    </row>
    <row r="255" spans="1:20" x14ac:dyDescent="0.25">
      <c r="A255" t="s">
        <v>70</v>
      </c>
      <c r="B255">
        <v>2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2431</v>
      </c>
      <c r="L255">
        <v>10.6</v>
      </c>
      <c r="M255">
        <v>10.199999999999999</v>
      </c>
      <c r="N255">
        <v>4</v>
      </c>
      <c r="O255">
        <v>3</v>
      </c>
      <c r="P255">
        <v>3.5</v>
      </c>
      <c r="Q255">
        <v>2.5</v>
      </c>
      <c r="R255">
        <v>3</v>
      </c>
      <c r="S255">
        <v>3</v>
      </c>
      <c r="T255" t="s">
        <v>50</v>
      </c>
    </row>
    <row r="256" spans="1:20" x14ac:dyDescent="0.25">
      <c r="A256" t="s">
        <v>70</v>
      </c>
      <c r="B256">
        <v>2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10.3</v>
      </c>
      <c r="M256">
        <v>10</v>
      </c>
      <c r="N256">
        <v>4</v>
      </c>
      <c r="O256">
        <v>3</v>
      </c>
      <c r="P256">
        <v>4</v>
      </c>
      <c r="Q256">
        <v>3</v>
      </c>
      <c r="R256">
        <v>3</v>
      </c>
      <c r="S256">
        <v>3</v>
      </c>
      <c r="T256" t="s">
        <v>50</v>
      </c>
    </row>
    <row r="257" spans="1:20" x14ac:dyDescent="0.25">
      <c r="A257" t="s">
        <v>70</v>
      </c>
      <c r="B257">
        <v>2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3.2</v>
      </c>
      <c r="M257">
        <v>5.9</v>
      </c>
      <c r="N257">
        <v>1.5</v>
      </c>
      <c r="O257">
        <v>3</v>
      </c>
      <c r="P257">
        <v>2</v>
      </c>
      <c r="Q257">
        <v>2</v>
      </c>
      <c r="R257">
        <v>2</v>
      </c>
      <c r="S257">
        <v>0</v>
      </c>
      <c r="T257" t="s">
        <v>50</v>
      </c>
    </row>
    <row r="258" spans="1:20" x14ac:dyDescent="0.25">
      <c r="A258" t="s">
        <v>70</v>
      </c>
      <c r="B258">
        <v>2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15</v>
      </c>
      <c r="M258">
        <v>13</v>
      </c>
      <c r="N258">
        <v>2.5</v>
      </c>
      <c r="O258">
        <v>3</v>
      </c>
      <c r="P258">
        <v>4</v>
      </c>
      <c r="Q258">
        <v>4</v>
      </c>
      <c r="R258">
        <v>4</v>
      </c>
      <c r="S258">
        <v>2</v>
      </c>
      <c r="T258" t="s">
        <v>50</v>
      </c>
    </row>
    <row r="259" spans="1:20" x14ac:dyDescent="0.25">
      <c r="A259" t="s">
        <v>70</v>
      </c>
      <c r="B259">
        <v>2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6.8</v>
      </c>
      <c r="M259">
        <v>5.6</v>
      </c>
      <c r="N259">
        <v>2</v>
      </c>
      <c r="O259">
        <v>2</v>
      </c>
      <c r="P259">
        <v>2</v>
      </c>
      <c r="Q259">
        <v>3</v>
      </c>
      <c r="R259">
        <v>3</v>
      </c>
      <c r="S259">
        <v>0</v>
      </c>
      <c r="T259" t="s">
        <v>50</v>
      </c>
    </row>
    <row r="260" spans="1:20" x14ac:dyDescent="0.25">
      <c r="A260" t="s">
        <v>70</v>
      </c>
      <c r="B260">
        <v>2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7.7</v>
      </c>
      <c r="M260">
        <v>6.1</v>
      </c>
      <c r="N260">
        <v>2</v>
      </c>
      <c r="O260">
        <v>2</v>
      </c>
      <c r="P260">
        <v>2</v>
      </c>
      <c r="Q260">
        <v>2</v>
      </c>
      <c r="R260">
        <v>3</v>
      </c>
      <c r="S260">
        <v>0.5</v>
      </c>
      <c r="T260" t="s">
        <v>50</v>
      </c>
    </row>
    <row r="261" spans="1:20" x14ac:dyDescent="0.25">
      <c r="A261" t="s">
        <v>70</v>
      </c>
      <c r="B261">
        <v>2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3.1</v>
      </c>
      <c r="M261">
        <v>2.9</v>
      </c>
      <c r="N261">
        <v>2</v>
      </c>
      <c r="O261">
        <v>1.5</v>
      </c>
      <c r="P261">
        <v>3</v>
      </c>
      <c r="Q261">
        <v>3</v>
      </c>
      <c r="R261">
        <v>3.5</v>
      </c>
      <c r="S261">
        <v>1</v>
      </c>
      <c r="T261" t="s">
        <v>50</v>
      </c>
    </row>
    <row r="262" spans="1:20" x14ac:dyDescent="0.25">
      <c r="A262" t="s">
        <v>70</v>
      </c>
      <c r="B262">
        <v>3</v>
      </c>
      <c r="C262" t="s">
        <v>71</v>
      </c>
      <c r="D262" t="s">
        <v>72</v>
      </c>
      <c r="E262" t="s">
        <v>73</v>
      </c>
      <c r="F262">
        <v>160</v>
      </c>
      <c r="G262">
        <v>1000</v>
      </c>
      <c r="H262">
        <v>-3</v>
      </c>
      <c r="I262">
        <v>1981</v>
      </c>
      <c r="J262" t="s">
        <v>55</v>
      </c>
      <c r="K262">
        <v>1094</v>
      </c>
      <c r="L262">
        <v>10.5</v>
      </c>
      <c r="M262">
        <v>6</v>
      </c>
      <c r="N262">
        <v>25</v>
      </c>
      <c r="O262">
        <v>3</v>
      </c>
      <c r="P262">
        <v>3</v>
      </c>
      <c r="Q262">
        <v>2</v>
      </c>
      <c r="R262">
        <v>3</v>
      </c>
      <c r="S262">
        <v>2.5</v>
      </c>
      <c r="T262" t="s">
        <v>30</v>
      </c>
    </row>
    <row r="263" spans="1:20" x14ac:dyDescent="0.25">
      <c r="A263" t="s">
        <v>70</v>
      </c>
      <c r="B263">
        <v>3</v>
      </c>
      <c r="C263" t="s">
        <v>71</v>
      </c>
      <c r="D263" t="s">
        <v>72</v>
      </c>
      <c r="E263" t="s">
        <v>73</v>
      </c>
      <c r="F263">
        <v>160</v>
      </c>
      <c r="G263">
        <v>1000</v>
      </c>
      <c r="H263">
        <v>-3</v>
      </c>
      <c r="I263">
        <v>1981</v>
      </c>
      <c r="J263" t="s">
        <v>56</v>
      </c>
      <c r="K263">
        <v>1111</v>
      </c>
      <c r="L263">
        <v>1.6</v>
      </c>
      <c r="M263">
        <v>1.8</v>
      </c>
      <c r="N263">
        <v>88</v>
      </c>
      <c r="O263">
        <v>1</v>
      </c>
      <c r="P263">
        <v>2</v>
      </c>
      <c r="Q263">
        <v>3</v>
      </c>
      <c r="R263">
        <v>3</v>
      </c>
      <c r="S263">
        <v>3</v>
      </c>
      <c r="T263" t="s">
        <v>50</v>
      </c>
    </row>
    <row r="264" spans="1:20" x14ac:dyDescent="0.25">
      <c r="A264" t="s">
        <v>70</v>
      </c>
      <c r="B264">
        <v>3</v>
      </c>
      <c r="C264" t="s">
        <v>71</v>
      </c>
      <c r="D264" t="s">
        <v>72</v>
      </c>
      <c r="E264" t="s">
        <v>73</v>
      </c>
      <c r="F264">
        <v>160</v>
      </c>
      <c r="G264">
        <v>1000</v>
      </c>
      <c r="H264">
        <v>-3</v>
      </c>
      <c r="I264">
        <v>1981</v>
      </c>
      <c r="J264" t="s">
        <v>57</v>
      </c>
      <c r="K264">
        <v>1112</v>
      </c>
      <c r="L264">
        <v>4</v>
      </c>
      <c r="M264">
        <v>3.2</v>
      </c>
      <c r="N264">
        <v>63</v>
      </c>
      <c r="O264">
        <v>2</v>
      </c>
      <c r="P264">
        <v>1.5</v>
      </c>
      <c r="Q264">
        <v>3</v>
      </c>
      <c r="R264">
        <v>3</v>
      </c>
      <c r="S264">
        <v>3</v>
      </c>
      <c r="T264" t="s">
        <v>30</v>
      </c>
    </row>
    <row r="265" spans="1:20" x14ac:dyDescent="0.25">
      <c r="A265" t="s">
        <v>70</v>
      </c>
      <c r="B265">
        <v>3</v>
      </c>
      <c r="C265" t="s">
        <v>71</v>
      </c>
      <c r="D265" t="s">
        <v>72</v>
      </c>
      <c r="E265" t="s">
        <v>73</v>
      </c>
      <c r="F265">
        <v>160</v>
      </c>
      <c r="G265">
        <v>1000</v>
      </c>
      <c r="H265">
        <v>-3</v>
      </c>
      <c r="I265">
        <v>1981</v>
      </c>
      <c r="J265" t="s">
        <v>57</v>
      </c>
      <c r="K265">
        <v>1113</v>
      </c>
      <c r="L265">
        <v>3.3</v>
      </c>
      <c r="M265">
        <v>2.7</v>
      </c>
      <c r="N265">
        <v>100</v>
      </c>
      <c r="O265">
        <v>1.5</v>
      </c>
      <c r="P265">
        <v>1</v>
      </c>
      <c r="Q265">
        <v>2</v>
      </c>
      <c r="R265">
        <v>3</v>
      </c>
      <c r="S265">
        <v>3</v>
      </c>
      <c r="T265" t="s">
        <v>50</v>
      </c>
    </row>
    <row r="266" spans="1:20" x14ac:dyDescent="0.25">
      <c r="A266" t="s">
        <v>70</v>
      </c>
      <c r="B266">
        <v>3</v>
      </c>
      <c r="C266" t="s">
        <v>71</v>
      </c>
      <c r="D266" t="s">
        <v>72</v>
      </c>
      <c r="E266" t="s">
        <v>73</v>
      </c>
      <c r="F266">
        <v>160</v>
      </c>
      <c r="G266">
        <v>1000</v>
      </c>
      <c r="H266">
        <v>-3</v>
      </c>
      <c r="I266">
        <v>1981</v>
      </c>
      <c r="J266" t="s">
        <v>58</v>
      </c>
      <c r="K266">
        <v>1338</v>
      </c>
      <c r="L266">
        <v>9.4</v>
      </c>
      <c r="M266">
        <v>8.5</v>
      </c>
      <c r="N266">
        <v>38</v>
      </c>
      <c r="O266">
        <v>3</v>
      </c>
      <c r="P266">
        <v>3</v>
      </c>
      <c r="Q266">
        <v>2</v>
      </c>
      <c r="R266">
        <v>1.5</v>
      </c>
      <c r="S266">
        <v>1</v>
      </c>
      <c r="T266" t="s">
        <v>30</v>
      </c>
    </row>
    <row r="267" spans="1:20" x14ac:dyDescent="0.25">
      <c r="A267" t="s">
        <v>70</v>
      </c>
      <c r="B267">
        <v>3</v>
      </c>
      <c r="C267" t="s">
        <v>71</v>
      </c>
      <c r="D267" t="s">
        <v>72</v>
      </c>
      <c r="E267" t="s">
        <v>73</v>
      </c>
      <c r="F267">
        <v>160</v>
      </c>
      <c r="G267">
        <v>1000</v>
      </c>
      <c r="H267">
        <v>-3</v>
      </c>
      <c r="I267">
        <v>1981</v>
      </c>
      <c r="J267" t="s">
        <v>59</v>
      </c>
      <c r="K267">
        <v>1978</v>
      </c>
      <c r="L267">
        <v>11</v>
      </c>
      <c r="M267">
        <v>8.1</v>
      </c>
      <c r="N267">
        <v>100</v>
      </c>
      <c r="O267">
        <v>4</v>
      </c>
      <c r="P267">
        <v>3</v>
      </c>
      <c r="Q267">
        <v>2</v>
      </c>
      <c r="R267">
        <v>2</v>
      </c>
      <c r="S267">
        <v>2</v>
      </c>
      <c r="T267" t="s">
        <v>27</v>
      </c>
    </row>
    <row r="268" spans="1:20" x14ac:dyDescent="0.25">
      <c r="A268" t="s">
        <v>70</v>
      </c>
      <c r="B268">
        <v>3</v>
      </c>
      <c r="C268" t="s">
        <v>71</v>
      </c>
      <c r="D268" t="s">
        <v>72</v>
      </c>
      <c r="E268" t="s">
        <v>73</v>
      </c>
      <c r="F268">
        <v>160</v>
      </c>
      <c r="G268">
        <v>1000</v>
      </c>
      <c r="H268">
        <v>-3</v>
      </c>
      <c r="I268">
        <v>1981</v>
      </c>
      <c r="J268" t="s">
        <v>59</v>
      </c>
      <c r="K268">
        <v>1482</v>
      </c>
      <c r="L268">
        <v>7.8</v>
      </c>
      <c r="M268">
        <v>5.6</v>
      </c>
      <c r="N268">
        <v>88</v>
      </c>
      <c r="O268">
        <v>3</v>
      </c>
      <c r="P268">
        <v>3</v>
      </c>
      <c r="Q268">
        <v>2</v>
      </c>
      <c r="R268">
        <v>2</v>
      </c>
      <c r="S268">
        <v>2</v>
      </c>
      <c r="T268" t="s">
        <v>25</v>
      </c>
    </row>
    <row r="269" spans="1:20" x14ac:dyDescent="0.25">
      <c r="A269" t="s">
        <v>70</v>
      </c>
      <c r="B269">
        <v>3</v>
      </c>
      <c r="C269" t="s">
        <v>71</v>
      </c>
      <c r="D269" t="s">
        <v>72</v>
      </c>
      <c r="E269" t="s">
        <v>73</v>
      </c>
      <c r="F269">
        <v>160</v>
      </c>
      <c r="G269">
        <v>1000</v>
      </c>
      <c r="H269">
        <v>-3</v>
      </c>
      <c r="I269">
        <v>1981</v>
      </c>
      <c r="J269" t="s">
        <v>26</v>
      </c>
      <c r="K269">
        <v>1339</v>
      </c>
      <c r="L269">
        <v>10.1</v>
      </c>
      <c r="M269">
        <v>9.5</v>
      </c>
      <c r="N269">
        <v>75</v>
      </c>
      <c r="O269">
        <v>3</v>
      </c>
      <c r="P269">
        <v>3</v>
      </c>
      <c r="Q269">
        <v>2</v>
      </c>
      <c r="R269">
        <v>2</v>
      </c>
      <c r="S269">
        <v>2</v>
      </c>
      <c r="T269" t="s">
        <v>38</v>
      </c>
    </row>
    <row r="270" spans="1:20" x14ac:dyDescent="0.25">
      <c r="A270" t="s">
        <v>70</v>
      </c>
      <c r="B270">
        <v>3</v>
      </c>
      <c r="C270" t="s">
        <v>71</v>
      </c>
      <c r="D270" t="s">
        <v>72</v>
      </c>
      <c r="E270" t="s">
        <v>73</v>
      </c>
      <c r="F270">
        <v>160</v>
      </c>
      <c r="G270">
        <v>1000</v>
      </c>
      <c r="H270">
        <v>-3</v>
      </c>
      <c r="I270">
        <v>1981</v>
      </c>
      <c r="J270" t="s">
        <v>26</v>
      </c>
      <c r="K270">
        <v>2447</v>
      </c>
      <c r="L270">
        <v>6.9</v>
      </c>
      <c r="M270">
        <v>7.3</v>
      </c>
      <c r="N270">
        <v>88</v>
      </c>
      <c r="O270">
        <v>3.5</v>
      </c>
      <c r="P270">
        <v>3</v>
      </c>
      <c r="Q270">
        <v>3</v>
      </c>
      <c r="R270">
        <v>3.5</v>
      </c>
      <c r="S270">
        <v>3</v>
      </c>
      <c r="T270" t="s">
        <v>25</v>
      </c>
    </row>
    <row r="271" spans="1:20" x14ac:dyDescent="0.25">
      <c r="A271" t="s">
        <v>70</v>
      </c>
      <c r="B271">
        <v>3</v>
      </c>
      <c r="C271" t="s">
        <v>71</v>
      </c>
      <c r="D271" t="s">
        <v>72</v>
      </c>
      <c r="E271" t="s">
        <v>73</v>
      </c>
      <c r="F271">
        <v>160</v>
      </c>
      <c r="G271">
        <v>1000</v>
      </c>
      <c r="H271">
        <v>-3</v>
      </c>
      <c r="I271">
        <v>1981</v>
      </c>
      <c r="J271" t="s">
        <v>26</v>
      </c>
      <c r="K271">
        <v>1786</v>
      </c>
      <c r="L271">
        <v>11.9</v>
      </c>
      <c r="M271">
        <v>9.6</v>
      </c>
      <c r="N271">
        <v>88</v>
      </c>
      <c r="O271">
        <v>4</v>
      </c>
      <c r="P271">
        <v>3</v>
      </c>
      <c r="Q271">
        <v>2.5</v>
      </c>
      <c r="R271">
        <v>2.5</v>
      </c>
      <c r="S271">
        <v>2.5</v>
      </c>
      <c r="T271" t="s">
        <v>25</v>
      </c>
    </row>
    <row r="272" spans="1:20" x14ac:dyDescent="0.25">
      <c r="A272" t="s">
        <v>70</v>
      </c>
      <c r="B272">
        <v>3</v>
      </c>
      <c r="C272" t="s">
        <v>71</v>
      </c>
      <c r="D272" t="s">
        <v>72</v>
      </c>
      <c r="E272" t="s">
        <v>73</v>
      </c>
      <c r="F272">
        <v>160</v>
      </c>
      <c r="G272">
        <v>1000</v>
      </c>
      <c r="H272">
        <v>-3</v>
      </c>
      <c r="I272">
        <v>1981</v>
      </c>
      <c r="J272" t="s">
        <v>32</v>
      </c>
      <c r="K272">
        <v>1596</v>
      </c>
      <c r="L272">
        <v>10.4</v>
      </c>
      <c r="M272">
        <v>9.4</v>
      </c>
      <c r="N272">
        <v>100</v>
      </c>
      <c r="O272">
        <v>4</v>
      </c>
      <c r="P272">
        <v>3</v>
      </c>
      <c r="Q272">
        <v>2</v>
      </c>
      <c r="R272">
        <v>3.5</v>
      </c>
      <c r="S272">
        <v>3</v>
      </c>
      <c r="T272" t="s">
        <v>27</v>
      </c>
    </row>
    <row r="273" spans="1:20" x14ac:dyDescent="0.25">
      <c r="A273" t="s">
        <v>70</v>
      </c>
      <c r="B273">
        <v>3</v>
      </c>
      <c r="C273" t="s">
        <v>71</v>
      </c>
      <c r="D273" t="s">
        <v>72</v>
      </c>
      <c r="E273" t="s">
        <v>73</v>
      </c>
      <c r="F273">
        <v>160</v>
      </c>
      <c r="G273">
        <v>1000</v>
      </c>
      <c r="H273">
        <v>-3</v>
      </c>
      <c r="I273">
        <v>1981</v>
      </c>
      <c r="J273" t="s">
        <v>61</v>
      </c>
      <c r="K273">
        <v>1171</v>
      </c>
      <c r="L273">
        <v>3.5</v>
      </c>
      <c r="M273">
        <v>2.9</v>
      </c>
      <c r="N273">
        <v>75</v>
      </c>
      <c r="O273">
        <v>1</v>
      </c>
      <c r="P273">
        <v>1</v>
      </c>
      <c r="Q273">
        <v>3</v>
      </c>
      <c r="R273">
        <v>3</v>
      </c>
      <c r="S273">
        <v>3</v>
      </c>
      <c r="T273" t="s">
        <v>50</v>
      </c>
    </row>
    <row r="274" spans="1:20" x14ac:dyDescent="0.25">
      <c r="A274" t="s">
        <v>70</v>
      </c>
      <c r="B274">
        <v>3</v>
      </c>
      <c r="C274" t="s">
        <v>71</v>
      </c>
      <c r="D274" t="s">
        <v>72</v>
      </c>
      <c r="E274" t="s">
        <v>73</v>
      </c>
      <c r="F274">
        <v>160</v>
      </c>
      <c r="G274">
        <v>1000</v>
      </c>
      <c r="H274">
        <v>-3</v>
      </c>
      <c r="I274">
        <v>1981</v>
      </c>
      <c r="J274" t="s">
        <v>34</v>
      </c>
      <c r="K274">
        <v>2469</v>
      </c>
      <c r="L274">
        <v>5.7</v>
      </c>
      <c r="M274">
        <v>5.6</v>
      </c>
      <c r="N274">
        <v>100</v>
      </c>
      <c r="O274">
        <v>3</v>
      </c>
      <c r="P274">
        <v>2.5</v>
      </c>
      <c r="Q274">
        <v>4</v>
      </c>
      <c r="R274">
        <v>5</v>
      </c>
      <c r="S274">
        <v>4</v>
      </c>
      <c r="T274" t="s">
        <v>25</v>
      </c>
    </row>
    <row r="275" spans="1:20" x14ac:dyDescent="0.25">
      <c r="A275" t="s">
        <v>70</v>
      </c>
      <c r="B275">
        <v>3</v>
      </c>
      <c r="C275" t="s">
        <v>71</v>
      </c>
      <c r="D275" t="s">
        <v>72</v>
      </c>
      <c r="E275" t="s">
        <v>73</v>
      </c>
      <c r="F275">
        <v>160</v>
      </c>
      <c r="G275">
        <v>1000</v>
      </c>
      <c r="H275">
        <v>-3</v>
      </c>
      <c r="I275">
        <v>1981</v>
      </c>
      <c r="J275" t="s">
        <v>34</v>
      </c>
      <c r="K275">
        <v>1337</v>
      </c>
      <c r="L275">
        <v>10.5</v>
      </c>
      <c r="M275">
        <v>7.5</v>
      </c>
      <c r="N275">
        <v>63</v>
      </c>
      <c r="O275">
        <v>3.5</v>
      </c>
      <c r="P275">
        <v>2.5</v>
      </c>
      <c r="Q275">
        <v>2.5</v>
      </c>
      <c r="R275">
        <v>2</v>
      </c>
      <c r="S275">
        <v>2.5</v>
      </c>
      <c r="T275" t="s">
        <v>25</v>
      </c>
    </row>
    <row r="276" spans="1:20" x14ac:dyDescent="0.25">
      <c r="A276" t="s">
        <v>70</v>
      </c>
      <c r="B276">
        <v>3</v>
      </c>
      <c r="C276" t="s">
        <v>71</v>
      </c>
      <c r="D276" t="s">
        <v>72</v>
      </c>
      <c r="E276" t="s">
        <v>73</v>
      </c>
      <c r="F276">
        <v>160</v>
      </c>
      <c r="G276">
        <v>1000</v>
      </c>
      <c r="H276">
        <v>-3</v>
      </c>
      <c r="I276">
        <v>1981</v>
      </c>
      <c r="J276" t="s">
        <v>35</v>
      </c>
      <c r="K276">
        <v>1785</v>
      </c>
      <c r="L276">
        <v>4.3</v>
      </c>
      <c r="M276">
        <v>3.2</v>
      </c>
      <c r="N276">
        <v>100</v>
      </c>
      <c r="O276">
        <v>1.5</v>
      </c>
      <c r="P276">
        <v>1</v>
      </c>
      <c r="Q276">
        <v>2.5</v>
      </c>
      <c r="R276">
        <v>3.5</v>
      </c>
      <c r="S276">
        <v>3</v>
      </c>
      <c r="T276" t="s">
        <v>50</v>
      </c>
    </row>
    <row r="277" spans="1:20" x14ac:dyDescent="0.25">
      <c r="A277" t="s">
        <v>70</v>
      </c>
      <c r="B277">
        <v>3</v>
      </c>
      <c r="C277" t="s">
        <v>71</v>
      </c>
      <c r="D277" t="s">
        <v>72</v>
      </c>
      <c r="E277" t="s">
        <v>73</v>
      </c>
      <c r="F277">
        <v>160</v>
      </c>
      <c r="G277">
        <v>1000</v>
      </c>
      <c r="H277">
        <v>-3</v>
      </c>
      <c r="I277">
        <v>1981</v>
      </c>
      <c r="J277" t="s">
        <v>36</v>
      </c>
      <c r="K277">
        <v>1598</v>
      </c>
      <c r="L277">
        <v>13.6</v>
      </c>
      <c r="M277">
        <v>7.3</v>
      </c>
      <c r="N277">
        <v>38</v>
      </c>
      <c r="O277">
        <v>3</v>
      </c>
      <c r="P277">
        <v>3</v>
      </c>
      <c r="Q277">
        <v>2</v>
      </c>
      <c r="R277">
        <v>2.5</v>
      </c>
      <c r="S277">
        <v>2</v>
      </c>
      <c r="T277" t="s">
        <v>38</v>
      </c>
    </row>
    <row r="278" spans="1:20" x14ac:dyDescent="0.25">
      <c r="A278" t="s">
        <v>70</v>
      </c>
      <c r="B278">
        <v>3</v>
      </c>
      <c r="C278" t="s">
        <v>71</v>
      </c>
      <c r="D278" t="s">
        <v>72</v>
      </c>
      <c r="E278" t="s">
        <v>73</v>
      </c>
      <c r="F278">
        <v>160</v>
      </c>
      <c r="G278">
        <v>1000</v>
      </c>
      <c r="H278">
        <v>-3</v>
      </c>
      <c r="I278">
        <v>1981</v>
      </c>
      <c r="J278" t="s">
        <v>62</v>
      </c>
      <c r="K278">
        <v>2428</v>
      </c>
      <c r="L278">
        <v>12.3</v>
      </c>
      <c r="M278">
        <v>8.1999999999999993</v>
      </c>
      <c r="N278">
        <v>75</v>
      </c>
      <c r="O278">
        <v>4</v>
      </c>
      <c r="P278">
        <v>3</v>
      </c>
      <c r="Q278">
        <v>3</v>
      </c>
      <c r="R278">
        <v>2</v>
      </c>
      <c r="S278">
        <v>2</v>
      </c>
      <c r="T278" t="s">
        <v>27</v>
      </c>
    </row>
    <row r="279" spans="1:20" x14ac:dyDescent="0.25">
      <c r="A279" t="s">
        <v>70</v>
      </c>
      <c r="B279">
        <v>3</v>
      </c>
      <c r="C279" t="s">
        <v>71</v>
      </c>
      <c r="D279" t="s">
        <v>72</v>
      </c>
      <c r="E279" t="s">
        <v>73</v>
      </c>
      <c r="F279">
        <v>160</v>
      </c>
      <c r="G279">
        <v>1000</v>
      </c>
      <c r="H279">
        <v>-3</v>
      </c>
      <c r="I279">
        <v>1981</v>
      </c>
      <c r="J279" t="s">
        <v>62</v>
      </c>
      <c r="K279">
        <v>2430</v>
      </c>
      <c r="L279">
        <v>9.6999999999999993</v>
      </c>
      <c r="M279">
        <v>7.1</v>
      </c>
      <c r="N279">
        <v>100</v>
      </c>
      <c r="O279">
        <v>4</v>
      </c>
      <c r="P279">
        <v>3</v>
      </c>
      <c r="Q279">
        <v>2</v>
      </c>
      <c r="R279">
        <v>2.5</v>
      </c>
      <c r="S279">
        <v>2.5</v>
      </c>
      <c r="T279" t="s">
        <v>27</v>
      </c>
    </row>
    <row r="280" spans="1:20" x14ac:dyDescent="0.25">
      <c r="A280" t="s">
        <v>70</v>
      </c>
      <c r="B280">
        <v>3</v>
      </c>
      <c r="C280" t="s">
        <v>71</v>
      </c>
      <c r="D280" t="s">
        <v>72</v>
      </c>
      <c r="E280" t="s">
        <v>73</v>
      </c>
      <c r="F280">
        <v>160</v>
      </c>
      <c r="G280">
        <v>1000</v>
      </c>
      <c r="H280">
        <v>-3</v>
      </c>
      <c r="I280">
        <v>1981</v>
      </c>
      <c r="J280" t="s">
        <v>62</v>
      </c>
      <c r="K280">
        <v>1787</v>
      </c>
      <c r="L280">
        <v>13</v>
      </c>
      <c r="M280">
        <v>9</v>
      </c>
      <c r="N280">
        <v>88</v>
      </c>
      <c r="O280">
        <v>4</v>
      </c>
      <c r="P280">
        <v>3</v>
      </c>
      <c r="Q280">
        <v>3.5</v>
      </c>
      <c r="R280">
        <v>3</v>
      </c>
      <c r="S280">
        <v>3</v>
      </c>
      <c r="T280" t="s">
        <v>27</v>
      </c>
    </row>
    <row r="281" spans="1:20" x14ac:dyDescent="0.25">
      <c r="A281" t="s">
        <v>70</v>
      </c>
      <c r="B281">
        <v>3</v>
      </c>
      <c r="C281" t="s">
        <v>71</v>
      </c>
      <c r="D281" t="s">
        <v>72</v>
      </c>
      <c r="E281" t="s">
        <v>73</v>
      </c>
      <c r="F281">
        <v>160</v>
      </c>
      <c r="G281">
        <v>1000</v>
      </c>
      <c r="H281">
        <v>-3</v>
      </c>
      <c r="I281">
        <v>1981</v>
      </c>
      <c r="J281" t="s">
        <v>69</v>
      </c>
      <c r="K281">
        <v>1780</v>
      </c>
      <c r="L281">
        <v>4.9000000000000004</v>
      </c>
      <c r="M281">
        <v>2.8</v>
      </c>
      <c r="N281">
        <v>63</v>
      </c>
      <c r="O281">
        <v>2</v>
      </c>
      <c r="P281">
        <v>3</v>
      </c>
      <c r="Q281">
        <v>3</v>
      </c>
      <c r="R281">
        <v>3.5</v>
      </c>
      <c r="S281">
        <v>3.5</v>
      </c>
      <c r="T281" t="s">
        <v>30</v>
      </c>
    </row>
    <row r="282" spans="1:20" x14ac:dyDescent="0.25">
      <c r="A282" t="s">
        <v>70</v>
      </c>
      <c r="B282">
        <v>3</v>
      </c>
      <c r="C282" t="s">
        <v>71</v>
      </c>
      <c r="D282" t="s">
        <v>72</v>
      </c>
      <c r="E282" t="s">
        <v>73</v>
      </c>
      <c r="F282">
        <v>160</v>
      </c>
      <c r="G282">
        <v>1000</v>
      </c>
      <c r="H282">
        <v>-3</v>
      </c>
      <c r="I282">
        <v>1981</v>
      </c>
      <c r="J282" t="s">
        <v>39</v>
      </c>
      <c r="K282">
        <v>2435</v>
      </c>
      <c r="L282">
        <v>6</v>
      </c>
      <c r="M282">
        <v>7</v>
      </c>
      <c r="N282">
        <v>13</v>
      </c>
      <c r="O282">
        <v>3</v>
      </c>
      <c r="P282">
        <v>3</v>
      </c>
      <c r="Q282">
        <v>4</v>
      </c>
      <c r="R282">
        <v>4</v>
      </c>
      <c r="S282">
        <v>4</v>
      </c>
      <c r="T282" t="s">
        <v>30</v>
      </c>
    </row>
    <row r="283" spans="1:20" x14ac:dyDescent="0.25">
      <c r="A283" t="s">
        <v>70</v>
      </c>
      <c r="B283">
        <v>3</v>
      </c>
      <c r="C283" t="s">
        <v>71</v>
      </c>
      <c r="D283" t="s">
        <v>72</v>
      </c>
      <c r="E283" t="s">
        <v>73</v>
      </c>
      <c r="F283">
        <v>160</v>
      </c>
      <c r="G283">
        <v>1000</v>
      </c>
      <c r="H283">
        <v>-3</v>
      </c>
      <c r="I283">
        <v>1981</v>
      </c>
      <c r="J283" t="s">
        <v>37</v>
      </c>
      <c r="K283">
        <v>1524</v>
      </c>
      <c r="L283">
        <v>11.8</v>
      </c>
      <c r="M283">
        <v>7.4</v>
      </c>
      <c r="N283">
        <v>88</v>
      </c>
      <c r="O283">
        <v>2.5</v>
      </c>
      <c r="P283">
        <v>2</v>
      </c>
      <c r="Q283">
        <v>2.5</v>
      </c>
      <c r="R283">
        <v>3</v>
      </c>
      <c r="S283">
        <v>3</v>
      </c>
      <c r="T283" t="s">
        <v>38</v>
      </c>
    </row>
    <row r="284" spans="1:20" x14ac:dyDescent="0.25">
      <c r="A284" t="s">
        <v>70</v>
      </c>
      <c r="B284">
        <v>3</v>
      </c>
      <c r="C284" t="s">
        <v>71</v>
      </c>
      <c r="D284" t="s">
        <v>72</v>
      </c>
      <c r="E284" t="s">
        <v>73</v>
      </c>
      <c r="F284">
        <v>160</v>
      </c>
      <c r="G284">
        <v>1000</v>
      </c>
      <c r="H284">
        <v>-3</v>
      </c>
      <c r="I284">
        <v>1981</v>
      </c>
      <c r="J284" t="s">
        <v>63</v>
      </c>
      <c r="K284">
        <v>1340</v>
      </c>
      <c r="L284">
        <v>6.2</v>
      </c>
      <c r="M284">
        <v>5.3</v>
      </c>
      <c r="N284">
        <v>100</v>
      </c>
      <c r="O284">
        <v>2</v>
      </c>
      <c r="P284">
        <v>2</v>
      </c>
      <c r="Q284">
        <v>2.5</v>
      </c>
      <c r="R284">
        <v>2.5</v>
      </c>
      <c r="S284">
        <v>3</v>
      </c>
      <c r="T284" t="s">
        <v>30</v>
      </c>
    </row>
    <row r="285" spans="1:20" x14ac:dyDescent="0.25">
      <c r="A285" t="s">
        <v>70</v>
      </c>
      <c r="B285">
        <v>3</v>
      </c>
      <c r="C285" t="s">
        <v>71</v>
      </c>
      <c r="D285" t="s">
        <v>72</v>
      </c>
      <c r="E285" t="s">
        <v>73</v>
      </c>
      <c r="F285">
        <v>160</v>
      </c>
      <c r="G285">
        <v>1000</v>
      </c>
      <c r="H285">
        <v>-3</v>
      </c>
      <c r="I285">
        <v>1981</v>
      </c>
      <c r="J285" t="s">
        <v>60</v>
      </c>
      <c r="K285">
        <v>1595</v>
      </c>
      <c r="L285">
        <v>1.5</v>
      </c>
      <c r="M285">
        <v>1.8</v>
      </c>
      <c r="N285">
        <v>88</v>
      </c>
      <c r="O285">
        <v>1.5</v>
      </c>
      <c r="P285">
        <v>1</v>
      </c>
      <c r="Q285">
        <v>3</v>
      </c>
      <c r="R285">
        <v>4</v>
      </c>
      <c r="S285">
        <v>3</v>
      </c>
      <c r="T285" t="s">
        <v>30</v>
      </c>
    </row>
    <row r="286" spans="1:20" x14ac:dyDescent="0.25">
      <c r="A286" t="s">
        <v>74</v>
      </c>
      <c r="B286">
        <v>1</v>
      </c>
      <c r="C286" t="s">
        <v>66</v>
      </c>
      <c r="D286" t="s">
        <v>75</v>
      </c>
      <c r="E286" t="s">
        <v>68</v>
      </c>
      <c r="F286">
        <v>180</v>
      </c>
      <c r="G286">
        <v>1080</v>
      </c>
      <c r="H286">
        <v>-3</v>
      </c>
      <c r="I286">
        <v>1982</v>
      </c>
      <c r="J286" t="s">
        <v>56</v>
      </c>
      <c r="K286">
        <v>1111</v>
      </c>
      <c r="L286">
        <v>6.02</v>
      </c>
      <c r="M286">
        <v>3.63</v>
      </c>
      <c r="N286">
        <v>38</v>
      </c>
      <c r="O286">
        <v>2.5</v>
      </c>
      <c r="P286">
        <v>3</v>
      </c>
      <c r="Q286">
        <v>3</v>
      </c>
      <c r="R286">
        <v>3</v>
      </c>
      <c r="S286">
        <v>3</v>
      </c>
      <c r="T286" t="s">
        <v>30</v>
      </c>
    </row>
    <row r="287" spans="1:20" x14ac:dyDescent="0.25">
      <c r="A287" t="s">
        <v>74</v>
      </c>
      <c r="B287">
        <v>1</v>
      </c>
      <c r="C287" t="s">
        <v>66</v>
      </c>
      <c r="D287" t="s">
        <v>75</v>
      </c>
      <c r="E287" t="s">
        <v>68</v>
      </c>
      <c r="F287">
        <v>180</v>
      </c>
      <c r="G287">
        <v>1080</v>
      </c>
      <c r="H287">
        <v>-3</v>
      </c>
      <c r="I287">
        <v>1982</v>
      </c>
      <c r="J287" t="s">
        <v>57</v>
      </c>
      <c r="K287">
        <v>2620</v>
      </c>
      <c r="L287">
        <v>2.29</v>
      </c>
      <c r="M287">
        <v>3.2</v>
      </c>
      <c r="N287">
        <v>50</v>
      </c>
      <c r="O287">
        <v>1</v>
      </c>
      <c r="P287">
        <v>1</v>
      </c>
      <c r="Q287">
        <v>3</v>
      </c>
      <c r="R287">
        <v>3</v>
      </c>
      <c r="S287">
        <v>3</v>
      </c>
      <c r="T287" t="s">
        <v>50</v>
      </c>
    </row>
    <row r="288" spans="1:20" x14ac:dyDescent="0.25">
      <c r="A288" t="s">
        <v>74</v>
      </c>
      <c r="B288">
        <v>1</v>
      </c>
      <c r="C288" t="s">
        <v>66</v>
      </c>
      <c r="D288" t="s">
        <v>75</v>
      </c>
      <c r="E288" t="s">
        <v>68</v>
      </c>
      <c r="F288">
        <v>180</v>
      </c>
      <c r="G288">
        <v>1080</v>
      </c>
      <c r="H288">
        <v>-3</v>
      </c>
      <c r="I288">
        <v>1982</v>
      </c>
      <c r="J288" t="s">
        <v>57</v>
      </c>
      <c r="K288">
        <v>2621</v>
      </c>
      <c r="L288">
        <v>3.31</v>
      </c>
      <c r="M288">
        <v>4.34</v>
      </c>
      <c r="N288">
        <v>50</v>
      </c>
      <c r="O288">
        <v>3</v>
      </c>
      <c r="P288">
        <v>2.5</v>
      </c>
      <c r="Q288">
        <v>3</v>
      </c>
      <c r="R288">
        <v>3</v>
      </c>
      <c r="S288">
        <v>3</v>
      </c>
      <c r="T288" t="s">
        <v>30</v>
      </c>
    </row>
    <row r="289" spans="1:20" x14ac:dyDescent="0.25">
      <c r="A289" t="s">
        <v>74</v>
      </c>
      <c r="B289">
        <v>1</v>
      </c>
      <c r="C289" t="s">
        <v>66</v>
      </c>
      <c r="D289" t="s">
        <v>75</v>
      </c>
      <c r="E289" t="s">
        <v>68</v>
      </c>
      <c r="F289">
        <v>180</v>
      </c>
      <c r="G289">
        <v>1080</v>
      </c>
      <c r="H289">
        <v>-3</v>
      </c>
      <c r="I289">
        <v>1982</v>
      </c>
      <c r="J289" t="s">
        <v>59</v>
      </c>
      <c r="K289">
        <v>2426</v>
      </c>
      <c r="L289">
        <v>53.86</v>
      </c>
      <c r="M289">
        <v>5.01</v>
      </c>
      <c r="N289">
        <v>100</v>
      </c>
      <c r="O289">
        <v>2.5</v>
      </c>
      <c r="P289">
        <v>3.5</v>
      </c>
      <c r="Q289">
        <v>3</v>
      </c>
      <c r="R289">
        <v>3</v>
      </c>
      <c r="S289">
        <v>3</v>
      </c>
      <c r="T289" t="s">
        <v>30</v>
      </c>
    </row>
    <row r="290" spans="1:20" x14ac:dyDescent="0.25">
      <c r="A290" t="s">
        <v>74</v>
      </c>
      <c r="B290">
        <v>1</v>
      </c>
      <c r="C290" t="s">
        <v>66</v>
      </c>
      <c r="D290" t="s">
        <v>75</v>
      </c>
      <c r="E290" t="s">
        <v>68</v>
      </c>
      <c r="F290">
        <v>180</v>
      </c>
      <c r="G290">
        <v>1080</v>
      </c>
      <c r="H290">
        <v>-3</v>
      </c>
      <c r="I290">
        <v>1982</v>
      </c>
      <c r="J290" t="s">
        <v>59</v>
      </c>
      <c r="K290">
        <v>1482</v>
      </c>
      <c r="L290">
        <v>19.66</v>
      </c>
      <c r="M290">
        <v>12.21</v>
      </c>
      <c r="N290">
        <v>100</v>
      </c>
      <c r="O290">
        <v>4.5</v>
      </c>
      <c r="P290">
        <v>4</v>
      </c>
      <c r="Q290">
        <v>4</v>
      </c>
      <c r="R290">
        <v>3</v>
      </c>
      <c r="S290">
        <v>2.7</v>
      </c>
      <c r="T290" t="s">
        <v>25</v>
      </c>
    </row>
    <row r="291" spans="1:20" x14ac:dyDescent="0.25">
      <c r="A291" t="s">
        <v>74</v>
      </c>
      <c r="B291">
        <v>1</v>
      </c>
      <c r="C291" t="s">
        <v>66</v>
      </c>
      <c r="D291" t="s">
        <v>75</v>
      </c>
      <c r="E291" t="s">
        <v>68</v>
      </c>
      <c r="F291">
        <v>180</v>
      </c>
      <c r="G291">
        <v>1080</v>
      </c>
      <c r="H291">
        <v>-3</v>
      </c>
      <c r="I291">
        <v>1982</v>
      </c>
      <c r="J291" t="s">
        <v>59</v>
      </c>
      <c r="K291">
        <v>2548</v>
      </c>
      <c r="L291">
        <v>22.23</v>
      </c>
      <c r="M291">
        <v>12.82</v>
      </c>
      <c r="N291">
        <v>100</v>
      </c>
      <c r="O291">
        <v>5</v>
      </c>
      <c r="P291">
        <v>4</v>
      </c>
      <c r="Q291">
        <v>3</v>
      </c>
      <c r="R291">
        <v>3</v>
      </c>
      <c r="S291">
        <v>2</v>
      </c>
      <c r="T291" t="s">
        <v>25</v>
      </c>
    </row>
    <row r="292" spans="1:20" x14ac:dyDescent="0.25">
      <c r="A292" t="s">
        <v>74</v>
      </c>
      <c r="B292">
        <v>1</v>
      </c>
      <c r="C292" t="s">
        <v>66</v>
      </c>
      <c r="D292" t="s">
        <v>75</v>
      </c>
      <c r="E292" t="s">
        <v>68</v>
      </c>
      <c r="F292">
        <v>180</v>
      </c>
      <c r="G292">
        <v>1080</v>
      </c>
      <c r="H292">
        <v>-3</v>
      </c>
      <c r="I292">
        <v>1982</v>
      </c>
      <c r="J292" t="s">
        <v>26</v>
      </c>
      <c r="K292">
        <v>2552</v>
      </c>
      <c r="L292">
        <v>1.82</v>
      </c>
      <c r="M292">
        <v>2.4300000000000002</v>
      </c>
      <c r="N292">
        <v>13</v>
      </c>
      <c r="O292">
        <v>1</v>
      </c>
      <c r="P292">
        <v>2.5</v>
      </c>
      <c r="Q292">
        <v>3</v>
      </c>
      <c r="R292">
        <v>3</v>
      </c>
      <c r="S292">
        <v>3</v>
      </c>
      <c r="T292" t="s">
        <v>50</v>
      </c>
    </row>
    <row r="293" spans="1:20" x14ac:dyDescent="0.25">
      <c r="A293" t="s">
        <v>74</v>
      </c>
      <c r="B293">
        <v>1</v>
      </c>
      <c r="C293" t="s">
        <v>66</v>
      </c>
      <c r="D293" t="s">
        <v>75</v>
      </c>
      <c r="E293" t="s">
        <v>68</v>
      </c>
      <c r="F293">
        <v>180</v>
      </c>
      <c r="G293">
        <v>1080</v>
      </c>
      <c r="H293">
        <v>-3</v>
      </c>
      <c r="I293">
        <v>1982</v>
      </c>
      <c r="J293" t="s">
        <v>61</v>
      </c>
      <c r="K293">
        <v>2631</v>
      </c>
      <c r="L293">
        <v>6.97</v>
      </c>
      <c r="M293">
        <v>5.23</v>
      </c>
      <c r="N293">
        <v>25</v>
      </c>
      <c r="O293">
        <v>2</v>
      </c>
      <c r="P293">
        <v>3</v>
      </c>
      <c r="Q293">
        <v>2.5</v>
      </c>
      <c r="R293">
        <v>2</v>
      </c>
      <c r="S293">
        <v>3</v>
      </c>
      <c r="T293" t="s">
        <v>50</v>
      </c>
    </row>
    <row r="294" spans="1:20" x14ac:dyDescent="0.25">
      <c r="A294" t="s">
        <v>74</v>
      </c>
      <c r="B294">
        <v>1</v>
      </c>
      <c r="C294" t="s">
        <v>66</v>
      </c>
      <c r="D294" t="s">
        <v>75</v>
      </c>
      <c r="E294" t="s">
        <v>68</v>
      </c>
      <c r="F294">
        <v>180</v>
      </c>
      <c r="G294">
        <v>1080</v>
      </c>
      <c r="H294">
        <v>-3</v>
      </c>
      <c r="I294">
        <v>1982</v>
      </c>
      <c r="J294" t="s">
        <v>32</v>
      </c>
      <c r="K294">
        <v>1596</v>
      </c>
      <c r="L294">
        <v>12.21</v>
      </c>
      <c r="M294">
        <v>8.7200000000000006</v>
      </c>
      <c r="N294">
        <v>75</v>
      </c>
      <c r="O294">
        <v>3.3</v>
      </c>
      <c r="P294">
        <v>3.5</v>
      </c>
      <c r="Q294">
        <v>3</v>
      </c>
      <c r="R294">
        <v>4</v>
      </c>
      <c r="S294">
        <v>3.5</v>
      </c>
      <c r="T294" t="s">
        <v>25</v>
      </c>
    </row>
    <row r="295" spans="1:20" x14ac:dyDescent="0.25">
      <c r="A295" t="s">
        <v>74</v>
      </c>
      <c r="B295">
        <v>1</v>
      </c>
      <c r="C295" t="s">
        <v>66</v>
      </c>
      <c r="D295" t="s">
        <v>75</v>
      </c>
      <c r="E295" t="s">
        <v>68</v>
      </c>
      <c r="F295">
        <v>180</v>
      </c>
      <c r="G295">
        <v>1080</v>
      </c>
      <c r="H295">
        <v>-3</v>
      </c>
      <c r="I295">
        <v>1982</v>
      </c>
      <c r="J295" t="s">
        <v>32</v>
      </c>
      <c r="K295">
        <v>2634</v>
      </c>
      <c r="L295">
        <v>6.6</v>
      </c>
      <c r="M295">
        <v>8.1</v>
      </c>
      <c r="N295">
        <v>50</v>
      </c>
      <c r="O295">
        <v>2.8</v>
      </c>
      <c r="P295">
        <v>4</v>
      </c>
      <c r="Q295">
        <v>3</v>
      </c>
      <c r="R295">
        <v>4</v>
      </c>
      <c r="S295">
        <v>3.5</v>
      </c>
      <c r="T295" t="s">
        <v>38</v>
      </c>
    </row>
    <row r="296" spans="1:20" x14ac:dyDescent="0.25">
      <c r="A296" t="s">
        <v>74</v>
      </c>
      <c r="B296">
        <v>1</v>
      </c>
      <c r="C296" t="s">
        <v>66</v>
      </c>
      <c r="D296" t="s">
        <v>75</v>
      </c>
      <c r="E296" t="s">
        <v>68</v>
      </c>
      <c r="F296">
        <v>180</v>
      </c>
      <c r="G296">
        <v>1080</v>
      </c>
      <c r="H296">
        <v>-3</v>
      </c>
      <c r="I296">
        <v>1982</v>
      </c>
      <c r="J296" t="s">
        <v>32</v>
      </c>
      <c r="K296">
        <v>2635</v>
      </c>
      <c r="L296">
        <v>7.48</v>
      </c>
      <c r="M296">
        <v>3.74</v>
      </c>
      <c r="N296">
        <v>25</v>
      </c>
      <c r="O296">
        <v>3</v>
      </c>
      <c r="P296">
        <v>3.5</v>
      </c>
      <c r="Q296">
        <v>3</v>
      </c>
      <c r="R296">
        <v>4</v>
      </c>
      <c r="S296">
        <v>3.5</v>
      </c>
      <c r="T296" t="s">
        <v>30</v>
      </c>
    </row>
    <row r="297" spans="1:20" x14ac:dyDescent="0.25">
      <c r="A297" t="s">
        <v>74</v>
      </c>
      <c r="B297">
        <v>1</v>
      </c>
      <c r="C297" t="s">
        <v>66</v>
      </c>
      <c r="D297" t="s">
        <v>75</v>
      </c>
      <c r="E297" t="s">
        <v>68</v>
      </c>
      <c r="F297">
        <v>180</v>
      </c>
      <c r="G297">
        <v>1080</v>
      </c>
      <c r="H297">
        <v>-3</v>
      </c>
      <c r="I297">
        <v>1982</v>
      </c>
      <c r="J297" t="s">
        <v>35</v>
      </c>
      <c r="K297">
        <v>1259</v>
      </c>
      <c r="L297">
        <v>9.65</v>
      </c>
      <c r="M297">
        <v>8.01</v>
      </c>
      <c r="N297">
        <v>100</v>
      </c>
      <c r="O297">
        <v>3</v>
      </c>
      <c r="P297">
        <v>2</v>
      </c>
      <c r="Q297">
        <v>3</v>
      </c>
      <c r="R297">
        <v>3.5</v>
      </c>
      <c r="S297">
        <v>3</v>
      </c>
      <c r="T297" t="s">
        <v>38</v>
      </c>
    </row>
    <row r="298" spans="1:20" x14ac:dyDescent="0.25">
      <c r="A298" t="s">
        <v>74</v>
      </c>
      <c r="B298">
        <v>1</v>
      </c>
      <c r="C298" t="s">
        <v>66</v>
      </c>
      <c r="D298" t="s">
        <v>75</v>
      </c>
      <c r="E298" t="s">
        <v>68</v>
      </c>
      <c r="F298">
        <v>180</v>
      </c>
      <c r="G298">
        <v>1080</v>
      </c>
      <c r="H298">
        <v>-3</v>
      </c>
      <c r="I298">
        <v>1982</v>
      </c>
      <c r="J298" t="s">
        <v>35</v>
      </c>
      <c r="K298">
        <v>1785</v>
      </c>
      <c r="L298">
        <v>3.53</v>
      </c>
      <c r="M298">
        <v>3.3</v>
      </c>
      <c r="N298">
        <v>75</v>
      </c>
      <c r="O298">
        <v>1.8</v>
      </c>
      <c r="P298">
        <v>2</v>
      </c>
      <c r="Q298">
        <v>2.5</v>
      </c>
      <c r="R298">
        <v>3</v>
      </c>
      <c r="S298">
        <v>3</v>
      </c>
      <c r="T298" t="s">
        <v>30</v>
      </c>
    </row>
    <row r="299" spans="1:20" x14ac:dyDescent="0.25">
      <c r="A299" t="s">
        <v>74</v>
      </c>
      <c r="B299">
        <v>1</v>
      </c>
      <c r="C299" t="s">
        <v>66</v>
      </c>
      <c r="D299" t="s">
        <v>75</v>
      </c>
      <c r="E299" t="s">
        <v>68</v>
      </c>
      <c r="F299">
        <v>180</v>
      </c>
      <c r="G299">
        <v>1080</v>
      </c>
      <c r="H299">
        <v>-3</v>
      </c>
      <c r="I299">
        <v>1982</v>
      </c>
      <c r="J299" t="s">
        <v>36</v>
      </c>
      <c r="K299">
        <v>2573</v>
      </c>
      <c r="L299">
        <v>15.02</v>
      </c>
      <c r="M299">
        <v>8.0399999999999991</v>
      </c>
      <c r="N299">
        <v>75</v>
      </c>
      <c r="O299">
        <v>3</v>
      </c>
      <c r="P299">
        <v>4</v>
      </c>
      <c r="Q299">
        <v>3</v>
      </c>
      <c r="R299">
        <v>3.2</v>
      </c>
      <c r="S299">
        <v>2.5</v>
      </c>
      <c r="T299" t="s">
        <v>38</v>
      </c>
    </row>
    <row r="300" spans="1:20" x14ac:dyDescent="0.25">
      <c r="A300" t="s">
        <v>74</v>
      </c>
      <c r="B300">
        <v>1</v>
      </c>
      <c r="C300" t="s">
        <v>66</v>
      </c>
      <c r="D300" t="s">
        <v>75</v>
      </c>
      <c r="E300" t="s">
        <v>68</v>
      </c>
      <c r="F300">
        <v>180</v>
      </c>
      <c r="G300">
        <v>1080</v>
      </c>
      <c r="H300">
        <v>-3</v>
      </c>
      <c r="I300">
        <v>1982</v>
      </c>
      <c r="J300" t="s">
        <v>62</v>
      </c>
      <c r="K300">
        <v>2550</v>
      </c>
      <c r="L300">
        <v>11.27</v>
      </c>
      <c r="M300">
        <v>7.14</v>
      </c>
      <c r="N300">
        <v>75</v>
      </c>
      <c r="O300">
        <v>2.5</v>
      </c>
      <c r="P300">
        <v>3</v>
      </c>
      <c r="Q300">
        <v>3</v>
      </c>
      <c r="R300">
        <v>4</v>
      </c>
      <c r="S300">
        <v>3</v>
      </c>
      <c r="T300" t="s">
        <v>38</v>
      </c>
    </row>
    <row r="301" spans="1:20" x14ac:dyDescent="0.25">
      <c r="A301" t="s">
        <v>74</v>
      </c>
      <c r="B301">
        <v>1</v>
      </c>
      <c r="C301" t="s">
        <v>66</v>
      </c>
      <c r="D301" t="s">
        <v>75</v>
      </c>
      <c r="E301" t="s">
        <v>68</v>
      </c>
      <c r="F301">
        <v>180</v>
      </c>
      <c r="G301">
        <v>1080</v>
      </c>
      <c r="H301">
        <v>-3</v>
      </c>
      <c r="I301">
        <v>1982</v>
      </c>
      <c r="J301" t="s">
        <v>37</v>
      </c>
      <c r="K301">
        <v>2575</v>
      </c>
      <c r="L301">
        <v>2.72</v>
      </c>
      <c r="M301">
        <v>3.43</v>
      </c>
      <c r="N301">
        <v>50</v>
      </c>
      <c r="O301">
        <v>1</v>
      </c>
      <c r="P301">
        <v>1</v>
      </c>
      <c r="Q301">
        <v>2</v>
      </c>
      <c r="R301">
        <v>2</v>
      </c>
      <c r="S301">
        <v>3</v>
      </c>
      <c r="T301" t="s">
        <v>50</v>
      </c>
    </row>
    <row r="302" spans="1:20" x14ac:dyDescent="0.25">
      <c r="A302" t="s">
        <v>74</v>
      </c>
      <c r="B302">
        <v>1</v>
      </c>
      <c r="C302" t="s">
        <v>66</v>
      </c>
      <c r="D302" t="s">
        <v>75</v>
      </c>
      <c r="E302" t="s">
        <v>68</v>
      </c>
      <c r="F302">
        <v>180</v>
      </c>
      <c r="G302">
        <v>1080</v>
      </c>
      <c r="H302">
        <v>-3</v>
      </c>
      <c r="I302">
        <v>1982</v>
      </c>
      <c r="J302" t="s">
        <v>63</v>
      </c>
      <c r="K302">
        <v>1340</v>
      </c>
      <c r="L302">
        <v>2.1</v>
      </c>
      <c r="M302">
        <v>3.38</v>
      </c>
      <c r="N302">
        <v>50</v>
      </c>
      <c r="O302">
        <v>1</v>
      </c>
      <c r="P302">
        <v>1</v>
      </c>
      <c r="Q302">
        <v>3</v>
      </c>
      <c r="R302">
        <v>3</v>
      </c>
      <c r="S302">
        <v>3</v>
      </c>
      <c r="T302" t="s">
        <v>50</v>
      </c>
    </row>
    <row r="303" spans="1:20" x14ac:dyDescent="0.25">
      <c r="A303" t="s">
        <v>74</v>
      </c>
      <c r="B303">
        <v>2</v>
      </c>
      <c r="C303" t="s">
        <v>66</v>
      </c>
      <c r="D303" t="s">
        <v>75</v>
      </c>
      <c r="E303" t="s">
        <v>68</v>
      </c>
      <c r="F303">
        <v>180</v>
      </c>
      <c r="G303">
        <v>1080</v>
      </c>
      <c r="H303">
        <v>-3</v>
      </c>
      <c r="I303">
        <v>1982</v>
      </c>
      <c r="J303" t="s">
        <v>76</v>
      </c>
      <c r="K303">
        <v>1592</v>
      </c>
      <c r="L303">
        <v>7.5</v>
      </c>
      <c r="M303">
        <v>8.08</v>
      </c>
      <c r="N303">
        <v>25</v>
      </c>
      <c r="O303">
        <v>2</v>
      </c>
      <c r="P303">
        <v>3</v>
      </c>
      <c r="Q303">
        <v>3</v>
      </c>
      <c r="R303">
        <v>4</v>
      </c>
      <c r="S303">
        <v>4</v>
      </c>
      <c r="T303" t="s">
        <v>38</v>
      </c>
    </row>
    <row r="304" spans="1:20" x14ac:dyDescent="0.25">
      <c r="A304" t="s">
        <v>74</v>
      </c>
      <c r="B304">
        <v>2</v>
      </c>
      <c r="C304" t="s">
        <v>66</v>
      </c>
      <c r="D304" t="s">
        <v>75</v>
      </c>
      <c r="E304" t="s">
        <v>68</v>
      </c>
      <c r="F304">
        <v>180</v>
      </c>
      <c r="G304">
        <v>1080</v>
      </c>
      <c r="H304">
        <v>-3</v>
      </c>
      <c r="I304">
        <v>1982</v>
      </c>
      <c r="J304" t="s">
        <v>76</v>
      </c>
      <c r="K304">
        <v>2560</v>
      </c>
      <c r="L304">
        <v>4.3899999999999997</v>
      </c>
      <c r="M304">
        <v>5.19</v>
      </c>
      <c r="N304">
        <v>50</v>
      </c>
      <c r="O304">
        <v>2.5</v>
      </c>
      <c r="P304">
        <v>3.5</v>
      </c>
      <c r="Q304">
        <v>3</v>
      </c>
      <c r="R304">
        <v>4.5</v>
      </c>
      <c r="S304">
        <v>4</v>
      </c>
      <c r="T304" t="s">
        <v>38</v>
      </c>
    </row>
    <row r="305" spans="1:20" x14ac:dyDescent="0.25">
      <c r="A305" t="s">
        <v>74</v>
      </c>
      <c r="B305">
        <v>2</v>
      </c>
      <c r="C305" t="s">
        <v>66</v>
      </c>
      <c r="D305" t="s">
        <v>75</v>
      </c>
      <c r="E305" t="s">
        <v>68</v>
      </c>
      <c r="F305">
        <v>180</v>
      </c>
      <c r="G305">
        <v>1080</v>
      </c>
      <c r="H305">
        <v>-3</v>
      </c>
      <c r="I305">
        <v>1982</v>
      </c>
      <c r="J305" t="s">
        <v>56</v>
      </c>
      <c r="K305">
        <v>1111</v>
      </c>
      <c r="L305">
        <v>12.26</v>
      </c>
      <c r="M305">
        <v>6.81</v>
      </c>
      <c r="N305">
        <v>71</v>
      </c>
      <c r="O305">
        <v>4.2</v>
      </c>
      <c r="P305">
        <v>3</v>
      </c>
      <c r="Q305">
        <v>3</v>
      </c>
      <c r="R305">
        <v>2</v>
      </c>
      <c r="S305">
        <v>2</v>
      </c>
      <c r="T305" t="s">
        <v>38</v>
      </c>
    </row>
    <row r="306" spans="1:20" x14ac:dyDescent="0.25">
      <c r="A306" t="s">
        <v>74</v>
      </c>
      <c r="B306">
        <v>2</v>
      </c>
      <c r="C306" t="s">
        <v>66</v>
      </c>
      <c r="D306" t="s">
        <v>75</v>
      </c>
      <c r="E306" t="s">
        <v>68</v>
      </c>
      <c r="F306">
        <v>180</v>
      </c>
      <c r="G306">
        <v>1080</v>
      </c>
      <c r="H306">
        <v>-3</v>
      </c>
      <c r="I306">
        <v>1982</v>
      </c>
      <c r="J306" t="s">
        <v>57</v>
      </c>
      <c r="K306">
        <v>2620</v>
      </c>
      <c r="L306">
        <v>3.54</v>
      </c>
      <c r="M306">
        <v>3.43</v>
      </c>
      <c r="N306">
        <v>100</v>
      </c>
      <c r="O306">
        <v>2.5</v>
      </c>
      <c r="P306">
        <v>2</v>
      </c>
      <c r="Q306">
        <v>3.3</v>
      </c>
      <c r="R306">
        <v>3.3</v>
      </c>
      <c r="S306">
        <v>3.3</v>
      </c>
      <c r="T306" t="s">
        <v>30</v>
      </c>
    </row>
    <row r="307" spans="1:20" x14ac:dyDescent="0.25">
      <c r="A307" t="s">
        <v>74</v>
      </c>
      <c r="B307">
        <v>2</v>
      </c>
      <c r="C307" t="s">
        <v>66</v>
      </c>
      <c r="D307" t="s">
        <v>75</v>
      </c>
      <c r="E307" t="s">
        <v>68</v>
      </c>
      <c r="F307">
        <v>180</v>
      </c>
      <c r="G307">
        <v>1080</v>
      </c>
      <c r="H307">
        <v>-3</v>
      </c>
      <c r="I307">
        <v>1982</v>
      </c>
      <c r="J307" t="s">
        <v>57</v>
      </c>
      <c r="K307">
        <v>2621</v>
      </c>
      <c r="L307">
        <v>3.09</v>
      </c>
      <c r="M307">
        <v>2.63</v>
      </c>
      <c r="N307">
        <v>75</v>
      </c>
      <c r="O307">
        <v>2.5</v>
      </c>
      <c r="P307">
        <v>2</v>
      </c>
      <c r="Q307">
        <v>3.3</v>
      </c>
      <c r="R307">
        <v>3.3</v>
      </c>
      <c r="S307">
        <v>3.3</v>
      </c>
      <c r="T307" t="s">
        <v>30</v>
      </c>
    </row>
    <row r="308" spans="1:20" x14ac:dyDescent="0.25">
      <c r="A308" t="s">
        <v>74</v>
      </c>
      <c r="B308">
        <v>2</v>
      </c>
      <c r="C308" t="s">
        <v>66</v>
      </c>
      <c r="D308" t="s">
        <v>75</v>
      </c>
      <c r="E308" t="s">
        <v>68</v>
      </c>
      <c r="F308">
        <v>180</v>
      </c>
      <c r="G308">
        <v>1080</v>
      </c>
      <c r="H308">
        <v>-3</v>
      </c>
      <c r="I308">
        <v>1982</v>
      </c>
      <c r="J308" t="s">
        <v>59</v>
      </c>
      <c r="K308">
        <v>2548</v>
      </c>
      <c r="L308">
        <v>5.5</v>
      </c>
      <c r="M308">
        <v>4.8899999999999997</v>
      </c>
      <c r="N308">
        <v>25</v>
      </c>
      <c r="O308">
        <v>1.5</v>
      </c>
      <c r="P308">
        <v>3</v>
      </c>
      <c r="Q308">
        <v>3</v>
      </c>
      <c r="R308">
        <v>3</v>
      </c>
      <c r="S308">
        <v>3</v>
      </c>
      <c r="T308" t="s">
        <v>30</v>
      </c>
    </row>
    <row r="309" spans="1:20" x14ac:dyDescent="0.25">
      <c r="A309" t="s">
        <v>74</v>
      </c>
      <c r="B309">
        <v>2</v>
      </c>
      <c r="C309" t="s">
        <v>66</v>
      </c>
      <c r="D309" t="s">
        <v>75</v>
      </c>
      <c r="E309" t="s">
        <v>68</v>
      </c>
      <c r="F309">
        <v>180</v>
      </c>
      <c r="G309">
        <v>1080</v>
      </c>
      <c r="H309">
        <v>-3</v>
      </c>
      <c r="I309">
        <v>1982</v>
      </c>
      <c r="J309" t="s">
        <v>61</v>
      </c>
      <c r="K309">
        <v>1171</v>
      </c>
      <c r="L309">
        <v>6.97</v>
      </c>
      <c r="M309">
        <v>8.9499999999999993</v>
      </c>
      <c r="N309">
        <v>75</v>
      </c>
      <c r="O309">
        <v>2</v>
      </c>
      <c r="P309">
        <v>2</v>
      </c>
      <c r="Q309">
        <v>3</v>
      </c>
      <c r="R309">
        <v>3</v>
      </c>
      <c r="S309">
        <v>3</v>
      </c>
      <c r="T309" t="s">
        <v>30</v>
      </c>
    </row>
    <row r="310" spans="1:20" x14ac:dyDescent="0.25">
      <c r="A310" t="s">
        <v>74</v>
      </c>
      <c r="B310">
        <v>2</v>
      </c>
      <c r="C310" t="s">
        <v>66</v>
      </c>
      <c r="D310" t="s">
        <v>75</v>
      </c>
      <c r="E310" t="s">
        <v>68</v>
      </c>
      <c r="F310">
        <v>180</v>
      </c>
      <c r="G310">
        <v>1080</v>
      </c>
      <c r="H310">
        <v>-3</v>
      </c>
      <c r="I310">
        <v>1982</v>
      </c>
      <c r="J310" t="s">
        <v>32</v>
      </c>
      <c r="K310">
        <v>1596</v>
      </c>
      <c r="L310">
        <v>5.73</v>
      </c>
      <c r="M310">
        <v>4.9800000000000004</v>
      </c>
      <c r="N310">
        <v>75</v>
      </c>
      <c r="O310">
        <v>2.7</v>
      </c>
      <c r="P310">
        <v>3</v>
      </c>
      <c r="Q310">
        <v>3</v>
      </c>
      <c r="R310">
        <v>4</v>
      </c>
      <c r="S310">
        <v>3</v>
      </c>
      <c r="T310" t="s">
        <v>30</v>
      </c>
    </row>
    <row r="311" spans="1:20" x14ac:dyDescent="0.25">
      <c r="A311" t="s">
        <v>74</v>
      </c>
      <c r="B311">
        <v>2</v>
      </c>
      <c r="C311" t="s">
        <v>66</v>
      </c>
      <c r="D311" t="s">
        <v>75</v>
      </c>
      <c r="E311" t="s">
        <v>68</v>
      </c>
      <c r="F311">
        <v>180</v>
      </c>
      <c r="G311">
        <v>1080</v>
      </c>
      <c r="H311">
        <v>-3</v>
      </c>
      <c r="I311">
        <v>1982</v>
      </c>
      <c r="J311" t="s">
        <v>32</v>
      </c>
      <c r="K311">
        <v>2569</v>
      </c>
      <c r="L311">
        <v>19.440000000000001</v>
      </c>
      <c r="M311">
        <v>15.38</v>
      </c>
      <c r="N311">
        <v>75</v>
      </c>
      <c r="O311">
        <v>4.5</v>
      </c>
      <c r="P311">
        <v>3.5</v>
      </c>
      <c r="Q311">
        <v>3.5</v>
      </c>
      <c r="R311">
        <v>4</v>
      </c>
      <c r="S311">
        <v>3</v>
      </c>
      <c r="T311" t="s">
        <v>27</v>
      </c>
    </row>
    <row r="312" spans="1:20" x14ac:dyDescent="0.25">
      <c r="A312" t="s">
        <v>74</v>
      </c>
      <c r="B312">
        <v>2</v>
      </c>
      <c r="C312" t="s">
        <v>66</v>
      </c>
      <c r="D312" t="s">
        <v>75</v>
      </c>
      <c r="E312" t="s">
        <v>68</v>
      </c>
      <c r="F312">
        <v>180</v>
      </c>
      <c r="G312">
        <v>1080</v>
      </c>
      <c r="H312">
        <v>-3</v>
      </c>
      <c r="I312">
        <v>1982</v>
      </c>
      <c r="J312" t="s">
        <v>32</v>
      </c>
      <c r="K312">
        <v>2634</v>
      </c>
      <c r="L312">
        <v>10.97</v>
      </c>
      <c r="M312">
        <v>9.9700000000000006</v>
      </c>
      <c r="N312">
        <v>75</v>
      </c>
      <c r="O312">
        <v>3.5</v>
      </c>
      <c r="P312">
        <v>3</v>
      </c>
      <c r="Q312">
        <v>3.2</v>
      </c>
      <c r="R312">
        <v>4</v>
      </c>
      <c r="S312">
        <v>3</v>
      </c>
      <c r="T312" t="s">
        <v>25</v>
      </c>
    </row>
    <row r="313" spans="1:20" x14ac:dyDescent="0.25">
      <c r="A313" t="s">
        <v>74</v>
      </c>
      <c r="B313">
        <v>2</v>
      </c>
      <c r="C313" t="s">
        <v>66</v>
      </c>
      <c r="D313" t="s">
        <v>75</v>
      </c>
      <c r="E313" t="s">
        <v>68</v>
      </c>
      <c r="F313">
        <v>180</v>
      </c>
      <c r="G313">
        <v>1080</v>
      </c>
      <c r="H313">
        <v>-3</v>
      </c>
      <c r="I313">
        <v>1982</v>
      </c>
      <c r="J313" t="s">
        <v>32</v>
      </c>
      <c r="K313">
        <v>2635</v>
      </c>
      <c r="L313">
        <v>5.86</v>
      </c>
      <c r="M313">
        <v>4.3600000000000003</v>
      </c>
      <c r="N313">
        <v>75</v>
      </c>
      <c r="O313">
        <v>3</v>
      </c>
      <c r="P313">
        <v>3</v>
      </c>
      <c r="Q313">
        <v>3</v>
      </c>
      <c r="R313">
        <v>4</v>
      </c>
      <c r="S313">
        <v>3</v>
      </c>
      <c r="T313" t="s">
        <v>38</v>
      </c>
    </row>
    <row r="314" spans="1:20" x14ac:dyDescent="0.25">
      <c r="A314" t="s">
        <v>74</v>
      </c>
      <c r="B314">
        <v>2</v>
      </c>
      <c r="C314" t="s">
        <v>66</v>
      </c>
      <c r="D314" t="s">
        <v>75</v>
      </c>
      <c r="E314" t="s">
        <v>68</v>
      </c>
      <c r="F314">
        <v>180</v>
      </c>
      <c r="G314">
        <v>1080</v>
      </c>
      <c r="H314">
        <v>-3</v>
      </c>
      <c r="I314">
        <v>1982</v>
      </c>
      <c r="J314" t="s">
        <v>62</v>
      </c>
      <c r="K314">
        <v>2550</v>
      </c>
      <c r="L314">
        <v>17.600000000000001</v>
      </c>
      <c r="M314">
        <v>14.08</v>
      </c>
      <c r="N314">
        <v>50</v>
      </c>
      <c r="O314">
        <v>5</v>
      </c>
      <c r="P314">
        <v>3.5</v>
      </c>
      <c r="Q314">
        <v>4</v>
      </c>
      <c r="R314">
        <v>4</v>
      </c>
      <c r="S314">
        <v>3.5</v>
      </c>
      <c r="T314" t="s">
        <v>27</v>
      </c>
    </row>
    <row r="315" spans="1:20" x14ac:dyDescent="0.25">
      <c r="A315" t="s">
        <v>74</v>
      </c>
      <c r="B315">
        <v>2</v>
      </c>
      <c r="C315" t="s">
        <v>66</v>
      </c>
      <c r="D315" t="s">
        <v>75</v>
      </c>
      <c r="E315" t="s">
        <v>68</v>
      </c>
      <c r="F315">
        <v>180</v>
      </c>
      <c r="G315">
        <v>1080</v>
      </c>
      <c r="H315">
        <v>-3</v>
      </c>
      <c r="I315">
        <v>1982</v>
      </c>
      <c r="J315" t="s">
        <v>62</v>
      </c>
      <c r="K315">
        <v>2553</v>
      </c>
      <c r="L315">
        <v>6.34</v>
      </c>
      <c r="M315">
        <v>6.45</v>
      </c>
      <c r="N315">
        <v>50</v>
      </c>
      <c r="O315">
        <v>3</v>
      </c>
      <c r="P315">
        <v>3</v>
      </c>
      <c r="Q315">
        <v>4</v>
      </c>
      <c r="R315">
        <v>4</v>
      </c>
      <c r="S315">
        <v>4</v>
      </c>
      <c r="T315" t="s">
        <v>38</v>
      </c>
    </row>
    <row r="316" spans="1:20" x14ac:dyDescent="0.25">
      <c r="A316" t="s">
        <v>74</v>
      </c>
      <c r="B316">
        <v>2</v>
      </c>
      <c r="C316" t="s">
        <v>66</v>
      </c>
      <c r="D316" t="s">
        <v>75</v>
      </c>
      <c r="E316" t="s">
        <v>68</v>
      </c>
      <c r="F316">
        <v>180</v>
      </c>
      <c r="G316">
        <v>1080</v>
      </c>
      <c r="H316">
        <v>-3</v>
      </c>
      <c r="I316">
        <v>1982</v>
      </c>
      <c r="J316" t="s">
        <v>62</v>
      </c>
      <c r="K316">
        <v>2574</v>
      </c>
      <c r="L316">
        <v>1.17</v>
      </c>
      <c r="M316">
        <v>2.34</v>
      </c>
      <c r="N316">
        <v>25</v>
      </c>
      <c r="O316">
        <v>1</v>
      </c>
      <c r="P316">
        <v>3</v>
      </c>
      <c r="Q316">
        <v>3</v>
      </c>
      <c r="R316">
        <v>3</v>
      </c>
      <c r="S316">
        <v>3</v>
      </c>
      <c r="T316" t="s">
        <v>50</v>
      </c>
    </row>
    <row r="317" spans="1:20" x14ac:dyDescent="0.25">
      <c r="A317" t="s">
        <v>74</v>
      </c>
      <c r="B317">
        <v>2</v>
      </c>
      <c r="C317" t="s">
        <v>66</v>
      </c>
      <c r="D317" t="s">
        <v>75</v>
      </c>
      <c r="E317" t="s">
        <v>68</v>
      </c>
      <c r="F317">
        <v>180</v>
      </c>
      <c r="G317">
        <v>1080</v>
      </c>
      <c r="H317">
        <v>-3</v>
      </c>
      <c r="I317">
        <v>1982</v>
      </c>
      <c r="J317" t="s">
        <v>37</v>
      </c>
      <c r="K317">
        <v>2575</v>
      </c>
      <c r="L317">
        <v>6.97</v>
      </c>
      <c r="M317">
        <v>5.32</v>
      </c>
      <c r="N317">
        <v>50</v>
      </c>
      <c r="O317">
        <v>2</v>
      </c>
      <c r="P317">
        <v>3.5</v>
      </c>
      <c r="Q317">
        <v>2</v>
      </c>
      <c r="R317">
        <v>3</v>
      </c>
      <c r="S317">
        <v>3</v>
      </c>
      <c r="T317" t="s">
        <v>50</v>
      </c>
    </row>
    <row r="318" spans="1:20" x14ac:dyDescent="0.25">
      <c r="A318" t="s">
        <v>74</v>
      </c>
      <c r="B318">
        <v>2</v>
      </c>
      <c r="C318" t="s">
        <v>66</v>
      </c>
      <c r="D318" t="s">
        <v>75</v>
      </c>
      <c r="E318" t="s">
        <v>68</v>
      </c>
      <c r="F318">
        <v>180</v>
      </c>
      <c r="G318">
        <v>1080</v>
      </c>
      <c r="H318">
        <v>-3</v>
      </c>
      <c r="I318">
        <v>1982</v>
      </c>
      <c r="J318" t="s">
        <v>63</v>
      </c>
      <c r="K318">
        <v>1340</v>
      </c>
      <c r="L318">
        <v>2.1</v>
      </c>
      <c r="M318">
        <v>3.85</v>
      </c>
      <c r="N318">
        <v>25</v>
      </c>
      <c r="O318">
        <v>1</v>
      </c>
      <c r="P318">
        <v>2</v>
      </c>
      <c r="Q318">
        <v>3</v>
      </c>
      <c r="R318">
        <v>3</v>
      </c>
      <c r="S318">
        <v>3</v>
      </c>
      <c r="T318" t="s">
        <v>50</v>
      </c>
    </row>
    <row r="319" spans="1:20" x14ac:dyDescent="0.25">
      <c r="A319" t="s">
        <v>74</v>
      </c>
      <c r="B319">
        <v>3</v>
      </c>
      <c r="C319" t="s">
        <v>66</v>
      </c>
      <c r="D319" t="s">
        <v>75</v>
      </c>
      <c r="E319" t="s">
        <v>68</v>
      </c>
      <c r="F319">
        <v>180</v>
      </c>
      <c r="G319">
        <v>1080</v>
      </c>
      <c r="H319">
        <v>-3</v>
      </c>
      <c r="I319">
        <v>1982</v>
      </c>
      <c r="J319" t="s">
        <v>76</v>
      </c>
      <c r="K319">
        <v>1592</v>
      </c>
      <c r="L319">
        <v>11.77</v>
      </c>
      <c r="M319">
        <v>8.08</v>
      </c>
      <c r="N319">
        <v>75</v>
      </c>
      <c r="O319">
        <v>3</v>
      </c>
      <c r="P319">
        <v>4</v>
      </c>
      <c r="Q319">
        <v>3</v>
      </c>
      <c r="R319">
        <v>4</v>
      </c>
      <c r="S319">
        <v>3</v>
      </c>
      <c r="T319" t="s">
        <v>27</v>
      </c>
    </row>
    <row r="320" spans="1:20" x14ac:dyDescent="0.25">
      <c r="A320" t="s">
        <v>74</v>
      </c>
      <c r="B320">
        <v>3</v>
      </c>
      <c r="C320" t="s">
        <v>66</v>
      </c>
      <c r="D320" t="s">
        <v>75</v>
      </c>
      <c r="E320" t="s">
        <v>68</v>
      </c>
      <c r="F320">
        <v>180</v>
      </c>
      <c r="G320">
        <v>1080</v>
      </c>
      <c r="H320">
        <v>-3</v>
      </c>
      <c r="I320">
        <v>1982</v>
      </c>
      <c r="J320" t="s">
        <v>56</v>
      </c>
      <c r="K320">
        <v>1111</v>
      </c>
      <c r="L320">
        <v>9.65</v>
      </c>
      <c r="M320">
        <v>6.24</v>
      </c>
      <c r="N320">
        <v>25</v>
      </c>
      <c r="O320">
        <v>2.8</v>
      </c>
      <c r="P320">
        <v>3</v>
      </c>
      <c r="Q320">
        <v>3</v>
      </c>
      <c r="R320">
        <v>3</v>
      </c>
      <c r="S320">
        <v>2.5</v>
      </c>
      <c r="T320" t="s">
        <v>30</v>
      </c>
    </row>
    <row r="321" spans="1:20" x14ac:dyDescent="0.25">
      <c r="A321" t="s">
        <v>74</v>
      </c>
      <c r="B321">
        <v>3</v>
      </c>
      <c r="C321" t="s">
        <v>66</v>
      </c>
      <c r="D321" t="s">
        <v>75</v>
      </c>
      <c r="E321" t="s">
        <v>68</v>
      </c>
      <c r="F321">
        <v>180</v>
      </c>
      <c r="G321">
        <v>1080</v>
      </c>
      <c r="H321">
        <v>-3</v>
      </c>
      <c r="I321">
        <v>1982</v>
      </c>
      <c r="J321" t="s">
        <v>58</v>
      </c>
      <c r="K321">
        <v>2638</v>
      </c>
      <c r="L321">
        <v>0.57999999999999996</v>
      </c>
      <c r="M321">
        <v>1.75</v>
      </c>
      <c r="N321">
        <v>25</v>
      </c>
      <c r="O321">
        <v>1.5</v>
      </c>
      <c r="P321">
        <v>3</v>
      </c>
      <c r="Q321">
        <v>3</v>
      </c>
      <c r="R321">
        <v>3</v>
      </c>
      <c r="S321">
        <v>3</v>
      </c>
      <c r="T321" t="s">
        <v>50</v>
      </c>
    </row>
    <row r="322" spans="1:20" x14ac:dyDescent="0.25">
      <c r="A322" t="s">
        <v>74</v>
      </c>
      <c r="B322">
        <v>3</v>
      </c>
      <c r="C322" t="s">
        <v>66</v>
      </c>
      <c r="D322" t="s">
        <v>75</v>
      </c>
      <c r="E322" t="s">
        <v>68</v>
      </c>
      <c r="F322">
        <v>180</v>
      </c>
      <c r="G322">
        <v>1080</v>
      </c>
      <c r="H322">
        <v>-3</v>
      </c>
      <c r="I322">
        <v>1982</v>
      </c>
      <c r="J322" t="s">
        <v>61</v>
      </c>
      <c r="K322">
        <v>1171</v>
      </c>
      <c r="L322">
        <v>11.62</v>
      </c>
      <c r="M322">
        <v>11.62</v>
      </c>
      <c r="N322">
        <v>2</v>
      </c>
      <c r="O322">
        <v>2</v>
      </c>
      <c r="P322">
        <v>2</v>
      </c>
      <c r="Q322">
        <v>4</v>
      </c>
      <c r="R322">
        <v>3</v>
      </c>
      <c r="S322">
        <v>3</v>
      </c>
      <c r="T322" t="s">
        <v>30</v>
      </c>
    </row>
    <row r="323" spans="1:20" x14ac:dyDescent="0.25">
      <c r="A323" t="s">
        <v>74</v>
      </c>
      <c r="B323">
        <v>3</v>
      </c>
      <c r="C323" t="s">
        <v>66</v>
      </c>
      <c r="D323" t="s">
        <v>75</v>
      </c>
      <c r="E323" t="s">
        <v>68</v>
      </c>
      <c r="F323">
        <v>180</v>
      </c>
      <c r="G323">
        <v>1080</v>
      </c>
      <c r="H323">
        <v>-3</v>
      </c>
      <c r="I323">
        <v>1982</v>
      </c>
      <c r="J323" t="s">
        <v>61</v>
      </c>
      <c r="K323">
        <v>2631</v>
      </c>
      <c r="L323">
        <v>9.06</v>
      </c>
      <c r="M323">
        <v>6.97</v>
      </c>
      <c r="N323">
        <v>25</v>
      </c>
      <c r="O323">
        <v>1.3</v>
      </c>
      <c r="P323">
        <v>1</v>
      </c>
      <c r="Q323">
        <v>2</v>
      </c>
      <c r="R323">
        <v>2</v>
      </c>
      <c r="S323">
        <v>3</v>
      </c>
      <c r="T323" t="s">
        <v>50</v>
      </c>
    </row>
    <row r="324" spans="1:20" x14ac:dyDescent="0.25">
      <c r="A324" t="s">
        <v>74</v>
      </c>
      <c r="B324">
        <v>3</v>
      </c>
      <c r="C324" t="s">
        <v>66</v>
      </c>
      <c r="D324" t="s">
        <v>75</v>
      </c>
      <c r="E324" t="s">
        <v>68</v>
      </c>
      <c r="F324">
        <v>180</v>
      </c>
      <c r="G324">
        <v>1080</v>
      </c>
      <c r="H324">
        <v>-3</v>
      </c>
      <c r="I324">
        <v>1982</v>
      </c>
      <c r="J324" t="s">
        <v>35</v>
      </c>
      <c r="K324">
        <v>1788</v>
      </c>
      <c r="L324">
        <v>15.31</v>
      </c>
      <c r="M324">
        <v>11.77</v>
      </c>
      <c r="N324">
        <v>75</v>
      </c>
      <c r="O324">
        <v>3</v>
      </c>
      <c r="P324">
        <v>2</v>
      </c>
      <c r="Q324">
        <v>4</v>
      </c>
      <c r="R324">
        <v>4</v>
      </c>
      <c r="S324">
        <v>4</v>
      </c>
      <c r="T324" t="s">
        <v>27</v>
      </c>
    </row>
    <row r="325" spans="1:20" x14ac:dyDescent="0.25">
      <c r="A325" t="s">
        <v>74</v>
      </c>
      <c r="B325">
        <v>3</v>
      </c>
      <c r="C325" t="s">
        <v>66</v>
      </c>
      <c r="D325" t="s">
        <v>75</v>
      </c>
      <c r="E325" t="s">
        <v>68</v>
      </c>
      <c r="F325">
        <v>180</v>
      </c>
      <c r="G325">
        <v>1080</v>
      </c>
      <c r="H325">
        <v>-3</v>
      </c>
      <c r="I325">
        <v>1982</v>
      </c>
      <c r="J325" t="s">
        <v>35</v>
      </c>
      <c r="K325">
        <v>1259</v>
      </c>
      <c r="L325">
        <v>7.65</v>
      </c>
      <c r="M325">
        <v>8.24</v>
      </c>
      <c r="N325">
        <v>25</v>
      </c>
      <c r="O325">
        <v>2</v>
      </c>
      <c r="P325">
        <v>2</v>
      </c>
      <c r="Q325">
        <v>4</v>
      </c>
      <c r="R325">
        <v>4</v>
      </c>
      <c r="S325">
        <v>4</v>
      </c>
      <c r="T325" t="s">
        <v>38</v>
      </c>
    </row>
    <row r="326" spans="1:20" x14ac:dyDescent="0.25">
      <c r="A326" t="s">
        <v>74</v>
      </c>
      <c r="B326">
        <v>3</v>
      </c>
      <c r="C326" t="s">
        <v>66</v>
      </c>
      <c r="D326" t="s">
        <v>75</v>
      </c>
      <c r="E326" t="s">
        <v>68</v>
      </c>
      <c r="F326">
        <v>180</v>
      </c>
      <c r="G326">
        <v>1080</v>
      </c>
      <c r="H326">
        <v>-3</v>
      </c>
      <c r="I326">
        <v>1982</v>
      </c>
      <c r="J326" t="s">
        <v>35</v>
      </c>
      <c r="K326">
        <v>2571</v>
      </c>
      <c r="L326">
        <v>6.42</v>
      </c>
      <c r="M326">
        <v>8.24</v>
      </c>
      <c r="N326">
        <v>25</v>
      </c>
      <c r="O326">
        <v>3</v>
      </c>
      <c r="P326">
        <v>2</v>
      </c>
      <c r="Q326">
        <v>4</v>
      </c>
      <c r="R326">
        <v>4</v>
      </c>
      <c r="S326">
        <v>4</v>
      </c>
      <c r="T326" t="s">
        <v>38</v>
      </c>
    </row>
    <row r="327" spans="1:20" x14ac:dyDescent="0.25">
      <c r="A327" t="s">
        <v>74</v>
      </c>
      <c r="B327">
        <v>3</v>
      </c>
      <c r="C327" t="s">
        <v>66</v>
      </c>
      <c r="D327" t="s">
        <v>75</v>
      </c>
      <c r="E327" t="s">
        <v>68</v>
      </c>
      <c r="F327">
        <v>180</v>
      </c>
      <c r="G327">
        <v>1080</v>
      </c>
      <c r="H327">
        <v>-3</v>
      </c>
      <c r="I327">
        <v>1982</v>
      </c>
      <c r="J327" t="s">
        <v>62</v>
      </c>
      <c r="K327">
        <v>2553</v>
      </c>
      <c r="L327">
        <v>19.13</v>
      </c>
      <c r="M327">
        <v>13.5</v>
      </c>
      <c r="N327">
        <v>50</v>
      </c>
      <c r="O327">
        <v>5</v>
      </c>
      <c r="P327">
        <v>4</v>
      </c>
      <c r="Q327">
        <v>4</v>
      </c>
      <c r="R327">
        <v>4</v>
      </c>
      <c r="S327">
        <v>3</v>
      </c>
      <c r="T327" t="s">
        <v>27</v>
      </c>
    </row>
    <row r="328" spans="1:20" x14ac:dyDescent="0.25">
      <c r="A328" t="s">
        <v>74</v>
      </c>
      <c r="B328">
        <v>3</v>
      </c>
      <c r="C328" t="s">
        <v>66</v>
      </c>
      <c r="D328" t="s">
        <v>75</v>
      </c>
      <c r="E328" t="s">
        <v>68</v>
      </c>
      <c r="F328">
        <v>180</v>
      </c>
      <c r="G328">
        <v>1080</v>
      </c>
      <c r="H328">
        <v>-3</v>
      </c>
      <c r="I328">
        <v>1982</v>
      </c>
      <c r="J328" t="s">
        <v>62</v>
      </c>
      <c r="K328">
        <v>2574</v>
      </c>
      <c r="L328">
        <v>15.26</v>
      </c>
      <c r="M328">
        <v>14.08</v>
      </c>
      <c r="N328">
        <v>25</v>
      </c>
      <c r="O328">
        <v>3</v>
      </c>
      <c r="P328">
        <v>4</v>
      </c>
      <c r="Q328">
        <v>4</v>
      </c>
      <c r="R328">
        <v>4</v>
      </c>
      <c r="S328">
        <v>3</v>
      </c>
      <c r="T328" t="s">
        <v>27</v>
      </c>
    </row>
    <row r="329" spans="1:20" x14ac:dyDescent="0.25">
      <c r="A329" t="s">
        <v>74</v>
      </c>
      <c r="B329">
        <v>3</v>
      </c>
      <c r="C329" t="s">
        <v>66</v>
      </c>
      <c r="D329" t="s">
        <v>75</v>
      </c>
      <c r="E329" t="s">
        <v>68</v>
      </c>
      <c r="F329">
        <v>180</v>
      </c>
      <c r="G329">
        <v>1080</v>
      </c>
      <c r="H329">
        <v>-3</v>
      </c>
      <c r="I329">
        <v>1982</v>
      </c>
      <c r="J329" t="s">
        <v>37</v>
      </c>
      <c r="K329">
        <v>2575</v>
      </c>
      <c r="L329">
        <v>4.84</v>
      </c>
      <c r="M329">
        <v>4.13</v>
      </c>
      <c r="N329">
        <v>50</v>
      </c>
      <c r="O329">
        <v>2</v>
      </c>
      <c r="P329">
        <v>1.5</v>
      </c>
      <c r="Q329">
        <v>3</v>
      </c>
      <c r="R329">
        <v>3</v>
      </c>
      <c r="S329">
        <v>3</v>
      </c>
      <c r="T329" t="s">
        <v>30</v>
      </c>
    </row>
    <row r="330" spans="1:20" x14ac:dyDescent="0.25">
      <c r="A330" t="s">
        <v>74</v>
      </c>
      <c r="B330">
        <v>3</v>
      </c>
      <c r="C330" t="s">
        <v>66</v>
      </c>
      <c r="D330" t="s">
        <v>75</v>
      </c>
      <c r="E330" t="s">
        <v>68</v>
      </c>
      <c r="F330">
        <v>180</v>
      </c>
      <c r="G330">
        <v>1080</v>
      </c>
      <c r="H330">
        <v>-3</v>
      </c>
      <c r="I330">
        <v>1982</v>
      </c>
      <c r="J330" t="s">
        <v>63</v>
      </c>
      <c r="K330">
        <v>1340</v>
      </c>
      <c r="L330">
        <v>7.58</v>
      </c>
      <c r="M330">
        <v>6.06</v>
      </c>
      <c r="N330">
        <v>38</v>
      </c>
      <c r="O330">
        <v>2</v>
      </c>
      <c r="P330">
        <v>2</v>
      </c>
      <c r="Q330">
        <v>3</v>
      </c>
      <c r="R330">
        <v>3</v>
      </c>
      <c r="S330">
        <v>3</v>
      </c>
      <c r="T330" t="s">
        <v>30</v>
      </c>
    </row>
    <row r="331" spans="1:20" x14ac:dyDescent="0.25">
      <c r="A331" t="s">
        <v>77</v>
      </c>
      <c r="B331">
        <v>1</v>
      </c>
      <c r="C331" t="s">
        <v>47</v>
      </c>
      <c r="D331" t="s">
        <v>78</v>
      </c>
      <c r="E331" t="s">
        <v>79</v>
      </c>
      <c r="F331">
        <v>150</v>
      </c>
      <c r="G331">
        <v>1250</v>
      </c>
      <c r="H331">
        <v>-3</v>
      </c>
      <c r="I331">
        <v>1983</v>
      </c>
      <c r="J331" t="s">
        <v>76</v>
      </c>
      <c r="K331">
        <v>1592</v>
      </c>
      <c r="L331">
        <v>24.24</v>
      </c>
      <c r="M331">
        <v>17.899999999999999</v>
      </c>
      <c r="N331">
        <v>38</v>
      </c>
      <c r="O331">
        <v>3.5</v>
      </c>
      <c r="P331">
        <v>3.5</v>
      </c>
      <c r="Q331">
        <v>3</v>
      </c>
      <c r="R331">
        <v>3.3</v>
      </c>
      <c r="S331">
        <v>2.5</v>
      </c>
      <c r="T331" t="s">
        <v>25</v>
      </c>
    </row>
    <row r="332" spans="1:20" x14ac:dyDescent="0.25">
      <c r="A332" t="s">
        <v>77</v>
      </c>
      <c r="B332">
        <v>1</v>
      </c>
      <c r="C332" t="s">
        <v>47</v>
      </c>
      <c r="D332" t="s">
        <v>78</v>
      </c>
      <c r="E332" t="s">
        <v>79</v>
      </c>
      <c r="F332">
        <v>150</v>
      </c>
      <c r="G332">
        <v>1250</v>
      </c>
      <c r="H332">
        <v>-3</v>
      </c>
      <c r="I332">
        <v>1983</v>
      </c>
      <c r="J332" t="s">
        <v>76</v>
      </c>
      <c r="K332">
        <v>2560</v>
      </c>
      <c r="L332">
        <v>20.239999999999998</v>
      </c>
      <c r="M332">
        <v>14.6</v>
      </c>
      <c r="N332">
        <v>63</v>
      </c>
      <c r="O332">
        <v>3</v>
      </c>
      <c r="P332">
        <v>3.5</v>
      </c>
      <c r="Q332">
        <v>3</v>
      </c>
      <c r="R332">
        <v>3.7</v>
      </c>
      <c r="S332">
        <v>2.5</v>
      </c>
      <c r="T332" t="s">
        <v>25</v>
      </c>
    </row>
    <row r="333" spans="1:20" x14ac:dyDescent="0.25">
      <c r="A333" t="s">
        <v>77</v>
      </c>
      <c r="B333">
        <v>1</v>
      </c>
      <c r="C333" t="s">
        <v>47</v>
      </c>
      <c r="D333" t="s">
        <v>78</v>
      </c>
      <c r="E333" t="s">
        <v>79</v>
      </c>
      <c r="F333">
        <v>150</v>
      </c>
      <c r="G333">
        <v>1250</v>
      </c>
      <c r="H333">
        <v>-3</v>
      </c>
      <c r="I333">
        <v>1983</v>
      </c>
      <c r="J333" t="s">
        <v>24</v>
      </c>
      <c r="K333">
        <v>2562</v>
      </c>
      <c r="L333">
        <v>17.399999999999999</v>
      </c>
      <c r="M333">
        <v>14.14</v>
      </c>
      <c r="N333">
        <v>63</v>
      </c>
      <c r="O333">
        <v>3.5</v>
      </c>
      <c r="P333">
        <v>4</v>
      </c>
      <c r="Q333">
        <v>3.7</v>
      </c>
      <c r="R333">
        <v>4</v>
      </c>
      <c r="S333">
        <v>3.5</v>
      </c>
      <c r="T333" t="s">
        <v>25</v>
      </c>
    </row>
    <row r="334" spans="1:20" x14ac:dyDescent="0.25">
      <c r="A334" t="s">
        <v>77</v>
      </c>
      <c r="B334">
        <v>1</v>
      </c>
      <c r="C334" t="s">
        <v>47</v>
      </c>
      <c r="D334" t="s">
        <v>78</v>
      </c>
      <c r="E334" t="s">
        <v>79</v>
      </c>
      <c r="F334">
        <v>150</v>
      </c>
      <c r="G334">
        <v>1250</v>
      </c>
      <c r="H334">
        <v>-3</v>
      </c>
      <c r="I334">
        <v>1983</v>
      </c>
      <c r="J334" t="s">
        <v>80</v>
      </c>
      <c r="K334">
        <v>1252</v>
      </c>
      <c r="L334">
        <v>17.36</v>
      </c>
      <c r="M334">
        <v>15.64</v>
      </c>
      <c r="N334">
        <v>50</v>
      </c>
      <c r="O334">
        <v>3.5</v>
      </c>
      <c r="P334">
        <v>3.5</v>
      </c>
      <c r="Q334">
        <v>2.5</v>
      </c>
      <c r="R334">
        <v>2.5</v>
      </c>
      <c r="S334">
        <v>2.5</v>
      </c>
      <c r="T334" t="s">
        <v>38</v>
      </c>
    </row>
    <row r="335" spans="1:20" x14ac:dyDescent="0.25">
      <c r="A335" t="s">
        <v>77</v>
      </c>
      <c r="B335">
        <v>1</v>
      </c>
      <c r="C335" t="s">
        <v>47</v>
      </c>
      <c r="D335" t="s">
        <v>78</v>
      </c>
      <c r="E335" t="s">
        <v>79</v>
      </c>
      <c r="F335">
        <v>150</v>
      </c>
      <c r="G335">
        <v>1250</v>
      </c>
      <c r="H335">
        <v>-3</v>
      </c>
      <c r="I335">
        <v>1983</v>
      </c>
      <c r="J335" t="s">
        <v>59</v>
      </c>
      <c r="K335">
        <v>2548</v>
      </c>
      <c r="L335">
        <v>41.04</v>
      </c>
      <c r="M335">
        <v>16.600000000000001</v>
      </c>
      <c r="N335">
        <v>50</v>
      </c>
      <c r="O335">
        <v>3.3</v>
      </c>
      <c r="P335">
        <v>3</v>
      </c>
      <c r="Q335">
        <v>2</v>
      </c>
      <c r="R335">
        <v>1.5</v>
      </c>
      <c r="S335">
        <v>1.5</v>
      </c>
      <c r="T335" t="s">
        <v>25</v>
      </c>
    </row>
    <row r="336" spans="1:20" x14ac:dyDescent="0.25">
      <c r="A336" t="s">
        <v>77</v>
      </c>
      <c r="B336">
        <v>1</v>
      </c>
      <c r="C336" t="s">
        <v>47</v>
      </c>
      <c r="D336" t="s">
        <v>78</v>
      </c>
      <c r="E336" t="s">
        <v>79</v>
      </c>
      <c r="F336">
        <v>150</v>
      </c>
      <c r="G336">
        <v>1250</v>
      </c>
      <c r="H336">
        <v>-3</v>
      </c>
      <c r="I336">
        <v>1983</v>
      </c>
      <c r="J336" t="s">
        <v>32</v>
      </c>
      <c r="K336">
        <v>1596</v>
      </c>
      <c r="L336">
        <v>15.02</v>
      </c>
      <c r="M336">
        <v>9.92</v>
      </c>
      <c r="N336">
        <v>100</v>
      </c>
      <c r="O336">
        <v>3.5</v>
      </c>
      <c r="P336">
        <v>4</v>
      </c>
      <c r="Q336">
        <v>2.7</v>
      </c>
      <c r="R336">
        <v>4</v>
      </c>
      <c r="S336">
        <v>2.5</v>
      </c>
      <c r="T336" t="s">
        <v>25</v>
      </c>
    </row>
    <row r="337" spans="1:20" x14ac:dyDescent="0.25">
      <c r="A337" t="s">
        <v>77</v>
      </c>
      <c r="B337">
        <v>1</v>
      </c>
      <c r="C337" t="s">
        <v>47</v>
      </c>
      <c r="D337" t="s">
        <v>78</v>
      </c>
      <c r="E337" t="s">
        <v>79</v>
      </c>
      <c r="F337">
        <v>150</v>
      </c>
      <c r="G337">
        <v>1250</v>
      </c>
      <c r="H337">
        <v>-3</v>
      </c>
      <c r="I337">
        <v>1983</v>
      </c>
      <c r="J337" t="s">
        <v>32</v>
      </c>
      <c r="K337">
        <v>2569</v>
      </c>
      <c r="L337">
        <v>17.829999999999998</v>
      </c>
      <c r="M337">
        <v>11.8</v>
      </c>
      <c r="N337">
        <v>50</v>
      </c>
      <c r="O337">
        <v>3</v>
      </c>
      <c r="P337">
        <v>3</v>
      </c>
      <c r="Q337">
        <v>3</v>
      </c>
      <c r="R337">
        <v>4</v>
      </c>
      <c r="S337">
        <v>2.5</v>
      </c>
      <c r="T337" t="s">
        <v>25</v>
      </c>
    </row>
    <row r="338" spans="1:20" x14ac:dyDescent="0.25">
      <c r="A338" t="s">
        <v>77</v>
      </c>
      <c r="B338">
        <v>1</v>
      </c>
      <c r="C338" t="s">
        <v>47</v>
      </c>
      <c r="D338" t="s">
        <v>78</v>
      </c>
      <c r="E338" t="s">
        <v>79</v>
      </c>
      <c r="F338">
        <v>150</v>
      </c>
      <c r="G338">
        <v>1250</v>
      </c>
      <c r="H338">
        <v>-3</v>
      </c>
      <c r="I338">
        <v>1983</v>
      </c>
      <c r="J338" t="s">
        <v>33</v>
      </c>
      <c r="K338">
        <v>2547</v>
      </c>
      <c r="L338">
        <v>20.8</v>
      </c>
      <c r="M338">
        <v>10.23</v>
      </c>
      <c r="N338">
        <v>13</v>
      </c>
      <c r="O338">
        <v>3</v>
      </c>
      <c r="P338">
        <v>3</v>
      </c>
      <c r="Q338">
        <v>3</v>
      </c>
      <c r="R338">
        <v>2.5</v>
      </c>
      <c r="S338">
        <v>3</v>
      </c>
      <c r="T338" t="s">
        <v>38</v>
      </c>
    </row>
    <row r="339" spans="1:20" x14ac:dyDescent="0.25">
      <c r="A339" t="s">
        <v>77</v>
      </c>
      <c r="B339">
        <v>1</v>
      </c>
      <c r="C339" t="s">
        <v>47</v>
      </c>
      <c r="D339" t="s">
        <v>78</v>
      </c>
      <c r="E339" t="s">
        <v>79</v>
      </c>
      <c r="F339">
        <v>150</v>
      </c>
      <c r="G339">
        <v>1250</v>
      </c>
      <c r="H339">
        <v>-3</v>
      </c>
      <c r="I339">
        <v>1983</v>
      </c>
      <c r="J339" t="s">
        <v>33</v>
      </c>
      <c r="K339">
        <v>2568</v>
      </c>
      <c r="L339">
        <v>24.89</v>
      </c>
      <c r="M339">
        <v>16.71</v>
      </c>
      <c r="N339">
        <v>63</v>
      </c>
      <c r="O339">
        <v>3</v>
      </c>
      <c r="P339">
        <v>2.5</v>
      </c>
      <c r="Q339">
        <v>2.7</v>
      </c>
      <c r="R339">
        <v>3</v>
      </c>
      <c r="S339">
        <v>2</v>
      </c>
      <c r="T339" t="s">
        <v>38</v>
      </c>
    </row>
    <row r="340" spans="1:20" x14ac:dyDescent="0.25">
      <c r="A340" t="s">
        <v>77</v>
      </c>
      <c r="B340">
        <v>1</v>
      </c>
      <c r="C340" t="s">
        <v>47</v>
      </c>
      <c r="D340" t="s">
        <v>78</v>
      </c>
      <c r="E340" t="s">
        <v>79</v>
      </c>
      <c r="F340">
        <v>150</v>
      </c>
      <c r="G340">
        <v>1250</v>
      </c>
      <c r="H340">
        <v>-3</v>
      </c>
      <c r="I340">
        <v>1983</v>
      </c>
      <c r="J340" t="s">
        <v>34</v>
      </c>
      <c r="K340">
        <v>1522</v>
      </c>
      <c r="L340">
        <v>19.13</v>
      </c>
      <c r="M340">
        <v>10.66</v>
      </c>
      <c r="N340">
        <v>38</v>
      </c>
      <c r="O340">
        <v>3.5</v>
      </c>
      <c r="P340">
        <v>3</v>
      </c>
      <c r="Q340">
        <v>2.5</v>
      </c>
      <c r="R340">
        <v>2.5</v>
      </c>
      <c r="S340">
        <v>2</v>
      </c>
      <c r="T340" t="s">
        <v>25</v>
      </c>
    </row>
    <row r="341" spans="1:20" x14ac:dyDescent="0.25">
      <c r="A341" t="s">
        <v>77</v>
      </c>
      <c r="B341">
        <v>1</v>
      </c>
      <c r="C341" t="s">
        <v>47</v>
      </c>
      <c r="D341" t="s">
        <v>78</v>
      </c>
      <c r="E341" t="s">
        <v>79</v>
      </c>
      <c r="F341">
        <v>150</v>
      </c>
      <c r="G341">
        <v>1250</v>
      </c>
      <c r="H341">
        <v>-3</v>
      </c>
      <c r="I341">
        <v>1983</v>
      </c>
      <c r="J341" t="s">
        <v>34</v>
      </c>
      <c r="K341">
        <v>2570</v>
      </c>
      <c r="L341">
        <v>17.59</v>
      </c>
      <c r="M341">
        <v>12.2</v>
      </c>
      <c r="N341">
        <v>50</v>
      </c>
      <c r="O341">
        <v>3</v>
      </c>
      <c r="P341">
        <v>2.7</v>
      </c>
      <c r="Q341">
        <v>3</v>
      </c>
      <c r="R341">
        <v>3.5</v>
      </c>
      <c r="S341">
        <v>2.7</v>
      </c>
      <c r="T341" t="s">
        <v>38</v>
      </c>
    </row>
    <row r="342" spans="1:20" x14ac:dyDescent="0.25">
      <c r="A342" t="s">
        <v>77</v>
      </c>
      <c r="B342">
        <v>1</v>
      </c>
      <c r="C342" t="s">
        <v>47</v>
      </c>
      <c r="D342" t="s">
        <v>78</v>
      </c>
      <c r="E342" t="s">
        <v>79</v>
      </c>
      <c r="F342">
        <v>150</v>
      </c>
      <c r="G342">
        <v>1250</v>
      </c>
      <c r="H342">
        <v>-3</v>
      </c>
      <c r="I342">
        <v>1983</v>
      </c>
      <c r="J342" t="s">
        <v>35</v>
      </c>
      <c r="K342">
        <v>2571</v>
      </c>
      <c r="L342">
        <v>19.350000000000001</v>
      </c>
      <c r="M342">
        <v>17.3</v>
      </c>
      <c r="N342">
        <v>50</v>
      </c>
      <c r="O342">
        <v>2.5</v>
      </c>
      <c r="P342">
        <v>2</v>
      </c>
      <c r="Q342">
        <v>3.2</v>
      </c>
      <c r="R342">
        <v>4</v>
      </c>
      <c r="S342">
        <v>4</v>
      </c>
      <c r="T342" t="s">
        <v>38</v>
      </c>
    </row>
    <row r="343" spans="1:20" x14ac:dyDescent="0.25">
      <c r="A343" t="s">
        <v>77</v>
      </c>
      <c r="B343">
        <v>1</v>
      </c>
      <c r="C343" t="s">
        <v>47</v>
      </c>
      <c r="D343" t="s">
        <v>78</v>
      </c>
      <c r="E343" t="s">
        <v>79</v>
      </c>
      <c r="F343">
        <v>150</v>
      </c>
      <c r="G343">
        <v>1250</v>
      </c>
      <c r="H343">
        <v>-3</v>
      </c>
      <c r="I343">
        <v>1983</v>
      </c>
      <c r="J343" t="s">
        <v>36</v>
      </c>
      <c r="K343">
        <v>2573</v>
      </c>
      <c r="L343">
        <v>21.7</v>
      </c>
      <c r="M343">
        <v>17.420000000000002</v>
      </c>
      <c r="N343">
        <v>88</v>
      </c>
      <c r="O343">
        <v>3</v>
      </c>
      <c r="P343">
        <v>3.5</v>
      </c>
      <c r="Q343">
        <v>3</v>
      </c>
      <c r="R343">
        <v>3.3</v>
      </c>
      <c r="S343">
        <v>2.2999999999999998</v>
      </c>
      <c r="T343" t="s">
        <v>25</v>
      </c>
    </row>
    <row r="344" spans="1:20" x14ac:dyDescent="0.25">
      <c r="A344" t="s">
        <v>77</v>
      </c>
      <c r="B344">
        <v>1</v>
      </c>
      <c r="C344" t="s">
        <v>47</v>
      </c>
      <c r="D344" t="s">
        <v>78</v>
      </c>
      <c r="E344" t="s">
        <v>79</v>
      </c>
      <c r="F344">
        <v>150</v>
      </c>
      <c r="G344">
        <v>1250</v>
      </c>
      <c r="H344">
        <v>-3</v>
      </c>
      <c r="I344">
        <v>1983</v>
      </c>
      <c r="J344" t="s">
        <v>62</v>
      </c>
      <c r="K344">
        <v>2550</v>
      </c>
      <c r="L344">
        <v>7.84</v>
      </c>
      <c r="M344">
        <v>3.34</v>
      </c>
      <c r="N344">
        <v>38</v>
      </c>
      <c r="O344">
        <v>2</v>
      </c>
      <c r="P344">
        <v>2.2999999999999998</v>
      </c>
      <c r="Q344">
        <v>1.5</v>
      </c>
      <c r="R344">
        <v>2</v>
      </c>
      <c r="S344">
        <v>2</v>
      </c>
      <c r="T344" t="s">
        <v>30</v>
      </c>
    </row>
    <row r="345" spans="1:20" x14ac:dyDescent="0.25">
      <c r="A345" t="s">
        <v>77</v>
      </c>
      <c r="B345">
        <v>1</v>
      </c>
      <c r="C345" t="s">
        <v>47</v>
      </c>
      <c r="D345" t="s">
        <v>78</v>
      </c>
      <c r="E345" t="s">
        <v>79</v>
      </c>
      <c r="F345">
        <v>150</v>
      </c>
      <c r="G345">
        <v>1250</v>
      </c>
      <c r="H345">
        <v>-3</v>
      </c>
      <c r="I345">
        <v>1983</v>
      </c>
      <c r="J345" t="s">
        <v>62</v>
      </c>
      <c r="K345">
        <v>2553</v>
      </c>
      <c r="L345">
        <v>25.57</v>
      </c>
      <c r="M345">
        <v>17.43</v>
      </c>
      <c r="N345">
        <v>50</v>
      </c>
      <c r="O345">
        <v>3.7</v>
      </c>
      <c r="P345">
        <v>3</v>
      </c>
      <c r="Q345">
        <v>2.7</v>
      </c>
      <c r="R345">
        <v>3</v>
      </c>
      <c r="S345">
        <v>2</v>
      </c>
      <c r="T345" t="s">
        <v>38</v>
      </c>
    </row>
    <row r="346" spans="1:20" x14ac:dyDescent="0.25">
      <c r="A346" t="s">
        <v>77</v>
      </c>
      <c r="B346">
        <v>1</v>
      </c>
      <c r="C346" t="s">
        <v>47</v>
      </c>
      <c r="D346" t="s">
        <v>78</v>
      </c>
      <c r="E346" t="s">
        <v>79</v>
      </c>
      <c r="F346">
        <v>150</v>
      </c>
      <c r="G346">
        <v>1250</v>
      </c>
      <c r="H346">
        <v>-3</v>
      </c>
      <c r="I346">
        <v>1983</v>
      </c>
      <c r="J346" t="s">
        <v>37</v>
      </c>
      <c r="K346">
        <v>2575</v>
      </c>
      <c r="L346">
        <v>6.87</v>
      </c>
      <c r="M346">
        <v>9.4</v>
      </c>
      <c r="N346">
        <v>50</v>
      </c>
      <c r="O346">
        <v>1.5</v>
      </c>
      <c r="P346">
        <v>3</v>
      </c>
      <c r="Q346">
        <v>2</v>
      </c>
      <c r="R346">
        <v>2</v>
      </c>
      <c r="S346">
        <v>2</v>
      </c>
      <c r="T346" t="s">
        <v>50</v>
      </c>
    </row>
    <row r="347" spans="1:20" x14ac:dyDescent="0.25">
      <c r="A347" t="s">
        <v>77</v>
      </c>
      <c r="B347">
        <v>1</v>
      </c>
      <c r="C347" t="s">
        <v>47</v>
      </c>
      <c r="D347" t="s">
        <v>78</v>
      </c>
      <c r="E347" t="s">
        <v>79</v>
      </c>
      <c r="F347">
        <v>150</v>
      </c>
      <c r="G347">
        <v>1250</v>
      </c>
      <c r="H347">
        <v>-3</v>
      </c>
      <c r="I347">
        <v>1983</v>
      </c>
      <c r="J347" t="s">
        <v>26</v>
      </c>
      <c r="K347">
        <v>2552</v>
      </c>
      <c r="L347">
        <v>31.87</v>
      </c>
      <c r="M347">
        <v>20.52</v>
      </c>
      <c r="N347">
        <v>25</v>
      </c>
      <c r="O347">
        <v>3.7</v>
      </c>
      <c r="P347">
        <v>3.5</v>
      </c>
      <c r="Q347">
        <v>2.5</v>
      </c>
      <c r="R347">
        <v>2.5</v>
      </c>
      <c r="S347">
        <v>1.5</v>
      </c>
      <c r="T347" t="s">
        <v>38</v>
      </c>
    </row>
    <row r="348" spans="1:20" x14ac:dyDescent="0.25">
      <c r="A348" t="s">
        <v>77</v>
      </c>
      <c r="B348">
        <v>1</v>
      </c>
      <c r="C348" t="s">
        <v>47</v>
      </c>
      <c r="D348" t="s">
        <v>78</v>
      </c>
      <c r="E348" t="s">
        <v>79</v>
      </c>
      <c r="F348">
        <v>150</v>
      </c>
      <c r="G348">
        <v>1250</v>
      </c>
      <c r="H348">
        <v>-3</v>
      </c>
      <c r="I348">
        <v>1983</v>
      </c>
      <c r="J348" t="s">
        <v>62</v>
      </c>
      <c r="K348">
        <v>2574</v>
      </c>
      <c r="L348">
        <v>15.11</v>
      </c>
      <c r="M348">
        <v>15.54</v>
      </c>
      <c r="N348">
        <v>75</v>
      </c>
      <c r="O348">
        <v>3.7</v>
      </c>
      <c r="P348">
        <v>3</v>
      </c>
      <c r="Q348">
        <v>3.3</v>
      </c>
      <c r="R348">
        <v>3.5</v>
      </c>
      <c r="S348">
        <v>3.5</v>
      </c>
      <c r="T348" t="s">
        <v>25</v>
      </c>
    </row>
    <row r="349" spans="1:20" x14ac:dyDescent="0.25">
      <c r="A349" t="s">
        <v>77</v>
      </c>
      <c r="B349">
        <v>1</v>
      </c>
      <c r="C349" t="s">
        <v>47</v>
      </c>
      <c r="D349" t="s">
        <v>78</v>
      </c>
      <c r="E349" t="s">
        <v>79</v>
      </c>
      <c r="F349">
        <v>150</v>
      </c>
      <c r="G349">
        <v>1250</v>
      </c>
      <c r="H349">
        <v>-3</v>
      </c>
      <c r="I349">
        <v>1983</v>
      </c>
      <c r="J349" t="s">
        <v>32</v>
      </c>
      <c r="K349">
        <v>2634</v>
      </c>
      <c r="L349">
        <v>21.72</v>
      </c>
      <c r="M349">
        <v>14.75</v>
      </c>
      <c r="N349">
        <v>38</v>
      </c>
      <c r="O349">
        <v>3</v>
      </c>
      <c r="P349">
        <v>3</v>
      </c>
      <c r="Q349">
        <v>3</v>
      </c>
      <c r="R349">
        <v>4</v>
      </c>
      <c r="S349">
        <v>2.2999999999999998</v>
      </c>
      <c r="T349" t="s">
        <v>25</v>
      </c>
    </row>
    <row r="350" spans="1:20" x14ac:dyDescent="0.25">
      <c r="A350" t="s">
        <v>77</v>
      </c>
      <c r="B350">
        <v>2</v>
      </c>
      <c r="C350" t="s">
        <v>47</v>
      </c>
      <c r="D350" t="s">
        <v>78</v>
      </c>
      <c r="E350" t="s">
        <v>79</v>
      </c>
      <c r="F350">
        <v>150</v>
      </c>
      <c r="G350">
        <v>1250</v>
      </c>
      <c r="H350">
        <v>-3</v>
      </c>
      <c r="I350">
        <v>1983</v>
      </c>
      <c r="J350" t="s">
        <v>76</v>
      </c>
      <c r="K350">
        <v>1592</v>
      </c>
      <c r="L350">
        <v>24.95</v>
      </c>
      <c r="M350">
        <v>19.690000000000001</v>
      </c>
      <c r="N350">
        <v>50</v>
      </c>
      <c r="O350">
        <v>3.5</v>
      </c>
      <c r="P350">
        <v>3</v>
      </c>
      <c r="Q350">
        <v>2.7</v>
      </c>
      <c r="R350">
        <v>3</v>
      </c>
      <c r="S350">
        <v>2.7</v>
      </c>
      <c r="T350" t="s">
        <v>25</v>
      </c>
    </row>
    <row r="351" spans="1:20" x14ac:dyDescent="0.25">
      <c r="A351" t="s">
        <v>77</v>
      </c>
      <c r="B351">
        <v>2</v>
      </c>
      <c r="C351" t="s">
        <v>47</v>
      </c>
      <c r="D351" t="s">
        <v>78</v>
      </c>
      <c r="E351" t="s">
        <v>79</v>
      </c>
      <c r="F351">
        <v>150</v>
      </c>
      <c r="G351">
        <v>1250</v>
      </c>
      <c r="H351">
        <v>-3</v>
      </c>
      <c r="I351">
        <v>1983</v>
      </c>
      <c r="J351" t="s">
        <v>76</v>
      </c>
      <c r="K351">
        <v>2560</v>
      </c>
      <c r="L351">
        <v>17.350000000000001</v>
      </c>
      <c r="M351">
        <v>16.11</v>
      </c>
      <c r="N351">
        <v>38</v>
      </c>
      <c r="O351">
        <v>3</v>
      </c>
      <c r="P351">
        <v>3</v>
      </c>
      <c r="Q351">
        <v>2.5</v>
      </c>
      <c r="R351">
        <v>3.5</v>
      </c>
      <c r="S351">
        <v>2.5</v>
      </c>
      <c r="T351" t="s">
        <v>25</v>
      </c>
    </row>
    <row r="352" spans="1:20" x14ac:dyDescent="0.25">
      <c r="A352" t="s">
        <v>77</v>
      </c>
      <c r="B352">
        <v>2</v>
      </c>
      <c r="C352" t="s">
        <v>47</v>
      </c>
      <c r="D352" t="s">
        <v>78</v>
      </c>
      <c r="E352" t="s">
        <v>79</v>
      </c>
      <c r="F352">
        <v>150</v>
      </c>
      <c r="G352">
        <v>1250</v>
      </c>
      <c r="H352">
        <v>-3</v>
      </c>
      <c r="I352">
        <v>1983</v>
      </c>
      <c r="J352" t="s">
        <v>24</v>
      </c>
      <c r="K352">
        <v>2562</v>
      </c>
      <c r="L352">
        <v>18.809999999999999</v>
      </c>
      <c r="M352">
        <v>19.09</v>
      </c>
      <c r="N352">
        <v>75</v>
      </c>
      <c r="O352">
        <v>3</v>
      </c>
      <c r="P352">
        <v>3</v>
      </c>
      <c r="Q352">
        <v>3.5</v>
      </c>
      <c r="R352">
        <v>4</v>
      </c>
      <c r="S352">
        <v>3</v>
      </c>
      <c r="T352" t="s">
        <v>27</v>
      </c>
    </row>
    <row r="353" spans="1:20" x14ac:dyDescent="0.25">
      <c r="A353" t="s">
        <v>77</v>
      </c>
      <c r="B353">
        <v>2</v>
      </c>
      <c r="C353" t="s">
        <v>47</v>
      </c>
      <c r="D353" t="s">
        <v>78</v>
      </c>
      <c r="E353" t="s">
        <v>79</v>
      </c>
      <c r="F353">
        <v>150</v>
      </c>
      <c r="G353">
        <v>1250</v>
      </c>
      <c r="H353">
        <v>-3</v>
      </c>
      <c r="I353">
        <v>1983</v>
      </c>
      <c r="J353" t="s">
        <v>80</v>
      </c>
      <c r="K353">
        <v>1252</v>
      </c>
      <c r="L353">
        <v>15.35</v>
      </c>
      <c r="M353">
        <v>11.87</v>
      </c>
      <c r="N353">
        <v>75</v>
      </c>
      <c r="O353">
        <v>2.9</v>
      </c>
      <c r="P353">
        <v>2.7</v>
      </c>
      <c r="Q353">
        <v>2.5</v>
      </c>
      <c r="R353">
        <v>3</v>
      </c>
      <c r="S353">
        <v>2.5</v>
      </c>
      <c r="T353" t="s">
        <v>38</v>
      </c>
    </row>
    <row r="354" spans="1:20" x14ac:dyDescent="0.25">
      <c r="A354" t="s">
        <v>77</v>
      </c>
      <c r="B354">
        <v>2</v>
      </c>
      <c r="C354" t="s">
        <v>47</v>
      </c>
      <c r="D354" t="s">
        <v>78</v>
      </c>
      <c r="E354" t="s">
        <v>79</v>
      </c>
      <c r="F354">
        <v>150</v>
      </c>
      <c r="G354">
        <v>1250</v>
      </c>
      <c r="H354">
        <v>-3</v>
      </c>
      <c r="I354">
        <v>1983</v>
      </c>
      <c r="J354" t="s">
        <v>59</v>
      </c>
      <c r="K354">
        <v>2548</v>
      </c>
      <c r="L354">
        <v>22.6</v>
      </c>
      <c r="M354">
        <v>12.61</v>
      </c>
      <c r="N354">
        <v>63</v>
      </c>
      <c r="O354">
        <v>3.5</v>
      </c>
      <c r="P354">
        <v>3</v>
      </c>
      <c r="Q354">
        <v>2</v>
      </c>
      <c r="R354">
        <v>2</v>
      </c>
      <c r="S354">
        <v>1.5</v>
      </c>
      <c r="T354" t="s">
        <v>38</v>
      </c>
    </row>
    <row r="355" spans="1:20" x14ac:dyDescent="0.25">
      <c r="A355" t="s">
        <v>77</v>
      </c>
      <c r="B355">
        <v>2</v>
      </c>
      <c r="C355" t="s">
        <v>47</v>
      </c>
      <c r="D355" t="s">
        <v>78</v>
      </c>
      <c r="E355" t="s">
        <v>79</v>
      </c>
      <c r="F355">
        <v>150</v>
      </c>
      <c r="G355">
        <v>1250</v>
      </c>
      <c r="H355">
        <v>-3</v>
      </c>
      <c r="I355">
        <v>1983</v>
      </c>
      <c r="J355" t="s">
        <v>32</v>
      </c>
      <c r="K355">
        <v>1596</v>
      </c>
      <c r="L355">
        <v>21.45</v>
      </c>
      <c r="M355">
        <v>16.760000000000002</v>
      </c>
      <c r="N355">
        <v>75</v>
      </c>
      <c r="O355">
        <v>3</v>
      </c>
      <c r="P355">
        <v>3.2</v>
      </c>
      <c r="Q355">
        <v>3.3</v>
      </c>
      <c r="R355">
        <v>3.5</v>
      </c>
      <c r="S355">
        <v>3</v>
      </c>
      <c r="T355" t="s">
        <v>25</v>
      </c>
    </row>
    <row r="356" spans="1:20" x14ac:dyDescent="0.25">
      <c r="A356" t="s">
        <v>77</v>
      </c>
      <c r="B356">
        <v>2</v>
      </c>
      <c r="C356" t="s">
        <v>47</v>
      </c>
      <c r="D356" t="s">
        <v>78</v>
      </c>
      <c r="E356" t="s">
        <v>79</v>
      </c>
      <c r="F356">
        <v>150</v>
      </c>
      <c r="G356">
        <v>1250</v>
      </c>
      <c r="H356">
        <v>-3</v>
      </c>
      <c r="I356">
        <v>1983</v>
      </c>
      <c r="J356" t="s">
        <v>32</v>
      </c>
      <c r="K356">
        <v>2569</v>
      </c>
      <c r="L356">
        <v>15.15</v>
      </c>
      <c r="M356">
        <v>15.82</v>
      </c>
      <c r="N356">
        <v>75</v>
      </c>
      <c r="O356">
        <v>3</v>
      </c>
      <c r="P356">
        <v>3</v>
      </c>
      <c r="Q356">
        <v>3.1</v>
      </c>
      <c r="R356">
        <v>3.4</v>
      </c>
      <c r="S356">
        <v>3</v>
      </c>
      <c r="T356" t="s">
        <v>25</v>
      </c>
    </row>
    <row r="357" spans="1:20" x14ac:dyDescent="0.25">
      <c r="A357" t="s">
        <v>77</v>
      </c>
      <c r="B357">
        <v>2</v>
      </c>
      <c r="C357" t="s">
        <v>47</v>
      </c>
      <c r="D357" t="s">
        <v>78</v>
      </c>
      <c r="E357" t="s">
        <v>79</v>
      </c>
      <c r="F357">
        <v>150</v>
      </c>
      <c r="G357">
        <v>1250</v>
      </c>
      <c r="H357">
        <v>-3</v>
      </c>
      <c r="I357">
        <v>1983</v>
      </c>
      <c r="J357" t="s">
        <v>33</v>
      </c>
      <c r="K357">
        <v>2568</v>
      </c>
      <c r="L357">
        <v>20.46</v>
      </c>
      <c r="M357">
        <v>19.260000000000002</v>
      </c>
      <c r="N357">
        <v>50</v>
      </c>
      <c r="O357">
        <v>3</v>
      </c>
      <c r="P357">
        <v>2.2000000000000002</v>
      </c>
      <c r="Q357">
        <v>3.3</v>
      </c>
      <c r="R357">
        <v>3.3</v>
      </c>
      <c r="S357">
        <v>3</v>
      </c>
      <c r="T357" t="s">
        <v>25</v>
      </c>
    </row>
    <row r="358" spans="1:20" x14ac:dyDescent="0.25">
      <c r="A358" t="s">
        <v>77</v>
      </c>
      <c r="B358">
        <v>2</v>
      </c>
      <c r="C358" t="s">
        <v>47</v>
      </c>
      <c r="D358" t="s">
        <v>78</v>
      </c>
      <c r="E358" t="s">
        <v>79</v>
      </c>
      <c r="F358">
        <v>150</v>
      </c>
      <c r="G358">
        <v>1250</v>
      </c>
      <c r="H358">
        <v>-3</v>
      </c>
      <c r="I358">
        <v>1983</v>
      </c>
      <c r="J358" t="s">
        <v>34</v>
      </c>
      <c r="K358">
        <v>1522</v>
      </c>
      <c r="L358">
        <v>20.8</v>
      </c>
      <c r="M358">
        <v>15.41</v>
      </c>
      <c r="N358">
        <v>25</v>
      </c>
      <c r="O358">
        <v>3.5</v>
      </c>
      <c r="P358">
        <v>2.8</v>
      </c>
      <c r="Q358">
        <v>3.3</v>
      </c>
      <c r="R358">
        <v>3.2</v>
      </c>
      <c r="S358">
        <v>3.5</v>
      </c>
      <c r="T358" t="s">
        <v>25</v>
      </c>
    </row>
    <row r="359" spans="1:20" x14ac:dyDescent="0.25">
      <c r="A359" t="s">
        <v>77</v>
      </c>
      <c r="B359">
        <v>2</v>
      </c>
      <c r="C359" t="s">
        <v>47</v>
      </c>
      <c r="D359" t="s">
        <v>78</v>
      </c>
      <c r="E359" t="s">
        <v>79</v>
      </c>
      <c r="F359">
        <v>150</v>
      </c>
      <c r="G359">
        <v>1250</v>
      </c>
      <c r="H359">
        <v>-3</v>
      </c>
      <c r="I359">
        <v>1983</v>
      </c>
      <c r="J359" t="s">
        <v>34</v>
      </c>
      <c r="K359">
        <v>2570</v>
      </c>
      <c r="L359">
        <v>22.98</v>
      </c>
      <c r="M359">
        <v>19.899999999999999</v>
      </c>
      <c r="N359">
        <v>50</v>
      </c>
      <c r="O359">
        <v>4</v>
      </c>
      <c r="P359">
        <v>2.7</v>
      </c>
      <c r="Q359">
        <v>3.5</v>
      </c>
      <c r="R359">
        <v>3.3</v>
      </c>
      <c r="S359">
        <v>3.5</v>
      </c>
      <c r="T359" t="s">
        <v>27</v>
      </c>
    </row>
    <row r="360" spans="1:20" x14ac:dyDescent="0.25">
      <c r="A360" t="s">
        <v>77</v>
      </c>
      <c r="B360">
        <v>2</v>
      </c>
      <c r="C360" t="s">
        <v>47</v>
      </c>
      <c r="D360" t="s">
        <v>78</v>
      </c>
      <c r="E360" t="s">
        <v>79</v>
      </c>
      <c r="F360">
        <v>150</v>
      </c>
      <c r="G360">
        <v>1250</v>
      </c>
      <c r="H360">
        <v>-3</v>
      </c>
      <c r="I360">
        <v>1983</v>
      </c>
      <c r="J360" t="s">
        <v>35</v>
      </c>
      <c r="K360">
        <v>1788</v>
      </c>
      <c r="L360">
        <v>16.989999999999998</v>
      </c>
      <c r="M360">
        <v>16.52</v>
      </c>
      <c r="N360">
        <v>25</v>
      </c>
      <c r="O360">
        <v>3</v>
      </c>
      <c r="P360">
        <v>2.7</v>
      </c>
      <c r="Q360">
        <v>3.2</v>
      </c>
      <c r="R360">
        <v>3.7</v>
      </c>
      <c r="S360">
        <v>3.2</v>
      </c>
      <c r="T360" t="s">
        <v>38</v>
      </c>
    </row>
    <row r="361" spans="1:20" x14ac:dyDescent="0.25">
      <c r="A361" t="s">
        <v>77</v>
      </c>
      <c r="B361">
        <v>2</v>
      </c>
      <c r="C361" t="s">
        <v>47</v>
      </c>
      <c r="D361" t="s">
        <v>78</v>
      </c>
      <c r="E361" t="s">
        <v>79</v>
      </c>
      <c r="F361">
        <v>150</v>
      </c>
      <c r="G361">
        <v>1250</v>
      </c>
      <c r="H361">
        <v>-3</v>
      </c>
      <c r="I361">
        <v>1983</v>
      </c>
      <c r="J361" t="s">
        <v>35</v>
      </c>
      <c r="K361">
        <v>2571</v>
      </c>
      <c r="L361">
        <v>19.670000000000002</v>
      </c>
      <c r="M361">
        <v>20.14</v>
      </c>
      <c r="N361">
        <v>50</v>
      </c>
      <c r="O361">
        <v>3</v>
      </c>
      <c r="P361">
        <v>2</v>
      </c>
      <c r="Q361">
        <v>3.3</v>
      </c>
      <c r="R361">
        <v>3.7</v>
      </c>
      <c r="S361">
        <v>4</v>
      </c>
      <c r="T361" t="s">
        <v>25</v>
      </c>
    </row>
    <row r="362" spans="1:20" x14ac:dyDescent="0.25">
      <c r="A362" t="s">
        <v>77</v>
      </c>
      <c r="B362">
        <v>2</v>
      </c>
      <c r="C362" t="s">
        <v>47</v>
      </c>
      <c r="D362" t="s">
        <v>78</v>
      </c>
      <c r="E362" t="s">
        <v>79</v>
      </c>
      <c r="F362">
        <v>150</v>
      </c>
      <c r="G362">
        <v>1250</v>
      </c>
      <c r="H362">
        <v>-3</v>
      </c>
      <c r="I362">
        <v>1983</v>
      </c>
      <c r="J362" t="s">
        <v>81</v>
      </c>
      <c r="K362">
        <v>2750</v>
      </c>
      <c r="L362">
        <v>29.47</v>
      </c>
      <c r="M362">
        <v>14.67</v>
      </c>
      <c r="N362">
        <v>88</v>
      </c>
      <c r="O362">
        <v>4</v>
      </c>
      <c r="P362">
        <v>4</v>
      </c>
      <c r="Q362">
        <v>3</v>
      </c>
      <c r="R362">
        <v>3</v>
      </c>
      <c r="S362">
        <v>1.7</v>
      </c>
      <c r="T362" t="s">
        <v>27</v>
      </c>
    </row>
    <row r="363" spans="1:20" x14ac:dyDescent="0.25">
      <c r="A363" t="s">
        <v>77</v>
      </c>
      <c r="B363">
        <v>2</v>
      </c>
      <c r="C363" t="s">
        <v>47</v>
      </c>
      <c r="D363" t="s">
        <v>78</v>
      </c>
      <c r="E363" t="s">
        <v>79</v>
      </c>
      <c r="F363">
        <v>150</v>
      </c>
      <c r="G363">
        <v>1250</v>
      </c>
      <c r="H363">
        <v>-3</v>
      </c>
      <c r="I363">
        <v>1983</v>
      </c>
      <c r="J363" t="s">
        <v>36</v>
      </c>
      <c r="K363">
        <v>2573</v>
      </c>
      <c r="L363">
        <v>23.29</v>
      </c>
      <c r="M363">
        <v>17.739999999999998</v>
      </c>
      <c r="N363">
        <v>75</v>
      </c>
      <c r="O363">
        <v>3</v>
      </c>
      <c r="P363">
        <v>3</v>
      </c>
      <c r="Q363">
        <v>3</v>
      </c>
      <c r="R363">
        <v>3.5</v>
      </c>
      <c r="S363">
        <v>2.5</v>
      </c>
      <c r="T363" t="s">
        <v>27</v>
      </c>
    </row>
    <row r="364" spans="1:20" x14ac:dyDescent="0.25">
      <c r="A364" t="s">
        <v>77</v>
      </c>
      <c r="B364">
        <v>2</v>
      </c>
      <c r="C364" t="s">
        <v>47</v>
      </c>
      <c r="D364" t="s">
        <v>78</v>
      </c>
      <c r="E364" t="s">
        <v>79</v>
      </c>
      <c r="F364">
        <v>150</v>
      </c>
      <c r="G364">
        <v>1250</v>
      </c>
      <c r="H364">
        <v>-3</v>
      </c>
      <c r="I364">
        <v>1983</v>
      </c>
      <c r="J364" t="s">
        <v>62</v>
      </c>
      <c r="K364">
        <v>2550</v>
      </c>
      <c r="L364">
        <v>24.55</v>
      </c>
      <c r="M364">
        <v>15.98</v>
      </c>
      <c r="N364">
        <v>13</v>
      </c>
      <c r="O364">
        <v>3</v>
      </c>
      <c r="P364">
        <v>2.7</v>
      </c>
      <c r="Q364">
        <v>4</v>
      </c>
      <c r="R364">
        <v>3.3</v>
      </c>
      <c r="S364">
        <v>3</v>
      </c>
      <c r="T364" t="s">
        <v>38</v>
      </c>
    </row>
    <row r="365" spans="1:20" x14ac:dyDescent="0.25">
      <c r="A365" t="s">
        <v>77</v>
      </c>
      <c r="B365">
        <v>2</v>
      </c>
      <c r="C365" t="s">
        <v>47</v>
      </c>
      <c r="D365" t="s">
        <v>78</v>
      </c>
      <c r="E365" t="s">
        <v>79</v>
      </c>
      <c r="F365">
        <v>150</v>
      </c>
      <c r="G365">
        <v>1250</v>
      </c>
      <c r="H365">
        <v>-3</v>
      </c>
      <c r="I365">
        <v>1983</v>
      </c>
      <c r="J365" t="s">
        <v>62</v>
      </c>
      <c r="K365">
        <v>2553</v>
      </c>
      <c r="L365">
        <v>23.53</v>
      </c>
      <c r="M365">
        <v>21.06</v>
      </c>
      <c r="N365">
        <v>50</v>
      </c>
      <c r="O365">
        <v>4.5</v>
      </c>
      <c r="P365">
        <v>3.5</v>
      </c>
      <c r="Q365">
        <v>3.3</v>
      </c>
      <c r="R365">
        <v>3.2</v>
      </c>
      <c r="S365">
        <v>2.8</v>
      </c>
      <c r="T365" t="s">
        <v>25</v>
      </c>
    </row>
    <row r="366" spans="1:20" x14ac:dyDescent="0.25">
      <c r="A366" t="s">
        <v>77</v>
      </c>
      <c r="B366">
        <v>2</v>
      </c>
      <c r="C366" t="s">
        <v>47</v>
      </c>
      <c r="D366" t="s">
        <v>78</v>
      </c>
      <c r="E366" t="s">
        <v>79</v>
      </c>
      <c r="F366">
        <v>150</v>
      </c>
      <c r="G366">
        <v>1250</v>
      </c>
      <c r="H366">
        <v>-3</v>
      </c>
      <c r="I366">
        <v>1983</v>
      </c>
      <c r="J366" t="s">
        <v>37</v>
      </c>
      <c r="K366">
        <v>2575</v>
      </c>
      <c r="L366">
        <v>3.62</v>
      </c>
      <c r="M366">
        <v>6.03</v>
      </c>
      <c r="N366">
        <v>25</v>
      </c>
      <c r="O366">
        <v>1</v>
      </c>
      <c r="P366">
        <v>3</v>
      </c>
      <c r="Q366">
        <v>2.5</v>
      </c>
      <c r="R366">
        <v>2.5</v>
      </c>
      <c r="S366">
        <v>3</v>
      </c>
      <c r="T366" t="s">
        <v>50</v>
      </c>
    </row>
    <row r="367" spans="1:20" x14ac:dyDescent="0.25">
      <c r="A367" t="s">
        <v>77</v>
      </c>
      <c r="B367">
        <v>2</v>
      </c>
      <c r="C367" t="s">
        <v>47</v>
      </c>
      <c r="D367" t="s">
        <v>78</v>
      </c>
      <c r="E367" t="s">
        <v>79</v>
      </c>
      <c r="F367">
        <v>150</v>
      </c>
      <c r="G367">
        <v>1250</v>
      </c>
      <c r="H367">
        <v>-3</v>
      </c>
      <c r="I367">
        <v>1983</v>
      </c>
      <c r="J367" t="s">
        <v>26</v>
      </c>
      <c r="K367">
        <v>2552</v>
      </c>
      <c r="L367">
        <v>31.73</v>
      </c>
      <c r="M367">
        <v>18.88</v>
      </c>
      <c r="N367">
        <v>63</v>
      </c>
      <c r="O367">
        <v>3.8</v>
      </c>
      <c r="P367">
        <v>3.2</v>
      </c>
      <c r="Q367">
        <v>3</v>
      </c>
      <c r="R367">
        <v>3</v>
      </c>
      <c r="S367">
        <v>2</v>
      </c>
      <c r="T367" t="s">
        <v>25</v>
      </c>
    </row>
    <row r="368" spans="1:20" x14ac:dyDescent="0.25">
      <c r="A368" t="s">
        <v>77</v>
      </c>
      <c r="B368">
        <v>2</v>
      </c>
      <c r="C368" t="s">
        <v>47</v>
      </c>
      <c r="D368" t="s">
        <v>78</v>
      </c>
      <c r="E368" t="s">
        <v>79</v>
      </c>
      <c r="F368">
        <v>150</v>
      </c>
      <c r="G368">
        <v>1250</v>
      </c>
      <c r="H368">
        <v>-3</v>
      </c>
      <c r="I368">
        <v>1983</v>
      </c>
      <c r="J368" t="s">
        <v>34</v>
      </c>
      <c r="K368">
        <v>2458</v>
      </c>
      <c r="L368">
        <v>18.88</v>
      </c>
      <c r="M368">
        <v>10.53</v>
      </c>
      <c r="N368">
        <v>63</v>
      </c>
      <c r="O368">
        <v>3.5</v>
      </c>
      <c r="P368">
        <v>3</v>
      </c>
      <c r="Q368">
        <v>2</v>
      </c>
      <c r="R368">
        <v>2</v>
      </c>
      <c r="S368">
        <v>1.5</v>
      </c>
      <c r="T368" t="s">
        <v>38</v>
      </c>
    </row>
    <row r="369" spans="1:20" x14ac:dyDescent="0.25">
      <c r="A369" t="s">
        <v>77</v>
      </c>
      <c r="B369">
        <v>2</v>
      </c>
      <c r="C369" t="s">
        <v>47</v>
      </c>
      <c r="D369" t="s">
        <v>78</v>
      </c>
      <c r="E369" t="s">
        <v>79</v>
      </c>
      <c r="F369">
        <v>150</v>
      </c>
      <c r="G369">
        <v>1250</v>
      </c>
      <c r="H369">
        <v>-3</v>
      </c>
      <c r="I369">
        <v>1983</v>
      </c>
      <c r="J369" t="s">
        <v>62</v>
      </c>
      <c r="K369">
        <v>2574</v>
      </c>
      <c r="L369">
        <v>24.4</v>
      </c>
      <c r="M369">
        <v>20.329999999999998</v>
      </c>
      <c r="N369">
        <v>75</v>
      </c>
      <c r="O369">
        <v>4.5</v>
      </c>
      <c r="P369">
        <v>3.5</v>
      </c>
      <c r="Q369">
        <v>3.3</v>
      </c>
      <c r="R369">
        <v>3.2</v>
      </c>
      <c r="S369">
        <v>2.8</v>
      </c>
      <c r="T369" t="s">
        <v>25</v>
      </c>
    </row>
    <row r="370" spans="1:20" x14ac:dyDescent="0.25">
      <c r="A370" t="s">
        <v>77</v>
      </c>
      <c r="B370">
        <v>3</v>
      </c>
      <c r="C370" t="s">
        <v>47</v>
      </c>
      <c r="D370" t="s">
        <v>78</v>
      </c>
      <c r="E370" t="s">
        <v>79</v>
      </c>
      <c r="F370">
        <v>150</v>
      </c>
      <c r="G370">
        <v>1250</v>
      </c>
      <c r="H370">
        <v>-3</v>
      </c>
      <c r="I370">
        <v>1983</v>
      </c>
      <c r="J370" t="s">
        <v>76</v>
      </c>
      <c r="K370">
        <v>1592</v>
      </c>
      <c r="L370">
        <v>18.399999999999999</v>
      </c>
      <c r="M370">
        <v>14.18</v>
      </c>
      <c r="N370">
        <v>50</v>
      </c>
      <c r="O370">
        <v>3.5</v>
      </c>
      <c r="P370">
        <v>3.2</v>
      </c>
      <c r="Q370">
        <v>2</v>
      </c>
      <c r="R370">
        <v>2.5</v>
      </c>
      <c r="S370">
        <v>1.5</v>
      </c>
      <c r="T370" t="s">
        <v>25</v>
      </c>
    </row>
    <row r="371" spans="1:20" x14ac:dyDescent="0.25">
      <c r="A371" t="s">
        <v>77</v>
      </c>
      <c r="B371">
        <v>3</v>
      </c>
      <c r="C371" t="s">
        <v>47</v>
      </c>
      <c r="D371" t="s">
        <v>78</v>
      </c>
      <c r="E371" t="s">
        <v>79</v>
      </c>
      <c r="F371">
        <v>150</v>
      </c>
      <c r="G371">
        <v>1250</v>
      </c>
      <c r="H371">
        <v>-3</v>
      </c>
      <c r="I371">
        <v>1983</v>
      </c>
      <c r="J371" t="s">
        <v>76</v>
      </c>
      <c r="K371">
        <v>2560</v>
      </c>
      <c r="L371">
        <v>18.59</v>
      </c>
      <c r="M371">
        <v>8.26</v>
      </c>
      <c r="N371">
        <v>13</v>
      </c>
      <c r="O371">
        <v>2.5</v>
      </c>
      <c r="P371">
        <v>3.5</v>
      </c>
      <c r="Q371">
        <v>2</v>
      </c>
      <c r="R371">
        <v>2</v>
      </c>
      <c r="S371">
        <v>2</v>
      </c>
      <c r="T371" t="s">
        <v>38</v>
      </c>
    </row>
    <row r="372" spans="1:20" x14ac:dyDescent="0.25">
      <c r="A372" t="s">
        <v>77</v>
      </c>
      <c r="B372">
        <v>3</v>
      </c>
      <c r="C372" t="s">
        <v>47</v>
      </c>
      <c r="D372" t="s">
        <v>78</v>
      </c>
      <c r="E372" t="s">
        <v>79</v>
      </c>
      <c r="F372">
        <v>150</v>
      </c>
      <c r="G372">
        <v>1250</v>
      </c>
      <c r="H372">
        <v>-3</v>
      </c>
      <c r="I372">
        <v>1983</v>
      </c>
      <c r="J372" t="s">
        <v>24</v>
      </c>
      <c r="K372">
        <v>2562</v>
      </c>
      <c r="L372">
        <v>14.87</v>
      </c>
      <c r="M372">
        <v>15.56</v>
      </c>
      <c r="N372">
        <v>38</v>
      </c>
      <c r="O372">
        <v>3.5</v>
      </c>
      <c r="P372">
        <v>3.5</v>
      </c>
      <c r="Q372">
        <v>3.3</v>
      </c>
      <c r="R372">
        <v>3.3</v>
      </c>
      <c r="S372">
        <v>3</v>
      </c>
      <c r="T372" t="s">
        <v>25</v>
      </c>
    </row>
    <row r="373" spans="1:20" x14ac:dyDescent="0.25">
      <c r="A373" t="s">
        <v>77</v>
      </c>
      <c r="B373">
        <v>3</v>
      </c>
      <c r="C373" t="s">
        <v>47</v>
      </c>
      <c r="D373" t="s">
        <v>78</v>
      </c>
      <c r="E373" t="s">
        <v>79</v>
      </c>
      <c r="F373">
        <v>150</v>
      </c>
      <c r="G373">
        <v>1250</v>
      </c>
      <c r="H373">
        <v>-3</v>
      </c>
      <c r="I373">
        <v>1983</v>
      </c>
      <c r="J373" t="s">
        <v>59</v>
      </c>
      <c r="K373">
        <v>2548</v>
      </c>
      <c r="L373">
        <v>41.51</v>
      </c>
      <c r="M373">
        <v>14.6</v>
      </c>
      <c r="N373">
        <v>25</v>
      </c>
      <c r="O373">
        <v>3</v>
      </c>
      <c r="P373">
        <v>3</v>
      </c>
      <c r="Q373">
        <v>1.5</v>
      </c>
      <c r="R373">
        <v>1.5</v>
      </c>
      <c r="S373">
        <v>1</v>
      </c>
      <c r="T373" t="s">
        <v>38</v>
      </c>
    </row>
    <row r="374" spans="1:20" x14ac:dyDescent="0.25">
      <c r="A374" t="s">
        <v>77</v>
      </c>
      <c r="B374">
        <v>3</v>
      </c>
      <c r="C374" t="s">
        <v>47</v>
      </c>
      <c r="D374" t="s">
        <v>78</v>
      </c>
      <c r="E374" t="s">
        <v>79</v>
      </c>
      <c r="F374">
        <v>150</v>
      </c>
      <c r="G374">
        <v>1250</v>
      </c>
      <c r="H374">
        <v>-3</v>
      </c>
      <c r="I374">
        <v>1983</v>
      </c>
      <c r="J374" t="s">
        <v>32</v>
      </c>
      <c r="K374">
        <v>1596</v>
      </c>
      <c r="L374">
        <v>19.04</v>
      </c>
      <c r="M374">
        <v>14.75</v>
      </c>
      <c r="N374">
        <v>50</v>
      </c>
      <c r="O374">
        <v>3.5</v>
      </c>
      <c r="P374">
        <v>4</v>
      </c>
      <c r="Q374">
        <v>2.5</v>
      </c>
      <c r="R374">
        <v>2.5</v>
      </c>
      <c r="S374">
        <v>2</v>
      </c>
      <c r="T374" t="s">
        <v>25</v>
      </c>
    </row>
    <row r="375" spans="1:20" x14ac:dyDescent="0.25">
      <c r="A375" t="s">
        <v>77</v>
      </c>
      <c r="B375">
        <v>3</v>
      </c>
      <c r="C375" t="s">
        <v>47</v>
      </c>
      <c r="D375" t="s">
        <v>78</v>
      </c>
      <c r="E375" t="s">
        <v>79</v>
      </c>
      <c r="F375">
        <v>150</v>
      </c>
      <c r="G375">
        <v>1250</v>
      </c>
      <c r="H375">
        <v>-3</v>
      </c>
      <c r="I375">
        <v>1983</v>
      </c>
      <c r="J375" t="s">
        <v>32</v>
      </c>
      <c r="K375">
        <v>2569</v>
      </c>
      <c r="L375">
        <v>15.55</v>
      </c>
      <c r="M375">
        <v>12.87</v>
      </c>
      <c r="N375">
        <v>63</v>
      </c>
      <c r="O375">
        <v>3</v>
      </c>
      <c r="P375">
        <v>3</v>
      </c>
      <c r="Q375">
        <v>2.5</v>
      </c>
      <c r="R375">
        <v>3</v>
      </c>
      <c r="S375">
        <v>2</v>
      </c>
      <c r="T375" t="s">
        <v>25</v>
      </c>
    </row>
    <row r="376" spans="1:20" x14ac:dyDescent="0.25">
      <c r="A376" t="s">
        <v>77</v>
      </c>
      <c r="B376">
        <v>3</v>
      </c>
      <c r="C376" t="s">
        <v>47</v>
      </c>
      <c r="D376" t="s">
        <v>78</v>
      </c>
      <c r="E376" t="s">
        <v>79</v>
      </c>
      <c r="F376">
        <v>150</v>
      </c>
      <c r="G376">
        <v>1250</v>
      </c>
      <c r="H376">
        <v>-3</v>
      </c>
      <c r="I376">
        <v>1983</v>
      </c>
      <c r="J376" t="s">
        <v>33</v>
      </c>
      <c r="K376">
        <v>2547</v>
      </c>
      <c r="L376">
        <v>25.4</v>
      </c>
      <c r="M376">
        <v>18.75</v>
      </c>
      <c r="N376">
        <v>13</v>
      </c>
      <c r="O376">
        <v>3.7</v>
      </c>
      <c r="P376">
        <v>2.7</v>
      </c>
      <c r="Q376">
        <v>2</v>
      </c>
      <c r="R376">
        <v>2.5</v>
      </c>
      <c r="S376">
        <v>2.2999999999999998</v>
      </c>
      <c r="T376" t="s">
        <v>38</v>
      </c>
    </row>
    <row r="377" spans="1:20" x14ac:dyDescent="0.25">
      <c r="A377" t="s">
        <v>77</v>
      </c>
      <c r="B377">
        <v>3</v>
      </c>
      <c r="C377" t="s">
        <v>47</v>
      </c>
      <c r="D377" t="s">
        <v>78</v>
      </c>
      <c r="E377" t="s">
        <v>79</v>
      </c>
      <c r="F377">
        <v>150</v>
      </c>
      <c r="G377">
        <v>1250</v>
      </c>
      <c r="H377">
        <v>-3</v>
      </c>
      <c r="I377">
        <v>1983</v>
      </c>
      <c r="J377" t="s">
        <v>33</v>
      </c>
      <c r="K377">
        <v>2568</v>
      </c>
      <c r="L377">
        <v>47.73</v>
      </c>
      <c r="M377">
        <v>18.55</v>
      </c>
      <c r="N377">
        <v>13</v>
      </c>
      <c r="O377">
        <v>3.5</v>
      </c>
      <c r="P377">
        <v>2.7</v>
      </c>
      <c r="Q377">
        <v>2</v>
      </c>
      <c r="R377">
        <v>2</v>
      </c>
      <c r="S377">
        <v>2</v>
      </c>
      <c r="T377" t="s">
        <v>25</v>
      </c>
    </row>
    <row r="378" spans="1:20" x14ac:dyDescent="0.25">
      <c r="A378" t="s">
        <v>77</v>
      </c>
      <c r="B378">
        <v>3</v>
      </c>
      <c r="C378" t="s">
        <v>47</v>
      </c>
      <c r="D378" t="s">
        <v>78</v>
      </c>
      <c r="E378" t="s">
        <v>79</v>
      </c>
      <c r="F378">
        <v>150</v>
      </c>
      <c r="G378">
        <v>1250</v>
      </c>
      <c r="H378">
        <v>-3</v>
      </c>
      <c r="I378">
        <v>1983</v>
      </c>
      <c r="J378" t="s">
        <v>34</v>
      </c>
      <c r="K378">
        <v>1522</v>
      </c>
      <c r="L378">
        <v>21.7</v>
      </c>
      <c r="M378">
        <v>17.329999999999998</v>
      </c>
      <c r="N378">
        <v>25</v>
      </c>
      <c r="O378">
        <v>3.3</v>
      </c>
      <c r="P378">
        <v>3</v>
      </c>
      <c r="Q378">
        <v>3</v>
      </c>
      <c r="R378">
        <v>3</v>
      </c>
      <c r="S378">
        <v>3</v>
      </c>
      <c r="T378" t="s">
        <v>25</v>
      </c>
    </row>
    <row r="379" spans="1:20" x14ac:dyDescent="0.25">
      <c r="A379" t="s">
        <v>77</v>
      </c>
      <c r="B379">
        <v>3</v>
      </c>
      <c r="C379" t="s">
        <v>47</v>
      </c>
      <c r="D379" t="s">
        <v>78</v>
      </c>
      <c r="E379" t="s">
        <v>79</v>
      </c>
      <c r="F379">
        <v>150</v>
      </c>
      <c r="G379">
        <v>1250</v>
      </c>
      <c r="H379">
        <v>-3</v>
      </c>
      <c r="I379">
        <v>1983</v>
      </c>
      <c r="J379" t="s">
        <v>34</v>
      </c>
      <c r="K379">
        <v>2570</v>
      </c>
      <c r="L379">
        <v>34.67</v>
      </c>
      <c r="M379">
        <v>15.41</v>
      </c>
      <c r="N379">
        <v>13</v>
      </c>
      <c r="O379">
        <v>4</v>
      </c>
      <c r="P379">
        <v>3</v>
      </c>
      <c r="Q379">
        <v>2.5</v>
      </c>
      <c r="R379">
        <v>2.5</v>
      </c>
      <c r="S379">
        <v>2</v>
      </c>
      <c r="T379" t="s">
        <v>38</v>
      </c>
    </row>
    <row r="380" spans="1:20" x14ac:dyDescent="0.25">
      <c r="A380" t="s">
        <v>77</v>
      </c>
      <c r="B380">
        <v>3</v>
      </c>
      <c r="C380" t="s">
        <v>47</v>
      </c>
      <c r="D380" t="s">
        <v>78</v>
      </c>
      <c r="E380" t="s">
        <v>79</v>
      </c>
      <c r="F380">
        <v>150</v>
      </c>
      <c r="G380">
        <v>1250</v>
      </c>
      <c r="H380">
        <v>-3</v>
      </c>
      <c r="I380">
        <v>1983</v>
      </c>
      <c r="J380" t="s">
        <v>35</v>
      </c>
      <c r="K380">
        <v>1788</v>
      </c>
      <c r="L380">
        <v>7.4</v>
      </c>
      <c r="M380">
        <v>13.38</v>
      </c>
      <c r="N380">
        <v>25</v>
      </c>
      <c r="O380">
        <v>1</v>
      </c>
      <c r="P380">
        <v>2</v>
      </c>
      <c r="Q380">
        <v>3.2</v>
      </c>
      <c r="R380">
        <v>3</v>
      </c>
      <c r="S380">
        <v>3</v>
      </c>
      <c r="T380" t="s">
        <v>50</v>
      </c>
    </row>
    <row r="381" spans="1:20" x14ac:dyDescent="0.25">
      <c r="A381" t="s">
        <v>77</v>
      </c>
      <c r="B381">
        <v>3</v>
      </c>
      <c r="C381" t="s">
        <v>47</v>
      </c>
      <c r="D381" t="s">
        <v>78</v>
      </c>
      <c r="E381" t="s">
        <v>79</v>
      </c>
      <c r="F381">
        <v>150</v>
      </c>
      <c r="G381">
        <v>1250</v>
      </c>
      <c r="H381">
        <v>-3</v>
      </c>
      <c r="I381">
        <v>1983</v>
      </c>
      <c r="J381" t="s">
        <v>35</v>
      </c>
      <c r="K381">
        <v>2571</v>
      </c>
      <c r="L381">
        <v>22.03</v>
      </c>
      <c r="M381">
        <v>19.34</v>
      </c>
      <c r="N381">
        <v>50</v>
      </c>
      <c r="O381">
        <v>4</v>
      </c>
      <c r="P381">
        <v>2.5</v>
      </c>
      <c r="Q381">
        <v>3.3</v>
      </c>
      <c r="R381">
        <v>3.3</v>
      </c>
      <c r="S381">
        <v>3</v>
      </c>
      <c r="T381" t="s">
        <v>27</v>
      </c>
    </row>
    <row r="382" spans="1:20" x14ac:dyDescent="0.25">
      <c r="A382" t="s">
        <v>77</v>
      </c>
      <c r="B382">
        <v>3</v>
      </c>
      <c r="C382" t="s">
        <v>47</v>
      </c>
      <c r="D382" t="s">
        <v>78</v>
      </c>
      <c r="E382" t="s">
        <v>79</v>
      </c>
      <c r="F382">
        <v>150</v>
      </c>
      <c r="G382">
        <v>1250</v>
      </c>
      <c r="H382">
        <v>-3</v>
      </c>
      <c r="I382">
        <v>1983</v>
      </c>
      <c r="J382" t="s">
        <v>81</v>
      </c>
      <c r="K382">
        <v>2750</v>
      </c>
      <c r="L382">
        <v>32.75</v>
      </c>
      <c r="M382">
        <v>16.37</v>
      </c>
      <c r="N382">
        <v>50</v>
      </c>
      <c r="O382">
        <v>4</v>
      </c>
      <c r="P382">
        <v>4</v>
      </c>
      <c r="Q382">
        <v>2</v>
      </c>
      <c r="R382">
        <v>2</v>
      </c>
      <c r="S382">
        <v>2</v>
      </c>
      <c r="T382" t="s">
        <v>27</v>
      </c>
    </row>
    <row r="383" spans="1:20" x14ac:dyDescent="0.25">
      <c r="A383" t="s">
        <v>77</v>
      </c>
      <c r="B383">
        <v>3</v>
      </c>
      <c r="C383" t="s">
        <v>47</v>
      </c>
      <c r="D383" t="s">
        <v>78</v>
      </c>
      <c r="E383" t="s">
        <v>79</v>
      </c>
      <c r="F383">
        <v>150</v>
      </c>
      <c r="G383">
        <v>1250</v>
      </c>
      <c r="H383">
        <v>-3</v>
      </c>
      <c r="I383">
        <v>1983</v>
      </c>
      <c r="J383" t="s">
        <v>36</v>
      </c>
      <c r="K383">
        <v>2573</v>
      </c>
      <c r="L383">
        <v>27.4</v>
      </c>
      <c r="M383">
        <v>17.899999999999999</v>
      </c>
      <c r="N383">
        <v>38</v>
      </c>
      <c r="O383">
        <v>3</v>
      </c>
      <c r="P383">
        <v>3.3</v>
      </c>
      <c r="Q383">
        <v>2.5</v>
      </c>
      <c r="R383">
        <v>3</v>
      </c>
      <c r="S383">
        <v>2</v>
      </c>
      <c r="T383" t="s">
        <v>25</v>
      </c>
    </row>
    <row r="384" spans="1:20" x14ac:dyDescent="0.25">
      <c r="A384" t="s">
        <v>77</v>
      </c>
      <c r="B384">
        <v>3</v>
      </c>
      <c r="C384" t="s">
        <v>47</v>
      </c>
      <c r="D384" t="s">
        <v>78</v>
      </c>
      <c r="E384" t="s">
        <v>79</v>
      </c>
      <c r="F384">
        <v>150</v>
      </c>
      <c r="G384">
        <v>1250</v>
      </c>
      <c r="H384">
        <v>-3</v>
      </c>
      <c r="I384">
        <v>1983</v>
      </c>
      <c r="J384" t="s">
        <v>62</v>
      </c>
      <c r="K384">
        <v>2550</v>
      </c>
      <c r="L384">
        <v>23.1</v>
      </c>
      <c r="M384">
        <v>18.59</v>
      </c>
      <c r="N384">
        <v>63</v>
      </c>
      <c r="O384">
        <v>4</v>
      </c>
      <c r="P384">
        <v>3.5</v>
      </c>
      <c r="Q384">
        <v>3.3</v>
      </c>
      <c r="R384">
        <v>3.3</v>
      </c>
      <c r="S384">
        <v>3</v>
      </c>
      <c r="T384" t="s">
        <v>25</v>
      </c>
    </row>
    <row r="385" spans="1:20" x14ac:dyDescent="0.25">
      <c r="A385" t="s">
        <v>77</v>
      </c>
      <c r="B385">
        <v>3</v>
      </c>
      <c r="C385" t="s">
        <v>47</v>
      </c>
      <c r="D385" t="s">
        <v>78</v>
      </c>
      <c r="E385" t="s">
        <v>79</v>
      </c>
      <c r="F385">
        <v>150</v>
      </c>
      <c r="G385">
        <v>1250</v>
      </c>
      <c r="H385">
        <v>-3</v>
      </c>
      <c r="I385">
        <v>1983</v>
      </c>
      <c r="J385" t="s">
        <v>62</v>
      </c>
      <c r="K385">
        <v>2553</v>
      </c>
      <c r="L385">
        <v>20.34</v>
      </c>
      <c r="M385">
        <v>18.45</v>
      </c>
      <c r="N385">
        <v>75</v>
      </c>
      <c r="O385">
        <v>3.5</v>
      </c>
      <c r="P385">
        <v>3</v>
      </c>
      <c r="Q385">
        <v>3.3</v>
      </c>
      <c r="R385">
        <v>3.3</v>
      </c>
      <c r="S385">
        <v>3</v>
      </c>
      <c r="T385" t="s">
        <v>25</v>
      </c>
    </row>
    <row r="386" spans="1:20" x14ac:dyDescent="0.25">
      <c r="A386" t="s">
        <v>77</v>
      </c>
      <c r="B386">
        <v>3</v>
      </c>
      <c r="C386" t="s">
        <v>47</v>
      </c>
      <c r="D386" t="s">
        <v>78</v>
      </c>
      <c r="E386" t="s">
        <v>79</v>
      </c>
      <c r="F386">
        <v>150</v>
      </c>
      <c r="G386">
        <v>1250</v>
      </c>
      <c r="H386">
        <v>-3</v>
      </c>
      <c r="I386">
        <v>1983</v>
      </c>
      <c r="J386" t="s">
        <v>37</v>
      </c>
      <c r="K386">
        <v>2575</v>
      </c>
      <c r="L386">
        <v>5.18</v>
      </c>
      <c r="M386">
        <v>4.82</v>
      </c>
      <c r="N386">
        <v>38</v>
      </c>
      <c r="O386">
        <v>1</v>
      </c>
      <c r="P386">
        <v>2</v>
      </c>
      <c r="Q386">
        <v>2</v>
      </c>
      <c r="R386">
        <v>2</v>
      </c>
      <c r="S386">
        <v>2</v>
      </c>
      <c r="T386" t="s">
        <v>50</v>
      </c>
    </row>
    <row r="387" spans="1:20" x14ac:dyDescent="0.25">
      <c r="A387" t="s">
        <v>77</v>
      </c>
      <c r="B387">
        <v>3</v>
      </c>
      <c r="C387" t="s">
        <v>47</v>
      </c>
      <c r="D387" t="s">
        <v>78</v>
      </c>
      <c r="E387" t="s">
        <v>79</v>
      </c>
      <c r="F387">
        <v>150</v>
      </c>
      <c r="G387">
        <v>1250</v>
      </c>
      <c r="H387">
        <v>-3</v>
      </c>
      <c r="I387">
        <v>1983</v>
      </c>
      <c r="J387" t="s">
        <v>26</v>
      </c>
      <c r="K387">
        <v>2552</v>
      </c>
      <c r="L387">
        <v>15.05</v>
      </c>
      <c r="M387">
        <v>9.0500000000000007</v>
      </c>
      <c r="N387">
        <v>25</v>
      </c>
      <c r="O387">
        <v>4</v>
      </c>
      <c r="P387">
        <v>4</v>
      </c>
      <c r="Q387">
        <v>2</v>
      </c>
      <c r="R387">
        <v>1.5</v>
      </c>
      <c r="S387">
        <v>1</v>
      </c>
      <c r="T387" t="s">
        <v>38</v>
      </c>
    </row>
    <row r="388" spans="1:20" x14ac:dyDescent="0.25">
      <c r="A388" t="s">
        <v>77</v>
      </c>
      <c r="B388">
        <v>3</v>
      </c>
      <c r="C388" t="s">
        <v>47</v>
      </c>
      <c r="D388" t="s">
        <v>78</v>
      </c>
      <c r="E388" t="s">
        <v>79</v>
      </c>
      <c r="F388">
        <v>150</v>
      </c>
      <c r="G388">
        <v>1250</v>
      </c>
      <c r="H388">
        <v>-3</v>
      </c>
      <c r="I388">
        <v>1983</v>
      </c>
      <c r="J388" t="s">
        <v>62</v>
      </c>
      <c r="K388">
        <v>2574</v>
      </c>
      <c r="L388">
        <v>22.08</v>
      </c>
      <c r="M388">
        <v>21.79</v>
      </c>
      <c r="N388">
        <v>50</v>
      </c>
      <c r="O388">
        <v>3.5</v>
      </c>
      <c r="P388">
        <v>3</v>
      </c>
      <c r="Q388">
        <v>3.3</v>
      </c>
      <c r="R388">
        <v>3.3</v>
      </c>
      <c r="S388">
        <v>3</v>
      </c>
      <c r="T388" t="s">
        <v>25</v>
      </c>
    </row>
    <row r="389" spans="1:20" x14ac:dyDescent="0.25">
      <c r="A389" t="s">
        <v>77</v>
      </c>
      <c r="B389">
        <v>3</v>
      </c>
      <c r="C389" t="s">
        <v>47</v>
      </c>
      <c r="D389" t="s">
        <v>78</v>
      </c>
      <c r="E389" t="s">
        <v>79</v>
      </c>
      <c r="F389">
        <v>150</v>
      </c>
      <c r="G389">
        <v>1250</v>
      </c>
      <c r="H389">
        <v>-3</v>
      </c>
      <c r="I389">
        <v>1983</v>
      </c>
      <c r="J389" t="s">
        <v>32</v>
      </c>
      <c r="K389">
        <v>2634</v>
      </c>
      <c r="L389">
        <v>26.28</v>
      </c>
      <c r="M389">
        <v>20.11</v>
      </c>
      <c r="N389">
        <v>25</v>
      </c>
      <c r="O389">
        <v>3.1</v>
      </c>
      <c r="P389">
        <v>3</v>
      </c>
      <c r="Q389">
        <v>3</v>
      </c>
      <c r="R389">
        <v>3</v>
      </c>
      <c r="S389">
        <v>2</v>
      </c>
      <c r="T389" t="s">
        <v>25</v>
      </c>
    </row>
    <row r="390" spans="1:20" x14ac:dyDescent="0.25">
      <c r="A390" t="s">
        <v>82</v>
      </c>
      <c r="B390">
        <v>1</v>
      </c>
      <c r="C390" t="s">
        <v>66</v>
      </c>
      <c r="D390" t="s">
        <v>67</v>
      </c>
      <c r="E390" t="s">
        <v>68</v>
      </c>
      <c r="F390">
        <v>180</v>
      </c>
      <c r="G390">
        <v>1080</v>
      </c>
      <c r="H390">
        <v>-3</v>
      </c>
      <c r="I390">
        <v>1983</v>
      </c>
      <c r="J390" t="s">
        <v>24</v>
      </c>
      <c r="K390">
        <v>2562</v>
      </c>
      <c r="L390">
        <v>17.41</v>
      </c>
      <c r="M390">
        <v>12.44</v>
      </c>
      <c r="N390">
        <v>50</v>
      </c>
      <c r="O390">
        <v>3.5</v>
      </c>
      <c r="P390">
        <v>3.3</v>
      </c>
      <c r="Q390">
        <v>3</v>
      </c>
      <c r="R390">
        <v>3.5</v>
      </c>
      <c r="S390">
        <v>3</v>
      </c>
      <c r="T390" t="s">
        <v>25</v>
      </c>
    </row>
    <row r="391" spans="1:20" x14ac:dyDescent="0.25">
      <c r="A391" t="s">
        <v>82</v>
      </c>
      <c r="B391">
        <v>1</v>
      </c>
      <c r="C391" t="s">
        <v>66</v>
      </c>
      <c r="D391" t="s">
        <v>67</v>
      </c>
      <c r="E391" t="s">
        <v>68</v>
      </c>
      <c r="F391">
        <v>180</v>
      </c>
      <c r="G391">
        <v>1080</v>
      </c>
      <c r="H391">
        <v>-3</v>
      </c>
      <c r="I391">
        <v>1983</v>
      </c>
      <c r="J391" t="s">
        <v>80</v>
      </c>
      <c r="K391">
        <v>1252</v>
      </c>
      <c r="L391">
        <v>12.96</v>
      </c>
      <c r="M391">
        <v>11.21</v>
      </c>
      <c r="N391">
        <v>88</v>
      </c>
      <c r="O391">
        <v>4</v>
      </c>
      <c r="P391">
        <v>4</v>
      </c>
      <c r="Q391">
        <v>2.5</v>
      </c>
      <c r="R391">
        <v>2</v>
      </c>
      <c r="S391">
        <v>2</v>
      </c>
      <c r="T391" t="s">
        <v>38</v>
      </c>
    </row>
    <row r="392" spans="1:20" x14ac:dyDescent="0.25">
      <c r="A392" t="s">
        <v>82</v>
      </c>
      <c r="B392">
        <v>1</v>
      </c>
      <c r="C392" t="s">
        <v>66</v>
      </c>
      <c r="D392" t="s">
        <v>67</v>
      </c>
      <c r="E392" t="s">
        <v>68</v>
      </c>
      <c r="F392">
        <v>180</v>
      </c>
      <c r="G392">
        <v>1080</v>
      </c>
      <c r="H392">
        <v>-3</v>
      </c>
      <c r="I392">
        <v>1983</v>
      </c>
      <c r="J392" t="s">
        <v>24</v>
      </c>
      <c r="K392">
        <v>1</v>
      </c>
      <c r="L392">
        <v>6.77</v>
      </c>
      <c r="M392">
        <v>7.19</v>
      </c>
      <c r="N392">
        <v>75</v>
      </c>
      <c r="O392">
        <v>3</v>
      </c>
      <c r="P392">
        <v>3</v>
      </c>
      <c r="Q392">
        <v>2.7</v>
      </c>
      <c r="R392">
        <v>3</v>
      </c>
      <c r="S392">
        <v>3</v>
      </c>
      <c r="T392" t="s">
        <v>38</v>
      </c>
    </row>
    <row r="393" spans="1:20" x14ac:dyDescent="0.25">
      <c r="A393" t="s">
        <v>82</v>
      </c>
      <c r="B393">
        <v>1</v>
      </c>
      <c r="C393" t="s">
        <v>66</v>
      </c>
      <c r="D393" t="s">
        <v>67</v>
      </c>
      <c r="E393" t="s">
        <v>68</v>
      </c>
      <c r="F393">
        <v>180</v>
      </c>
      <c r="G393">
        <v>1080</v>
      </c>
      <c r="H393">
        <v>-3</v>
      </c>
      <c r="I393">
        <v>1983</v>
      </c>
      <c r="J393" t="s">
        <v>59</v>
      </c>
      <c r="K393">
        <v>2548</v>
      </c>
      <c r="L393">
        <v>2.95</v>
      </c>
      <c r="M393">
        <v>4.43</v>
      </c>
      <c r="N393">
        <v>13</v>
      </c>
      <c r="O393">
        <v>1</v>
      </c>
      <c r="P393">
        <v>2</v>
      </c>
      <c r="Q393">
        <v>3</v>
      </c>
      <c r="R393">
        <v>3</v>
      </c>
      <c r="S393">
        <v>3</v>
      </c>
      <c r="T393" t="s">
        <v>50</v>
      </c>
    </row>
    <row r="394" spans="1:20" x14ac:dyDescent="0.25">
      <c r="A394" t="s">
        <v>82</v>
      </c>
      <c r="B394">
        <v>1</v>
      </c>
      <c r="C394" t="s">
        <v>66</v>
      </c>
      <c r="D394" t="s">
        <v>67</v>
      </c>
      <c r="E394" t="s">
        <v>68</v>
      </c>
      <c r="F394">
        <v>180</v>
      </c>
      <c r="G394">
        <v>1080</v>
      </c>
      <c r="H394">
        <v>-3</v>
      </c>
      <c r="I394">
        <v>1983</v>
      </c>
      <c r="J394" t="s">
        <v>32</v>
      </c>
      <c r="K394">
        <v>1596</v>
      </c>
      <c r="L394">
        <v>7.68</v>
      </c>
      <c r="M394">
        <v>6.56</v>
      </c>
      <c r="N394">
        <v>50</v>
      </c>
      <c r="O394">
        <v>3</v>
      </c>
      <c r="P394">
        <v>3.5</v>
      </c>
      <c r="Q394">
        <v>3.5</v>
      </c>
      <c r="R394">
        <v>4</v>
      </c>
      <c r="S394">
        <v>4</v>
      </c>
      <c r="T394" t="s">
        <v>38</v>
      </c>
    </row>
    <row r="395" spans="1:20" x14ac:dyDescent="0.25">
      <c r="A395" t="s">
        <v>82</v>
      </c>
      <c r="B395">
        <v>1</v>
      </c>
      <c r="C395" t="s">
        <v>66</v>
      </c>
      <c r="D395" t="s">
        <v>67</v>
      </c>
      <c r="E395" t="s">
        <v>68</v>
      </c>
      <c r="F395">
        <v>180</v>
      </c>
      <c r="G395">
        <v>1080</v>
      </c>
      <c r="H395">
        <v>-3</v>
      </c>
      <c r="I395">
        <v>1983</v>
      </c>
      <c r="J395" t="s">
        <v>32</v>
      </c>
      <c r="K395">
        <v>2569</v>
      </c>
      <c r="L395">
        <v>16.690000000000001</v>
      </c>
      <c r="M395">
        <v>11.67</v>
      </c>
      <c r="N395">
        <v>75</v>
      </c>
      <c r="O395">
        <v>3</v>
      </c>
      <c r="P395">
        <v>3.8</v>
      </c>
      <c r="Q395">
        <v>3.4</v>
      </c>
      <c r="R395">
        <v>4</v>
      </c>
      <c r="S395">
        <v>3.5</v>
      </c>
      <c r="T395" t="s">
        <v>38</v>
      </c>
    </row>
    <row r="396" spans="1:20" x14ac:dyDescent="0.25">
      <c r="A396" t="s">
        <v>82</v>
      </c>
      <c r="B396">
        <v>1</v>
      </c>
      <c r="C396" t="s">
        <v>66</v>
      </c>
      <c r="D396" t="s">
        <v>67</v>
      </c>
      <c r="E396" t="s">
        <v>68</v>
      </c>
      <c r="F396">
        <v>180</v>
      </c>
      <c r="G396">
        <v>1080</v>
      </c>
      <c r="H396">
        <v>-3</v>
      </c>
      <c r="I396">
        <v>1983</v>
      </c>
      <c r="J396" t="s">
        <v>34</v>
      </c>
      <c r="K396">
        <v>2458</v>
      </c>
      <c r="L396">
        <v>8.4600000000000009</v>
      </c>
      <c r="M396">
        <v>7.05</v>
      </c>
      <c r="N396">
        <v>13</v>
      </c>
      <c r="O396">
        <v>2</v>
      </c>
      <c r="P396">
        <v>3</v>
      </c>
      <c r="Q396">
        <v>3</v>
      </c>
      <c r="R396">
        <v>3</v>
      </c>
      <c r="S396">
        <v>3</v>
      </c>
      <c r="T396" t="s">
        <v>30</v>
      </c>
    </row>
    <row r="397" spans="1:20" x14ac:dyDescent="0.25">
      <c r="A397" t="s">
        <v>82</v>
      </c>
      <c r="B397">
        <v>1</v>
      </c>
      <c r="C397" t="s">
        <v>66</v>
      </c>
      <c r="D397" t="s">
        <v>67</v>
      </c>
      <c r="E397" t="s">
        <v>68</v>
      </c>
      <c r="F397">
        <v>180</v>
      </c>
      <c r="G397">
        <v>1080</v>
      </c>
      <c r="H397">
        <v>-3</v>
      </c>
      <c r="I397">
        <v>1983</v>
      </c>
      <c r="J397" t="s">
        <v>35</v>
      </c>
      <c r="K397">
        <v>1788</v>
      </c>
      <c r="L397">
        <v>5.35</v>
      </c>
      <c r="M397">
        <v>5.9</v>
      </c>
      <c r="N397">
        <v>25</v>
      </c>
      <c r="O397">
        <v>2</v>
      </c>
      <c r="P397">
        <v>1.8</v>
      </c>
      <c r="Q397">
        <v>2</v>
      </c>
      <c r="R397">
        <v>2.5</v>
      </c>
      <c r="S397">
        <v>3</v>
      </c>
      <c r="T397" t="s">
        <v>30</v>
      </c>
    </row>
    <row r="398" spans="1:20" x14ac:dyDescent="0.25">
      <c r="A398" t="s">
        <v>82</v>
      </c>
      <c r="B398">
        <v>1</v>
      </c>
      <c r="C398" t="s">
        <v>66</v>
      </c>
      <c r="D398" t="s">
        <v>67</v>
      </c>
      <c r="E398" t="s">
        <v>68</v>
      </c>
      <c r="F398">
        <v>180</v>
      </c>
      <c r="G398">
        <v>1080</v>
      </c>
      <c r="H398">
        <v>-3</v>
      </c>
      <c r="I398">
        <v>1983</v>
      </c>
      <c r="J398" t="s">
        <v>35</v>
      </c>
      <c r="K398">
        <v>2571</v>
      </c>
      <c r="L398">
        <v>14.82</v>
      </c>
      <c r="M398">
        <v>14.23</v>
      </c>
      <c r="N398">
        <v>50</v>
      </c>
      <c r="O398">
        <v>3</v>
      </c>
      <c r="P398">
        <v>1.7</v>
      </c>
      <c r="Q398">
        <v>4</v>
      </c>
      <c r="R398">
        <v>4</v>
      </c>
      <c r="S398">
        <v>3.5</v>
      </c>
      <c r="T398" t="s">
        <v>25</v>
      </c>
    </row>
    <row r="399" spans="1:20" x14ac:dyDescent="0.25">
      <c r="A399" t="s">
        <v>82</v>
      </c>
      <c r="B399">
        <v>1</v>
      </c>
      <c r="C399" t="s">
        <v>66</v>
      </c>
      <c r="D399" t="s">
        <v>67</v>
      </c>
      <c r="E399" t="s">
        <v>68</v>
      </c>
      <c r="F399">
        <v>180</v>
      </c>
      <c r="G399">
        <v>1080</v>
      </c>
      <c r="H399">
        <v>-3</v>
      </c>
      <c r="I399">
        <v>1983</v>
      </c>
      <c r="J399" t="s">
        <v>81</v>
      </c>
      <c r="K399">
        <v>2750</v>
      </c>
      <c r="L399">
        <v>9.19</v>
      </c>
      <c r="M399">
        <v>7.81</v>
      </c>
      <c r="N399">
        <v>50</v>
      </c>
      <c r="O399">
        <v>2.8</v>
      </c>
      <c r="P399">
        <v>3</v>
      </c>
      <c r="Q399">
        <v>3</v>
      </c>
      <c r="R399">
        <v>4</v>
      </c>
      <c r="S399">
        <v>3</v>
      </c>
      <c r="T399" t="s">
        <v>50</v>
      </c>
    </row>
    <row r="400" spans="1:20" x14ac:dyDescent="0.25">
      <c r="A400" t="s">
        <v>82</v>
      </c>
      <c r="B400">
        <v>1</v>
      </c>
      <c r="C400" t="s">
        <v>66</v>
      </c>
      <c r="D400" t="s">
        <v>67</v>
      </c>
      <c r="E400" t="s">
        <v>68</v>
      </c>
      <c r="F400">
        <v>180</v>
      </c>
      <c r="G400">
        <v>1080</v>
      </c>
      <c r="H400">
        <v>-3</v>
      </c>
      <c r="I400">
        <v>1983</v>
      </c>
      <c r="J400" t="s">
        <v>36</v>
      </c>
      <c r="K400">
        <v>2573</v>
      </c>
      <c r="L400">
        <v>5.19</v>
      </c>
      <c r="M400">
        <v>4.4400000000000004</v>
      </c>
      <c r="N400">
        <v>13</v>
      </c>
      <c r="O400">
        <v>1.5</v>
      </c>
      <c r="P400">
        <v>2.5</v>
      </c>
      <c r="Q400">
        <v>3</v>
      </c>
      <c r="R400">
        <v>3</v>
      </c>
      <c r="S400">
        <v>3</v>
      </c>
      <c r="T400" t="s">
        <v>50</v>
      </c>
    </row>
    <row r="401" spans="1:20" x14ac:dyDescent="0.25">
      <c r="A401" t="s">
        <v>82</v>
      </c>
      <c r="B401">
        <v>1</v>
      </c>
      <c r="C401" t="s">
        <v>66</v>
      </c>
      <c r="D401" t="s">
        <v>67</v>
      </c>
      <c r="E401" t="s">
        <v>68</v>
      </c>
      <c r="F401">
        <v>180</v>
      </c>
      <c r="G401">
        <v>1080</v>
      </c>
      <c r="H401">
        <v>-3</v>
      </c>
      <c r="I401">
        <v>1983</v>
      </c>
      <c r="J401" t="s">
        <v>62</v>
      </c>
      <c r="K401">
        <v>2553</v>
      </c>
      <c r="L401">
        <v>9.73</v>
      </c>
      <c r="M401">
        <v>11.04</v>
      </c>
      <c r="N401">
        <v>75</v>
      </c>
      <c r="O401">
        <v>3</v>
      </c>
      <c r="P401">
        <v>3</v>
      </c>
      <c r="Q401">
        <v>3.5</v>
      </c>
      <c r="R401">
        <v>4</v>
      </c>
      <c r="S401">
        <v>3.5</v>
      </c>
      <c r="T401" t="s">
        <v>25</v>
      </c>
    </row>
    <row r="402" spans="1:20" x14ac:dyDescent="0.25">
      <c r="A402" t="s">
        <v>82</v>
      </c>
      <c r="B402">
        <v>1</v>
      </c>
      <c r="C402" t="s">
        <v>66</v>
      </c>
      <c r="D402" t="s">
        <v>67</v>
      </c>
      <c r="E402" t="s">
        <v>68</v>
      </c>
      <c r="F402">
        <v>180</v>
      </c>
      <c r="G402">
        <v>1080</v>
      </c>
      <c r="H402">
        <v>-3</v>
      </c>
      <c r="I402">
        <v>1983</v>
      </c>
      <c r="J402" t="s">
        <v>37</v>
      </c>
      <c r="K402">
        <v>2575</v>
      </c>
      <c r="L402">
        <v>13.54</v>
      </c>
      <c r="M402">
        <v>8.81</v>
      </c>
      <c r="N402">
        <v>88</v>
      </c>
      <c r="O402">
        <v>2.7</v>
      </c>
      <c r="P402">
        <v>2</v>
      </c>
      <c r="Q402">
        <v>2.5</v>
      </c>
      <c r="R402">
        <v>3</v>
      </c>
      <c r="S402">
        <v>3</v>
      </c>
      <c r="T402" t="s">
        <v>38</v>
      </c>
    </row>
    <row r="403" spans="1:20" x14ac:dyDescent="0.25">
      <c r="A403" t="s">
        <v>82</v>
      </c>
      <c r="B403">
        <v>1</v>
      </c>
      <c r="C403" t="s">
        <v>66</v>
      </c>
      <c r="D403" t="s">
        <v>67</v>
      </c>
      <c r="E403" t="s">
        <v>68</v>
      </c>
      <c r="F403">
        <v>180</v>
      </c>
      <c r="G403">
        <v>1080</v>
      </c>
      <c r="H403">
        <v>-3</v>
      </c>
      <c r="I403">
        <v>1983</v>
      </c>
      <c r="J403" t="s">
        <v>26</v>
      </c>
      <c r="K403">
        <v>2552</v>
      </c>
      <c r="L403">
        <v>5.78</v>
      </c>
      <c r="M403">
        <v>7.21</v>
      </c>
      <c r="N403">
        <v>13</v>
      </c>
      <c r="O403">
        <v>1.5</v>
      </c>
      <c r="P403">
        <v>3</v>
      </c>
      <c r="Q403">
        <v>4</v>
      </c>
      <c r="R403">
        <v>4</v>
      </c>
      <c r="S403">
        <v>4</v>
      </c>
      <c r="T403" t="s">
        <v>50</v>
      </c>
    </row>
    <row r="404" spans="1:20" x14ac:dyDescent="0.25">
      <c r="A404" t="s">
        <v>82</v>
      </c>
      <c r="B404">
        <v>2</v>
      </c>
      <c r="C404" t="s">
        <v>66</v>
      </c>
      <c r="D404" t="s">
        <v>67</v>
      </c>
      <c r="E404" t="s">
        <v>68</v>
      </c>
      <c r="F404">
        <v>180</v>
      </c>
      <c r="G404">
        <v>1080</v>
      </c>
      <c r="H404">
        <v>-3</v>
      </c>
      <c r="I404">
        <v>1983</v>
      </c>
      <c r="J404" t="s">
        <v>80</v>
      </c>
      <c r="K404">
        <v>1252</v>
      </c>
      <c r="L404">
        <v>5.36</v>
      </c>
      <c r="M404">
        <v>4.6100000000000003</v>
      </c>
      <c r="N404">
        <v>63</v>
      </c>
      <c r="O404">
        <v>3</v>
      </c>
      <c r="P404">
        <v>3</v>
      </c>
      <c r="Q404">
        <v>2</v>
      </c>
      <c r="R404">
        <v>2</v>
      </c>
      <c r="S404">
        <v>3</v>
      </c>
      <c r="T404" t="s">
        <v>30</v>
      </c>
    </row>
    <row r="405" spans="1:20" x14ac:dyDescent="0.25">
      <c r="A405" t="s">
        <v>82</v>
      </c>
      <c r="B405">
        <v>2</v>
      </c>
      <c r="C405" t="s">
        <v>66</v>
      </c>
      <c r="D405" t="s">
        <v>67</v>
      </c>
      <c r="E405" t="s">
        <v>68</v>
      </c>
      <c r="F405">
        <v>180</v>
      </c>
      <c r="G405">
        <v>1080</v>
      </c>
      <c r="H405">
        <v>-3</v>
      </c>
      <c r="I405">
        <v>1983</v>
      </c>
      <c r="J405" t="s">
        <v>24</v>
      </c>
      <c r="K405">
        <v>1</v>
      </c>
      <c r="L405">
        <v>11.88</v>
      </c>
      <c r="M405">
        <v>9.81</v>
      </c>
      <c r="N405">
        <v>63</v>
      </c>
      <c r="O405">
        <v>3</v>
      </c>
      <c r="P405">
        <v>4</v>
      </c>
      <c r="Q405">
        <v>2.5</v>
      </c>
      <c r="R405">
        <v>2.5</v>
      </c>
      <c r="S405">
        <v>2.5</v>
      </c>
      <c r="T405" t="s">
        <v>38</v>
      </c>
    </row>
    <row r="406" spans="1:20" x14ac:dyDescent="0.25">
      <c r="A406" t="s">
        <v>82</v>
      </c>
      <c r="B406">
        <v>2</v>
      </c>
      <c r="C406" t="s">
        <v>66</v>
      </c>
      <c r="D406" t="s">
        <v>67</v>
      </c>
      <c r="E406" t="s">
        <v>68</v>
      </c>
      <c r="F406">
        <v>180</v>
      </c>
      <c r="G406">
        <v>1080</v>
      </c>
      <c r="H406">
        <v>-3</v>
      </c>
      <c r="I406">
        <v>1983</v>
      </c>
      <c r="J406" t="s">
        <v>59</v>
      </c>
      <c r="K406">
        <v>1482</v>
      </c>
      <c r="L406">
        <v>14.03</v>
      </c>
      <c r="M406">
        <v>9.9</v>
      </c>
      <c r="N406">
        <v>63</v>
      </c>
      <c r="O406">
        <v>3.5</v>
      </c>
      <c r="P406">
        <v>4</v>
      </c>
      <c r="Q406">
        <v>3.5</v>
      </c>
      <c r="R406">
        <v>3</v>
      </c>
      <c r="S406">
        <v>3</v>
      </c>
      <c r="T406" t="s">
        <v>25</v>
      </c>
    </row>
    <row r="407" spans="1:20" x14ac:dyDescent="0.25">
      <c r="A407" t="s">
        <v>82</v>
      </c>
      <c r="B407">
        <v>2</v>
      </c>
      <c r="C407" t="s">
        <v>66</v>
      </c>
      <c r="D407" t="s">
        <v>67</v>
      </c>
      <c r="E407" t="s">
        <v>68</v>
      </c>
      <c r="F407">
        <v>180</v>
      </c>
      <c r="G407">
        <v>1080</v>
      </c>
      <c r="H407">
        <v>-3</v>
      </c>
      <c r="I407">
        <v>1983</v>
      </c>
      <c r="J407" t="s">
        <v>59</v>
      </c>
      <c r="K407">
        <v>2548</v>
      </c>
      <c r="L407">
        <v>23.63</v>
      </c>
      <c r="M407">
        <v>11.82</v>
      </c>
      <c r="N407">
        <v>88</v>
      </c>
      <c r="O407">
        <v>4.5</v>
      </c>
      <c r="P407">
        <v>4</v>
      </c>
      <c r="Q407">
        <v>3</v>
      </c>
      <c r="R407">
        <v>2.5</v>
      </c>
      <c r="S407">
        <v>2</v>
      </c>
      <c r="T407" t="s">
        <v>25</v>
      </c>
    </row>
    <row r="408" spans="1:20" x14ac:dyDescent="0.25">
      <c r="A408" t="s">
        <v>82</v>
      </c>
      <c r="B408">
        <v>2</v>
      </c>
      <c r="C408" t="s">
        <v>66</v>
      </c>
      <c r="D408" t="s">
        <v>67</v>
      </c>
      <c r="E408" t="s">
        <v>68</v>
      </c>
      <c r="F408">
        <v>180</v>
      </c>
      <c r="G408">
        <v>1080</v>
      </c>
      <c r="H408">
        <v>-3</v>
      </c>
      <c r="I408">
        <v>1983</v>
      </c>
      <c r="J408" t="s">
        <v>26</v>
      </c>
      <c r="K408">
        <v>2552</v>
      </c>
      <c r="L408">
        <v>10.39</v>
      </c>
      <c r="M408">
        <v>8.66</v>
      </c>
      <c r="N408">
        <v>38</v>
      </c>
      <c r="O408">
        <v>3</v>
      </c>
      <c r="P408">
        <v>3.5</v>
      </c>
      <c r="Q408">
        <v>3</v>
      </c>
      <c r="R408">
        <v>4</v>
      </c>
      <c r="S408">
        <v>3</v>
      </c>
      <c r="T408" t="s">
        <v>38</v>
      </c>
    </row>
    <row r="409" spans="1:20" x14ac:dyDescent="0.25">
      <c r="A409" t="s">
        <v>82</v>
      </c>
      <c r="B409">
        <v>2</v>
      </c>
      <c r="C409" t="s">
        <v>66</v>
      </c>
      <c r="D409" t="s">
        <v>67</v>
      </c>
      <c r="E409" t="s">
        <v>68</v>
      </c>
      <c r="F409">
        <v>180</v>
      </c>
      <c r="G409">
        <v>1080</v>
      </c>
      <c r="H409">
        <v>-3</v>
      </c>
      <c r="I409">
        <v>1983</v>
      </c>
      <c r="J409" t="s">
        <v>32</v>
      </c>
      <c r="K409">
        <v>1596</v>
      </c>
      <c r="L409">
        <v>7.83</v>
      </c>
      <c r="M409">
        <v>6.79</v>
      </c>
      <c r="N409">
        <v>100</v>
      </c>
      <c r="O409">
        <v>3</v>
      </c>
      <c r="P409">
        <v>3</v>
      </c>
      <c r="Q409">
        <v>3.5</v>
      </c>
      <c r="R409">
        <v>4.5</v>
      </c>
      <c r="S409">
        <v>3.5</v>
      </c>
      <c r="T409" t="s">
        <v>25</v>
      </c>
    </row>
    <row r="410" spans="1:20" x14ac:dyDescent="0.25">
      <c r="A410" t="s">
        <v>82</v>
      </c>
      <c r="B410">
        <v>2</v>
      </c>
      <c r="C410" t="s">
        <v>66</v>
      </c>
      <c r="D410" t="s">
        <v>67</v>
      </c>
      <c r="E410" t="s">
        <v>68</v>
      </c>
      <c r="F410">
        <v>180</v>
      </c>
      <c r="G410">
        <v>1080</v>
      </c>
      <c r="H410">
        <v>-3</v>
      </c>
      <c r="I410">
        <v>1983</v>
      </c>
      <c r="J410" t="s">
        <v>32</v>
      </c>
      <c r="K410">
        <v>2569</v>
      </c>
      <c r="L410">
        <v>11.23</v>
      </c>
      <c r="M410">
        <v>10.34</v>
      </c>
      <c r="N410">
        <v>50</v>
      </c>
      <c r="O410">
        <v>3</v>
      </c>
      <c r="P410">
        <v>3.5</v>
      </c>
      <c r="Q410">
        <v>3.3</v>
      </c>
      <c r="R410">
        <v>4</v>
      </c>
      <c r="S410">
        <v>3.5</v>
      </c>
      <c r="T410" t="s">
        <v>25</v>
      </c>
    </row>
    <row r="411" spans="1:20" x14ac:dyDescent="0.25">
      <c r="A411" t="s">
        <v>82</v>
      </c>
      <c r="B411">
        <v>2</v>
      </c>
      <c r="C411" t="s">
        <v>66</v>
      </c>
      <c r="D411" t="s">
        <v>67</v>
      </c>
      <c r="E411" t="s">
        <v>68</v>
      </c>
      <c r="F411">
        <v>180</v>
      </c>
      <c r="G411">
        <v>1080</v>
      </c>
      <c r="H411">
        <v>-3</v>
      </c>
      <c r="I411">
        <v>1983</v>
      </c>
      <c r="J411" t="s">
        <v>33</v>
      </c>
      <c r="K411">
        <v>2547</v>
      </c>
      <c r="L411">
        <v>9.1300000000000008</v>
      </c>
      <c r="M411">
        <v>8.01</v>
      </c>
      <c r="N411">
        <v>75</v>
      </c>
      <c r="O411">
        <v>2.8</v>
      </c>
      <c r="P411">
        <v>2</v>
      </c>
      <c r="Q411">
        <v>3.3</v>
      </c>
      <c r="R411">
        <v>3.3</v>
      </c>
      <c r="S411">
        <v>3</v>
      </c>
      <c r="T411" t="s">
        <v>38</v>
      </c>
    </row>
    <row r="412" spans="1:20" x14ac:dyDescent="0.25">
      <c r="A412" t="s">
        <v>82</v>
      </c>
      <c r="B412">
        <v>2</v>
      </c>
      <c r="C412" t="s">
        <v>66</v>
      </c>
      <c r="D412" t="s">
        <v>67</v>
      </c>
      <c r="E412" t="s">
        <v>68</v>
      </c>
      <c r="F412">
        <v>180</v>
      </c>
      <c r="G412">
        <v>1080</v>
      </c>
      <c r="H412">
        <v>-3</v>
      </c>
      <c r="I412">
        <v>1983</v>
      </c>
      <c r="J412" t="s">
        <v>33</v>
      </c>
      <c r="K412">
        <v>2568</v>
      </c>
      <c r="L412">
        <v>11.66</v>
      </c>
      <c r="M412">
        <v>8.57</v>
      </c>
      <c r="N412">
        <v>75</v>
      </c>
      <c r="O412">
        <v>3</v>
      </c>
      <c r="P412">
        <v>2.5</v>
      </c>
      <c r="Q412">
        <v>2.5</v>
      </c>
      <c r="R412">
        <v>2.5</v>
      </c>
      <c r="S412">
        <v>2.5</v>
      </c>
      <c r="T412" t="s">
        <v>30</v>
      </c>
    </row>
    <row r="413" spans="1:20" x14ac:dyDescent="0.25">
      <c r="A413" t="s">
        <v>82</v>
      </c>
      <c r="B413">
        <v>2</v>
      </c>
      <c r="C413" t="s">
        <v>66</v>
      </c>
      <c r="D413" t="s">
        <v>67</v>
      </c>
      <c r="E413" t="s">
        <v>68</v>
      </c>
      <c r="F413">
        <v>180</v>
      </c>
      <c r="G413">
        <v>1080</v>
      </c>
      <c r="H413">
        <v>-3</v>
      </c>
      <c r="I413">
        <v>1983</v>
      </c>
      <c r="J413" t="s">
        <v>34</v>
      </c>
      <c r="K413">
        <v>2570</v>
      </c>
      <c r="L413">
        <v>3.81</v>
      </c>
      <c r="M413">
        <v>4.93</v>
      </c>
      <c r="N413">
        <v>13</v>
      </c>
      <c r="O413">
        <v>2</v>
      </c>
      <c r="P413">
        <v>2.5</v>
      </c>
      <c r="Q413">
        <v>3</v>
      </c>
      <c r="R413">
        <v>4</v>
      </c>
      <c r="S413">
        <v>3</v>
      </c>
      <c r="T413" t="s">
        <v>50</v>
      </c>
    </row>
    <row r="414" spans="1:20" x14ac:dyDescent="0.25">
      <c r="A414" t="s">
        <v>82</v>
      </c>
      <c r="B414">
        <v>2</v>
      </c>
      <c r="C414" t="s">
        <v>66</v>
      </c>
      <c r="D414" t="s">
        <v>67</v>
      </c>
      <c r="E414" t="s">
        <v>68</v>
      </c>
      <c r="F414">
        <v>180</v>
      </c>
      <c r="G414">
        <v>1080</v>
      </c>
      <c r="H414">
        <v>-3</v>
      </c>
      <c r="I414">
        <v>1983</v>
      </c>
      <c r="J414" t="s">
        <v>35</v>
      </c>
      <c r="K414">
        <v>1788</v>
      </c>
      <c r="L414">
        <v>16.16</v>
      </c>
      <c r="M414">
        <v>10.98</v>
      </c>
      <c r="N414">
        <v>13</v>
      </c>
      <c r="O414">
        <v>3.5</v>
      </c>
      <c r="P414">
        <v>2.5</v>
      </c>
      <c r="Q414">
        <v>3</v>
      </c>
      <c r="R414">
        <v>4</v>
      </c>
      <c r="S414">
        <v>3</v>
      </c>
      <c r="T414" t="s">
        <v>25</v>
      </c>
    </row>
    <row r="415" spans="1:20" x14ac:dyDescent="0.25">
      <c r="A415" t="s">
        <v>82</v>
      </c>
      <c r="B415">
        <v>2</v>
      </c>
      <c r="C415" t="s">
        <v>66</v>
      </c>
      <c r="D415" t="s">
        <v>67</v>
      </c>
      <c r="E415" t="s">
        <v>68</v>
      </c>
      <c r="F415">
        <v>180</v>
      </c>
      <c r="G415">
        <v>1080</v>
      </c>
      <c r="H415">
        <v>-3</v>
      </c>
      <c r="I415">
        <v>1983</v>
      </c>
      <c r="J415" t="s">
        <v>35</v>
      </c>
      <c r="K415">
        <v>2571</v>
      </c>
      <c r="L415">
        <v>8.83</v>
      </c>
      <c r="M415">
        <v>7.91</v>
      </c>
      <c r="N415">
        <v>63</v>
      </c>
      <c r="O415">
        <v>3.5</v>
      </c>
      <c r="P415">
        <v>2.5</v>
      </c>
      <c r="Q415">
        <v>3.5</v>
      </c>
      <c r="R415">
        <v>4</v>
      </c>
      <c r="S415">
        <v>4</v>
      </c>
      <c r="T415" t="s">
        <v>25</v>
      </c>
    </row>
    <row r="416" spans="1:20" x14ac:dyDescent="0.25">
      <c r="A416" t="s">
        <v>82</v>
      </c>
      <c r="B416">
        <v>2</v>
      </c>
      <c r="C416" t="s">
        <v>66</v>
      </c>
      <c r="D416" t="s">
        <v>67</v>
      </c>
      <c r="E416" t="s">
        <v>68</v>
      </c>
      <c r="F416">
        <v>180</v>
      </c>
      <c r="G416">
        <v>1080</v>
      </c>
      <c r="H416">
        <v>-3</v>
      </c>
      <c r="I416">
        <v>1983</v>
      </c>
      <c r="J416" t="s">
        <v>81</v>
      </c>
      <c r="K416">
        <v>2750</v>
      </c>
      <c r="L416">
        <v>1.38</v>
      </c>
      <c r="M416">
        <v>1.53</v>
      </c>
      <c r="N416">
        <v>13</v>
      </c>
      <c r="O416">
        <v>1</v>
      </c>
      <c r="P416">
        <v>1</v>
      </c>
      <c r="Q416">
        <v>3</v>
      </c>
      <c r="R416">
        <v>3</v>
      </c>
      <c r="S416">
        <v>3</v>
      </c>
      <c r="T416" t="s">
        <v>50</v>
      </c>
    </row>
    <row r="417" spans="1:20" x14ac:dyDescent="0.25">
      <c r="A417" t="s">
        <v>82</v>
      </c>
      <c r="B417">
        <v>2</v>
      </c>
      <c r="C417" t="s">
        <v>66</v>
      </c>
      <c r="D417" t="s">
        <v>67</v>
      </c>
      <c r="E417" t="s">
        <v>68</v>
      </c>
      <c r="F417">
        <v>180</v>
      </c>
      <c r="G417">
        <v>1080</v>
      </c>
      <c r="H417">
        <v>-3</v>
      </c>
      <c r="I417">
        <v>1983</v>
      </c>
      <c r="J417" t="s">
        <v>36</v>
      </c>
      <c r="K417">
        <v>2573</v>
      </c>
      <c r="L417">
        <v>1.48</v>
      </c>
      <c r="M417">
        <v>2.96</v>
      </c>
      <c r="N417">
        <v>13</v>
      </c>
      <c r="O417">
        <v>1</v>
      </c>
      <c r="P417">
        <v>3</v>
      </c>
      <c r="Q417">
        <v>3</v>
      </c>
      <c r="R417">
        <v>3</v>
      </c>
      <c r="S417">
        <v>3</v>
      </c>
      <c r="T417" t="s">
        <v>50</v>
      </c>
    </row>
    <row r="418" spans="1:20" x14ac:dyDescent="0.25">
      <c r="A418" t="s">
        <v>82</v>
      </c>
      <c r="B418">
        <v>2</v>
      </c>
      <c r="C418" t="s">
        <v>66</v>
      </c>
      <c r="D418" t="s">
        <v>67</v>
      </c>
      <c r="E418" t="s">
        <v>68</v>
      </c>
      <c r="F418">
        <v>180</v>
      </c>
      <c r="G418">
        <v>1080</v>
      </c>
      <c r="H418">
        <v>-3</v>
      </c>
      <c r="I418">
        <v>1983</v>
      </c>
      <c r="J418" t="s">
        <v>62</v>
      </c>
      <c r="K418">
        <v>2550</v>
      </c>
      <c r="L418">
        <v>9.15</v>
      </c>
      <c r="M418">
        <v>8.42</v>
      </c>
      <c r="N418">
        <v>25</v>
      </c>
      <c r="O418">
        <v>3</v>
      </c>
      <c r="P418">
        <v>3.5</v>
      </c>
      <c r="Q418">
        <v>3.5</v>
      </c>
      <c r="R418">
        <v>4</v>
      </c>
      <c r="S418">
        <v>4</v>
      </c>
      <c r="T418" t="s">
        <v>38</v>
      </c>
    </row>
    <row r="419" spans="1:20" x14ac:dyDescent="0.25">
      <c r="A419" t="s">
        <v>82</v>
      </c>
      <c r="B419">
        <v>2</v>
      </c>
      <c r="C419" t="s">
        <v>66</v>
      </c>
      <c r="D419" t="s">
        <v>67</v>
      </c>
      <c r="E419" t="s">
        <v>68</v>
      </c>
      <c r="F419">
        <v>180</v>
      </c>
      <c r="G419">
        <v>1080</v>
      </c>
      <c r="H419">
        <v>-3</v>
      </c>
      <c r="I419">
        <v>1983</v>
      </c>
      <c r="J419" t="s">
        <v>62</v>
      </c>
      <c r="K419">
        <v>2553</v>
      </c>
      <c r="L419">
        <v>4.79</v>
      </c>
      <c r="M419">
        <v>4.3600000000000003</v>
      </c>
      <c r="N419">
        <v>38</v>
      </c>
      <c r="O419">
        <v>2</v>
      </c>
      <c r="P419">
        <v>3.5</v>
      </c>
      <c r="Q419">
        <v>3.5</v>
      </c>
      <c r="R419">
        <v>4</v>
      </c>
      <c r="S419">
        <v>3.5</v>
      </c>
      <c r="T419" t="s">
        <v>30</v>
      </c>
    </row>
    <row r="420" spans="1:20" x14ac:dyDescent="0.25">
      <c r="A420" t="s">
        <v>82</v>
      </c>
      <c r="B420">
        <v>2</v>
      </c>
      <c r="C420" t="s">
        <v>66</v>
      </c>
      <c r="D420" t="s">
        <v>67</v>
      </c>
      <c r="E420" t="s">
        <v>68</v>
      </c>
      <c r="F420">
        <v>180</v>
      </c>
      <c r="G420">
        <v>1080</v>
      </c>
      <c r="H420">
        <v>-3</v>
      </c>
      <c r="I420">
        <v>1983</v>
      </c>
      <c r="J420" t="s">
        <v>37</v>
      </c>
      <c r="K420">
        <v>2575</v>
      </c>
      <c r="L420">
        <v>6.7</v>
      </c>
      <c r="M420">
        <v>6.83</v>
      </c>
      <c r="N420">
        <v>75</v>
      </c>
      <c r="O420">
        <v>2.7</v>
      </c>
      <c r="P420">
        <v>2.7</v>
      </c>
      <c r="Q420">
        <v>3</v>
      </c>
      <c r="R420">
        <v>3.5</v>
      </c>
      <c r="S420">
        <v>3.5</v>
      </c>
      <c r="T420" t="s">
        <v>30</v>
      </c>
    </row>
    <row r="421" spans="1:20" x14ac:dyDescent="0.25">
      <c r="A421" t="s">
        <v>82</v>
      </c>
      <c r="B421">
        <v>3</v>
      </c>
      <c r="C421" t="s">
        <v>66</v>
      </c>
      <c r="D421" t="s">
        <v>67</v>
      </c>
      <c r="E421" t="s">
        <v>68</v>
      </c>
      <c r="F421">
        <v>180</v>
      </c>
      <c r="G421">
        <v>1080</v>
      </c>
      <c r="H421">
        <v>-3</v>
      </c>
      <c r="I421">
        <v>1983</v>
      </c>
      <c r="J421" t="s">
        <v>76</v>
      </c>
      <c r="K421">
        <v>1592</v>
      </c>
      <c r="L421">
        <v>15.73</v>
      </c>
      <c r="M421">
        <v>10.67</v>
      </c>
      <c r="N421">
        <v>75</v>
      </c>
      <c r="O421">
        <v>3</v>
      </c>
      <c r="P421">
        <v>4</v>
      </c>
      <c r="Q421">
        <v>3</v>
      </c>
      <c r="R421">
        <v>4</v>
      </c>
      <c r="S421">
        <v>3</v>
      </c>
      <c r="T421" t="s">
        <v>27</v>
      </c>
    </row>
    <row r="422" spans="1:20" x14ac:dyDescent="0.25">
      <c r="A422" t="s">
        <v>82</v>
      </c>
      <c r="B422">
        <v>3</v>
      </c>
      <c r="C422" t="s">
        <v>66</v>
      </c>
      <c r="D422" t="s">
        <v>67</v>
      </c>
      <c r="E422" t="s">
        <v>68</v>
      </c>
      <c r="F422">
        <v>180</v>
      </c>
      <c r="G422">
        <v>1080</v>
      </c>
      <c r="H422">
        <v>-3</v>
      </c>
      <c r="I422">
        <v>1983</v>
      </c>
      <c r="J422" t="s">
        <v>76</v>
      </c>
      <c r="K422">
        <v>2560</v>
      </c>
      <c r="L422">
        <v>13.13</v>
      </c>
      <c r="M422">
        <v>11.49</v>
      </c>
      <c r="N422">
        <v>88</v>
      </c>
      <c r="O422">
        <v>3</v>
      </c>
      <c r="P422">
        <v>4</v>
      </c>
      <c r="Q422">
        <v>3</v>
      </c>
      <c r="R422">
        <v>4</v>
      </c>
      <c r="S422">
        <v>4</v>
      </c>
      <c r="T422" t="s">
        <v>27</v>
      </c>
    </row>
    <row r="423" spans="1:20" x14ac:dyDescent="0.25">
      <c r="A423" t="s">
        <v>82</v>
      </c>
      <c r="B423">
        <v>3</v>
      </c>
      <c r="C423" t="s">
        <v>66</v>
      </c>
      <c r="D423" t="s">
        <v>67</v>
      </c>
      <c r="E423" t="s">
        <v>68</v>
      </c>
      <c r="F423">
        <v>180</v>
      </c>
      <c r="G423">
        <v>1080</v>
      </c>
      <c r="H423">
        <v>-3</v>
      </c>
      <c r="I423">
        <v>1983</v>
      </c>
      <c r="J423" t="s">
        <v>24</v>
      </c>
      <c r="K423">
        <v>2562</v>
      </c>
      <c r="L423">
        <v>9.94</v>
      </c>
      <c r="M423">
        <v>7.46</v>
      </c>
      <c r="N423">
        <v>50</v>
      </c>
      <c r="O423">
        <v>3</v>
      </c>
      <c r="P423">
        <v>4</v>
      </c>
      <c r="Q423">
        <v>3</v>
      </c>
      <c r="R423">
        <v>4</v>
      </c>
      <c r="S423">
        <v>3</v>
      </c>
      <c r="T423" t="s">
        <v>38</v>
      </c>
    </row>
    <row r="424" spans="1:20" x14ac:dyDescent="0.25">
      <c r="A424" t="s">
        <v>82</v>
      </c>
      <c r="B424">
        <v>3</v>
      </c>
      <c r="C424" t="s">
        <v>66</v>
      </c>
      <c r="D424" t="s">
        <v>67</v>
      </c>
      <c r="E424" t="s">
        <v>68</v>
      </c>
      <c r="F424">
        <v>180</v>
      </c>
      <c r="G424">
        <v>1080</v>
      </c>
      <c r="H424">
        <v>-3</v>
      </c>
      <c r="I424">
        <v>1983</v>
      </c>
      <c r="J424" t="s">
        <v>80</v>
      </c>
      <c r="K424">
        <v>1252</v>
      </c>
      <c r="L424">
        <v>5.86</v>
      </c>
      <c r="M424">
        <v>5.61</v>
      </c>
      <c r="N424">
        <v>50</v>
      </c>
      <c r="O424">
        <v>3</v>
      </c>
      <c r="P424">
        <v>4</v>
      </c>
      <c r="Q424">
        <v>2.5</v>
      </c>
      <c r="R424">
        <v>2.5</v>
      </c>
      <c r="S424">
        <v>3</v>
      </c>
      <c r="T424" t="s">
        <v>30</v>
      </c>
    </row>
    <row r="425" spans="1:20" x14ac:dyDescent="0.25">
      <c r="A425" t="s">
        <v>82</v>
      </c>
      <c r="B425">
        <v>3</v>
      </c>
      <c r="C425" t="s">
        <v>66</v>
      </c>
      <c r="D425" t="s">
        <v>67</v>
      </c>
      <c r="E425" t="s">
        <v>68</v>
      </c>
      <c r="F425">
        <v>180</v>
      </c>
      <c r="G425">
        <v>1080</v>
      </c>
      <c r="H425">
        <v>-3</v>
      </c>
      <c r="I425">
        <v>1983</v>
      </c>
      <c r="J425" t="s">
        <v>24</v>
      </c>
      <c r="K425">
        <v>1</v>
      </c>
      <c r="L425">
        <v>9.1199999999999992</v>
      </c>
      <c r="M425">
        <v>9.67</v>
      </c>
      <c r="N425">
        <v>50</v>
      </c>
      <c r="O425">
        <v>3</v>
      </c>
      <c r="P425">
        <v>4</v>
      </c>
      <c r="Q425">
        <v>3</v>
      </c>
      <c r="R425">
        <v>3</v>
      </c>
      <c r="S425">
        <v>3</v>
      </c>
      <c r="T425" t="s">
        <v>38</v>
      </c>
    </row>
    <row r="426" spans="1:20" x14ac:dyDescent="0.25">
      <c r="A426" t="s">
        <v>82</v>
      </c>
      <c r="B426">
        <v>3</v>
      </c>
      <c r="C426" t="s">
        <v>66</v>
      </c>
      <c r="D426" t="s">
        <v>67</v>
      </c>
      <c r="E426" t="s">
        <v>68</v>
      </c>
      <c r="F426">
        <v>180</v>
      </c>
      <c r="G426">
        <v>1080</v>
      </c>
      <c r="H426">
        <v>-3</v>
      </c>
      <c r="I426">
        <v>1983</v>
      </c>
      <c r="J426" t="s">
        <v>59</v>
      </c>
      <c r="K426">
        <v>1482</v>
      </c>
      <c r="L426">
        <v>6.94</v>
      </c>
      <c r="M426">
        <v>5.17</v>
      </c>
      <c r="N426">
        <v>38</v>
      </c>
      <c r="O426">
        <v>2.5</v>
      </c>
      <c r="P426">
        <v>3</v>
      </c>
      <c r="Q426">
        <v>3</v>
      </c>
      <c r="R426">
        <v>4</v>
      </c>
      <c r="S426">
        <v>3.5</v>
      </c>
      <c r="T426" t="s">
        <v>30</v>
      </c>
    </row>
    <row r="427" spans="1:20" x14ac:dyDescent="0.25">
      <c r="A427" t="s">
        <v>82</v>
      </c>
      <c r="B427">
        <v>3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59</v>
      </c>
      <c r="K427">
        <v>2548</v>
      </c>
      <c r="L427">
        <v>16.25</v>
      </c>
      <c r="M427">
        <v>13.29</v>
      </c>
      <c r="N427">
        <v>13</v>
      </c>
      <c r="O427">
        <v>3</v>
      </c>
      <c r="P427">
        <v>4</v>
      </c>
      <c r="Q427">
        <v>4</v>
      </c>
      <c r="R427">
        <v>3.5</v>
      </c>
      <c r="S427">
        <v>3</v>
      </c>
      <c r="T427" t="s">
        <v>38</v>
      </c>
    </row>
    <row r="428" spans="1:20" x14ac:dyDescent="0.25">
      <c r="A428" t="s">
        <v>82</v>
      </c>
      <c r="B428">
        <v>3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26</v>
      </c>
      <c r="K428">
        <v>2552</v>
      </c>
      <c r="L428">
        <v>1.59</v>
      </c>
      <c r="M428">
        <v>2.89</v>
      </c>
      <c r="N428">
        <v>38</v>
      </c>
      <c r="O428">
        <v>2.5</v>
      </c>
      <c r="P428">
        <v>3</v>
      </c>
      <c r="Q428">
        <v>3</v>
      </c>
      <c r="R428">
        <v>3</v>
      </c>
      <c r="S428">
        <v>3</v>
      </c>
      <c r="T428" t="s">
        <v>30</v>
      </c>
    </row>
    <row r="429" spans="1:20" x14ac:dyDescent="0.25">
      <c r="A429" t="s">
        <v>82</v>
      </c>
      <c r="B429">
        <v>3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32</v>
      </c>
      <c r="K429">
        <v>2569</v>
      </c>
      <c r="L429">
        <v>5.32</v>
      </c>
      <c r="M429">
        <v>5.91</v>
      </c>
      <c r="N429">
        <v>50</v>
      </c>
      <c r="O429">
        <v>3</v>
      </c>
      <c r="P429">
        <v>4</v>
      </c>
      <c r="Q429">
        <v>3.5</v>
      </c>
      <c r="R429">
        <v>4</v>
      </c>
      <c r="S429">
        <v>3.5</v>
      </c>
      <c r="T429" t="s">
        <v>38</v>
      </c>
    </row>
    <row r="430" spans="1:20" x14ac:dyDescent="0.25">
      <c r="A430" t="s">
        <v>82</v>
      </c>
      <c r="B430">
        <v>3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33</v>
      </c>
      <c r="K430">
        <v>2547</v>
      </c>
      <c r="L430">
        <v>24.73</v>
      </c>
      <c r="M430">
        <v>14.19</v>
      </c>
      <c r="N430">
        <v>88</v>
      </c>
      <c r="O430">
        <v>4.5</v>
      </c>
      <c r="P430">
        <v>3</v>
      </c>
      <c r="Q430">
        <v>3</v>
      </c>
      <c r="R430">
        <v>3</v>
      </c>
      <c r="S430">
        <v>2.8</v>
      </c>
      <c r="T430" t="s">
        <v>27</v>
      </c>
    </row>
    <row r="431" spans="1:20" x14ac:dyDescent="0.25">
      <c r="A431" t="s">
        <v>82</v>
      </c>
      <c r="B431">
        <v>3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33</v>
      </c>
      <c r="K431">
        <v>2568</v>
      </c>
      <c r="L431">
        <v>9.1300000000000008</v>
      </c>
      <c r="M431">
        <v>7.02</v>
      </c>
      <c r="N431">
        <v>13</v>
      </c>
      <c r="O431">
        <v>2.8</v>
      </c>
      <c r="P431">
        <v>2.5</v>
      </c>
      <c r="Q431">
        <v>3</v>
      </c>
      <c r="R431">
        <v>3</v>
      </c>
      <c r="S431">
        <v>2.5</v>
      </c>
      <c r="T431" t="s">
        <v>30</v>
      </c>
    </row>
    <row r="432" spans="1:20" x14ac:dyDescent="0.25">
      <c r="A432" t="s">
        <v>82</v>
      </c>
      <c r="B432">
        <v>3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34</v>
      </c>
      <c r="K432">
        <v>1522</v>
      </c>
      <c r="L432">
        <v>1.41</v>
      </c>
      <c r="M432">
        <v>2.82</v>
      </c>
      <c r="N432">
        <v>13</v>
      </c>
      <c r="O432">
        <v>1</v>
      </c>
      <c r="P432">
        <v>3</v>
      </c>
      <c r="Q432">
        <v>3</v>
      </c>
      <c r="R432">
        <v>3</v>
      </c>
      <c r="S432">
        <v>3</v>
      </c>
      <c r="T432" t="s">
        <v>50</v>
      </c>
    </row>
    <row r="433" spans="1:20" x14ac:dyDescent="0.25">
      <c r="A433" t="s">
        <v>82</v>
      </c>
      <c r="B433">
        <v>3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2.11</v>
      </c>
      <c r="M433">
        <v>3.1</v>
      </c>
      <c r="N433">
        <v>38</v>
      </c>
      <c r="O433">
        <v>1.3</v>
      </c>
      <c r="P433">
        <v>3</v>
      </c>
      <c r="Q433">
        <v>3</v>
      </c>
      <c r="R433">
        <v>3</v>
      </c>
      <c r="S433">
        <v>3</v>
      </c>
      <c r="T433" t="s">
        <v>50</v>
      </c>
    </row>
    <row r="434" spans="1:20" x14ac:dyDescent="0.25">
      <c r="A434" t="s">
        <v>82</v>
      </c>
      <c r="B434">
        <v>3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34</v>
      </c>
      <c r="K434">
        <v>2570</v>
      </c>
      <c r="L434">
        <v>21.43</v>
      </c>
      <c r="M434">
        <v>14.1</v>
      </c>
      <c r="N434">
        <v>38</v>
      </c>
      <c r="O434">
        <v>4</v>
      </c>
      <c r="P434">
        <v>3.5</v>
      </c>
      <c r="Q434">
        <v>3</v>
      </c>
      <c r="R434">
        <v>3.5</v>
      </c>
      <c r="S434">
        <v>3</v>
      </c>
      <c r="T434" t="s">
        <v>25</v>
      </c>
    </row>
    <row r="435" spans="1:20" x14ac:dyDescent="0.25">
      <c r="A435" t="s">
        <v>82</v>
      </c>
      <c r="B435">
        <v>3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8.75</v>
      </c>
      <c r="M435">
        <v>7.27</v>
      </c>
      <c r="N435">
        <v>38</v>
      </c>
      <c r="O435">
        <v>3.5</v>
      </c>
      <c r="P435">
        <v>2.5</v>
      </c>
      <c r="Q435">
        <v>3</v>
      </c>
      <c r="R435">
        <v>4</v>
      </c>
      <c r="S435">
        <v>3.3</v>
      </c>
      <c r="T435" t="s">
        <v>30</v>
      </c>
    </row>
    <row r="436" spans="1:20" x14ac:dyDescent="0.25">
      <c r="A436" t="s">
        <v>82</v>
      </c>
      <c r="B436">
        <v>3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3.37</v>
      </c>
      <c r="M436">
        <v>3.68</v>
      </c>
      <c r="N436">
        <v>50</v>
      </c>
      <c r="O436">
        <v>2</v>
      </c>
      <c r="P436">
        <v>2.5</v>
      </c>
      <c r="Q436">
        <v>3</v>
      </c>
      <c r="R436">
        <v>4</v>
      </c>
      <c r="S436">
        <v>3</v>
      </c>
      <c r="T436" t="s">
        <v>30</v>
      </c>
    </row>
    <row r="437" spans="1:20" x14ac:dyDescent="0.25">
      <c r="A437" t="s">
        <v>82</v>
      </c>
      <c r="B437">
        <v>3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62</v>
      </c>
      <c r="K437">
        <v>2553</v>
      </c>
      <c r="L437">
        <v>8.1300000000000008</v>
      </c>
      <c r="M437">
        <v>7.99</v>
      </c>
      <c r="N437">
        <v>88</v>
      </c>
      <c r="O437">
        <v>3</v>
      </c>
      <c r="P437">
        <v>3</v>
      </c>
      <c r="Q437">
        <v>3.5</v>
      </c>
      <c r="R437">
        <v>4</v>
      </c>
      <c r="S437">
        <v>4</v>
      </c>
      <c r="T437" t="s">
        <v>38</v>
      </c>
    </row>
    <row r="438" spans="1:20" x14ac:dyDescent="0.25">
      <c r="A438" t="s">
        <v>82</v>
      </c>
      <c r="B438">
        <v>3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37</v>
      </c>
      <c r="K438">
        <v>2575</v>
      </c>
      <c r="L438">
        <v>2.63</v>
      </c>
      <c r="M438">
        <v>4.5999999999999996</v>
      </c>
      <c r="N438">
        <v>38</v>
      </c>
      <c r="O438">
        <v>2</v>
      </c>
      <c r="P438">
        <v>1.5</v>
      </c>
      <c r="Q438">
        <v>3</v>
      </c>
      <c r="R438">
        <v>3</v>
      </c>
      <c r="S438">
        <v>3</v>
      </c>
      <c r="T438" t="s">
        <v>50</v>
      </c>
    </row>
    <row r="439" spans="1:20" x14ac:dyDescent="0.25">
      <c r="A439" t="s">
        <v>83</v>
      </c>
      <c r="B439">
        <v>1</v>
      </c>
      <c r="C439" t="s">
        <v>71</v>
      </c>
      <c r="D439" t="s">
        <v>84</v>
      </c>
      <c r="E439" t="s">
        <v>85</v>
      </c>
      <c r="F439">
        <v>220</v>
      </c>
      <c r="G439">
        <v>1050</v>
      </c>
      <c r="H439">
        <v>-2</v>
      </c>
      <c r="I439">
        <v>1983</v>
      </c>
      <c r="J439" t="s">
        <v>76</v>
      </c>
      <c r="K439">
        <v>1592</v>
      </c>
      <c r="L439">
        <v>23.59</v>
      </c>
      <c r="M439">
        <v>9.8699999999999992</v>
      </c>
      <c r="N439">
        <v>75</v>
      </c>
      <c r="O439">
        <v>3</v>
      </c>
      <c r="P439">
        <v>4</v>
      </c>
      <c r="Q439">
        <v>3</v>
      </c>
      <c r="R439">
        <v>4</v>
      </c>
      <c r="S439">
        <v>3</v>
      </c>
      <c r="T439" t="s">
        <v>25</v>
      </c>
    </row>
    <row r="440" spans="1:20" x14ac:dyDescent="0.25">
      <c r="A440" t="s">
        <v>83</v>
      </c>
      <c r="B440">
        <v>1</v>
      </c>
      <c r="C440" t="s">
        <v>71</v>
      </c>
      <c r="D440" t="s">
        <v>84</v>
      </c>
      <c r="E440" t="s">
        <v>85</v>
      </c>
      <c r="F440">
        <v>220</v>
      </c>
      <c r="G440">
        <v>1050</v>
      </c>
      <c r="H440">
        <v>-2</v>
      </c>
      <c r="I440">
        <v>1983</v>
      </c>
      <c r="J440" t="s">
        <v>76</v>
      </c>
      <c r="K440">
        <v>2560</v>
      </c>
      <c r="L440">
        <v>20.72</v>
      </c>
      <c r="M440">
        <v>8.67</v>
      </c>
      <c r="N440">
        <v>100</v>
      </c>
      <c r="O440">
        <v>3.5</v>
      </c>
      <c r="P440">
        <v>3.5</v>
      </c>
      <c r="Q440">
        <v>2.5</v>
      </c>
      <c r="R440">
        <v>4</v>
      </c>
      <c r="S440">
        <v>4</v>
      </c>
      <c r="T440" t="s">
        <v>27</v>
      </c>
    </row>
    <row r="441" spans="1:20" x14ac:dyDescent="0.25">
      <c r="A441" t="s">
        <v>83</v>
      </c>
      <c r="B441">
        <v>1</v>
      </c>
      <c r="C441" t="s">
        <v>71</v>
      </c>
      <c r="D441" t="s">
        <v>84</v>
      </c>
      <c r="E441" t="s">
        <v>85</v>
      </c>
      <c r="F441">
        <v>220</v>
      </c>
      <c r="G441">
        <v>1050</v>
      </c>
      <c r="H441">
        <v>-2</v>
      </c>
      <c r="I441">
        <v>1983</v>
      </c>
      <c r="J441" t="s">
        <v>24</v>
      </c>
      <c r="K441">
        <v>2562</v>
      </c>
      <c r="L441">
        <v>19.64</v>
      </c>
      <c r="M441">
        <v>11.02</v>
      </c>
      <c r="N441">
        <v>100</v>
      </c>
      <c r="O441">
        <v>4</v>
      </c>
      <c r="P441">
        <v>3</v>
      </c>
      <c r="Q441">
        <v>3</v>
      </c>
      <c r="R441">
        <v>3</v>
      </c>
      <c r="S441">
        <v>3</v>
      </c>
      <c r="T441" t="s">
        <v>25</v>
      </c>
    </row>
    <row r="442" spans="1:20" x14ac:dyDescent="0.25">
      <c r="A442" t="s">
        <v>83</v>
      </c>
      <c r="B442">
        <v>1</v>
      </c>
      <c r="C442" t="s">
        <v>71</v>
      </c>
      <c r="D442" t="s">
        <v>84</v>
      </c>
      <c r="E442" t="s">
        <v>85</v>
      </c>
      <c r="F442">
        <v>220</v>
      </c>
      <c r="G442">
        <v>1050</v>
      </c>
      <c r="H442">
        <v>-2</v>
      </c>
      <c r="I442">
        <v>1983</v>
      </c>
      <c r="J442" t="s">
        <v>80</v>
      </c>
      <c r="K442">
        <v>1252</v>
      </c>
      <c r="L442">
        <v>14.13</v>
      </c>
      <c r="M442">
        <v>8.85</v>
      </c>
      <c r="N442">
        <v>100</v>
      </c>
      <c r="O442">
        <v>3</v>
      </c>
      <c r="P442">
        <v>2.5</v>
      </c>
      <c r="Q442">
        <v>1.5</v>
      </c>
      <c r="R442">
        <v>2</v>
      </c>
      <c r="S442">
        <v>2</v>
      </c>
      <c r="T442" t="s">
        <v>30</v>
      </c>
    </row>
    <row r="443" spans="1:20" x14ac:dyDescent="0.25">
      <c r="A443" t="s">
        <v>83</v>
      </c>
      <c r="B443">
        <v>1</v>
      </c>
      <c r="C443" t="s">
        <v>71</v>
      </c>
      <c r="D443" t="s">
        <v>84</v>
      </c>
      <c r="E443" t="s">
        <v>85</v>
      </c>
      <c r="F443">
        <v>220</v>
      </c>
      <c r="G443">
        <v>1050</v>
      </c>
      <c r="H443">
        <v>-2</v>
      </c>
      <c r="I443">
        <v>1983</v>
      </c>
      <c r="J443" t="s">
        <v>59</v>
      </c>
      <c r="K443">
        <v>1482</v>
      </c>
      <c r="L443">
        <v>22.62</v>
      </c>
      <c r="M443">
        <v>8.83</v>
      </c>
      <c r="N443">
        <v>88</v>
      </c>
      <c r="O443">
        <v>2</v>
      </c>
      <c r="P443">
        <v>3</v>
      </c>
      <c r="Q443">
        <v>3</v>
      </c>
      <c r="R443">
        <v>3</v>
      </c>
      <c r="S443">
        <v>3</v>
      </c>
      <c r="T443" t="s">
        <v>30</v>
      </c>
    </row>
    <row r="444" spans="1:20" x14ac:dyDescent="0.25">
      <c r="A444" t="s">
        <v>83</v>
      </c>
      <c r="B444">
        <v>1</v>
      </c>
      <c r="C444" t="s">
        <v>71</v>
      </c>
      <c r="D444" t="s">
        <v>84</v>
      </c>
      <c r="E444" t="s">
        <v>85</v>
      </c>
      <c r="F444">
        <v>220</v>
      </c>
      <c r="G444">
        <v>1050</v>
      </c>
      <c r="H444">
        <v>-2</v>
      </c>
      <c r="I444">
        <v>1983</v>
      </c>
      <c r="J444" t="s">
        <v>59</v>
      </c>
      <c r="K444">
        <v>2548</v>
      </c>
      <c r="L444">
        <v>15.98</v>
      </c>
      <c r="M444">
        <v>6.24</v>
      </c>
      <c r="N444">
        <v>63</v>
      </c>
      <c r="O444">
        <v>3.5</v>
      </c>
      <c r="P444">
        <v>4</v>
      </c>
      <c r="Q444">
        <v>2.8</v>
      </c>
      <c r="R444">
        <v>2.8</v>
      </c>
      <c r="S444">
        <v>2.5</v>
      </c>
      <c r="T444" t="s">
        <v>38</v>
      </c>
    </row>
    <row r="445" spans="1:20" x14ac:dyDescent="0.25">
      <c r="A445" t="s">
        <v>83</v>
      </c>
      <c r="B445">
        <v>1</v>
      </c>
      <c r="C445" t="s">
        <v>71</v>
      </c>
      <c r="D445" t="s">
        <v>84</v>
      </c>
      <c r="E445" t="s">
        <v>85</v>
      </c>
      <c r="F445">
        <v>220</v>
      </c>
      <c r="G445">
        <v>1050</v>
      </c>
      <c r="H445">
        <v>-2</v>
      </c>
      <c r="I445">
        <v>1983</v>
      </c>
      <c r="J445" t="s">
        <v>32</v>
      </c>
      <c r="K445">
        <v>1596</v>
      </c>
      <c r="L445">
        <v>16.18</v>
      </c>
      <c r="M445">
        <v>7.67</v>
      </c>
      <c r="N445">
        <v>88</v>
      </c>
      <c r="O445">
        <v>3.5</v>
      </c>
      <c r="P445">
        <v>3</v>
      </c>
      <c r="Q445">
        <v>2.5</v>
      </c>
      <c r="R445">
        <v>4</v>
      </c>
      <c r="S445">
        <v>3</v>
      </c>
      <c r="T445" t="s">
        <v>27</v>
      </c>
    </row>
    <row r="446" spans="1:20" x14ac:dyDescent="0.25">
      <c r="A446" t="s">
        <v>83</v>
      </c>
      <c r="B446">
        <v>1</v>
      </c>
      <c r="C446" t="s">
        <v>71</v>
      </c>
      <c r="D446" t="s">
        <v>84</v>
      </c>
      <c r="E446" t="s">
        <v>85</v>
      </c>
      <c r="F446">
        <v>220</v>
      </c>
      <c r="G446">
        <v>1050</v>
      </c>
      <c r="H446">
        <v>-2</v>
      </c>
      <c r="I446">
        <v>1983</v>
      </c>
      <c r="J446" t="s">
        <v>32</v>
      </c>
      <c r="K446">
        <v>2569</v>
      </c>
      <c r="L446">
        <v>18.440000000000001</v>
      </c>
      <c r="M446">
        <v>8.74</v>
      </c>
      <c r="N446">
        <v>100</v>
      </c>
      <c r="O446">
        <v>3.5</v>
      </c>
      <c r="P446">
        <v>3.5</v>
      </c>
      <c r="Q446">
        <v>2.8</v>
      </c>
      <c r="R446">
        <v>4</v>
      </c>
      <c r="S446">
        <v>2.8</v>
      </c>
      <c r="T446" t="s">
        <v>25</v>
      </c>
    </row>
    <row r="447" spans="1:20" x14ac:dyDescent="0.25">
      <c r="A447" t="s">
        <v>83</v>
      </c>
      <c r="B447">
        <v>1</v>
      </c>
      <c r="C447" t="s">
        <v>71</v>
      </c>
      <c r="D447" t="s">
        <v>84</v>
      </c>
      <c r="E447" t="s">
        <v>85</v>
      </c>
      <c r="F447">
        <v>220</v>
      </c>
      <c r="G447">
        <v>1050</v>
      </c>
      <c r="H447">
        <v>-2</v>
      </c>
      <c r="I447">
        <v>1983</v>
      </c>
      <c r="J447" t="s">
        <v>33</v>
      </c>
      <c r="K447">
        <v>2547</v>
      </c>
      <c r="L447">
        <v>21.25</v>
      </c>
      <c r="M447">
        <v>9.6199999999999992</v>
      </c>
      <c r="N447">
        <v>100</v>
      </c>
      <c r="O447">
        <v>3.5</v>
      </c>
      <c r="P447">
        <v>2.5</v>
      </c>
      <c r="Q447">
        <v>3</v>
      </c>
      <c r="R447">
        <v>3</v>
      </c>
      <c r="S447">
        <v>2</v>
      </c>
      <c r="T447" t="s">
        <v>25</v>
      </c>
    </row>
    <row r="448" spans="1:20" x14ac:dyDescent="0.25">
      <c r="A448" t="s">
        <v>83</v>
      </c>
      <c r="B448">
        <v>1</v>
      </c>
      <c r="C448" t="s">
        <v>71</v>
      </c>
      <c r="D448" t="s">
        <v>84</v>
      </c>
      <c r="E448" t="s">
        <v>85</v>
      </c>
      <c r="F448">
        <v>220</v>
      </c>
      <c r="G448">
        <v>1050</v>
      </c>
      <c r="H448">
        <v>-2</v>
      </c>
      <c r="I448">
        <v>1983</v>
      </c>
      <c r="J448" t="s">
        <v>33</v>
      </c>
      <c r="K448">
        <v>2568</v>
      </c>
      <c r="L448">
        <v>16.7</v>
      </c>
      <c r="M448">
        <v>7.64</v>
      </c>
      <c r="N448">
        <v>100</v>
      </c>
      <c r="O448">
        <v>3.5</v>
      </c>
      <c r="P448">
        <v>2.8</v>
      </c>
      <c r="Q448">
        <v>3</v>
      </c>
      <c r="R448">
        <v>3</v>
      </c>
      <c r="S448">
        <v>2</v>
      </c>
      <c r="T448" t="s">
        <v>25</v>
      </c>
    </row>
    <row r="449" spans="1:20" x14ac:dyDescent="0.25">
      <c r="A449" t="s">
        <v>83</v>
      </c>
      <c r="B449">
        <v>1</v>
      </c>
      <c r="C449" t="s">
        <v>71</v>
      </c>
      <c r="D449" t="s">
        <v>84</v>
      </c>
      <c r="E449" t="s">
        <v>85</v>
      </c>
      <c r="F449">
        <v>220</v>
      </c>
      <c r="G449">
        <v>1050</v>
      </c>
      <c r="H449">
        <v>-2</v>
      </c>
      <c r="I449">
        <v>1983</v>
      </c>
      <c r="J449" t="s">
        <v>34</v>
      </c>
      <c r="K449">
        <v>1522</v>
      </c>
      <c r="L449">
        <v>15.73</v>
      </c>
      <c r="M449">
        <v>7.8</v>
      </c>
      <c r="N449">
        <v>88</v>
      </c>
      <c r="O449">
        <v>3.5</v>
      </c>
      <c r="P449">
        <v>2.8</v>
      </c>
      <c r="Q449">
        <v>3</v>
      </c>
      <c r="R449">
        <v>3.5</v>
      </c>
      <c r="S449">
        <v>3.5</v>
      </c>
      <c r="T449" t="s">
        <v>27</v>
      </c>
    </row>
    <row r="450" spans="1:20" x14ac:dyDescent="0.25">
      <c r="A450" t="s">
        <v>83</v>
      </c>
      <c r="B450">
        <v>1</v>
      </c>
      <c r="C450" t="s">
        <v>71</v>
      </c>
      <c r="D450" t="s">
        <v>84</v>
      </c>
      <c r="E450" t="s">
        <v>85</v>
      </c>
      <c r="F450">
        <v>220</v>
      </c>
      <c r="G450">
        <v>1050</v>
      </c>
      <c r="H450">
        <v>-2</v>
      </c>
      <c r="I450">
        <v>1983</v>
      </c>
      <c r="J450" t="s">
        <v>34</v>
      </c>
      <c r="K450">
        <v>2570</v>
      </c>
      <c r="L450">
        <v>16.55</v>
      </c>
      <c r="M450">
        <v>8.2100000000000009</v>
      </c>
      <c r="N450">
        <v>100</v>
      </c>
      <c r="O450">
        <v>3.5</v>
      </c>
      <c r="P450">
        <v>3</v>
      </c>
      <c r="Q450">
        <v>3.5</v>
      </c>
      <c r="R450">
        <v>3.3</v>
      </c>
      <c r="S450">
        <v>3</v>
      </c>
      <c r="T450" t="s">
        <v>25</v>
      </c>
    </row>
    <row r="451" spans="1:20" x14ac:dyDescent="0.25">
      <c r="A451" t="s">
        <v>83</v>
      </c>
      <c r="B451">
        <v>1</v>
      </c>
      <c r="C451" t="s">
        <v>71</v>
      </c>
      <c r="D451" t="s">
        <v>84</v>
      </c>
      <c r="E451" t="s">
        <v>85</v>
      </c>
      <c r="F451">
        <v>220</v>
      </c>
      <c r="G451">
        <v>1050</v>
      </c>
      <c r="H451">
        <v>-2</v>
      </c>
      <c r="I451">
        <v>1983</v>
      </c>
      <c r="J451" t="s">
        <v>35</v>
      </c>
      <c r="K451">
        <v>2571</v>
      </c>
      <c r="L451">
        <v>13.67</v>
      </c>
      <c r="M451">
        <v>5.24</v>
      </c>
      <c r="N451">
        <v>63</v>
      </c>
      <c r="O451">
        <v>2.5</v>
      </c>
      <c r="P451">
        <v>2</v>
      </c>
      <c r="Q451">
        <v>2.5</v>
      </c>
      <c r="R451">
        <v>3.3</v>
      </c>
      <c r="S451">
        <v>3</v>
      </c>
      <c r="T451" t="s">
        <v>25</v>
      </c>
    </row>
    <row r="452" spans="1:20" x14ac:dyDescent="0.25">
      <c r="A452" t="s">
        <v>83</v>
      </c>
      <c r="B452">
        <v>1</v>
      </c>
      <c r="C452" t="s">
        <v>71</v>
      </c>
      <c r="D452" t="s">
        <v>84</v>
      </c>
      <c r="E452" t="s">
        <v>85</v>
      </c>
      <c r="F452">
        <v>220</v>
      </c>
      <c r="G452">
        <v>1050</v>
      </c>
      <c r="H452">
        <v>-2</v>
      </c>
      <c r="I452">
        <v>1983</v>
      </c>
      <c r="J452" t="s">
        <v>81</v>
      </c>
      <c r="K452">
        <v>2750</v>
      </c>
      <c r="L452">
        <v>12.8</v>
      </c>
      <c r="M452">
        <v>7.25</v>
      </c>
      <c r="N452">
        <v>50</v>
      </c>
      <c r="O452">
        <v>2.2999999999999998</v>
      </c>
      <c r="P452">
        <v>4.5</v>
      </c>
      <c r="Q452">
        <v>2.5</v>
      </c>
      <c r="R452">
        <v>3</v>
      </c>
      <c r="S452">
        <v>3</v>
      </c>
      <c r="T452" t="s">
        <v>38</v>
      </c>
    </row>
    <row r="453" spans="1:20" x14ac:dyDescent="0.25">
      <c r="A453" t="s">
        <v>83</v>
      </c>
      <c r="B453">
        <v>1</v>
      </c>
      <c r="C453" t="s">
        <v>71</v>
      </c>
      <c r="D453" t="s">
        <v>84</v>
      </c>
      <c r="E453" t="s">
        <v>85</v>
      </c>
      <c r="F453">
        <v>220</v>
      </c>
      <c r="G453">
        <v>1050</v>
      </c>
      <c r="H453">
        <v>-2</v>
      </c>
      <c r="I453">
        <v>1983</v>
      </c>
      <c r="J453" t="s">
        <v>62</v>
      </c>
      <c r="K453">
        <v>2553</v>
      </c>
      <c r="L453">
        <v>20.82</v>
      </c>
      <c r="M453">
        <v>11.37</v>
      </c>
      <c r="N453">
        <v>88</v>
      </c>
      <c r="O453">
        <v>2.5</v>
      </c>
      <c r="P453">
        <v>3.3</v>
      </c>
      <c r="Q453">
        <v>3.3</v>
      </c>
      <c r="R453">
        <v>3</v>
      </c>
      <c r="S453">
        <v>2.2999999999999998</v>
      </c>
      <c r="T453" t="s">
        <v>38</v>
      </c>
    </row>
    <row r="454" spans="1:20" x14ac:dyDescent="0.25">
      <c r="A454" t="s">
        <v>83</v>
      </c>
      <c r="B454">
        <v>1</v>
      </c>
      <c r="C454" t="s">
        <v>71</v>
      </c>
      <c r="D454" t="s">
        <v>84</v>
      </c>
      <c r="E454" t="s">
        <v>85</v>
      </c>
      <c r="F454">
        <v>220</v>
      </c>
      <c r="G454">
        <v>1050</v>
      </c>
      <c r="H454">
        <v>-2</v>
      </c>
      <c r="I454">
        <v>1983</v>
      </c>
      <c r="J454" t="s">
        <v>37</v>
      </c>
      <c r="K454">
        <v>2575</v>
      </c>
      <c r="L454">
        <v>6.65</v>
      </c>
      <c r="M454">
        <v>5.08</v>
      </c>
      <c r="N454">
        <v>88</v>
      </c>
      <c r="O454">
        <v>2.5</v>
      </c>
      <c r="P454">
        <v>2.5</v>
      </c>
      <c r="Q454">
        <v>2.5</v>
      </c>
      <c r="R454">
        <v>3</v>
      </c>
      <c r="S454">
        <v>3</v>
      </c>
      <c r="T454" t="s">
        <v>38</v>
      </c>
    </row>
    <row r="455" spans="1:20" x14ac:dyDescent="0.25">
      <c r="A455" t="s">
        <v>83</v>
      </c>
      <c r="B455">
        <v>1</v>
      </c>
      <c r="C455" t="s">
        <v>71</v>
      </c>
      <c r="D455" t="s">
        <v>84</v>
      </c>
      <c r="E455" t="s">
        <v>85</v>
      </c>
      <c r="F455">
        <v>220</v>
      </c>
      <c r="G455">
        <v>1050</v>
      </c>
      <c r="H455">
        <v>-2</v>
      </c>
      <c r="I455">
        <v>1983</v>
      </c>
      <c r="J455" t="s">
        <v>26</v>
      </c>
      <c r="K455">
        <v>2552</v>
      </c>
      <c r="L455">
        <v>18.88</v>
      </c>
      <c r="M455">
        <v>9.59</v>
      </c>
      <c r="N455">
        <v>75</v>
      </c>
      <c r="O455">
        <v>3</v>
      </c>
      <c r="P455">
        <v>3</v>
      </c>
      <c r="Q455">
        <v>3</v>
      </c>
      <c r="R455">
        <v>3.3</v>
      </c>
      <c r="S455">
        <v>3</v>
      </c>
      <c r="T455" t="s">
        <v>25</v>
      </c>
    </row>
    <row r="456" spans="1:20" x14ac:dyDescent="0.25">
      <c r="A456" t="s">
        <v>83</v>
      </c>
      <c r="B456">
        <v>2</v>
      </c>
      <c r="C456" t="s">
        <v>71</v>
      </c>
      <c r="D456" t="s">
        <v>84</v>
      </c>
      <c r="E456" t="s">
        <v>85</v>
      </c>
      <c r="F456">
        <v>220</v>
      </c>
      <c r="G456">
        <v>1050</v>
      </c>
      <c r="H456">
        <v>-2</v>
      </c>
      <c r="I456">
        <v>1983</v>
      </c>
      <c r="J456" t="s">
        <v>76</v>
      </c>
      <c r="K456">
        <v>1592</v>
      </c>
      <c r="L456">
        <v>24.3</v>
      </c>
      <c r="M456">
        <v>10.49</v>
      </c>
      <c r="N456">
        <v>50</v>
      </c>
      <c r="O456">
        <v>3.5</v>
      </c>
      <c r="P456">
        <v>3</v>
      </c>
      <c r="Q456">
        <v>3</v>
      </c>
      <c r="R456">
        <v>4</v>
      </c>
      <c r="S456">
        <v>2.5</v>
      </c>
      <c r="T456" t="s">
        <v>25</v>
      </c>
    </row>
    <row r="457" spans="1:20" x14ac:dyDescent="0.25">
      <c r="A457" t="s">
        <v>83</v>
      </c>
      <c r="B457">
        <v>2</v>
      </c>
      <c r="C457" t="s">
        <v>71</v>
      </c>
      <c r="D457" t="s">
        <v>84</v>
      </c>
      <c r="E457" t="s">
        <v>85</v>
      </c>
      <c r="F457">
        <v>220</v>
      </c>
      <c r="G457">
        <v>1050</v>
      </c>
      <c r="H457">
        <v>-2</v>
      </c>
      <c r="I457">
        <v>1983</v>
      </c>
      <c r="J457" t="s">
        <v>76</v>
      </c>
      <c r="K457">
        <v>2560</v>
      </c>
      <c r="L457">
        <v>16.5</v>
      </c>
      <c r="M457">
        <v>7.08</v>
      </c>
      <c r="N457">
        <v>75</v>
      </c>
      <c r="O457">
        <v>3</v>
      </c>
      <c r="P457">
        <v>3.5</v>
      </c>
      <c r="Q457">
        <v>2.5</v>
      </c>
      <c r="R457">
        <v>4</v>
      </c>
      <c r="S457">
        <v>3</v>
      </c>
      <c r="T457" t="s">
        <v>25</v>
      </c>
    </row>
    <row r="458" spans="1:20" x14ac:dyDescent="0.25">
      <c r="A458" t="s">
        <v>83</v>
      </c>
      <c r="B458">
        <v>2</v>
      </c>
      <c r="C458" t="s">
        <v>71</v>
      </c>
      <c r="D458" t="s">
        <v>84</v>
      </c>
      <c r="E458" t="s">
        <v>85</v>
      </c>
      <c r="F458">
        <v>220</v>
      </c>
      <c r="G458">
        <v>1050</v>
      </c>
      <c r="H458">
        <v>-2</v>
      </c>
      <c r="I458">
        <v>1983</v>
      </c>
      <c r="J458" t="s">
        <v>24</v>
      </c>
      <c r="K458">
        <v>2562</v>
      </c>
      <c r="L458">
        <v>17.62</v>
      </c>
      <c r="M458">
        <v>9.9</v>
      </c>
      <c r="N458">
        <v>88</v>
      </c>
      <c r="O458">
        <v>3.3</v>
      </c>
      <c r="P458">
        <v>3.3</v>
      </c>
      <c r="Q458">
        <v>3</v>
      </c>
      <c r="R458">
        <v>3.5</v>
      </c>
      <c r="S458">
        <v>3.3</v>
      </c>
      <c r="T458" t="s">
        <v>25</v>
      </c>
    </row>
    <row r="459" spans="1:20" x14ac:dyDescent="0.25">
      <c r="A459" t="s">
        <v>83</v>
      </c>
      <c r="B459">
        <v>2</v>
      </c>
      <c r="C459" t="s">
        <v>71</v>
      </c>
      <c r="D459" t="s">
        <v>84</v>
      </c>
      <c r="E459" t="s">
        <v>85</v>
      </c>
      <c r="F459">
        <v>220</v>
      </c>
      <c r="G459">
        <v>1050</v>
      </c>
      <c r="H459">
        <v>-2</v>
      </c>
      <c r="I459">
        <v>1983</v>
      </c>
      <c r="J459" t="s">
        <v>80</v>
      </c>
      <c r="K459">
        <v>1252</v>
      </c>
      <c r="L459">
        <v>12.52</v>
      </c>
      <c r="M459">
        <v>9.23</v>
      </c>
      <c r="N459">
        <v>100</v>
      </c>
      <c r="O459">
        <v>3</v>
      </c>
      <c r="P459">
        <v>2.8</v>
      </c>
      <c r="Q459">
        <v>2</v>
      </c>
      <c r="R459">
        <v>2.8</v>
      </c>
      <c r="S459">
        <v>2</v>
      </c>
      <c r="T459" t="s">
        <v>30</v>
      </c>
    </row>
    <row r="460" spans="1:20" x14ac:dyDescent="0.25">
      <c r="A460" t="s">
        <v>83</v>
      </c>
      <c r="B460">
        <v>2</v>
      </c>
      <c r="C460" t="s">
        <v>71</v>
      </c>
      <c r="D460" t="s">
        <v>84</v>
      </c>
      <c r="E460" t="s">
        <v>85</v>
      </c>
      <c r="F460">
        <v>220</v>
      </c>
      <c r="G460">
        <v>1050</v>
      </c>
      <c r="H460">
        <v>-2</v>
      </c>
      <c r="I460">
        <v>1983</v>
      </c>
      <c r="J460" t="s">
        <v>59</v>
      </c>
      <c r="K460">
        <v>1482</v>
      </c>
      <c r="L460">
        <v>21.8</v>
      </c>
      <c r="M460">
        <v>8.52</v>
      </c>
      <c r="N460">
        <v>100</v>
      </c>
      <c r="O460">
        <v>2</v>
      </c>
      <c r="P460">
        <v>3</v>
      </c>
      <c r="Q460">
        <v>3</v>
      </c>
      <c r="R460">
        <v>3</v>
      </c>
      <c r="S460">
        <v>3</v>
      </c>
      <c r="T460" t="s">
        <v>50</v>
      </c>
    </row>
    <row r="461" spans="1:20" x14ac:dyDescent="0.25">
      <c r="A461" t="s">
        <v>83</v>
      </c>
      <c r="B461">
        <v>2</v>
      </c>
      <c r="C461" t="s">
        <v>71</v>
      </c>
      <c r="D461" t="s">
        <v>84</v>
      </c>
      <c r="E461" t="s">
        <v>85</v>
      </c>
      <c r="F461">
        <v>220</v>
      </c>
      <c r="G461">
        <v>1050</v>
      </c>
      <c r="H461">
        <v>-2</v>
      </c>
      <c r="I461">
        <v>1983</v>
      </c>
      <c r="J461" t="s">
        <v>59</v>
      </c>
      <c r="K461">
        <v>2548</v>
      </c>
      <c r="L461">
        <v>13.7</v>
      </c>
      <c r="M461">
        <v>5.35</v>
      </c>
      <c r="N461">
        <v>88</v>
      </c>
      <c r="O461">
        <v>4</v>
      </c>
      <c r="P461">
        <v>3</v>
      </c>
      <c r="Q461">
        <v>2</v>
      </c>
      <c r="R461">
        <v>3</v>
      </c>
      <c r="S461">
        <v>1.5</v>
      </c>
      <c r="T461" t="s">
        <v>25</v>
      </c>
    </row>
    <row r="462" spans="1:20" x14ac:dyDescent="0.25">
      <c r="A462" t="s">
        <v>83</v>
      </c>
      <c r="B462">
        <v>2</v>
      </c>
      <c r="C462" t="s">
        <v>71</v>
      </c>
      <c r="D462" t="s">
        <v>84</v>
      </c>
      <c r="E462" t="s">
        <v>85</v>
      </c>
      <c r="F462">
        <v>220</v>
      </c>
      <c r="G462">
        <v>1050</v>
      </c>
      <c r="H462">
        <v>-2</v>
      </c>
      <c r="I462">
        <v>1983</v>
      </c>
      <c r="J462" t="s">
        <v>32</v>
      </c>
      <c r="K462">
        <v>1596</v>
      </c>
      <c r="L462">
        <v>10.97</v>
      </c>
      <c r="M462">
        <v>5.2</v>
      </c>
      <c r="N462">
        <v>50</v>
      </c>
      <c r="O462">
        <v>3.3</v>
      </c>
      <c r="P462">
        <v>3</v>
      </c>
      <c r="Q462">
        <v>3.3</v>
      </c>
      <c r="R462">
        <v>4</v>
      </c>
      <c r="S462">
        <v>3.5</v>
      </c>
      <c r="T462" t="s">
        <v>25</v>
      </c>
    </row>
    <row r="463" spans="1:20" x14ac:dyDescent="0.25">
      <c r="A463" t="s">
        <v>83</v>
      </c>
      <c r="B463">
        <v>2</v>
      </c>
      <c r="C463" t="s">
        <v>71</v>
      </c>
      <c r="D463" t="s">
        <v>84</v>
      </c>
      <c r="E463" t="s">
        <v>85</v>
      </c>
      <c r="F463">
        <v>220</v>
      </c>
      <c r="G463">
        <v>1050</v>
      </c>
      <c r="H463">
        <v>-2</v>
      </c>
      <c r="I463">
        <v>1983</v>
      </c>
      <c r="J463" t="s">
        <v>32</v>
      </c>
      <c r="K463">
        <v>2569</v>
      </c>
      <c r="L463">
        <v>20.86</v>
      </c>
      <c r="M463">
        <v>9.89</v>
      </c>
      <c r="N463">
        <v>25</v>
      </c>
      <c r="O463">
        <v>1.5</v>
      </c>
      <c r="P463">
        <v>3</v>
      </c>
      <c r="Q463">
        <v>3</v>
      </c>
      <c r="R463">
        <v>3</v>
      </c>
      <c r="S463">
        <v>3</v>
      </c>
      <c r="T463" t="s">
        <v>50</v>
      </c>
    </row>
    <row r="464" spans="1:20" x14ac:dyDescent="0.25">
      <c r="A464" t="s">
        <v>83</v>
      </c>
      <c r="B464">
        <v>2</v>
      </c>
      <c r="C464" t="s">
        <v>71</v>
      </c>
      <c r="D464" t="s">
        <v>84</v>
      </c>
      <c r="E464" t="s">
        <v>85</v>
      </c>
      <c r="F464">
        <v>220</v>
      </c>
      <c r="G464">
        <v>1050</v>
      </c>
      <c r="H464">
        <v>-2</v>
      </c>
      <c r="I464">
        <v>1983</v>
      </c>
      <c r="J464" t="s">
        <v>33</v>
      </c>
      <c r="K464">
        <v>2547</v>
      </c>
      <c r="L464">
        <v>20.309999999999999</v>
      </c>
      <c r="M464">
        <v>9.27</v>
      </c>
      <c r="N464">
        <v>100</v>
      </c>
      <c r="O464">
        <v>4</v>
      </c>
      <c r="P464">
        <v>2.5</v>
      </c>
      <c r="Q464">
        <v>2.8</v>
      </c>
      <c r="R464">
        <v>2.5</v>
      </c>
      <c r="S464">
        <v>2.5</v>
      </c>
      <c r="T464" t="s">
        <v>25</v>
      </c>
    </row>
    <row r="465" spans="1:20" x14ac:dyDescent="0.25">
      <c r="A465" t="s">
        <v>83</v>
      </c>
      <c r="B465">
        <v>2</v>
      </c>
      <c r="C465" t="s">
        <v>71</v>
      </c>
      <c r="D465" t="s">
        <v>84</v>
      </c>
      <c r="E465" t="s">
        <v>85</v>
      </c>
      <c r="F465">
        <v>220</v>
      </c>
      <c r="G465">
        <v>1050</v>
      </c>
      <c r="H465">
        <v>-2</v>
      </c>
      <c r="I465">
        <v>1983</v>
      </c>
      <c r="J465" t="s">
        <v>33</v>
      </c>
      <c r="K465">
        <v>2568</v>
      </c>
      <c r="L465">
        <v>20.29</v>
      </c>
      <c r="M465">
        <v>9.27</v>
      </c>
      <c r="N465">
        <v>88</v>
      </c>
      <c r="O465">
        <v>2</v>
      </c>
      <c r="P465">
        <v>2.5</v>
      </c>
      <c r="Q465">
        <v>3</v>
      </c>
      <c r="R465">
        <v>3</v>
      </c>
      <c r="S465">
        <v>2</v>
      </c>
      <c r="T465" t="s">
        <v>30</v>
      </c>
    </row>
    <row r="466" spans="1:20" x14ac:dyDescent="0.25">
      <c r="A466" t="s">
        <v>83</v>
      </c>
      <c r="B466">
        <v>2</v>
      </c>
      <c r="C466" t="s">
        <v>71</v>
      </c>
      <c r="D466" t="s">
        <v>84</v>
      </c>
      <c r="E466" t="s">
        <v>85</v>
      </c>
      <c r="F466">
        <v>220</v>
      </c>
      <c r="G466">
        <v>1050</v>
      </c>
      <c r="H466">
        <v>-2</v>
      </c>
      <c r="I466">
        <v>1983</v>
      </c>
      <c r="J466" t="s">
        <v>34</v>
      </c>
      <c r="K466">
        <v>1522</v>
      </c>
      <c r="L466">
        <v>7.6</v>
      </c>
      <c r="M466">
        <v>3.76</v>
      </c>
      <c r="N466">
        <v>63</v>
      </c>
      <c r="O466">
        <v>2</v>
      </c>
      <c r="P466">
        <v>3</v>
      </c>
      <c r="Q466">
        <v>3</v>
      </c>
      <c r="R466">
        <v>3</v>
      </c>
      <c r="S466">
        <v>3</v>
      </c>
      <c r="T466" t="s">
        <v>50</v>
      </c>
    </row>
    <row r="467" spans="1:20" x14ac:dyDescent="0.25">
      <c r="A467" t="s">
        <v>83</v>
      </c>
      <c r="B467">
        <v>2</v>
      </c>
      <c r="C467" t="s">
        <v>71</v>
      </c>
      <c r="D467" t="s">
        <v>84</v>
      </c>
      <c r="E467" t="s">
        <v>85</v>
      </c>
      <c r="F467">
        <v>220</v>
      </c>
      <c r="G467">
        <v>1050</v>
      </c>
      <c r="H467">
        <v>-2</v>
      </c>
      <c r="I467">
        <v>1983</v>
      </c>
      <c r="J467" t="s">
        <v>34</v>
      </c>
      <c r="K467">
        <v>2570</v>
      </c>
      <c r="L467">
        <v>19.010000000000002</v>
      </c>
      <c r="M467">
        <v>9.41</v>
      </c>
      <c r="N467">
        <v>75</v>
      </c>
      <c r="O467">
        <v>3.5</v>
      </c>
      <c r="P467">
        <v>3</v>
      </c>
      <c r="Q467">
        <v>3.5</v>
      </c>
      <c r="R467">
        <v>3.5</v>
      </c>
      <c r="S467">
        <v>3.5</v>
      </c>
      <c r="T467" t="s">
        <v>25</v>
      </c>
    </row>
    <row r="468" spans="1:20" x14ac:dyDescent="0.25">
      <c r="A468" t="s">
        <v>83</v>
      </c>
      <c r="B468">
        <v>2</v>
      </c>
      <c r="C468" t="s">
        <v>71</v>
      </c>
      <c r="D468" t="s">
        <v>84</v>
      </c>
      <c r="E468" t="s">
        <v>85</v>
      </c>
      <c r="F468">
        <v>220</v>
      </c>
      <c r="G468">
        <v>1050</v>
      </c>
      <c r="H468">
        <v>-2</v>
      </c>
      <c r="I468">
        <v>1983</v>
      </c>
      <c r="J468" t="s">
        <v>35</v>
      </c>
      <c r="K468">
        <v>2571</v>
      </c>
      <c r="L468">
        <v>16.149999999999999</v>
      </c>
      <c r="M468">
        <v>6.19</v>
      </c>
      <c r="N468">
        <v>100</v>
      </c>
      <c r="O468">
        <v>3</v>
      </c>
      <c r="P468">
        <v>2.2999999999999998</v>
      </c>
      <c r="Q468">
        <v>3</v>
      </c>
      <c r="R468">
        <v>4</v>
      </c>
      <c r="S468">
        <v>4</v>
      </c>
      <c r="T468" t="s">
        <v>25</v>
      </c>
    </row>
    <row r="469" spans="1:20" x14ac:dyDescent="0.25">
      <c r="A469" t="s">
        <v>83</v>
      </c>
      <c r="B469">
        <v>2</v>
      </c>
      <c r="C469" t="s">
        <v>71</v>
      </c>
      <c r="D469" t="s">
        <v>84</v>
      </c>
      <c r="E469" t="s">
        <v>85</v>
      </c>
      <c r="F469">
        <v>220</v>
      </c>
      <c r="G469">
        <v>1050</v>
      </c>
      <c r="H469">
        <v>-2</v>
      </c>
      <c r="I469">
        <v>1983</v>
      </c>
      <c r="J469" t="s">
        <v>81</v>
      </c>
      <c r="K469">
        <v>2750</v>
      </c>
      <c r="L469">
        <v>14.5</v>
      </c>
      <c r="M469">
        <v>8.17</v>
      </c>
      <c r="N469">
        <v>88</v>
      </c>
      <c r="O469">
        <v>1</v>
      </c>
      <c r="P469">
        <v>3</v>
      </c>
      <c r="Q469">
        <v>3</v>
      </c>
      <c r="R469">
        <v>3</v>
      </c>
      <c r="S469">
        <v>3</v>
      </c>
      <c r="T469" t="s">
        <v>50</v>
      </c>
    </row>
    <row r="470" spans="1:20" x14ac:dyDescent="0.25">
      <c r="A470" t="s">
        <v>83</v>
      </c>
      <c r="B470">
        <v>2</v>
      </c>
      <c r="C470" t="s">
        <v>71</v>
      </c>
      <c r="D470" t="s">
        <v>84</v>
      </c>
      <c r="E470" t="s">
        <v>85</v>
      </c>
      <c r="F470">
        <v>220</v>
      </c>
      <c r="G470">
        <v>1050</v>
      </c>
      <c r="H470">
        <v>-2</v>
      </c>
      <c r="I470">
        <v>1983</v>
      </c>
      <c r="J470" t="s">
        <v>62</v>
      </c>
      <c r="K470">
        <v>2553</v>
      </c>
      <c r="L470">
        <v>11.28</v>
      </c>
      <c r="M470">
        <v>6.41</v>
      </c>
      <c r="N470">
        <v>50</v>
      </c>
      <c r="O470">
        <v>4</v>
      </c>
      <c r="P470">
        <v>3.5</v>
      </c>
      <c r="Q470">
        <v>3.5</v>
      </c>
      <c r="R470">
        <v>3.5</v>
      </c>
      <c r="S470">
        <v>3</v>
      </c>
      <c r="T470" t="s">
        <v>25</v>
      </c>
    </row>
    <row r="471" spans="1:20" x14ac:dyDescent="0.25">
      <c r="A471" t="s">
        <v>83</v>
      </c>
      <c r="B471">
        <v>2</v>
      </c>
      <c r="C471" t="s">
        <v>71</v>
      </c>
      <c r="D471" t="s">
        <v>84</v>
      </c>
      <c r="E471" t="s">
        <v>85</v>
      </c>
      <c r="F471">
        <v>220</v>
      </c>
      <c r="G471">
        <v>1050</v>
      </c>
      <c r="H471">
        <v>-2</v>
      </c>
      <c r="I471">
        <v>1983</v>
      </c>
      <c r="J471" t="s">
        <v>37</v>
      </c>
      <c r="K471">
        <v>2575</v>
      </c>
      <c r="L471">
        <v>13.31</v>
      </c>
      <c r="M471">
        <v>8.75</v>
      </c>
      <c r="N471">
        <v>75</v>
      </c>
      <c r="O471">
        <v>2.8</v>
      </c>
      <c r="P471">
        <v>3</v>
      </c>
      <c r="Q471">
        <v>2.5</v>
      </c>
      <c r="R471">
        <v>3</v>
      </c>
      <c r="S471">
        <v>2.5</v>
      </c>
      <c r="T471" t="s">
        <v>30</v>
      </c>
    </row>
    <row r="472" spans="1:20" x14ac:dyDescent="0.25">
      <c r="A472" t="s">
        <v>83</v>
      </c>
      <c r="B472">
        <v>2</v>
      </c>
      <c r="C472" t="s">
        <v>71</v>
      </c>
      <c r="D472" t="s">
        <v>84</v>
      </c>
      <c r="E472" t="s">
        <v>85</v>
      </c>
      <c r="F472">
        <v>220</v>
      </c>
      <c r="G472">
        <v>1050</v>
      </c>
      <c r="H472">
        <v>-2</v>
      </c>
      <c r="I472">
        <v>1983</v>
      </c>
      <c r="J472" t="s">
        <v>26</v>
      </c>
      <c r="K472">
        <v>2552</v>
      </c>
      <c r="L472">
        <v>14.89</v>
      </c>
      <c r="M472">
        <v>7.56</v>
      </c>
      <c r="N472">
        <v>50</v>
      </c>
      <c r="O472">
        <v>4</v>
      </c>
      <c r="P472">
        <v>4</v>
      </c>
      <c r="Q472">
        <v>2</v>
      </c>
      <c r="R472">
        <v>3</v>
      </c>
      <c r="S472">
        <v>2</v>
      </c>
      <c r="T472" t="s">
        <v>25</v>
      </c>
    </row>
    <row r="473" spans="1:20" x14ac:dyDescent="0.25">
      <c r="A473" t="s">
        <v>83</v>
      </c>
      <c r="B473">
        <v>3</v>
      </c>
      <c r="C473" t="s">
        <v>71</v>
      </c>
      <c r="D473" t="s">
        <v>84</v>
      </c>
      <c r="E473" t="s">
        <v>85</v>
      </c>
      <c r="F473">
        <v>220</v>
      </c>
      <c r="G473">
        <v>1050</v>
      </c>
      <c r="H473">
        <v>-2</v>
      </c>
      <c r="I473">
        <v>1983</v>
      </c>
      <c r="J473" t="s">
        <v>76</v>
      </c>
      <c r="K473">
        <v>1592</v>
      </c>
      <c r="L473">
        <v>19.34</v>
      </c>
      <c r="M473">
        <v>8.3000000000000007</v>
      </c>
      <c r="N473">
        <v>100</v>
      </c>
      <c r="O473">
        <v>3.5</v>
      </c>
      <c r="P473">
        <v>3.5</v>
      </c>
      <c r="Q473">
        <v>2.5</v>
      </c>
      <c r="R473">
        <v>3.5</v>
      </c>
      <c r="S473">
        <v>2.5</v>
      </c>
      <c r="T473" t="s">
        <v>25</v>
      </c>
    </row>
    <row r="474" spans="1:20" x14ac:dyDescent="0.25">
      <c r="A474" t="s">
        <v>83</v>
      </c>
      <c r="B474">
        <v>3</v>
      </c>
      <c r="C474" t="s">
        <v>71</v>
      </c>
      <c r="D474" t="s">
        <v>84</v>
      </c>
      <c r="E474" t="s">
        <v>85</v>
      </c>
      <c r="F474">
        <v>220</v>
      </c>
      <c r="G474">
        <v>1050</v>
      </c>
      <c r="H474">
        <v>-2</v>
      </c>
      <c r="I474">
        <v>1983</v>
      </c>
      <c r="J474" t="s">
        <v>76</v>
      </c>
      <c r="K474">
        <v>2560</v>
      </c>
      <c r="L474">
        <v>21.27</v>
      </c>
      <c r="M474">
        <v>9.1300000000000008</v>
      </c>
      <c r="N474">
        <v>88</v>
      </c>
      <c r="O474">
        <v>3.3</v>
      </c>
      <c r="P474">
        <v>3.5</v>
      </c>
      <c r="Q474">
        <v>2.5</v>
      </c>
      <c r="R474">
        <v>3.3</v>
      </c>
      <c r="S474">
        <v>3</v>
      </c>
      <c r="T474" t="s">
        <v>25</v>
      </c>
    </row>
    <row r="475" spans="1:20" x14ac:dyDescent="0.25">
      <c r="A475" t="s">
        <v>83</v>
      </c>
      <c r="B475">
        <v>3</v>
      </c>
      <c r="C475" t="s">
        <v>71</v>
      </c>
      <c r="D475" t="s">
        <v>84</v>
      </c>
      <c r="E475" t="s">
        <v>85</v>
      </c>
      <c r="F475">
        <v>220</v>
      </c>
      <c r="G475">
        <v>1050</v>
      </c>
      <c r="H475">
        <v>-2</v>
      </c>
      <c r="I475">
        <v>1983</v>
      </c>
      <c r="J475" t="s">
        <v>24</v>
      </c>
      <c r="K475">
        <v>2562</v>
      </c>
      <c r="L475">
        <v>17.62</v>
      </c>
      <c r="M475">
        <v>9.9</v>
      </c>
      <c r="N475">
        <v>100</v>
      </c>
      <c r="O475">
        <v>3.5</v>
      </c>
      <c r="P475">
        <v>3</v>
      </c>
      <c r="Q475">
        <v>3</v>
      </c>
      <c r="R475">
        <v>3.3</v>
      </c>
      <c r="S475">
        <v>3.3</v>
      </c>
      <c r="T475" t="s">
        <v>25</v>
      </c>
    </row>
    <row r="476" spans="1:20" x14ac:dyDescent="0.25">
      <c r="A476" t="s">
        <v>83</v>
      </c>
      <c r="B476">
        <v>3</v>
      </c>
      <c r="C476" t="s">
        <v>71</v>
      </c>
      <c r="D476" t="s">
        <v>84</v>
      </c>
      <c r="E476" t="s">
        <v>85</v>
      </c>
      <c r="F476">
        <v>220</v>
      </c>
      <c r="G476">
        <v>1050</v>
      </c>
      <c r="H476">
        <v>-2</v>
      </c>
      <c r="I476">
        <v>1983</v>
      </c>
      <c r="J476" t="s">
        <v>80</v>
      </c>
      <c r="K476">
        <v>1252</v>
      </c>
      <c r="L476">
        <v>10.36</v>
      </c>
      <c r="M476">
        <v>7.54</v>
      </c>
      <c r="N476">
        <v>100</v>
      </c>
      <c r="O476">
        <v>2.7</v>
      </c>
      <c r="P476">
        <v>3</v>
      </c>
      <c r="Q476">
        <v>2</v>
      </c>
      <c r="R476">
        <v>2</v>
      </c>
      <c r="S476">
        <v>2</v>
      </c>
      <c r="T476" t="s">
        <v>30</v>
      </c>
    </row>
    <row r="477" spans="1:20" x14ac:dyDescent="0.25">
      <c r="A477" t="s">
        <v>83</v>
      </c>
      <c r="B477">
        <v>3</v>
      </c>
      <c r="C477" t="s">
        <v>71</v>
      </c>
      <c r="D477" t="s">
        <v>84</v>
      </c>
      <c r="E477" t="s">
        <v>85</v>
      </c>
      <c r="F477">
        <v>220</v>
      </c>
      <c r="G477">
        <v>1050</v>
      </c>
      <c r="H477">
        <v>-2</v>
      </c>
      <c r="I477">
        <v>1983</v>
      </c>
      <c r="J477" t="s">
        <v>59</v>
      </c>
      <c r="K477">
        <v>1482</v>
      </c>
      <c r="L477">
        <v>22.38</v>
      </c>
      <c r="M477">
        <v>8.74</v>
      </c>
      <c r="N477">
        <v>100</v>
      </c>
      <c r="O477">
        <v>3.7</v>
      </c>
      <c r="P477">
        <v>3</v>
      </c>
      <c r="Q477">
        <v>3.2</v>
      </c>
      <c r="R477">
        <v>3.3</v>
      </c>
      <c r="S477">
        <v>2.6</v>
      </c>
      <c r="T477" t="s">
        <v>25</v>
      </c>
    </row>
    <row r="478" spans="1:20" x14ac:dyDescent="0.25">
      <c r="A478" t="s">
        <v>83</v>
      </c>
      <c r="B478">
        <v>3</v>
      </c>
      <c r="C478" t="s">
        <v>71</v>
      </c>
      <c r="D478" t="s">
        <v>84</v>
      </c>
      <c r="E478" t="s">
        <v>85</v>
      </c>
      <c r="F478">
        <v>220</v>
      </c>
      <c r="G478">
        <v>1050</v>
      </c>
      <c r="H478">
        <v>-2</v>
      </c>
      <c r="I478">
        <v>1983</v>
      </c>
      <c r="J478" t="s">
        <v>59</v>
      </c>
      <c r="K478">
        <v>2548</v>
      </c>
      <c r="L478">
        <v>6.34</v>
      </c>
      <c r="M478">
        <v>3.65</v>
      </c>
      <c r="N478">
        <v>100</v>
      </c>
      <c r="O478">
        <v>3</v>
      </c>
      <c r="P478">
        <v>3</v>
      </c>
      <c r="Q478">
        <v>2</v>
      </c>
      <c r="R478">
        <v>2.5</v>
      </c>
      <c r="S478">
        <v>2.5</v>
      </c>
      <c r="T478" t="s">
        <v>30</v>
      </c>
    </row>
    <row r="479" spans="1:20" x14ac:dyDescent="0.25">
      <c r="A479" t="s">
        <v>83</v>
      </c>
      <c r="B479">
        <v>3</v>
      </c>
      <c r="C479" t="s">
        <v>71</v>
      </c>
      <c r="D479" t="s">
        <v>84</v>
      </c>
      <c r="E479" t="s">
        <v>85</v>
      </c>
      <c r="F479">
        <v>220</v>
      </c>
      <c r="G479">
        <v>1050</v>
      </c>
      <c r="H479">
        <v>-2</v>
      </c>
      <c r="I479">
        <v>1983</v>
      </c>
      <c r="J479" t="s">
        <v>32</v>
      </c>
      <c r="K479">
        <v>1596</v>
      </c>
      <c r="L479">
        <v>14.77</v>
      </c>
      <c r="M479">
        <v>7</v>
      </c>
      <c r="N479">
        <v>100</v>
      </c>
      <c r="O479">
        <v>3</v>
      </c>
      <c r="P479">
        <v>4</v>
      </c>
      <c r="Q479">
        <v>2</v>
      </c>
      <c r="R479">
        <v>3.5</v>
      </c>
      <c r="S479">
        <v>3</v>
      </c>
      <c r="T479" t="s">
        <v>25</v>
      </c>
    </row>
    <row r="480" spans="1:20" x14ac:dyDescent="0.25">
      <c r="A480" t="s">
        <v>83</v>
      </c>
      <c r="B480">
        <v>3</v>
      </c>
      <c r="C480" t="s">
        <v>71</v>
      </c>
      <c r="D480" t="s">
        <v>84</v>
      </c>
      <c r="E480" t="s">
        <v>85</v>
      </c>
      <c r="F480">
        <v>220</v>
      </c>
      <c r="G480">
        <v>1050</v>
      </c>
      <c r="H480">
        <v>-2</v>
      </c>
      <c r="I480">
        <v>1983</v>
      </c>
      <c r="J480" t="s">
        <v>32</v>
      </c>
      <c r="K480">
        <v>2569</v>
      </c>
      <c r="L480">
        <v>10.11</v>
      </c>
      <c r="M480">
        <v>4.79</v>
      </c>
      <c r="N480">
        <v>100</v>
      </c>
      <c r="O480">
        <v>2.7</v>
      </c>
      <c r="P480">
        <v>3.5</v>
      </c>
      <c r="Q480">
        <v>2.8</v>
      </c>
      <c r="R480">
        <v>4</v>
      </c>
      <c r="S480">
        <v>4</v>
      </c>
      <c r="T480" t="s">
        <v>25</v>
      </c>
    </row>
    <row r="481" spans="1:20" x14ac:dyDescent="0.25">
      <c r="A481" t="s">
        <v>83</v>
      </c>
      <c r="B481">
        <v>3</v>
      </c>
      <c r="C481" t="s">
        <v>71</v>
      </c>
      <c r="D481" t="s">
        <v>84</v>
      </c>
      <c r="E481" t="s">
        <v>85</v>
      </c>
      <c r="F481">
        <v>220</v>
      </c>
      <c r="G481">
        <v>1050</v>
      </c>
      <c r="H481">
        <v>-2</v>
      </c>
      <c r="I481">
        <v>1983</v>
      </c>
      <c r="J481" t="s">
        <v>33</v>
      </c>
      <c r="K481">
        <v>2547</v>
      </c>
      <c r="L481">
        <v>18.16</v>
      </c>
      <c r="M481">
        <v>8.2899999999999991</v>
      </c>
      <c r="N481">
        <v>75</v>
      </c>
      <c r="O481">
        <v>4</v>
      </c>
      <c r="P481">
        <v>2.2999999999999998</v>
      </c>
      <c r="Q481">
        <v>3.3</v>
      </c>
      <c r="R481">
        <v>3.3</v>
      </c>
      <c r="S481">
        <v>3</v>
      </c>
      <c r="T481" t="s">
        <v>25</v>
      </c>
    </row>
    <row r="482" spans="1:20" x14ac:dyDescent="0.25">
      <c r="A482" t="s">
        <v>83</v>
      </c>
      <c r="B482">
        <v>3</v>
      </c>
      <c r="C482" t="s">
        <v>71</v>
      </c>
      <c r="D482" t="s">
        <v>84</v>
      </c>
      <c r="E482" t="s">
        <v>85</v>
      </c>
      <c r="F482">
        <v>220</v>
      </c>
      <c r="G482">
        <v>1050</v>
      </c>
      <c r="H482">
        <v>-2</v>
      </c>
      <c r="I482">
        <v>1983</v>
      </c>
      <c r="J482" t="s">
        <v>33</v>
      </c>
      <c r="K482">
        <v>2568</v>
      </c>
      <c r="L482">
        <v>21.09</v>
      </c>
      <c r="M482">
        <v>9.6300000000000008</v>
      </c>
      <c r="N482">
        <v>63</v>
      </c>
      <c r="O482">
        <v>4</v>
      </c>
      <c r="P482">
        <v>3</v>
      </c>
      <c r="Q482">
        <v>4</v>
      </c>
      <c r="R482">
        <v>3.3</v>
      </c>
      <c r="S482">
        <v>3</v>
      </c>
      <c r="T482" t="s">
        <v>25</v>
      </c>
    </row>
    <row r="483" spans="1:20" x14ac:dyDescent="0.25">
      <c r="A483" t="s">
        <v>83</v>
      </c>
      <c r="B483">
        <v>3</v>
      </c>
      <c r="C483" t="s">
        <v>71</v>
      </c>
      <c r="D483" t="s">
        <v>84</v>
      </c>
      <c r="E483" t="s">
        <v>85</v>
      </c>
      <c r="F483">
        <v>220</v>
      </c>
      <c r="G483">
        <v>1050</v>
      </c>
      <c r="H483">
        <v>-2</v>
      </c>
      <c r="I483">
        <v>1983</v>
      </c>
      <c r="J483" t="s">
        <v>34</v>
      </c>
      <c r="K483">
        <v>1522</v>
      </c>
      <c r="L483">
        <v>17.84</v>
      </c>
      <c r="M483">
        <v>8.83</v>
      </c>
      <c r="N483">
        <v>88</v>
      </c>
      <c r="O483">
        <v>3.5</v>
      </c>
      <c r="P483">
        <v>3</v>
      </c>
      <c r="Q483">
        <v>3</v>
      </c>
      <c r="R483">
        <v>3</v>
      </c>
      <c r="S483">
        <v>2.7</v>
      </c>
      <c r="T483" t="s">
        <v>25</v>
      </c>
    </row>
    <row r="484" spans="1:20" x14ac:dyDescent="0.25">
      <c r="A484" t="s">
        <v>83</v>
      </c>
      <c r="B484">
        <v>3</v>
      </c>
      <c r="C484" t="s">
        <v>71</v>
      </c>
      <c r="D484" t="s">
        <v>84</v>
      </c>
      <c r="E484" t="s">
        <v>85</v>
      </c>
      <c r="F484">
        <v>220</v>
      </c>
      <c r="G484">
        <v>1050</v>
      </c>
      <c r="H484">
        <v>-2</v>
      </c>
      <c r="I484">
        <v>1983</v>
      </c>
      <c r="J484" t="s">
        <v>34</v>
      </c>
      <c r="K484">
        <v>2570</v>
      </c>
      <c r="L484">
        <v>18.3</v>
      </c>
      <c r="M484">
        <v>9.06</v>
      </c>
      <c r="N484">
        <v>50</v>
      </c>
      <c r="O484">
        <v>3.5</v>
      </c>
      <c r="P484">
        <v>3</v>
      </c>
      <c r="Q484">
        <v>2.5</v>
      </c>
      <c r="R484">
        <v>3</v>
      </c>
      <c r="S484">
        <v>2.5</v>
      </c>
      <c r="T484" t="s">
        <v>38</v>
      </c>
    </row>
    <row r="485" spans="1:20" x14ac:dyDescent="0.25">
      <c r="A485" t="s">
        <v>83</v>
      </c>
      <c r="B485">
        <v>3</v>
      </c>
      <c r="C485" t="s">
        <v>71</v>
      </c>
      <c r="D485" t="s">
        <v>84</v>
      </c>
      <c r="E485" t="s">
        <v>85</v>
      </c>
      <c r="F485">
        <v>220</v>
      </c>
      <c r="G485">
        <v>1050</v>
      </c>
      <c r="H485">
        <v>-2</v>
      </c>
      <c r="I485">
        <v>1983</v>
      </c>
      <c r="J485" t="s">
        <v>35</v>
      </c>
      <c r="K485">
        <v>2571</v>
      </c>
      <c r="L485">
        <v>14.53</v>
      </c>
      <c r="M485">
        <v>5.57</v>
      </c>
      <c r="N485">
        <v>100</v>
      </c>
      <c r="O485">
        <v>3</v>
      </c>
      <c r="P485">
        <v>2</v>
      </c>
      <c r="Q485">
        <v>3</v>
      </c>
      <c r="R485">
        <v>4</v>
      </c>
      <c r="S485">
        <v>3.5</v>
      </c>
      <c r="T485" t="s">
        <v>38</v>
      </c>
    </row>
    <row r="486" spans="1:20" x14ac:dyDescent="0.25">
      <c r="A486" t="s">
        <v>83</v>
      </c>
      <c r="B486">
        <v>3</v>
      </c>
      <c r="C486" t="s">
        <v>71</v>
      </c>
      <c r="D486" t="s">
        <v>84</v>
      </c>
      <c r="E486" t="s">
        <v>85</v>
      </c>
      <c r="F486">
        <v>220</v>
      </c>
      <c r="G486">
        <v>1050</v>
      </c>
      <c r="H486">
        <v>-2</v>
      </c>
      <c r="I486">
        <v>1983</v>
      </c>
      <c r="J486" t="s">
        <v>81</v>
      </c>
      <c r="K486">
        <v>2750</v>
      </c>
      <c r="L486">
        <v>13.26</v>
      </c>
      <c r="M486">
        <v>8.94</v>
      </c>
      <c r="N486">
        <v>100</v>
      </c>
      <c r="O486">
        <v>4</v>
      </c>
      <c r="P486">
        <v>4</v>
      </c>
      <c r="Q486">
        <v>3</v>
      </c>
      <c r="R486">
        <v>3.5</v>
      </c>
      <c r="S486">
        <v>3.5</v>
      </c>
      <c r="T486" t="s">
        <v>25</v>
      </c>
    </row>
    <row r="487" spans="1:20" x14ac:dyDescent="0.25">
      <c r="A487" t="s">
        <v>83</v>
      </c>
      <c r="B487">
        <v>3</v>
      </c>
      <c r="C487" t="s">
        <v>71</v>
      </c>
      <c r="D487" t="s">
        <v>84</v>
      </c>
      <c r="E487" t="s">
        <v>85</v>
      </c>
      <c r="F487">
        <v>220</v>
      </c>
      <c r="G487">
        <v>1050</v>
      </c>
      <c r="H487">
        <v>-2</v>
      </c>
      <c r="I487">
        <v>1983</v>
      </c>
      <c r="J487" t="s">
        <v>62</v>
      </c>
      <c r="K487">
        <v>2553</v>
      </c>
      <c r="L487">
        <v>11.55</v>
      </c>
      <c r="M487">
        <v>6.56</v>
      </c>
      <c r="N487">
        <v>100</v>
      </c>
      <c r="O487">
        <v>3</v>
      </c>
      <c r="P487">
        <v>2.7</v>
      </c>
      <c r="Q487">
        <v>3.3</v>
      </c>
      <c r="R487">
        <v>4</v>
      </c>
      <c r="S487">
        <v>4</v>
      </c>
      <c r="T487" t="s">
        <v>25</v>
      </c>
    </row>
    <row r="488" spans="1:20" x14ac:dyDescent="0.25">
      <c r="A488" t="s">
        <v>83</v>
      </c>
      <c r="B488">
        <v>3</v>
      </c>
      <c r="C488" t="s">
        <v>71</v>
      </c>
      <c r="D488" t="s">
        <v>84</v>
      </c>
      <c r="E488" t="s">
        <v>85</v>
      </c>
      <c r="F488">
        <v>220</v>
      </c>
      <c r="G488">
        <v>1050</v>
      </c>
      <c r="H488">
        <v>-2</v>
      </c>
      <c r="I488">
        <v>1983</v>
      </c>
      <c r="J488" t="s">
        <v>37</v>
      </c>
      <c r="K488">
        <v>2575</v>
      </c>
      <c r="L488">
        <v>15.93</v>
      </c>
      <c r="M488">
        <v>9.1</v>
      </c>
      <c r="N488">
        <v>88</v>
      </c>
      <c r="O488">
        <v>3</v>
      </c>
      <c r="P488">
        <v>3</v>
      </c>
      <c r="Q488">
        <v>2</v>
      </c>
      <c r="R488">
        <v>2.5</v>
      </c>
      <c r="S488">
        <v>2.5</v>
      </c>
      <c r="T488" t="s">
        <v>30</v>
      </c>
    </row>
    <row r="489" spans="1:20" x14ac:dyDescent="0.25">
      <c r="A489" t="s">
        <v>83</v>
      </c>
      <c r="B489">
        <v>3</v>
      </c>
      <c r="C489" t="s">
        <v>71</v>
      </c>
      <c r="D489" t="s">
        <v>84</v>
      </c>
      <c r="E489" t="s">
        <v>85</v>
      </c>
      <c r="F489">
        <v>220</v>
      </c>
      <c r="G489">
        <v>1050</v>
      </c>
      <c r="H489">
        <v>-2</v>
      </c>
      <c r="I489">
        <v>1983</v>
      </c>
      <c r="J489" t="s">
        <v>26</v>
      </c>
      <c r="K489">
        <v>2552</v>
      </c>
      <c r="L489">
        <v>14.25</v>
      </c>
      <c r="M489">
        <v>7.23</v>
      </c>
      <c r="N489">
        <v>63</v>
      </c>
      <c r="O489">
        <v>4</v>
      </c>
      <c r="P489">
        <v>3</v>
      </c>
      <c r="Q489">
        <v>3</v>
      </c>
      <c r="R489">
        <v>2.8</v>
      </c>
      <c r="S489">
        <v>2</v>
      </c>
      <c r="T489" t="s">
        <v>38</v>
      </c>
    </row>
    <row r="490" spans="1:20" x14ac:dyDescent="0.25">
      <c r="A490" t="s">
        <v>83</v>
      </c>
      <c r="B490">
        <v>3</v>
      </c>
      <c r="C490" t="s">
        <v>71</v>
      </c>
      <c r="D490" t="s">
        <v>84</v>
      </c>
      <c r="E490" t="s">
        <v>85</v>
      </c>
      <c r="F490">
        <v>220</v>
      </c>
      <c r="G490">
        <v>1050</v>
      </c>
      <c r="H490">
        <v>-2</v>
      </c>
      <c r="I490">
        <v>1983</v>
      </c>
      <c r="J490" t="s">
        <v>26</v>
      </c>
      <c r="K490">
        <v>2751</v>
      </c>
      <c r="L490">
        <v>12.35</v>
      </c>
      <c r="M490">
        <v>6.27</v>
      </c>
      <c r="N490">
        <v>71</v>
      </c>
      <c r="O490">
        <v>4</v>
      </c>
      <c r="P490">
        <v>4</v>
      </c>
      <c r="Q490">
        <v>2.5</v>
      </c>
      <c r="R490">
        <v>3.5</v>
      </c>
      <c r="S490">
        <v>2.5</v>
      </c>
      <c r="T490" t="s">
        <v>25</v>
      </c>
    </row>
    <row r="491" spans="1:20" x14ac:dyDescent="0.25">
      <c r="A491" t="s">
        <v>83</v>
      </c>
      <c r="B491">
        <v>3</v>
      </c>
      <c r="C491" t="s">
        <v>71</v>
      </c>
      <c r="D491" t="s">
        <v>84</v>
      </c>
      <c r="E491" t="s">
        <v>85</v>
      </c>
      <c r="F491">
        <v>220</v>
      </c>
      <c r="G491">
        <v>1050</v>
      </c>
      <c r="H491">
        <v>-2</v>
      </c>
      <c r="I491">
        <v>1983</v>
      </c>
      <c r="J491" t="s">
        <v>62</v>
      </c>
      <c r="K491">
        <v>2574</v>
      </c>
      <c r="L491">
        <v>7.22</v>
      </c>
      <c r="M491">
        <v>4.0999999999999996</v>
      </c>
      <c r="N491">
        <v>57</v>
      </c>
      <c r="O491">
        <v>3</v>
      </c>
      <c r="P491">
        <v>3</v>
      </c>
      <c r="Q491">
        <v>2</v>
      </c>
      <c r="R491">
        <v>3</v>
      </c>
      <c r="S491">
        <v>2</v>
      </c>
      <c r="T491" t="s">
        <v>38</v>
      </c>
    </row>
    <row r="492" spans="1:20" x14ac:dyDescent="0.25">
      <c r="A492" t="s">
        <v>86</v>
      </c>
      <c r="B492">
        <v>1</v>
      </c>
      <c r="C492" t="s">
        <v>71</v>
      </c>
      <c r="D492" t="s">
        <v>87</v>
      </c>
      <c r="E492" t="s">
        <v>88</v>
      </c>
      <c r="F492">
        <v>300</v>
      </c>
      <c r="G492">
        <v>1200</v>
      </c>
      <c r="H492">
        <v>-3</v>
      </c>
      <c r="I492">
        <v>1982</v>
      </c>
      <c r="J492" t="s">
        <v>76</v>
      </c>
      <c r="K492">
        <v>1592</v>
      </c>
      <c r="L492">
        <v>10.4</v>
      </c>
      <c r="M492">
        <v>5.77</v>
      </c>
      <c r="N492">
        <v>75</v>
      </c>
      <c r="O492">
        <v>3</v>
      </c>
      <c r="P492">
        <v>3</v>
      </c>
      <c r="Q492">
        <v>2</v>
      </c>
      <c r="R492">
        <v>3</v>
      </c>
      <c r="S492">
        <v>2</v>
      </c>
      <c r="T492" t="s">
        <v>38</v>
      </c>
    </row>
    <row r="493" spans="1:20" x14ac:dyDescent="0.25">
      <c r="A493" t="s">
        <v>86</v>
      </c>
      <c r="B493">
        <v>1</v>
      </c>
      <c r="C493" t="s">
        <v>71</v>
      </c>
      <c r="D493" t="s">
        <v>87</v>
      </c>
      <c r="E493" t="s">
        <v>88</v>
      </c>
      <c r="F493">
        <v>300</v>
      </c>
      <c r="G493">
        <v>1200</v>
      </c>
      <c r="H493">
        <v>-3</v>
      </c>
      <c r="I493">
        <v>1982</v>
      </c>
      <c r="J493" t="s">
        <v>76</v>
      </c>
      <c r="K493">
        <v>2560</v>
      </c>
      <c r="L493">
        <v>11.66</v>
      </c>
      <c r="M493">
        <v>7.27</v>
      </c>
      <c r="N493">
        <v>100</v>
      </c>
      <c r="O493">
        <v>3</v>
      </c>
      <c r="P493">
        <v>3</v>
      </c>
      <c r="Q493">
        <v>2</v>
      </c>
      <c r="R493">
        <v>3</v>
      </c>
      <c r="S493">
        <v>2</v>
      </c>
      <c r="T493" t="s">
        <v>38</v>
      </c>
    </row>
    <row r="494" spans="1:20" x14ac:dyDescent="0.25">
      <c r="A494" t="s">
        <v>86</v>
      </c>
      <c r="B494">
        <v>1</v>
      </c>
      <c r="C494" t="s">
        <v>71</v>
      </c>
      <c r="D494" t="s">
        <v>87</v>
      </c>
      <c r="E494" t="s">
        <v>88</v>
      </c>
      <c r="F494">
        <v>300</v>
      </c>
      <c r="G494">
        <v>1200</v>
      </c>
      <c r="H494">
        <v>-3</v>
      </c>
      <c r="I494">
        <v>1982</v>
      </c>
      <c r="J494" t="s">
        <v>56</v>
      </c>
      <c r="K494">
        <v>1111</v>
      </c>
      <c r="L494">
        <v>10.99</v>
      </c>
      <c r="M494">
        <v>7.2</v>
      </c>
      <c r="N494">
        <v>100</v>
      </c>
      <c r="O494">
        <v>2</v>
      </c>
      <c r="P494">
        <v>3</v>
      </c>
      <c r="Q494">
        <v>3</v>
      </c>
      <c r="R494">
        <v>3</v>
      </c>
      <c r="S494">
        <v>3</v>
      </c>
      <c r="T494" t="s">
        <v>38</v>
      </c>
    </row>
    <row r="495" spans="1:20" x14ac:dyDescent="0.25">
      <c r="A495" t="s">
        <v>86</v>
      </c>
      <c r="B495">
        <v>1</v>
      </c>
      <c r="C495" t="s">
        <v>71</v>
      </c>
      <c r="D495" t="s">
        <v>87</v>
      </c>
      <c r="E495" t="s">
        <v>88</v>
      </c>
      <c r="F495">
        <v>300</v>
      </c>
      <c r="G495">
        <v>1200</v>
      </c>
      <c r="H495">
        <v>-3</v>
      </c>
      <c r="I495">
        <v>1982</v>
      </c>
      <c r="J495" t="s">
        <v>57</v>
      </c>
      <c r="K495">
        <v>2620</v>
      </c>
      <c r="L495">
        <v>7.87</v>
      </c>
      <c r="M495">
        <v>6.25</v>
      </c>
      <c r="N495">
        <v>100</v>
      </c>
      <c r="O495">
        <v>3.5</v>
      </c>
      <c r="P495">
        <v>1.5</v>
      </c>
      <c r="Q495">
        <v>2</v>
      </c>
      <c r="R495">
        <v>2</v>
      </c>
      <c r="S495">
        <v>2</v>
      </c>
      <c r="T495" t="s">
        <v>30</v>
      </c>
    </row>
    <row r="496" spans="1:20" x14ac:dyDescent="0.25">
      <c r="A496" t="s">
        <v>86</v>
      </c>
      <c r="B496">
        <v>1</v>
      </c>
      <c r="C496" t="s">
        <v>71</v>
      </c>
      <c r="D496" t="s">
        <v>87</v>
      </c>
      <c r="E496" t="s">
        <v>88</v>
      </c>
      <c r="F496">
        <v>300</v>
      </c>
      <c r="G496">
        <v>1200</v>
      </c>
      <c r="H496">
        <v>-3</v>
      </c>
      <c r="I496">
        <v>1982</v>
      </c>
      <c r="J496" t="s">
        <v>57</v>
      </c>
      <c r="K496">
        <v>2621</v>
      </c>
      <c r="L496">
        <v>7.64</v>
      </c>
      <c r="M496">
        <v>6.72</v>
      </c>
      <c r="N496">
        <v>100</v>
      </c>
      <c r="O496">
        <v>3.5</v>
      </c>
      <c r="P496">
        <v>2</v>
      </c>
      <c r="Q496">
        <v>2</v>
      </c>
      <c r="R496">
        <v>2</v>
      </c>
      <c r="S496">
        <v>2</v>
      </c>
      <c r="T496" t="s">
        <v>30</v>
      </c>
    </row>
    <row r="497" spans="1:20" x14ac:dyDescent="0.25">
      <c r="A497" t="s">
        <v>86</v>
      </c>
      <c r="B497">
        <v>1</v>
      </c>
      <c r="C497" t="s">
        <v>71</v>
      </c>
      <c r="D497" t="s">
        <v>87</v>
      </c>
      <c r="E497" t="s">
        <v>88</v>
      </c>
      <c r="F497">
        <v>300</v>
      </c>
      <c r="G497">
        <v>1200</v>
      </c>
      <c r="H497">
        <v>-3</v>
      </c>
      <c r="I497">
        <v>1982</v>
      </c>
      <c r="J497" t="s">
        <v>58</v>
      </c>
      <c r="K497">
        <v>2638</v>
      </c>
      <c r="L497">
        <v>1.27</v>
      </c>
      <c r="M497">
        <v>1.74</v>
      </c>
      <c r="N497">
        <v>50</v>
      </c>
      <c r="O497">
        <v>1</v>
      </c>
      <c r="P497">
        <v>3</v>
      </c>
      <c r="Q497">
        <v>2</v>
      </c>
      <c r="R497">
        <v>3</v>
      </c>
      <c r="S497">
        <v>3</v>
      </c>
      <c r="T497" t="s">
        <v>50</v>
      </c>
    </row>
    <row r="498" spans="1:20" x14ac:dyDescent="0.25">
      <c r="A498" t="s">
        <v>86</v>
      </c>
      <c r="B498">
        <v>1</v>
      </c>
      <c r="C498" t="s">
        <v>71</v>
      </c>
      <c r="D498" t="s">
        <v>87</v>
      </c>
      <c r="E498" t="s">
        <v>88</v>
      </c>
      <c r="F498">
        <v>300</v>
      </c>
      <c r="G498">
        <v>1200</v>
      </c>
      <c r="H498">
        <v>-3</v>
      </c>
      <c r="I498">
        <v>1982</v>
      </c>
      <c r="J498" t="s">
        <v>59</v>
      </c>
      <c r="K498">
        <v>2426</v>
      </c>
      <c r="L498">
        <v>11.85</v>
      </c>
      <c r="M498">
        <v>7.47</v>
      </c>
      <c r="N498">
        <v>50</v>
      </c>
      <c r="O498">
        <v>3</v>
      </c>
      <c r="P498">
        <v>3</v>
      </c>
      <c r="Q498">
        <v>4</v>
      </c>
      <c r="R498">
        <v>3</v>
      </c>
      <c r="S498">
        <v>3</v>
      </c>
      <c r="T498" t="s">
        <v>38</v>
      </c>
    </row>
    <row r="499" spans="1:20" x14ac:dyDescent="0.25">
      <c r="A499" t="s">
        <v>86</v>
      </c>
      <c r="B499">
        <v>1</v>
      </c>
      <c r="C499" t="s">
        <v>71</v>
      </c>
      <c r="D499" t="s">
        <v>87</v>
      </c>
      <c r="E499" t="s">
        <v>88</v>
      </c>
      <c r="F499">
        <v>300</v>
      </c>
      <c r="G499">
        <v>1200</v>
      </c>
      <c r="H499">
        <v>-3</v>
      </c>
      <c r="I499">
        <v>1982</v>
      </c>
      <c r="J499" t="s">
        <v>59</v>
      </c>
      <c r="K499">
        <v>1482</v>
      </c>
      <c r="L499">
        <v>6.52</v>
      </c>
      <c r="M499">
        <v>5.81</v>
      </c>
      <c r="N499">
        <v>100</v>
      </c>
      <c r="O499">
        <v>3</v>
      </c>
      <c r="P499">
        <v>3</v>
      </c>
      <c r="Q499">
        <v>3</v>
      </c>
      <c r="R499">
        <v>3</v>
      </c>
      <c r="S499">
        <v>3</v>
      </c>
      <c r="T499" t="s">
        <v>25</v>
      </c>
    </row>
    <row r="500" spans="1:20" x14ac:dyDescent="0.25">
      <c r="A500" t="s">
        <v>86</v>
      </c>
      <c r="B500">
        <v>1</v>
      </c>
      <c r="C500" t="s">
        <v>71</v>
      </c>
      <c r="D500" t="s">
        <v>87</v>
      </c>
      <c r="E500" t="s">
        <v>88</v>
      </c>
      <c r="F500">
        <v>300</v>
      </c>
      <c r="G500">
        <v>1200</v>
      </c>
      <c r="H500">
        <v>-3</v>
      </c>
      <c r="I500">
        <v>1982</v>
      </c>
      <c r="J500" t="s">
        <v>59</v>
      </c>
      <c r="K500">
        <v>2548</v>
      </c>
      <c r="L500">
        <v>7.7</v>
      </c>
      <c r="M500">
        <v>5.69</v>
      </c>
      <c r="N500">
        <v>100</v>
      </c>
      <c r="O500">
        <v>3</v>
      </c>
      <c r="P500">
        <v>3</v>
      </c>
      <c r="Q500">
        <v>4</v>
      </c>
      <c r="R500">
        <v>4</v>
      </c>
      <c r="S500">
        <v>4</v>
      </c>
      <c r="T500" t="s">
        <v>38</v>
      </c>
    </row>
    <row r="501" spans="1:20" x14ac:dyDescent="0.25">
      <c r="A501" t="s">
        <v>86</v>
      </c>
      <c r="B501">
        <v>1</v>
      </c>
      <c r="C501" t="s">
        <v>71</v>
      </c>
      <c r="D501" t="s">
        <v>87</v>
      </c>
      <c r="E501" t="s">
        <v>88</v>
      </c>
      <c r="F501">
        <v>300</v>
      </c>
      <c r="G501">
        <v>1200</v>
      </c>
      <c r="H501">
        <v>-3</v>
      </c>
      <c r="I501">
        <v>1982</v>
      </c>
      <c r="J501" t="s">
        <v>61</v>
      </c>
      <c r="K501">
        <v>1171</v>
      </c>
      <c r="L501">
        <v>10.81</v>
      </c>
      <c r="M501">
        <v>3.45</v>
      </c>
      <c r="N501">
        <v>100</v>
      </c>
      <c r="O501">
        <v>3</v>
      </c>
      <c r="P501">
        <v>2</v>
      </c>
      <c r="Q501">
        <v>1</v>
      </c>
      <c r="R501">
        <v>1</v>
      </c>
      <c r="S501">
        <v>1</v>
      </c>
      <c r="T501" t="s">
        <v>50</v>
      </c>
    </row>
    <row r="502" spans="1:20" x14ac:dyDescent="0.25">
      <c r="A502" t="s">
        <v>86</v>
      </c>
      <c r="B502">
        <v>1</v>
      </c>
      <c r="C502" t="s">
        <v>71</v>
      </c>
      <c r="D502" t="s">
        <v>87</v>
      </c>
      <c r="E502" t="s">
        <v>88</v>
      </c>
      <c r="F502">
        <v>300</v>
      </c>
      <c r="G502">
        <v>1200</v>
      </c>
      <c r="H502">
        <v>-3</v>
      </c>
      <c r="I502">
        <v>1982</v>
      </c>
      <c r="J502" t="s">
        <v>61</v>
      </c>
      <c r="K502">
        <v>2631</v>
      </c>
      <c r="L502">
        <v>17.829999999999998</v>
      </c>
      <c r="M502">
        <v>6.56</v>
      </c>
      <c r="N502">
        <v>75</v>
      </c>
      <c r="O502">
        <v>4</v>
      </c>
      <c r="P502">
        <v>2</v>
      </c>
      <c r="Q502">
        <v>1</v>
      </c>
      <c r="R502">
        <v>1</v>
      </c>
      <c r="S502">
        <v>1</v>
      </c>
      <c r="T502" t="s">
        <v>30</v>
      </c>
    </row>
    <row r="503" spans="1:20" x14ac:dyDescent="0.25">
      <c r="A503" t="s">
        <v>86</v>
      </c>
      <c r="B503">
        <v>1</v>
      </c>
      <c r="C503" t="s">
        <v>71</v>
      </c>
      <c r="D503" t="s">
        <v>87</v>
      </c>
      <c r="E503" t="s">
        <v>88</v>
      </c>
      <c r="F503">
        <v>300</v>
      </c>
      <c r="G503">
        <v>1200</v>
      </c>
      <c r="H503">
        <v>-3</v>
      </c>
      <c r="I503">
        <v>1982</v>
      </c>
      <c r="J503" t="s">
        <v>32</v>
      </c>
      <c r="K503">
        <v>2569</v>
      </c>
      <c r="L503">
        <v>12.5</v>
      </c>
      <c r="M503">
        <v>6.62</v>
      </c>
      <c r="N503">
        <v>100</v>
      </c>
      <c r="O503">
        <v>3</v>
      </c>
      <c r="P503">
        <v>3</v>
      </c>
      <c r="Q503">
        <v>3</v>
      </c>
      <c r="R503">
        <v>3</v>
      </c>
      <c r="S503">
        <v>3</v>
      </c>
      <c r="T503" t="s">
        <v>25</v>
      </c>
    </row>
    <row r="504" spans="1:20" x14ac:dyDescent="0.25">
      <c r="A504" t="s">
        <v>86</v>
      </c>
      <c r="B504">
        <v>1</v>
      </c>
      <c r="C504" t="s">
        <v>71</v>
      </c>
      <c r="D504" t="s">
        <v>87</v>
      </c>
      <c r="E504" t="s">
        <v>88</v>
      </c>
      <c r="F504">
        <v>300</v>
      </c>
      <c r="G504">
        <v>1200</v>
      </c>
      <c r="H504">
        <v>-3</v>
      </c>
      <c r="I504">
        <v>1982</v>
      </c>
      <c r="J504" t="s">
        <v>32</v>
      </c>
      <c r="K504">
        <v>2634</v>
      </c>
      <c r="L504">
        <v>7.97</v>
      </c>
      <c r="M504">
        <v>5.88</v>
      </c>
      <c r="N504">
        <v>75</v>
      </c>
      <c r="O504">
        <v>2.5</v>
      </c>
      <c r="P504">
        <v>3</v>
      </c>
      <c r="Q504">
        <v>3</v>
      </c>
      <c r="R504">
        <v>3</v>
      </c>
      <c r="S504">
        <v>3.5</v>
      </c>
      <c r="T504" t="s">
        <v>38</v>
      </c>
    </row>
    <row r="505" spans="1:20" x14ac:dyDescent="0.25">
      <c r="A505" t="s">
        <v>86</v>
      </c>
      <c r="B505">
        <v>1</v>
      </c>
      <c r="C505" t="s">
        <v>71</v>
      </c>
      <c r="D505" t="s">
        <v>87</v>
      </c>
      <c r="E505" t="s">
        <v>88</v>
      </c>
      <c r="F505">
        <v>300</v>
      </c>
      <c r="G505">
        <v>1200</v>
      </c>
      <c r="H505">
        <v>-3</v>
      </c>
      <c r="I505">
        <v>1982</v>
      </c>
      <c r="J505" t="s">
        <v>32</v>
      </c>
      <c r="K505">
        <v>2635</v>
      </c>
      <c r="L505">
        <v>8.58</v>
      </c>
      <c r="M505">
        <v>7.48</v>
      </c>
      <c r="N505">
        <v>100</v>
      </c>
      <c r="O505">
        <v>3.5</v>
      </c>
      <c r="P505">
        <v>3</v>
      </c>
      <c r="Q505">
        <v>2.5</v>
      </c>
      <c r="R505">
        <v>3.5</v>
      </c>
      <c r="S505">
        <v>3</v>
      </c>
      <c r="T505" t="s">
        <v>25</v>
      </c>
    </row>
    <row r="506" spans="1:20" x14ac:dyDescent="0.25">
      <c r="A506" t="s">
        <v>86</v>
      </c>
      <c r="B506">
        <v>1</v>
      </c>
      <c r="C506" t="s">
        <v>71</v>
      </c>
      <c r="D506" t="s">
        <v>87</v>
      </c>
      <c r="E506" t="s">
        <v>88</v>
      </c>
      <c r="F506">
        <v>300</v>
      </c>
      <c r="G506">
        <v>1200</v>
      </c>
      <c r="H506">
        <v>-3</v>
      </c>
      <c r="I506">
        <v>1982</v>
      </c>
      <c r="J506" t="s">
        <v>34</v>
      </c>
      <c r="K506">
        <v>2570</v>
      </c>
      <c r="L506">
        <v>6.05</v>
      </c>
      <c r="M506">
        <v>5.44</v>
      </c>
      <c r="N506">
        <v>100</v>
      </c>
      <c r="O506">
        <v>3</v>
      </c>
      <c r="P506">
        <v>2.5</v>
      </c>
      <c r="Q506">
        <v>3.5</v>
      </c>
      <c r="R506">
        <v>3.5</v>
      </c>
      <c r="S506">
        <v>3</v>
      </c>
      <c r="T506" t="s">
        <v>38</v>
      </c>
    </row>
    <row r="507" spans="1:20" x14ac:dyDescent="0.25">
      <c r="A507" t="s">
        <v>86</v>
      </c>
      <c r="B507">
        <v>1</v>
      </c>
      <c r="C507" t="s">
        <v>71</v>
      </c>
      <c r="D507" t="s">
        <v>87</v>
      </c>
      <c r="E507" t="s">
        <v>88</v>
      </c>
      <c r="F507">
        <v>300</v>
      </c>
      <c r="G507">
        <v>1200</v>
      </c>
      <c r="H507">
        <v>-3</v>
      </c>
      <c r="I507">
        <v>1982</v>
      </c>
      <c r="J507" t="s">
        <v>35</v>
      </c>
      <c r="K507">
        <v>1788</v>
      </c>
      <c r="L507">
        <v>6.76</v>
      </c>
      <c r="M507">
        <v>6.76</v>
      </c>
      <c r="N507">
        <v>75</v>
      </c>
      <c r="O507">
        <v>1</v>
      </c>
      <c r="P507">
        <v>1</v>
      </c>
      <c r="Q507">
        <v>3</v>
      </c>
      <c r="R507">
        <v>3</v>
      </c>
      <c r="S507">
        <v>3</v>
      </c>
      <c r="T507" t="s">
        <v>50</v>
      </c>
    </row>
    <row r="508" spans="1:20" x14ac:dyDescent="0.25">
      <c r="A508" t="s">
        <v>86</v>
      </c>
      <c r="B508">
        <v>1</v>
      </c>
      <c r="C508" t="s">
        <v>71</v>
      </c>
      <c r="D508" t="s">
        <v>87</v>
      </c>
      <c r="E508" t="s">
        <v>88</v>
      </c>
      <c r="F508">
        <v>300</v>
      </c>
      <c r="G508">
        <v>1200</v>
      </c>
      <c r="H508">
        <v>-3</v>
      </c>
      <c r="I508">
        <v>1982</v>
      </c>
      <c r="J508" t="s">
        <v>35</v>
      </c>
      <c r="K508">
        <v>1259</v>
      </c>
      <c r="L508">
        <v>13.99</v>
      </c>
      <c r="M508">
        <v>9.09</v>
      </c>
      <c r="N508">
        <v>100</v>
      </c>
      <c r="O508">
        <v>4</v>
      </c>
      <c r="P508">
        <v>2</v>
      </c>
      <c r="Q508">
        <v>2</v>
      </c>
      <c r="R508">
        <v>2</v>
      </c>
      <c r="S508">
        <v>2</v>
      </c>
      <c r="T508" t="s">
        <v>38</v>
      </c>
    </row>
    <row r="509" spans="1:20" x14ac:dyDescent="0.25">
      <c r="A509" t="s">
        <v>86</v>
      </c>
      <c r="B509">
        <v>1</v>
      </c>
      <c r="C509" t="s">
        <v>71</v>
      </c>
      <c r="D509" t="s">
        <v>87</v>
      </c>
      <c r="E509" t="s">
        <v>88</v>
      </c>
      <c r="F509">
        <v>300</v>
      </c>
      <c r="G509">
        <v>1200</v>
      </c>
      <c r="H509">
        <v>-3</v>
      </c>
      <c r="I509">
        <v>1982</v>
      </c>
      <c r="J509" t="s">
        <v>35</v>
      </c>
      <c r="K509">
        <v>1785</v>
      </c>
      <c r="L509">
        <v>8.65</v>
      </c>
      <c r="M509">
        <v>5.95</v>
      </c>
      <c r="N509">
        <v>100</v>
      </c>
      <c r="O509">
        <v>1.5</v>
      </c>
      <c r="P509">
        <v>1</v>
      </c>
      <c r="Q509">
        <v>3</v>
      </c>
      <c r="R509">
        <v>3</v>
      </c>
      <c r="S509">
        <v>3</v>
      </c>
      <c r="T509" t="s">
        <v>50</v>
      </c>
    </row>
    <row r="510" spans="1:20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35</v>
      </c>
      <c r="K510">
        <v>2571</v>
      </c>
      <c r="L510">
        <v>16.79</v>
      </c>
      <c r="M510">
        <v>13.17</v>
      </c>
      <c r="N510">
        <v>100</v>
      </c>
      <c r="O510">
        <v>4</v>
      </c>
      <c r="P510">
        <v>2</v>
      </c>
      <c r="Q510">
        <v>3</v>
      </c>
      <c r="R510">
        <v>3</v>
      </c>
      <c r="S510">
        <v>2.5</v>
      </c>
      <c r="T510" t="s">
        <v>25</v>
      </c>
    </row>
    <row r="511" spans="1:20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36</v>
      </c>
      <c r="K511">
        <v>2573</v>
      </c>
      <c r="L511">
        <v>2.4500000000000002</v>
      </c>
      <c r="M511">
        <v>3.06</v>
      </c>
      <c r="N511">
        <v>50</v>
      </c>
      <c r="O511">
        <v>1.5</v>
      </c>
      <c r="P511">
        <v>4</v>
      </c>
      <c r="Q511">
        <v>1</v>
      </c>
      <c r="R511">
        <v>2</v>
      </c>
      <c r="S511">
        <v>3</v>
      </c>
      <c r="T511" t="s">
        <v>50</v>
      </c>
    </row>
    <row r="512" spans="1:20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62</v>
      </c>
      <c r="K512">
        <v>2550</v>
      </c>
      <c r="L512">
        <v>9.84</v>
      </c>
      <c r="M512">
        <v>8.68</v>
      </c>
      <c r="N512">
        <v>75</v>
      </c>
      <c r="O512">
        <v>2</v>
      </c>
      <c r="P512">
        <v>2</v>
      </c>
      <c r="Q512">
        <v>4</v>
      </c>
      <c r="R512">
        <v>4</v>
      </c>
      <c r="S512">
        <v>4</v>
      </c>
      <c r="T512" t="s">
        <v>38</v>
      </c>
    </row>
    <row r="513" spans="1:20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62</v>
      </c>
      <c r="K513">
        <v>1352</v>
      </c>
      <c r="L513">
        <v>4.9800000000000004</v>
      </c>
      <c r="M513">
        <v>4.05</v>
      </c>
      <c r="N513">
        <v>75</v>
      </c>
      <c r="O513">
        <v>2</v>
      </c>
      <c r="P513">
        <v>2.5</v>
      </c>
      <c r="Q513">
        <v>3</v>
      </c>
      <c r="R513">
        <v>3</v>
      </c>
      <c r="S513">
        <v>3</v>
      </c>
      <c r="T513" t="s">
        <v>30</v>
      </c>
    </row>
    <row r="514" spans="1:20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62</v>
      </c>
      <c r="K514">
        <v>2432</v>
      </c>
      <c r="L514">
        <v>8.92</v>
      </c>
      <c r="M514">
        <v>6.14</v>
      </c>
      <c r="N514">
        <v>75</v>
      </c>
      <c r="O514">
        <v>2.5</v>
      </c>
      <c r="P514">
        <v>3</v>
      </c>
      <c r="Q514">
        <v>4</v>
      </c>
      <c r="R514">
        <v>4</v>
      </c>
      <c r="S514">
        <v>3.5</v>
      </c>
      <c r="T514" t="s">
        <v>38</v>
      </c>
    </row>
    <row r="515" spans="1:20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62</v>
      </c>
      <c r="K515">
        <v>2553</v>
      </c>
      <c r="L515">
        <v>13.39</v>
      </c>
      <c r="M515">
        <v>6.6</v>
      </c>
      <c r="N515">
        <v>75</v>
      </c>
      <c r="O515">
        <v>3</v>
      </c>
      <c r="P515">
        <v>2.5</v>
      </c>
      <c r="Q515">
        <v>3</v>
      </c>
      <c r="R515">
        <v>3</v>
      </c>
      <c r="S515">
        <v>2.5</v>
      </c>
      <c r="T515" t="s">
        <v>38</v>
      </c>
    </row>
    <row r="516" spans="1:20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62</v>
      </c>
      <c r="K516">
        <v>2574</v>
      </c>
      <c r="L516">
        <v>13.43</v>
      </c>
      <c r="M516">
        <v>9.0299999999999994</v>
      </c>
      <c r="N516">
        <v>100</v>
      </c>
      <c r="O516">
        <v>4</v>
      </c>
      <c r="P516">
        <v>2</v>
      </c>
      <c r="Q516">
        <v>4</v>
      </c>
      <c r="R516">
        <v>3</v>
      </c>
      <c r="S516">
        <v>2.5</v>
      </c>
      <c r="T516" t="s">
        <v>25</v>
      </c>
    </row>
    <row r="517" spans="1:20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37</v>
      </c>
      <c r="K517">
        <v>2575</v>
      </c>
      <c r="L517">
        <v>9.84</v>
      </c>
      <c r="M517">
        <v>5.67</v>
      </c>
      <c r="N517">
        <v>100</v>
      </c>
      <c r="O517">
        <v>1.5</v>
      </c>
      <c r="P517">
        <v>1.5</v>
      </c>
      <c r="Q517">
        <v>2</v>
      </c>
      <c r="R517">
        <v>2</v>
      </c>
      <c r="S517">
        <v>2</v>
      </c>
      <c r="T517" t="s">
        <v>50</v>
      </c>
    </row>
    <row r="518" spans="1:20" x14ac:dyDescent="0.25">
      <c r="A518" t="s">
        <v>86</v>
      </c>
      <c r="B518">
        <v>2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76</v>
      </c>
      <c r="K518">
        <v>1592</v>
      </c>
      <c r="L518">
        <v>4.7300000000000004</v>
      </c>
      <c r="M518">
        <v>5.31</v>
      </c>
      <c r="N518">
        <v>100</v>
      </c>
      <c r="O518">
        <v>2</v>
      </c>
      <c r="P518">
        <v>3</v>
      </c>
      <c r="Q518">
        <v>3</v>
      </c>
      <c r="R518">
        <v>4</v>
      </c>
      <c r="S518">
        <v>4</v>
      </c>
      <c r="T518" t="s">
        <v>25</v>
      </c>
    </row>
    <row r="519" spans="1:20" x14ac:dyDescent="0.25">
      <c r="A519" t="s">
        <v>86</v>
      </c>
      <c r="B519">
        <v>2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76</v>
      </c>
      <c r="K519">
        <v>2560</v>
      </c>
      <c r="L519">
        <v>6.35</v>
      </c>
      <c r="M519">
        <v>4.62</v>
      </c>
      <c r="N519">
        <v>100</v>
      </c>
      <c r="O519">
        <v>3</v>
      </c>
      <c r="P519">
        <v>4</v>
      </c>
      <c r="Q519">
        <v>2</v>
      </c>
      <c r="R519">
        <v>3</v>
      </c>
      <c r="S519">
        <v>4</v>
      </c>
      <c r="T519" t="s">
        <v>38</v>
      </c>
    </row>
    <row r="520" spans="1:20" x14ac:dyDescent="0.25">
      <c r="A520" t="s">
        <v>86</v>
      </c>
      <c r="B520">
        <v>2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56</v>
      </c>
      <c r="K520">
        <v>1111</v>
      </c>
      <c r="L520">
        <v>18.989999999999998</v>
      </c>
      <c r="M520">
        <v>10.73</v>
      </c>
      <c r="N520">
        <v>75</v>
      </c>
      <c r="O520">
        <v>3</v>
      </c>
      <c r="P520">
        <v>3</v>
      </c>
      <c r="Q520">
        <v>3.5</v>
      </c>
      <c r="R520">
        <v>3</v>
      </c>
      <c r="S520">
        <v>3</v>
      </c>
      <c r="T520" t="s">
        <v>25</v>
      </c>
    </row>
    <row r="521" spans="1:20" x14ac:dyDescent="0.25">
      <c r="A521" t="s">
        <v>86</v>
      </c>
      <c r="B521">
        <v>2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57</v>
      </c>
      <c r="K521">
        <v>2620</v>
      </c>
      <c r="L521">
        <v>7.3</v>
      </c>
      <c r="M521">
        <v>5.91</v>
      </c>
      <c r="N521">
        <v>100</v>
      </c>
      <c r="O521">
        <v>2</v>
      </c>
      <c r="P521">
        <v>2</v>
      </c>
      <c r="Q521">
        <v>3</v>
      </c>
      <c r="R521">
        <v>4</v>
      </c>
      <c r="S521">
        <v>4</v>
      </c>
      <c r="T521" t="s">
        <v>30</v>
      </c>
    </row>
    <row r="522" spans="1:20" x14ac:dyDescent="0.25">
      <c r="A522" t="s">
        <v>86</v>
      </c>
      <c r="B522">
        <v>2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57</v>
      </c>
      <c r="K522">
        <v>2621</v>
      </c>
      <c r="L522">
        <v>8.11</v>
      </c>
      <c r="M522">
        <v>4.9800000000000004</v>
      </c>
      <c r="N522">
        <v>100</v>
      </c>
      <c r="O522">
        <v>3</v>
      </c>
      <c r="P522">
        <v>1</v>
      </c>
      <c r="Q522">
        <v>4</v>
      </c>
      <c r="R522">
        <v>4</v>
      </c>
      <c r="S522">
        <v>4</v>
      </c>
      <c r="T522" t="s">
        <v>38</v>
      </c>
    </row>
    <row r="523" spans="1:20" x14ac:dyDescent="0.25">
      <c r="A523" t="s">
        <v>86</v>
      </c>
      <c r="B523">
        <v>2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58</v>
      </c>
      <c r="K523">
        <v>2638</v>
      </c>
      <c r="L523">
        <v>5.25</v>
      </c>
      <c r="M523">
        <v>3.5</v>
      </c>
      <c r="N523">
        <v>50</v>
      </c>
      <c r="O523">
        <v>2</v>
      </c>
      <c r="P523">
        <v>3</v>
      </c>
      <c r="Q523">
        <v>3</v>
      </c>
      <c r="R523">
        <v>3</v>
      </c>
      <c r="S523">
        <v>4</v>
      </c>
      <c r="T523" t="s">
        <v>30</v>
      </c>
    </row>
    <row r="524" spans="1:20" x14ac:dyDescent="0.25">
      <c r="A524" t="s">
        <v>86</v>
      </c>
      <c r="B524">
        <v>2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59</v>
      </c>
      <c r="K524">
        <v>2426</v>
      </c>
      <c r="L524">
        <v>16.690000000000001</v>
      </c>
      <c r="M524">
        <v>9.48</v>
      </c>
      <c r="N524">
        <v>50</v>
      </c>
      <c r="O524">
        <v>4</v>
      </c>
      <c r="P524">
        <v>3</v>
      </c>
      <c r="Q524">
        <v>4</v>
      </c>
      <c r="R524">
        <v>4</v>
      </c>
      <c r="S524">
        <v>3</v>
      </c>
      <c r="T524" t="s">
        <v>27</v>
      </c>
    </row>
    <row r="525" spans="1:20" x14ac:dyDescent="0.25">
      <c r="A525" t="s">
        <v>86</v>
      </c>
      <c r="B525">
        <v>2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59</v>
      </c>
      <c r="K525">
        <v>1482</v>
      </c>
      <c r="L525">
        <v>2.37</v>
      </c>
      <c r="M525">
        <v>2.73</v>
      </c>
      <c r="N525">
        <v>50</v>
      </c>
      <c r="O525">
        <v>1</v>
      </c>
      <c r="P525">
        <v>3</v>
      </c>
      <c r="Q525">
        <v>3</v>
      </c>
      <c r="R525">
        <v>3</v>
      </c>
      <c r="S525">
        <v>3</v>
      </c>
      <c r="T525" t="s">
        <v>50</v>
      </c>
    </row>
    <row r="526" spans="1:20" x14ac:dyDescent="0.25">
      <c r="A526" t="s">
        <v>86</v>
      </c>
      <c r="B526">
        <v>2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59</v>
      </c>
      <c r="K526">
        <v>2548</v>
      </c>
      <c r="L526">
        <v>10.08</v>
      </c>
      <c r="M526">
        <v>6.52</v>
      </c>
      <c r="N526">
        <v>50</v>
      </c>
      <c r="O526">
        <v>3</v>
      </c>
      <c r="P526">
        <v>3</v>
      </c>
      <c r="Q526">
        <v>4</v>
      </c>
      <c r="R526">
        <v>4</v>
      </c>
      <c r="S526">
        <v>4</v>
      </c>
      <c r="T526" t="s">
        <v>38</v>
      </c>
    </row>
    <row r="527" spans="1:20" x14ac:dyDescent="0.25">
      <c r="A527" t="s">
        <v>86</v>
      </c>
      <c r="B527">
        <v>2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26</v>
      </c>
      <c r="K527">
        <v>2552</v>
      </c>
      <c r="L527">
        <v>17.190000000000001</v>
      </c>
      <c r="M527">
        <v>12.45</v>
      </c>
      <c r="N527">
        <v>50</v>
      </c>
      <c r="O527">
        <v>4</v>
      </c>
      <c r="P527">
        <v>4</v>
      </c>
      <c r="Q527">
        <v>4</v>
      </c>
      <c r="R527">
        <v>4</v>
      </c>
      <c r="S527">
        <v>4</v>
      </c>
      <c r="T527" t="s">
        <v>25</v>
      </c>
    </row>
    <row r="528" spans="1:20" x14ac:dyDescent="0.25">
      <c r="A528" t="s">
        <v>86</v>
      </c>
      <c r="B528">
        <v>2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61</v>
      </c>
      <c r="K528">
        <v>1171</v>
      </c>
      <c r="L528">
        <v>1.27</v>
      </c>
      <c r="M528">
        <v>1.1200000000000001</v>
      </c>
      <c r="N528">
        <v>25</v>
      </c>
      <c r="O528">
        <v>1.5</v>
      </c>
      <c r="P528">
        <v>3</v>
      </c>
      <c r="Q528">
        <v>0</v>
      </c>
      <c r="R528">
        <v>2</v>
      </c>
      <c r="S528">
        <v>3</v>
      </c>
      <c r="T528" t="s">
        <v>50</v>
      </c>
    </row>
    <row r="529" spans="1:20" x14ac:dyDescent="0.25">
      <c r="A529" t="s">
        <v>86</v>
      </c>
      <c r="B529">
        <v>2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61</v>
      </c>
      <c r="K529">
        <v>2631</v>
      </c>
      <c r="L529">
        <v>5.75</v>
      </c>
      <c r="M529">
        <v>4.5999999999999996</v>
      </c>
      <c r="N529">
        <v>25</v>
      </c>
      <c r="O529">
        <v>2</v>
      </c>
      <c r="P529">
        <v>2</v>
      </c>
      <c r="Q529">
        <v>3</v>
      </c>
      <c r="R529">
        <v>3</v>
      </c>
      <c r="S529">
        <v>3</v>
      </c>
      <c r="T529" t="s">
        <v>50</v>
      </c>
    </row>
    <row r="530" spans="1:20" x14ac:dyDescent="0.25">
      <c r="A530" t="s">
        <v>86</v>
      </c>
      <c r="B530">
        <v>2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32</v>
      </c>
      <c r="K530">
        <v>1595</v>
      </c>
      <c r="L530">
        <v>15.69</v>
      </c>
      <c r="M530">
        <v>8.9499999999999993</v>
      </c>
      <c r="N530">
        <v>100</v>
      </c>
      <c r="O530">
        <v>3</v>
      </c>
      <c r="P530">
        <v>3</v>
      </c>
      <c r="Q530">
        <v>4</v>
      </c>
      <c r="R530">
        <v>4</v>
      </c>
      <c r="S530">
        <v>3</v>
      </c>
      <c r="T530" t="s">
        <v>25</v>
      </c>
    </row>
    <row r="531" spans="1:20" x14ac:dyDescent="0.25">
      <c r="A531" t="s">
        <v>86</v>
      </c>
      <c r="B531">
        <v>2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32</v>
      </c>
      <c r="K531">
        <v>2569</v>
      </c>
      <c r="L531">
        <v>17.03</v>
      </c>
      <c r="M531">
        <v>10.42</v>
      </c>
      <c r="N531">
        <v>100</v>
      </c>
      <c r="O531">
        <v>3</v>
      </c>
      <c r="P531">
        <v>3</v>
      </c>
      <c r="Q531">
        <v>4</v>
      </c>
      <c r="R531">
        <v>4</v>
      </c>
      <c r="S531">
        <v>3</v>
      </c>
      <c r="T531" t="s">
        <v>25</v>
      </c>
    </row>
    <row r="532" spans="1:20" x14ac:dyDescent="0.25">
      <c r="A532" t="s">
        <v>86</v>
      </c>
      <c r="B532">
        <v>2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32</v>
      </c>
      <c r="K532">
        <v>2634</v>
      </c>
      <c r="L532">
        <v>17.77</v>
      </c>
      <c r="M532">
        <v>10.42</v>
      </c>
      <c r="N532">
        <v>50</v>
      </c>
      <c r="O532">
        <v>3</v>
      </c>
      <c r="P532">
        <v>3</v>
      </c>
      <c r="Q532">
        <v>2</v>
      </c>
      <c r="R532">
        <v>2</v>
      </c>
      <c r="S532">
        <v>2</v>
      </c>
      <c r="T532" t="s">
        <v>38</v>
      </c>
    </row>
    <row r="533" spans="1:20" x14ac:dyDescent="0.25">
      <c r="A533" t="s">
        <v>86</v>
      </c>
      <c r="B533">
        <v>2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32</v>
      </c>
      <c r="K533">
        <v>2635</v>
      </c>
      <c r="L533">
        <v>17.399999999999999</v>
      </c>
      <c r="M533">
        <v>10.66</v>
      </c>
      <c r="N533">
        <v>75</v>
      </c>
      <c r="O533">
        <v>3</v>
      </c>
      <c r="P533">
        <v>2</v>
      </c>
      <c r="Q533">
        <v>4</v>
      </c>
      <c r="R533">
        <v>4</v>
      </c>
      <c r="S533">
        <v>3</v>
      </c>
      <c r="T533" t="s">
        <v>25</v>
      </c>
    </row>
    <row r="534" spans="1:20" x14ac:dyDescent="0.25">
      <c r="A534" t="s">
        <v>86</v>
      </c>
      <c r="B534">
        <v>2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34</v>
      </c>
      <c r="K534">
        <v>2570</v>
      </c>
      <c r="L534">
        <v>10.16</v>
      </c>
      <c r="M534">
        <v>7.74</v>
      </c>
      <c r="N534">
        <v>100</v>
      </c>
      <c r="O534">
        <v>3</v>
      </c>
      <c r="P534">
        <v>3</v>
      </c>
      <c r="Q534">
        <v>4</v>
      </c>
      <c r="R534">
        <v>4</v>
      </c>
      <c r="S534">
        <v>4</v>
      </c>
      <c r="T534" t="s">
        <v>25</v>
      </c>
    </row>
    <row r="535" spans="1:20" x14ac:dyDescent="0.25">
      <c r="A535" t="s">
        <v>86</v>
      </c>
      <c r="B535">
        <v>2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35</v>
      </c>
      <c r="K535">
        <v>1788</v>
      </c>
      <c r="L535">
        <v>6.06</v>
      </c>
      <c r="M535">
        <v>4.2</v>
      </c>
      <c r="N535">
        <v>100</v>
      </c>
      <c r="O535">
        <v>1.5</v>
      </c>
      <c r="P535">
        <v>1.5</v>
      </c>
      <c r="Q535">
        <v>2</v>
      </c>
      <c r="R535">
        <v>2</v>
      </c>
      <c r="S535">
        <v>1</v>
      </c>
      <c r="T535" t="s">
        <v>50</v>
      </c>
    </row>
    <row r="536" spans="1:20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35</v>
      </c>
      <c r="K536">
        <v>1259</v>
      </c>
      <c r="L536">
        <v>10.37</v>
      </c>
      <c r="M536">
        <v>5.6</v>
      </c>
      <c r="N536">
        <v>100</v>
      </c>
      <c r="O536">
        <v>3</v>
      </c>
      <c r="P536">
        <v>2</v>
      </c>
      <c r="Q536">
        <v>2</v>
      </c>
      <c r="R536">
        <v>2</v>
      </c>
      <c r="S536">
        <v>1</v>
      </c>
      <c r="T536" t="s">
        <v>30</v>
      </c>
    </row>
    <row r="537" spans="1:20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35</v>
      </c>
      <c r="K537">
        <v>1785</v>
      </c>
      <c r="L537">
        <v>2.56</v>
      </c>
      <c r="M537">
        <v>2.91</v>
      </c>
      <c r="N537">
        <v>75</v>
      </c>
      <c r="O537">
        <v>1</v>
      </c>
      <c r="P537">
        <v>1</v>
      </c>
      <c r="Q537">
        <v>2</v>
      </c>
      <c r="R537">
        <v>2</v>
      </c>
      <c r="S537">
        <v>3</v>
      </c>
      <c r="T537" t="s">
        <v>50</v>
      </c>
    </row>
    <row r="538" spans="1:20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35</v>
      </c>
      <c r="K538">
        <v>2571</v>
      </c>
      <c r="L538">
        <v>8.98</v>
      </c>
      <c r="M538">
        <v>4.08</v>
      </c>
      <c r="N538">
        <v>75</v>
      </c>
      <c r="O538">
        <v>4</v>
      </c>
      <c r="P538">
        <v>2</v>
      </c>
      <c r="Q538">
        <v>2</v>
      </c>
      <c r="R538">
        <v>2</v>
      </c>
      <c r="S538">
        <v>2</v>
      </c>
      <c r="T538" t="s">
        <v>38</v>
      </c>
    </row>
    <row r="539" spans="1:20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36</v>
      </c>
      <c r="K539">
        <v>2573</v>
      </c>
      <c r="L539">
        <v>7.84</v>
      </c>
      <c r="M539">
        <v>4.29</v>
      </c>
      <c r="N539">
        <v>25</v>
      </c>
      <c r="O539">
        <v>2</v>
      </c>
      <c r="P539">
        <v>4</v>
      </c>
      <c r="Q539">
        <v>1</v>
      </c>
      <c r="R539">
        <v>2</v>
      </c>
      <c r="S539">
        <v>3</v>
      </c>
      <c r="T539" t="s">
        <v>50</v>
      </c>
    </row>
    <row r="540" spans="1:20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62</v>
      </c>
      <c r="K540">
        <v>2550</v>
      </c>
      <c r="L540">
        <v>5.44</v>
      </c>
      <c r="M540">
        <v>4.05</v>
      </c>
      <c r="N540">
        <v>50</v>
      </c>
      <c r="O540">
        <v>1</v>
      </c>
      <c r="P540">
        <v>2</v>
      </c>
      <c r="Q540">
        <v>3</v>
      </c>
      <c r="R540">
        <v>3</v>
      </c>
      <c r="S540">
        <v>3</v>
      </c>
      <c r="T540" t="s">
        <v>50</v>
      </c>
    </row>
    <row r="541" spans="1:20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62</v>
      </c>
      <c r="K541">
        <v>1352</v>
      </c>
      <c r="L541">
        <v>11.93</v>
      </c>
      <c r="M541">
        <v>11</v>
      </c>
      <c r="N541">
        <v>100</v>
      </c>
      <c r="O541">
        <v>3.5</v>
      </c>
      <c r="P541">
        <v>3</v>
      </c>
      <c r="Q541">
        <v>4</v>
      </c>
      <c r="R541">
        <v>4</v>
      </c>
      <c r="S541">
        <v>3.5</v>
      </c>
      <c r="T541" t="s">
        <v>25</v>
      </c>
    </row>
    <row r="542" spans="1:20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62</v>
      </c>
      <c r="K542">
        <v>2432</v>
      </c>
      <c r="L542">
        <v>12.39</v>
      </c>
      <c r="M542">
        <v>10.77</v>
      </c>
      <c r="N542">
        <v>75</v>
      </c>
      <c r="O542">
        <v>3</v>
      </c>
      <c r="P542">
        <v>3</v>
      </c>
      <c r="Q542">
        <v>4</v>
      </c>
      <c r="R542">
        <v>4</v>
      </c>
      <c r="S542">
        <v>4</v>
      </c>
      <c r="T542" t="s">
        <v>25</v>
      </c>
    </row>
    <row r="543" spans="1:20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62</v>
      </c>
      <c r="K543">
        <v>2553</v>
      </c>
      <c r="L543">
        <v>17.95</v>
      </c>
      <c r="M543">
        <v>13.66</v>
      </c>
      <c r="N543">
        <v>100</v>
      </c>
      <c r="O543">
        <v>5</v>
      </c>
      <c r="P543">
        <v>3</v>
      </c>
      <c r="Q543">
        <v>4.5</v>
      </c>
      <c r="R543">
        <v>4.5</v>
      </c>
      <c r="S543">
        <v>4</v>
      </c>
      <c r="T543" t="s">
        <v>27</v>
      </c>
    </row>
    <row r="544" spans="1:20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62</v>
      </c>
      <c r="K544">
        <v>2574</v>
      </c>
      <c r="L544">
        <v>10.07</v>
      </c>
      <c r="M544">
        <v>12.74</v>
      </c>
      <c r="N544">
        <v>100</v>
      </c>
      <c r="O544">
        <v>2.5</v>
      </c>
      <c r="P544">
        <v>2.5</v>
      </c>
      <c r="Q544">
        <v>5</v>
      </c>
      <c r="R544">
        <v>5</v>
      </c>
      <c r="S544">
        <v>5</v>
      </c>
      <c r="T544" t="s">
        <v>25</v>
      </c>
    </row>
    <row r="545" spans="1:20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37</v>
      </c>
      <c r="K545">
        <v>2575</v>
      </c>
      <c r="L545">
        <v>8.56</v>
      </c>
      <c r="M545">
        <v>3.33</v>
      </c>
      <c r="N545">
        <v>75</v>
      </c>
      <c r="O545">
        <v>2</v>
      </c>
      <c r="P545">
        <v>3</v>
      </c>
      <c r="Q545">
        <v>2</v>
      </c>
      <c r="R545">
        <v>2</v>
      </c>
      <c r="S545">
        <v>2</v>
      </c>
      <c r="T545" t="s">
        <v>50</v>
      </c>
    </row>
    <row r="546" spans="1:20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63</v>
      </c>
      <c r="K546">
        <v>1340</v>
      </c>
      <c r="L546">
        <v>1.56</v>
      </c>
      <c r="M546">
        <v>2.16</v>
      </c>
      <c r="N546">
        <v>50</v>
      </c>
      <c r="O546">
        <v>1</v>
      </c>
      <c r="P546">
        <v>2</v>
      </c>
      <c r="Q546">
        <v>2</v>
      </c>
      <c r="R546">
        <v>2</v>
      </c>
      <c r="S546">
        <v>3</v>
      </c>
      <c r="T546" t="s">
        <v>50</v>
      </c>
    </row>
    <row r="547" spans="1:20" x14ac:dyDescent="0.25">
      <c r="A547" t="s">
        <v>86</v>
      </c>
      <c r="B547">
        <v>3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76</v>
      </c>
      <c r="K547">
        <v>1592</v>
      </c>
      <c r="L547">
        <v>20.43</v>
      </c>
      <c r="M547">
        <v>10.39</v>
      </c>
      <c r="N547">
        <v>75</v>
      </c>
      <c r="O547">
        <v>3</v>
      </c>
      <c r="P547">
        <v>4</v>
      </c>
      <c r="Q547">
        <v>2</v>
      </c>
      <c r="R547">
        <v>3</v>
      </c>
      <c r="S547">
        <v>2</v>
      </c>
      <c r="T547" t="s">
        <v>25</v>
      </c>
    </row>
    <row r="548" spans="1:20" x14ac:dyDescent="0.25">
      <c r="A548" t="s">
        <v>86</v>
      </c>
      <c r="B548">
        <v>3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76</v>
      </c>
      <c r="K548">
        <v>2560</v>
      </c>
      <c r="L548">
        <v>16.04</v>
      </c>
      <c r="M548">
        <v>8.66</v>
      </c>
      <c r="N548">
        <v>100</v>
      </c>
      <c r="O548">
        <v>3</v>
      </c>
      <c r="P548">
        <v>4</v>
      </c>
      <c r="Q548">
        <v>4</v>
      </c>
      <c r="R548">
        <v>4</v>
      </c>
      <c r="S548">
        <v>4</v>
      </c>
      <c r="T548" t="s">
        <v>25</v>
      </c>
    </row>
    <row r="549" spans="1:20" x14ac:dyDescent="0.25">
      <c r="A549" t="s">
        <v>86</v>
      </c>
      <c r="B549">
        <v>3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56</v>
      </c>
      <c r="K549">
        <v>1111</v>
      </c>
      <c r="L549">
        <v>11.9</v>
      </c>
      <c r="M549">
        <v>7.2</v>
      </c>
      <c r="N549">
        <v>100</v>
      </c>
      <c r="O549">
        <v>3</v>
      </c>
      <c r="P549">
        <v>2</v>
      </c>
      <c r="Q549">
        <v>3</v>
      </c>
      <c r="R549">
        <v>3</v>
      </c>
      <c r="S549">
        <v>3</v>
      </c>
      <c r="T549" t="s">
        <v>38</v>
      </c>
    </row>
    <row r="550" spans="1:20" x14ac:dyDescent="0.25">
      <c r="A550" t="s">
        <v>86</v>
      </c>
      <c r="B550">
        <v>3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57</v>
      </c>
      <c r="K550">
        <v>2620</v>
      </c>
      <c r="L550">
        <v>2.66</v>
      </c>
      <c r="M550">
        <v>2.08</v>
      </c>
      <c r="N550">
        <v>100</v>
      </c>
      <c r="O550">
        <v>2</v>
      </c>
      <c r="P550">
        <v>1.5</v>
      </c>
      <c r="Q550">
        <v>1</v>
      </c>
      <c r="R550">
        <v>2</v>
      </c>
      <c r="S550">
        <v>3</v>
      </c>
      <c r="T550" t="s">
        <v>50</v>
      </c>
    </row>
    <row r="551" spans="1:20" x14ac:dyDescent="0.25">
      <c r="A551" t="s">
        <v>86</v>
      </c>
      <c r="B551">
        <v>3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57</v>
      </c>
      <c r="K551">
        <v>2621</v>
      </c>
      <c r="L551">
        <v>5.0999999999999996</v>
      </c>
      <c r="M551">
        <v>2.66</v>
      </c>
      <c r="N551">
        <v>75</v>
      </c>
      <c r="O551">
        <v>3</v>
      </c>
      <c r="P551">
        <v>2</v>
      </c>
      <c r="Q551">
        <v>2</v>
      </c>
      <c r="R551">
        <v>2</v>
      </c>
      <c r="S551">
        <v>3</v>
      </c>
      <c r="T551" t="s">
        <v>30</v>
      </c>
    </row>
    <row r="552" spans="1:20" x14ac:dyDescent="0.25">
      <c r="A552" t="s">
        <v>86</v>
      </c>
      <c r="B552">
        <v>3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58</v>
      </c>
      <c r="K552">
        <v>2638</v>
      </c>
      <c r="L552">
        <v>12.24</v>
      </c>
      <c r="M552">
        <v>5.83</v>
      </c>
      <c r="N552">
        <v>25</v>
      </c>
      <c r="O552">
        <v>2</v>
      </c>
      <c r="P552">
        <v>3</v>
      </c>
      <c r="Q552">
        <v>3</v>
      </c>
      <c r="R552">
        <v>3</v>
      </c>
      <c r="S552">
        <v>3</v>
      </c>
      <c r="T552" t="s">
        <v>30</v>
      </c>
    </row>
    <row r="553" spans="1:20" x14ac:dyDescent="0.25">
      <c r="A553" t="s">
        <v>86</v>
      </c>
      <c r="B553">
        <v>3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59</v>
      </c>
      <c r="K553">
        <v>2426</v>
      </c>
      <c r="L553">
        <v>21.93</v>
      </c>
      <c r="M553">
        <v>9.84</v>
      </c>
      <c r="N553">
        <v>100</v>
      </c>
      <c r="O553">
        <v>4</v>
      </c>
      <c r="P553">
        <v>3</v>
      </c>
      <c r="Q553">
        <v>3.5</v>
      </c>
      <c r="R553">
        <v>3</v>
      </c>
      <c r="S553">
        <v>2</v>
      </c>
      <c r="T553" t="s">
        <v>25</v>
      </c>
    </row>
    <row r="554" spans="1:20" x14ac:dyDescent="0.25">
      <c r="A554" t="s">
        <v>86</v>
      </c>
      <c r="B554">
        <v>3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59</v>
      </c>
      <c r="K554">
        <v>1482</v>
      </c>
      <c r="L554">
        <v>24.16</v>
      </c>
      <c r="M554">
        <v>10.31</v>
      </c>
      <c r="N554">
        <v>75</v>
      </c>
      <c r="O554">
        <v>4.5</v>
      </c>
      <c r="P554">
        <v>3</v>
      </c>
      <c r="Q554">
        <v>4</v>
      </c>
      <c r="R554">
        <v>3</v>
      </c>
      <c r="S554">
        <v>2</v>
      </c>
      <c r="T554" t="s">
        <v>25</v>
      </c>
    </row>
    <row r="555" spans="1:20" x14ac:dyDescent="0.25">
      <c r="A555" t="s">
        <v>86</v>
      </c>
      <c r="B555">
        <v>3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59</v>
      </c>
      <c r="K555">
        <v>2548</v>
      </c>
      <c r="L555">
        <v>24.77</v>
      </c>
      <c r="M555">
        <v>10.67</v>
      </c>
      <c r="N555">
        <v>100</v>
      </c>
      <c r="O555">
        <v>4.5</v>
      </c>
      <c r="P555">
        <v>3</v>
      </c>
      <c r="Q555">
        <v>4</v>
      </c>
      <c r="R555">
        <v>3</v>
      </c>
      <c r="S555">
        <v>2</v>
      </c>
      <c r="T555" t="s">
        <v>25</v>
      </c>
    </row>
    <row r="556" spans="1:20" x14ac:dyDescent="0.25">
      <c r="A556" t="s">
        <v>86</v>
      </c>
      <c r="B556">
        <v>3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26</v>
      </c>
      <c r="K556">
        <v>2552</v>
      </c>
      <c r="L556">
        <v>16.829999999999998</v>
      </c>
      <c r="M556">
        <v>10.31</v>
      </c>
      <c r="N556">
        <v>75</v>
      </c>
      <c r="O556">
        <v>4</v>
      </c>
      <c r="P556">
        <v>3</v>
      </c>
      <c r="Q556">
        <v>4</v>
      </c>
      <c r="R556">
        <v>4</v>
      </c>
      <c r="S556">
        <v>3</v>
      </c>
      <c r="T556" t="s">
        <v>27</v>
      </c>
    </row>
    <row r="557" spans="1:20" x14ac:dyDescent="0.25">
      <c r="A557" t="s">
        <v>86</v>
      </c>
      <c r="B557">
        <v>3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61</v>
      </c>
      <c r="K557">
        <v>1171</v>
      </c>
      <c r="L557">
        <v>8.4</v>
      </c>
      <c r="M557">
        <v>3.91</v>
      </c>
      <c r="N557">
        <v>100</v>
      </c>
      <c r="O557">
        <v>3</v>
      </c>
      <c r="P557">
        <v>2</v>
      </c>
      <c r="Q557">
        <v>1</v>
      </c>
      <c r="R557">
        <v>2</v>
      </c>
      <c r="S557">
        <v>1</v>
      </c>
      <c r="T557" t="s">
        <v>50</v>
      </c>
    </row>
    <row r="558" spans="1:20" x14ac:dyDescent="0.25">
      <c r="A558" t="s">
        <v>86</v>
      </c>
      <c r="B558">
        <v>3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61</v>
      </c>
      <c r="K558">
        <v>2631</v>
      </c>
      <c r="L558">
        <v>5.75</v>
      </c>
      <c r="M558">
        <v>4.26</v>
      </c>
      <c r="N558">
        <v>75</v>
      </c>
      <c r="O558">
        <v>2</v>
      </c>
      <c r="P558">
        <v>3</v>
      </c>
      <c r="Q558">
        <v>2</v>
      </c>
      <c r="R558">
        <v>2</v>
      </c>
      <c r="S558">
        <v>2</v>
      </c>
      <c r="T558" t="s">
        <v>50</v>
      </c>
    </row>
    <row r="559" spans="1:20" x14ac:dyDescent="0.25">
      <c r="A559" t="s">
        <v>86</v>
      </c>
      <c r="B559">
        <v>3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32</v>
      </c>
      <c r="K559">
        <v>1595</v>
      </c>
      <c r="L559">
        <v>16.54</v>
      </c>
      <c r="M559">
        <v>7.23</v>
      </c>
      <c r="N559">
        <v>100</v>
      </c>
      <c r="O559">
        <v>3</v>
      </c>
      <c r="P559">
        <v>2.5</v>
      </c>
      <c r="Q559">
        <v>3</v>
      </c>
      <c r="R559">
        <v>4</v>
      </c>
      <c r="S559">
        <v>2</v>
      </c>
      <c r="T559" t="s">
        <v>25</v>
      </c>
    </row>
    <row r="560" spans="1:20" x14ac:dyDescent="0.25">
      <c r="A560" t="s">
        <v>86</v>
      </c>
      <c r="B560">
        <v>3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32</v>
      </c>
      <c r="K560">
        <v>2569</v>
      </c>
      <c r="L560">
        <v>13.73</v>
      </c>
      <c r="M560">
        <v>7.6</v>
      </c>
      <c r="N560">
        <v>75</v>
      </c>
      <c r="O560">
        <v>2.5</v>
      </c>
      <c r="P560">
        <v>2</v>
      </c>
      <c r="Q560">
        <v>3</v>
      </c>
      <c r="R560">
        <v>3</v>
      </c>
      <c r="S560">
        <v>3</v>
      </c>
      <c r="T560" t="s">
        <v>38</v>
      </c>
    </row>
    <row r="561" spans="1:20" x14ac:dyDescent="0.25">
      <c r="A561" t="s">
        <v>86</v>
      </c>
      <c r="B561">
        <v>3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32</v>
      </c>
      <c r="K561">
        <v>2634</v>
      </c>
      <c r="L561">
        <v>16.3</v>
      </c>
      <c r="M561">
        <v>7.84</v>
      </c>
      <c r="N561">
        <v>100</v>
      </c>
      <c r="O561">
        <v>3</v>
      </c>
      <c r="P561">
        <v>3</v>
      </c>
      <c r="Q561">
        <v>3</v>
      </c>
      <c r="R561">
        <v>3</v>
      </c>
      <c r="S561">
        <v>3</v>
      </c>
      <c r="T561" t="s">
        <v>38</v>
      </c>
    </row>
    <row r="562" spans="1:20" x14ac:dyDescent="0.25">
      <c r="A562" t="s">
        <v>86</v>
      </c>
      <c r="B562">
        <v>3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32</v>
      </c>
      <c r="K562">
        <v>2635</v>
      </c>
      <c r="L562">
        <v>13.73</v>
      </c>
      <c r="M562">
        <v>8.58</v>
      </c>
      <c r="N562">
        <v>75</v>
      </c>
      <c r="O562">
        <v>3</v>
      </c>
      <c r="P562">
        <v>3</v>
      </c>
      <c r="Q562">
        <v>3</v>
      </c>
      <c r="R562">
        <v>3</v>
      </c>
      <c r="S562">
        <v>3</v>
      </c>
      <c r="T562" t="s">
        <v>38</v>
      </c>
    </row>
    <row r="563" spans="1:20" x14ac:dyDescent="0.25">
      <c r="A563" t="s">
        <v>86</v>
      </c>
      <c r="B563">
        <v>3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34</v>
      </c>
      <c r="K563">
        <v>2570</v>
      </c>
      <c r="L563">
        <v>16.93</v>
      </c>
      <c r="M563">
        <v>8.1</v>
      </c>
      <c r="N563">
        <v>75</v>
      </c>
      <c r="O563">
        <v>2.5</v>
      </c>
      <c r="P563">
        <v>2</v>
      </c>
      <c r="Q563">
        <v>2.5</v>
      </c>
      <c r="R563">
        <v>2.5</v>
      </c>
      <c r="S563">
        <v>2</v>
      </c>
      <c r="T563" t="s">
        <v>38</v>
      </c>
    </row>
    <row r="564" spans="1:20" x14ac:dyDescent="0.25">
      <c r="A564" t="s">
        <v>86</v>
      </c>
      <c r="B564">
        <v>3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35</v>
      </c>
      <c r="K564">
        <v>1788</v>
      </c>
      <c r="L564">
        <v>2.68</v>
      </c>
      <c r="M564">
        <v>2.33</v>
      </c>
      <c r="N564">
        <v>75</v>
      </c>
      <c r="O564">
        <v>1</v>
      </c>
      <c r="P564">
        <v>1.5</v>
      </c>
      <c r="Q564">
        <v>2</v>
      </c>
      <c r="R564">
        <v>2</v>
      </c>
      <c r="S564">
        <v>2</v>
      </c>
      <c r="T564" t="s">
        <v>50</v>
      </c>
    </row>
    <row r="565" spans="1:20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35</v>
      </c>
      <c r="K565">
        <v>1259</v>
      </c>
      <c r="L565">
        <v>11.66</v>
      </c>
      <c r="M565">
        <v>6.18</v>
      </c>
      <c r="N565">
        <v>75</v>
      </c>
      <c r="O565">
        <v>3</v>
      </c>
      <c r="P565">
        <v>2</v>
      </c>
      <c r="Q565">
        <v>3</v>
      </c>
      <c r="R565">
        <v>3</v>
      </c>
      <c r="S565">
        <v>3</v>
      </c>
      <c r="T565" t="s">
        <v>38</v>
      </c>
    </row>
    <row r="566" spans="1:20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35</v>
      </c>
      <c r="K566">
        <v>1785</v>
      </c>
      <c r="L566">
        <v>3.03</v>
      </c>
      <c r="M566">
        <v>1.75</v>
      </c>
      <c r="N566">
        <v>75</v>
      </c>
      <c r="O566">
        <v>1</v>
      </c>
      <c r="P566">
        <v>2</v>
      </c>
      <c r="Q566">
        <v>2</v>
      </c>
      <c r="R566">
        <v>2</v>
      </c>
      <c r="S566">
        <v>2</v>
      </c>
      <c r="T566" t="s">
        <v>50</v>
      </c>
    </row>
    <row r="567" spans="1:20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35</v>
      </c>
      <c r="K567">
        <v>2571</v>
      </c>
      <c r="L567">
        <v>6.41</v>
      </c>
      <c r="M567">
        <v>3.26</v>
      </c>
      <c r="N567">
        <v>75</v>
      </c>
      <c r="O567">
        <v>2</v>
      </c>
      <c r="P567">
        <v>2</v>
      </c>
      <c r="Q567">
        <v>2</v>
      </c>
      <c r="R567">
        <v>2</v>
      </c>
      <c r="S567">
        <v>2</v>
      </c>
      <c r="T567" t="s">
        <v>30</v>
      </c>
    </row>
    <row r="568" spans="1:20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36</v>
      </c>
      <c r="K568">
        <v>2573</v>
      </c>
      <c r="L568">
        <v>10.78</v>
      </c>
      <c r="M568">
        <v>6.62</v>
      </c>
      <c r="N568">
        <v>100</v>
      </c>
      <c r="O568">
        <v>2.5</v>
      </c>
      <c r="P568">
        <v>4</v>
      </c>
      <c r="Q568">
        <v>3</v>
      </c>
      <c r="R568">
        <v>3</v>
      </c>
      <c r="S568">
        <v>2</v>
      </c>
      <c r="T568" t="s">
        <v>38</v>
      </c>
    </row>
    <row r="569" spans="1:20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62</v>
      </c>
      <c r="K569">
        <v>2550</v>
      </c>
      <c r="L569">
        <v>14.59</v>
      </c>
      <c r="M569">
        <v>8.68</v>
      </c>
      <c r="N569">
        <v>100</v>
      </c>
      <c r="O569">
        <v>3</v>
      </c>
      <c r="P569">
        <v>2</v>
      </c>
      <c r="Q569">
        <v>4</v>
      </c>
      <c r="R569">
        <v>3</v>
      </c>
      <c r="S569">
        <v>3</v>
      </c>
      <c r="T569" t="s">
        <v>38</v>
      </c>
    </row>
    <row r="570" spans="1:20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62</v>
      </c>
      <c r="K570">
        <v>1352</v>
      </c>
      <c r="L570">
        <v>17.95</v>
      </c>
      <c r="M570">
        <v>13.09</v>
      </c>
      <c r="N570">
        <v>75</v>
      </c>
      <c r="O570">
        <v>4</v>
      </c>
      <c r="P570">
        <v>3</v>
      </c>
      <c r="Q570">
        <v>4</v>
      </c>
      <c r="R570">
        <v>3.5</v>
      </c>
      <c r="S570">
        <v>3</v>
      </c>
      <c r="T570" t="s">
        <v>25</v>
      </c>
    </row>
    <row r="571" spans="1:20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62</v>
      </c>
      <c r="K571">
        <v>2432</v>
      </c>
      <c r="L571">
        <v>18.87</v>
      </c>
      <c r="M571">
        <v>14.24</v>
      </c>
      <c r="N571">
        <v>75</v>
      </c>
      <c r="O571">
        <v>5</v>
      </c>
      <c r="P571">
        <v>3</v>
      </c>
      <c r="Q571">
        <v>5</v>
      </c>
      <c r="R571">
        <v>4</v>
      </c>
      <c r="S571">
        <v>4.5</v>
      </c>
      <c r="T571" t="s">
        <v>27</v>
      </c>
    </row>
    <row r="572" spans="1:20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62</v>
      </c>
      <c r="K572">
        <v>2553</v>
      </c>
      <c r="L572">
        <v>17.72</v>
      </c>
      <c r="M572">
        <v>11.93</v>
      </c>
      <c r="N572">
        <v>75</v>
      </c>
      <c r="O572">
        <v>4</v>
      </c>
      <c r="P572">
        <v>3</v>
      </c>
      <c r="Q572">
        <v>5</v>
      </c>
      <c r="R572">
        <v>4</v>
      </c>
      <c r="S572">
        <v>4</v>
      </c>
      <c r="T572" t="s">
        <v>27</v>
      </c>
    </row>
    <row r="573" spans="1:20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62</v>
      </c>
      <c r="K573">
        <v>2574</v>
      </c>
      <c r="L573">
        <v>13.55</v>
      </c>
      <c r="M573">
        <v>9.26</v>
      </c>
      <c r="N573">
        <v>75</v>
      </c>
      <c r="O573">
        <v>3</v>
      </c>
      <c r="P573">
        <v>3</v>
      </c>
      <c r="Q573">
        <v>4</v>
      </c>
      <c r="R573">
        <v>4</v>
      </c>
      <c r="S573">
        <v>3.5</v>
      </c>
      <c r="T573" t="s">
        <v>25</v>
      </c>
    </row>
    <row r="574" spans="1:20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37</v>
      </c>
      <c r="K574">
        <v>2575</v>
      </c>
      <c r="L574">
        <v>9.6300000000000008</v>
      </c>
      <c r="M574">
        <v>5.1100000000000003</v>
      </c>
      <c r="N574">
        <v>50</v>
      </c>
      <c r="O574">
        <v>1</v>
      </c>
      <c r="P574">
        <v>0.5</v>
      </c>
      <c r="Q574">
        <v>2</v>
      </c>
      <c r="R574">
        <v>2</v>
      </c>
      <c r="S574">
        <v>2</v>
      </c>
      <c r="T574" t="s">
        <v>50</v>
      </c>
    </row>
    <row r="575" spans="1:20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63</v>
      </c>
      <c r="K575">
        <v>1340</v>
      </c>
      <c r="L575">
        <v>2.63</v>
      </c>
      <c r="M575">
        <v>2.39</v>
      </c>
      <c r="N575">
        <v>50</v>
      </c>
      <c r="O575">
        <v>1</v>
      </c>
      <c r="P575">
        <v>1.5</v>
      </c>
      <c r="Q575">
        <v>1</v>
      </c>
      <c r="R575">
        <v>2</v>
      </c>
      <c r="S575">
        <v>2</v>
      </c>
      <c r="T575" t="s">
        <v>50</v>
      </c>
    </row>
    <row r="576" spans="1:20" x14ac:dyDescent="0.25">
      <c r="A576" t="s">
        <v>89</v>
      </c>
      <c r="B576">
        <v>1</v>
      </c>
      <c r="C576" t="s">
        <v>90</v>
      </c>
      <c r="D576" t="s">
        <v>91</v>
      </c>
      <c r="E576" t="s">
        <v>92</v>
      </c>
      <c r="F576">
        <v>150</v>
      </c>
      <c r="G576">
        <v>1300</v>
      </c>
      <c r="H576">
        <v>-2</v>
      </c>
      <c r="I576">
        <v>1983</v>
      </c>
      <c r="J576" t="s">
        <v>76</v>
      </c>
      <c r="K576">
        <v>1592</v>
      </c>
      <c r="L576">
        <v>43.29</v>
      </c>
      <c r="M576">
        <v>17.2</v>
      </c>
      <c r="N576">
        <v>20</v>
      </c>
      <c r="O576">
        <v>4.5</v>
      </c>
      <c r="P576">
        <v>4.5</v>
      </c>
      <c r="Q576">
        <v>3.7</v>
      </c>
      <c r="R576">
        <v>4</v>
      </c>
      <c r="S576">
        <v>3</v>
      </c>
      <c r="T576" t="s">
        <v>27</v>
      </c>
    </row>
    <row r="577" spans="1:20" x14ac:dyDescent="0.25">
      <c r="A577" t="s">
        <v>89</v>
      </c>
      <c r="B577">
        <v>1</v>
      </c>
      <c r="C577" t="s">
        <v>90</v>
      </c>
      <c r="D577" t="s">
        <v>91</v>
      </c>
      <c r="E577" t="s">
        <v>92</v>
      </c>
      <c r="F577">
        <v>150</v>
      </c>
      <c r="G577">
        <v>1300</v>
      </c>
      <c r="H577">
        <v>-2</v>
      </c>
      <c r="I577">
        <v>1983</v>
      </c>
      <c r="J577" t="s">
        <v>76</v>
      </c>
      <c r="K577">
        <v>2560</v>
      </c>
      <c r="L577">
        <v>24.94</v>
      </c>
      <c r="M577">
        <v>14.33</v>
      </c>
      <c r="N577">
        <v>10</v>
      </c>
      <c r="O577">
        <v>3</v>
      </c>
      <c r="P577">
        <v>4</v>
      </c>
      <c r="Q577">
        <v>3.5</v>
      </c>
      <c r="R577">
        <v>4</v>
      </c>
      <c r="S577">
        <v>3</v>
      </c>
      <c r="T577" t="s">
        <v>25</v>
      </c>
    </row>
    <row r="578" spans="1:20" x14ac:dyDescent="0.25">
      <c r="A578" t="s">
        <v>89</v>
      </c>
      <c r="B578">
        <v>1</v>
      </c>
      <c r="C578" t="s">
        <v>90</v>
      </c>
      <c r="D578" t="s">
        <v>91</v>
      </c>
      <c r="E578" t="s">
        <v>92</v>
      </c>
      <c r="F578">
        <v>150</v>
      </c>
      <c r="G578">
        <v>1300</v>
      </c>
      <c r="H578">
        <v>-2</v>
      </c>
      <c r="I578">
        <v>1983</v>
      </c>
      <c r="J578" t="s">
        <v>24</v>
      </c>
      <c r="K578">
        <v>2562</v>
      </c>
      <c r="L578">
        <v>29.22</v>
      </c>
      <c r="M578">
        <v>13.58</v>
      </c>
      <c r="N578">
        <v>30</v>
      </c>
      <c r="O578">
        <v>3.6</v>
      </c>
      <c r="P578">
        <v>3.8</v>
      </c>
      <c r="Q578">
        <v>3.5</v>
      </c>
      <c r="R578">
        <v>3.9</v>
      </c>
      <c r="S578">
        <v>3.7</v>
      </c>
      <c r="T578" t="s">
        <v>25</v>
      </c>
    </row>
    <row r="579" spans="1:20" x14ac:dyDescent="0.25">
      <c r="A579" t="s">
        <v>89</v>
      </c>
      <c r="B579">
        <v>1</v>
      </c>
      <c r="C579" t="s">
        <v>90</v>
      </c>
      <c r="D579" t="s">
        <v>91</v>
      </c>
      <c r="E579" t="s">
        <v>92</v>
      </c>
      <c r="F579">
        <v>150</v>
      </c>
      <c r="G579">
        <v>1300</v>
      </c>
      <c r="H579">
        <v>-2</v>
      </c>
      <c r="I579">
        <v>1983</v>
      </c>
      <c r="J579" t="s">
        <v>80</v>
      </c>
      <c r="K579">
        <v>1252</v>
      </c>
      <c r="L579">
        <v>26.59</v>
      </c>
      <c r="M579">
        <v>10.8</v>
      </c>
      <c r="N579">
        <v>40</v>
      </c>
      <c r="O579">
        <v>3.6</v>
      </c>
      <c r="P579">
        <v>3.8</v>
      </c>
      <c r="Q579">
        <v>2.6</v>
      </c>
      <c r="R579">
        <v>2.6</v>
      </c>
      <c r="S579">
        <v>2.5</v>
      </c>
      <c r="T579" t="s">
        <v>25</v>
      </c>
    </row>
    <row r="580" spans="1:20" x14ac:dyDescent="0.25">
      <c r="A580" t="s">
        <v>89</v>
      </c>
      <c r="B580">
        <v>1</v>
      </c>
      <c r="C580" t="s">
        <v>90</v>
      </c>
      <c r="D580" t="s">
        <v>91</v>
      </c>
      <c r="E580" t="s">
        <v>92</v>
      </c>
      <c r="F580">
        <v>150</v>
      </c>
      <c r="G580">
        <v>1300</v>
      </c>
      <c r="H580">
        <v>-2</v>
      </c>
      <c r="I580">
        <v>1983</v>
      </c>
      <c r="J580" t="s">
        <v>59</v>
      </c>
      <c r="K580">
        <v>2548</v>
      </c>
      <c r="L580">
        <v>35.54</v>
      </c>
      <c r="M580">
        <v>13.02</v>
      </c>
      <c r="N580">
        <v>20</v>
      </c>
      <c r="O580">
        <v>3.2</v>
      </c>
      <c r="P580">
        <v>3.5</v>
      </c>
      <c r="Q580">
        <v>2.5</v>
      </c>
      <c r="R580">
        <v>2.5</v>
      </c>
      <c r="S580">
        <v>2.2999999999999998</v>
      </c>
      <c r="T580" t="s">
        <v>25</v>
      </c>
    </row>
    <row r="581" spans="1:20" x14ac:dyDescent="0.25">
      <c r="A581" t="s">
        <v>89</v>
      </c>
      <c r="B581">
        <v>1</v>
      </c>
      <c r="C581" t="s">
        <v>90</v>
      </c>
      <c r="D581" t="s">
        <v>91</v>
      </c>
      <c r="E581" t="s">
        <v>92</v>
      </c>
      <c r="F581">
        <v>150</v>
      </c>
      <c r="G581">
        <v>1300</v>
      </c>
      <c r="H581">
        <v>-2</v>
      </c>
      <c r="I581">
        <v>1983</v>
      </c>
      <c r="J581" t="s">
        <v>59</v>
      </c>
      <c r="K581">
        <v>1482</v>
      </c>
      <c r="L581">
        <v>38.15</v>
      </c>
      <c r="M581">
        <v>16.850000000000001</v>
      </c>
      <c r="N581">
        <v>10</v>
      </c>
      <c r="O581">
        <v>3.5</v>
      </c>
      <c r="P581">
        <v>4</v>
      </c>
      <c r="Q581">
        <v>3.3</v>
      </c>
      <c r="R581">
        <v>4</v>
      </c>
      <c r="S581">
        <v>3.5</v>
      </c>
      <c r="T581" t="s">
        <v>27</v>
      </c>
    </row>
    <row r="582" spans="1:20" x14ac:dyDescent="0.25">
      <c r="A582" t="s">
        <v>89</v>
      </c>
      <c r="B582">
        <v>1</v>
      </c>
      <c r="C582" t="s">
        <v>90</v>
      </c>
      <c r="D582" t="s">
        <v>91</v>
      </c>
      <c r="E582" t="s">
        <v>92</v>
      </c>
      <c r="F582">
        <v>150</v>
      </c>
      <c r="G582">
        <v>1300</v>
      </c>
      <c r="H582">
        <v>-2</v>
      </c>
      <c r="I582">
        <v>1983</v>
      </c>
      <c r="J582" t="s">
        <v>26</v>
      </c>
      <c r="K582">
        <v>2552</v>
      </c>
      <c r="L582">
        <v>33.89</v>
      </c>
      <c r="M582">
        <v>14.24</v>
      </c>
      <c r="N582">
        <v>20</v>
      </c>
      <c r="O582">
        <v>3.1</v>
      </c>
      <c r="P582">
        <v>3.5</v>
      </c>
      <c r="Q582">
        <v>3.2</v>
      </c>
      <c r="R582">
        <v>3.8</v>
      </c>
      <c r="S582">
        <v>2.5</v>
      </c>
      <c r="T582" t="s">
        <v>25</v>
      </c>
    </row>
    <row r="583" spans="1:20" x14ac:dyDescent="0.25">
      <c r="A583" t="s">
        <v>89</v>
      </c>
      <c r="B583">
        <v>1</v>
      </c>
      <c r="C583" t="s">
        <v>90</v>
      </c>
      <c r="D583" t="s">
        <v>91</v>
      </c>
      <c r="E583" t="s">
        <v>92</v>
      </c>
      <c r="F583">
        <v>150</v>
      </c>
      <c r="G583">
        <v>1300</v>
      </c>
      <c r="H583">
        <v>-2</v>
      </c>
      <c r="I583">
        <v>1983</v>
      </c>
      <c r="J583" t="s">
        <v>33</v>
      </c>
      <c r="K583">
        <v>2547</v>
      </c>
      <c r="L583">
        <v>37.49</v>
      </c>
      <c r="M583">
        <v>17.45</v>
      </c>
      <c r="N583">
        <v>40</v>
      </c>
      <c r="O583">
        <v>4.5</v>
      </c>
      <c r="P583">
        <v>2.6</v>
      </c>
      <c r="Q583">
        <v>3.6</v>
      </c>
      <c r="R583">
        <v>2.9</v>
      </c>
      <c r="S583">
        <v>2.2999999999999998</v>
      </c>
      <c r="T583" t="s">
        <v>25</v>
      </c>
    </row>
    <row r="584" spans="1:20" x14ac:dyDescent="0.25">
      <c r="A584" t="s">
        <v>89</v>
      </c>
      <c r="B584">
        <v>1</v>
      </c>
      <c r="C584" t="s">
        <v>90</v>
      </c>
      <c r="D584" t="s">
        <v>91</v>
      </c>
      <c r="E584" t="s">
        <v>92</v>
      </c>
      <c r="F584">
        <v>150</v>
      </c>
      <c r="G584">
        <v>1300</v>
      </c>
      <c r="H584">
        <v>-2</v>
      </c>
      <c r="I584">
        <v>1983</v>
      </c>
      <c r="J584" t="s">
        <v>33</v>
      </c>
      <c r="K584">
        <v>2568</v>
      </c>
      <c r="L584">
        <v>31.63</v>
      </c>
      <c r="M584">
        <v>13.91</v>
      </c>
      <c r="N584">
        <v>60</v>
      </c>
      <c r="O584">
        <v>3.6</v>
      </c>
      <c r="P584">
        <v>2.6</v>
      </c>
      <c r="Q584">
        <v>3.6</v>
      </c>
      <c r="R584">
        <v>3.3</v>
      </c>
      <c r="S584">
        <v>2.8</v>
      </c>
      <c r="T584" t="s">
        <v>25</v>
      </c>
    </row>
    <row r="585" spans="1:20" x14ac:dyDescent="0.25">
      <c r="A585" t="s">
        <v>89</v>
      </c>
      <c r="B585">
        <v>1</v>
      </c>
      <c r="C585" t="s">
        <v>90</v>
      </c>
      <c r="D585" t="s">
        <v>91</v>
      </c>
      <c r="E585" t="s">
        <v>92</v>
      </c>
      <c r="F585">
        <v>150</v>
      </c>
      <c r="G585">
        <v>1300</v>
      </c>
      <c r="H585">
        <v>-2</v>
      </c>
      <c r="I585">
        <v>1983</v>
      </c>
      <c r="J585" t="s">
        <v>32</v>
      </c>
      <c r="K585">
        <v>1596</v>
      </c>
      <c r="L585">
        <v>20.11</v>
      </c>
      <c r="M585">
        <v>13.55</v>
      </c>
      <c r="N585">
        <v>20</v>
      </c>
      <c r="O585">
        <v>3</v>
      </c>
      <c r="P585">
        <v>4</v>
      </c>
      <c r="Q585">
        <v>4</v>
      </c>
      <c r="R585">
        <v>4</v>
      </c>
      <c r="S585">
        <v>4</v>
      </c>
      <c r="T585" t="s">
        <v>38</v>
      </c>
    </row>
    <row r="586" spans="1:20" x14ac:dyDescent="0.25">
      <c r="A586" t="s">
        <v>89</v>
      </c>
      <c r="B586">
        <v>1</v>
      </c>
      <c r="C586" t="s">
        <v>90</v>
      </c>
      <c r="D586" t="s">
        <v>91</v>
      </c>
      <c r="E586" t="s">
        <v>92</v>
      </c>
      <c r="F586">
        <v>150</v>
      </c>
      <c r="G586">
        <v>1300</v>
      </c>
      <c r="H586">
        <v>-2</v>
      </c>
      <c r="I586">
        <v>1983</v>
      </c>
      <c r="J586" t="s">
        <v>32</v>
      </c>
      <c r="K586">
        <v>2569</v>
      </c>
      <c r="L586">
        <v>22.15</v>
      </c>
      <c r="M586">
        <v>14.57</v>
      </c>
      <c r="N586">
        <v>20</v>
      </c>
      <c r="O586">
        <v>3</v>
      </c>
      <c r="P586">
        <v>4</v>
      </c>
      <c r="Q586">
        <v>3</v>
      </c>
      <c r="R586">
        <v>3.4</v>
      </c>
      <c r="S586">
        <v>3</v>
      </c>
      <c r="T586" t="s">
        <v>25</v>
      </c>
    </row>
    <row r="587" spans="1:20" x14ac:dyDescent="0.25">
      <c r="A587" t="s">
        <v>89</v>
      </c>
      <c r="B587">
        <v>1</v>
      </c>
      <c r="C587" t="s">
        <v>90</v>
      </c>
      <c r="D587" t="s">
        <v>91</v>
      </c>
      <c r="E587" t="s">
        <v>92</v>
      </c>
      <c r="F587">
        <v>150</v>
      </c>
      <c r="G587">
        <v>1300</v>
      </c>
      <c r="H587">
        <v>-2</v>
      </c>
      <c r="I587">
        <v>1983</v>
      </c>
      <c r="J587" t="s">
        <v>32</v>
      </c>
      <c r="K587">
        <v>2634</v>
      </c>
      <c r="L587">
        <v>40.520000000000003</v>
      </c>
      <c r="M587">
        <v>18.95</v>
      </c>
      <c r="N587">
        <v>10</v>
      </c>
      <c r="O587">
        <v>4.5</v>
      </c>
      <c r="P587">
        <v>4.5</v>
      </c>
      <c r="Q587">
        <v>3</v>
      </c>
      <c r="R587">
        <v>4</v>
      </c>
      <c r="S587">
        <v>2</v>
      </c>
      <c r="T587" t="s">
        <v>25</v>
      </c>
    </row>
    <row r="588" spans="1:20" x14ac:dyDescent="0.25">
      <c r="A588" t="s">
        <v>89</v>
      </c>
      <c r="B588">
        <v>1</v>
      </c>
      <c r="C588" t="s">
        <v>90</v>
      </c>
      <c r="D588" t="s">
        <v>91</v>
      </c>
      <c r="E588" t="s">
        <v>92</v>
      </c>
      <c r="F588">
        <v>150</v>
      </c>
      <c r="G588">
        <v>1300</v>
      </c>
      <c r="H588">
        <v>-2</v>
      </c>
      <c r="I588">
        <v>1983</v>
      </c>
      <c r="J588" t="s">
        <v>32</v>
      </c>
      <c r="K588">
        <v>2635</v>
      </c>
      <c r="L588">
        <v>20.399999999999999</v>
      </c>
      <c r="M588">
        <v>10.199999999999999</v>
      </c>
      <c r="N588">
        <v>10</v>
      </c>
      <c r="O588">
        <v>3.3</v>
      </c>
      <c r="P588">
        <v>4.5</v>
      </c>
      <c r="Q588">
        <v>3.3</v>
      </c>
      <c r="R588">
        <v>4</v>
      </c>
      <c r="S588">
        <v>3.5</v>
      </c>
      <c r="T588" t="s">
        <v>25</v>
      </c>
    </row>
    <row r="589" spans="1:20" x14ac:dyDescent="0.25">
      <c r="A589" t="s">
        <v>89</v>
      </c>
      <c r="B589">
        <v>1</v>
      </c>
      <c r="C589" t="s">
        <v>90</v>
      </c>
      <c r="D589" t="s">
        <v>91</v>
      </c>
      <c r="E589" t="s">
        <v>92</v>
      </c>
      <c r="F589">
        <v>150</v>
      </c>
      <c r="G589">
        <v>1300</v>
      </c>
      <c r="H589">
        <v>-2</v>
      </c>
      <c r="I589">
        <v>1983</v>
      </c>
      <c r="J589" t="s">
        <v>34</v>
      </c>
      <c r="K589">
        <v>2570</v>
      </c>
      <c r="L589">
        <v>24.87</v>
      </c>
      <c r="M589">
        <v>11.66</v>
      </c>
      <c r="N589">
        <v>40</v>
      </c>
      <c r="O589">
        <v>3.3</v>
      </c>
      <c r="P589">
        <v>3.4</v>
      </c>
      <c r="Q589">
        <v>3.5</v>
      </c>
      <c r="R589">
        <v>4.0999999999999996</v>
      </c>
      <c r="S589">
        <v>3.4</v>
      </c>
      <c r="T589" t="s">
        <v>25</v>
      </c>
    </row>
    <row r="590" spans="1:20" x14ac:dyDescent="0.25">
      <c r="A590" t="s">
        <v>89</v>
      </c>
      <c r="B590">
        <v>1</v>
      </c>
      <c r="C590" t="s">
        <v>90</v>
      </c>
      <c r="D590" t="s">
        <v>91</v>
      </c>
      <c r="E590" t="s">
        <v>92</v>
      </c>
      <c r="F590">
        <v>150</v>
      </c>
      <c r="G590">
        <v>1300</v>
      </c>
      <c r="H590">
        <v>-2</v>
      </c>
      <c r="I590">
        <v>1983</v>
      </c>
      <c r="J590" t="s">
        <v>34</v>
      </c>
      <c r="K590">
        <v>1522</v>
      </c>
      <c r="L590">
        <v>33.159999999999997</v>
      </c>
      <c r="M590">
        <v>14.75</v>
      </c>
      <c r="N590">
        <v>40</v>
      </c>
      <c r="O590">
        <v>3.7</v>
      </c>
      <c r="P590">
        <v>3.5</v>
      </c>
      <c r="Q590">
        <v>3.6</v>
      </c>
      <c r="R590">
        <v>3.6</v>
      </c>
      <c r="S590">
        <v>2.9</v>
      </c>
      <c r="T590" t="s">
        <v>25</v>
      </c>
    </row>
    <row r="591" spans="1:20" x14ac:dyDescent="0.25">
      <c r="A591" t="s">
        <v>89</v>
      </c>
      <c r="B591">
        <v>1</v>
      </c>
      <c r="C591" t="s">
        <v>90</v>
      </c>
      <c r="D591" t="s">
        <v>91</v>
      </c>
      <c r="E591" t="s">
        <v>92</v>
      </c>
      <c r="F591">
        <v>150</v>
      </c>
      <c r="G591">
        <v>1300</v>
      </c>
      <c r="H591">
        <v>-2</v>
      </c>
      <c r="I591">
        <v>1983</v>
      </c>
      <c r="J591" t="s">
        <v>35</v>
      </c>
      <c r="K591">
        <v>1788</v>
      </c>
      <c r="L591">
        <v>31.05</v>
      </c>
      <c r="M591">
        <v>15.25</v>
      </c>
      <c r="N591">
        <v>30</v>
      </c>
      <c r="O591">
        <v>3.2</v>
      </c>
      <c r="P591">
        <v>1.8</v>
      </c>
      <c r="Q591">
        <v>2.8</v>
      </c>
      <c r="R591">
        <v>3.5</v>
      </c>
      <c r="S591">
        <v>2.9</v>
      </c>
      <c r="T591" t="s">
        <v>38</v>
      </c>
    </row>
    <row r="592" spans="1:20" x14ac:dyDescent="0.25">
      <c r="A592" t="s">
        <v>89</v>
      </c>
      <c r="B592">
        <v>1</v>
      </c>
      <c r="C592" t="s">
        <v>90</v>
      </c>
      <c r="D592" t="s">
        <v>91</v>
      </c>
      <c r="E592" t="s">
        <v>92</v>
      </c>
      <c r="F592">
        <v>150</v>
      </c>
      <c r="G592">
        <v>1300</v>
      </c>
      <c r="H592">
        <v>-2</v>
      </c>
      <c r="I592">
        <v>1983</v>
      </c>
      <c r="J592" t="s">
        <v>35</v>
      </c>
      <c r="K592">
        <v>2571</v>
      </c>
      <c r="L592">
        <v>31.33</v>
      </c>
      <c r="M592">
        <v>15.67</v>
      </c>
      <c r="N592">
        <v>30</v>
      </c>
      <c r="O592">
        <v>4.0999999999999996</v>
      </c>
      <c r="P592">
        <v>2.2999999999999998</v>
      </c>
      <c r="Q592">
        <v>3.4</v>
      </c>
      <c r="R592">
        <v>4</v>
      </c>
      <c r="S592">
        <v>3.1</v>
      </c>
      <c r="T592" t="s">
        <v>25</v>
      </c>
    </row>
    <row r="593" spans="1:20" x14ac:dyDescent="0.25">
      <c r="A593" t="s">
        <v>89</v>
      </c>
      <c r="B593">
        <v>1</v>
      </c>
      <c r="C593" t="s">
        <v>90</v>
      </c>
      <c r="D593" t="s">
        <v>91</v>
      </c>
      <c r="E593" t="s">
        <v>92</v>
      </c>
      <c r="F593">
        <v>150</v>
      </c>
      <c r="G593">
        <v>1300</v>
      </c>
      <c r="H593">
        <v>-2</v>
      </c>
      <c r="I593">
        <v>1983</v>
      </c>
      <c r="J593" t="s">
        <v>36</v>
      </c>
      <c r="K593">
        <v>2573</v>
      </c>
      <c r="L593">
        <v>32.97</v>
      </c>
      <c r="M593">
        <v>14.24</v>
      </c>
      <c r="N593">
        <v>40</v>
      </c>
      <c r="O593">
        <v>3.2</v>
      </c>
      <c r="P593">
        <v>4</v>
      </c>
      <c r="Q593">
        <v>3.1</v>
      </c>
      <c r="R593">
        <v>3.3</v>
      </c>
      <c r="S593">
        <v>3</v>
      </c>
      <c r="T593" t="s">
        <v>25</v>
      </c>
    </row>
    <row r="594" spans="1:20" x14ac:dyDescent="0.25">
      <c r="A594" t="s">
        <v>89</v>
      </c>
      <c r="B594">
        <v>1</v>
      </c>
      <c r="C594" t="s">
        <v>90</v>
      </c>
      <c r="D594" t="s">
        <v>91</v>
      </c>
      <c r="E594" t="s">
        <v>92</v>
      </c>
      <c r="F594">
        <v>150</v>
      </c>
      <c r="G594">
        <v>1300</v>
      </c>
      <c r="H594">
        <v>-2</v>
      </c>
      <c r="I594">
        <v>1983</v>
      </c>
      <c r="J594" t="s">
        <v>62</v>
      </c>
      <c r="K594">
        <v>2550</v>
      </c>
      <c r="L594">
        <v>20.25</v>
      </c>
      <c r="M594">
        <v>10.66</v>
      </c>
      <c r="N594">
        <v>30</v>
      </c>
      <c r="O594">
        <v>2.7</v>
      </c>
      <c r="P594">
        <v>3</v>
      </c>
      <c r="Q594">
        <v>4</v>
      </c>
      <c r="R594">
        <v>4.2</v>
      </c>
      <c r="S594">
        <v>3.7</v>
      </c>
      <c r="T594" t="s">
        <v>25</v>
      </c>
    </row>
    <row r="595" spans="1:20" x14ac:dyDescent="0.25">
      <c r="A595" t="s">
        <v>89</v>
      </c>
      <c r="B595">
        <v>1</v>
      </c>
      <c r="C595" t="s">
        <v>90</v>
      </c>
      <c r="D595" t="s">
        <v>91</v>
      </c>
      <c r="E595" t="s">
        <v>92</v>
      </c>
      <c r="F595">
        <v>150</v>
      </c>
      <c r="G595">
        <v>1300</v>
      </c>
      <c r="H595">
        <v>-2</v>
      </c>
      <c r="I595">
        <v>1983</v>
      </c>
      <c r="J595" t="s">
        <v>62</v>
      </c>
      <c r="K595">
        <v>2553</v>
      </c>
      <c r="L595">
        <v>27.44</v>
      </c>
      <c r="M595">
        <v>11.32</v>
      </c>
      <c r="N595">
        <v>20</v>
      </c>
      <c r="O595">
        <v>3.5</v>
      </c>
      <c r="P595">
        <v>3</v>
      </c>
      <c r="Q595">
        <v>3.3</v>
      </c>
      <c r="R595">
        <v>4</v>
      </c>
      <c r="S595">
        <v>2.9</v>
      </c>
      <c r="T595" t="s">
        <v>27</v>
      </c>
    </row>
    <row r="596" spans="1:20" x14ac:dyDescent="0.25">
      <c r="A596" t="s">
        <v>89</v>
      </c>
      <c r="B596">
        <v>1</v>
      </c>
      <c r="C596" t="s">
        <v>90</v>
      </c>
      <c r="D596" t="s">
        <v>91</v>
      </c>
      <c r="E596" t="s">
        <v>92</v>
      </c>
      <c r="F596">
        <v>150</v>
      </c>
      <c r="G596">
        <v>1300</v>
      </c>
      <c r="H596">
        <v>-2</v>
      </c>
      <c r="I596">
        <v>1983</v>
      </c>
      <c r="J596" t="s">
        <v>37</v>
      </c>
      <c r="K596">
        <v>2575</v>
      </c>
      <c r="L596">
        <v>19.91</v>
      </c>
      <c r="M596">
        <v>6.77</v>
      </c>
      <c r="N596">
        <v>40</v>
      </c>
      <c r="O596">
        <v>1.6</v>
      </c>
      <c r="P596">
        <v>1.8</v>
      </c>
      <c r="Q596">
        <v>2.2999999999999998</v>
      </c>
      <c r="R596">
        <v>2.5</v>
      </c>
      <c r="S596">
        <v>2.2999999999999998</v>
      </c>
      <c r="T596" t="s">
        <v>30</v>
      </c>
    </row>
    <row r="597" spans="1:20" x14ac:dyDescent="0.25">
      <c r="A597" t="s">
        <v>89</v>
      </c>
      <c r="B597">
        <v>2</v>
      </c>
      <c r="C597" t="s">
        <v>90</v>
      </c>
      <c r="D597" t="s">
        <v>91</v>
      </c>
      <c r="E597" t="s">
        <v>92</v>
      </c>
      <c r="F597">
        <v>150</v>
      </c>
      <c r="G597">
        <v>1300</v>
      </c>
      <c r="H597">
        <v>-2</v>
      </c>
      <c r="I597">
        <v>1983</v>
      </c>
      <c r="J597" t="s">
        <v>76</v>
      </c>
      <c r="K597">
        <v>1592</v>
      </c>
      <c r="L597">
        <v>34.11</v>
      </c>
      <c r="M597">
        <v>16.48</v>
      </c>
      <c r="N597">
        <v>20</v>
      </c>
      <c r="O597">
        <v>3.5</v>
      </c>
      <c r="P597">
        <v>3.8</v>
      </c>
      <c r="Q597">
        <v>3.2</v>
      </c>
      <c r="R597">
        <v>3.9</v>
      </c>
      <c r="S597">
        <v>2.5</v>
      </c>
      <c r="T597" t="s">
        <v>25</v>
      </c>
    </row>
    <row r="598" spans="1:20" x14ac:dyDescent="0.25">
      <c r="A598" t="s">
        <v>89</v>
      </c>
      <c r="B598">
        <v>2</v>
      </c>
      <c r="C598" t="s">
        <v>90</v>
      </c>
      <c r="D598" t="s">
        <v>91</v>
      </c>
      <c r="E598" t="s">
        <v>92</v>
      </c>
      <c r="F598">
        <v>150</v>
      </c>
      <c r="G598">
        <v>1300</v>
      </c>
      <c r="H598">
        <v>-2</v>
      </c>
      <c r="I598">
        <v>1983</v>
      </c>
      <c r="J598" t="s">
        <v>76</v>
      </c>
      <c r="K598">
        <v>2560</v>
      </c>
      <c r="L598">
        <v>35.83</v>
      </c>
      <c r="M598">
        <v>21.5</v>
      </c>
      <c r="N598">
        <v>10</v>
      </c>
      <c r="O598">
        <v>3.3</v>
      </c>
      <c r="P598">
        <v>3.5</v>
      </c>
      <c r="Q598">
        <v>4</v>
      </c>
      <c r="R598">
        <v>4.5</v>
      </c>
      <c r="S598">
        <v>3</v>
      </c>
      <c r="T598" t="s">
        <v>27</v>
      </c>
    </row>
    <row r="599" spans="1:20" x14ac:dyDescent="0.25">
      <c r="A599" t="s">
        <v>89</v>
      </c>
      <c r="B599">
        <v>2</v>
      </c>
      <c r="C599" t="s">
        <v>90</v>
      </c>
      <c r="D599" t="s">
        <v>91</v>
      </c>
      <c r="E599" t="s">
        <v>92</v>
      </c>
      <c r="F599">
        <v>150</v>
      </c>
      <c r="G599">
        <v>1300</v>
      </c>
      <c r="H599">
        <v>-2</v>
      </c>
      <c r="I599">
        <v>1983</v>
      </c>
      <c r="J599" t="s">
        <v>24</v>
      </c>
      <c r="K599">
        <v>2562</v>
      </c>
      <c r="L599">
        <v>33.19</v>
      </c>
      <c r="M599">
        <v>14.42</v>
      </c>
      <c r="N599">
        <v>30</v>
      </c>
      <c r="O599">
        <v>3.6</v>
      </c>
      <c r="P599">
        <v>3.7</v>
      </c>
      <c r="Q599">
        <v>3.2</v>
      </c>
      <c r="R599">
        <v>3.7</v>
      </c>
      <c r="S599">
        <v>3.2</v>
      </c>
      <c r="T599" t="s">
        <v>25</v>
      </c>
    </row>
    <row r="600" spans="1:20" x14ac:dyDescent="0.25">
      <c r="A600" t="s">
        <v>89</v>
      </c>
      <c r="B600">
        <v>2</v>
      </c>
      <c r="C600" t="s">
        <v>90</v>
      </c>
      <c r="D600" t="s">
        <v>91</v>
      </c>
      <c r="E600" t="s">
        <v>92</v>
      </c>
      <c r="F600">
        <v>150</v>
      </c>
      <c r="G600">
        <v>1300</v>
      </c>
      <c r="H600">
        <v>-2</v>
      </c>
      <c r="I600">
        <v>1983</v>
      </c>
      <c r="J600" t="s">
        <v>80</v>
      </c>
      <c r="K600">
        <v>1252</v>
      </c>
      <c r="L600">
        <v>27.13</v>
      </c>
      <c r="M600">
        <v>11.88</v>
      </c>
      <c r="N600">
        <v>90</v>
      </c>
      <c r="O600">
        <v>3.3</v>
      </c>
      <c r="P600">
        <v>3.7</v>
      </c>
      <c r="Q600">
        <v>2.1</v>
      </c>
      <c r="R600">
        <v>2.1</v>
      </c>
      <c r="S600">
        <v>2</v>
      </c>
      <c r="T600" t="s">
        <v>38</v>
      </c>
    </row>
    <row r="601" spans="1:20" x14ac:dyDescent="0.25">
      <c r="A601" t="s">
        <v>89</v>
      </c>
      <c r="B601">
        <v>2</v>
      </c>
      <c r="C601" t="s">
        <v>90</v>
      </c>
      <c r="D601" t="s">
        <v>91</v>
      </c>
      <c r="E601" t="s">
        <v>92</v>
      </c>
      <c r="F601">
        <v>150</v>
      </c>
      <c r="G601">
        <v>1300</v>
      </c>
      <c r="H601">
        <v>-2</v>
      </c>
      <c r="I601">
        <v>1983</v>
      </c>
      <c r="J601" t="s">
        <v>59</v>
      </c>
      <c r="K601">
        <v>2548</v>
      </c>
      <c r="L601">
        <v>49.34</v>
      </c>
      <c r="M601">
        <v>16.850000000000001</v>
      </c>
      <c r="N601">
        <v>10</v>
      </c>
      <c r="O601">
        <v>5</v>
      </c>
      <c r="P601">
        <v>4.5</v>
      </c>
      <c r="Q601">
        <v>3.5</v>
      </c>
      <c r="R601">
        <v>3.5</v>
      </c>
      <c r="S601">
        <v>3</v>
      </c>
      <c r="T601" t="s">
        <v>27</v>
      </c>
    </row>
    <row r="602" spans="1:20" x14ac:dyDescent="0.25">
      <c r="A602" t="s">
        <v>89</v>
      </c>
      <c r="B602">
        <v>2</v>
      </c>
      <c r="C602" t="s">
        <v>90</v>
      </c>
      <c r="D602" t="s">
        <v>91</v>
      </c>
      <c r="E602" t="s">
        <v>92</v>
      </c>
      <c r="F602">
        <v>150</v>
      </c>
      <c r="G602">
        <v>1300</v>
      </c>
      <c r="H602">
        <v>-2</v>
      </c>
      <c r="I602">
        <v>1983</v>
      </c>
      <c r="J602" t="s">
        <v>26</v>
      </c>
      <c r="K602">
        <v>2552</v>
      </c>
      <c r="L602">
        <v>15.52</v>
      </c>
      <c r="M602">
        <v>7.83</v>
      </c>
      <c r="N602">
        <v>10</v>
      </c>
      <c r="O602">
        <v>2</v>
      </c>
      <c r="P602">
        <v>4</v>
      </c>
      <c r="Q602">
        <v>4</v>
      </c>
      <c r="R602">
        <v>4</v>
      </c>
      <c r="S602">
        <v>4</v>
      </c>
      <c r="T602" t="s">
        <v>30</v>
      </c>
    </row>
    <row r="603" spans="1:20" x14ac:dyDescent="0.25">
      <c r="A603" t="s">
        <v>89</v>
      </c>
      <c r="B603">
        <v>2</v>
      </c>
      <c r="C603" t="s">
        <v>90</v>
      </c>
      <c r="D603" t="s">
        <v>91</v>
      </c>
      <c r="E603" t="s">
        <v>92</v>
      </c>
      <c r="F603">
        <v>150</v>
      </c>
      <c r="G603">
        <v>1300</v>
      </c>
      <c r="H603">
        <v>-2</v>
      </c>
      <c r="I603">
        <v>1983</v>
      </c>
      <c r="J603" t="s">
        <v>33</v>
      </c>
      <c r="K603">
        <v>2547</v>
      </c>
      <c r="L603">
        <v>46.36</v>
      </c>
      <c r="M603">
        <v>19.09</v>
      </c>
      <c r="N603">
        <v>40</v>
      </c>
      <c r="O603">
        <v>4.3</v>
      </c>
      <c r="P603">
        <v>2.6</v>
      </c>
      <c r="Q603">
        <v>3.8</v>
      </c>
      <c r="R603">
        <v>2.9</v>
      </c>
      <c r="S603">
        <v>2.6</v>
      </c>
      <c r="T603" t="s">
        <v>27</v>
      </c>
    </row>
    <row r="604" spans="1:20" x14ac:dyDescent="0.25">
      <c r="A604" t="s">
        <v>89</v>
      </c>
      <c r="B604">
        <v>2</v>
      </c>
      <c r="C604" t="s">
        <v>90</v>
      </c>
      <c r="D604" t="s">
        <v>91</v>
      </c>
      <c r="E604" t="s">
        <v>92</v>
      </c>
      <c r="F604">
        <v>150</v>
      </c>
      <c r="G604">
        <v>1300</v>
      </c>
      <c r="H604">
        <v>-2</v>
      </c>
      <c r="I604">
        <v>1983</v>
      </c>
      <c r="J604" t="s">
        <v>33</v>
      </c>
      <c r="K604">
        <v>2568</v>
      </c>
      <c r="L604">
        <v>52.76</v>
      </c>
      <c r="M604">
        <v>21</v>
      </c>
      <c r="N604">
        <v>50</v>
      </c>
      <c r="O604">
        <v>4.5</v>
      </c>
      <c r="P604">
        <v>2.7</v>
      </c>
      <c r="Q604">
        <v>3.9</v>
      </c>
      <c r="R604">
        <v>3.4</v>
      </c>
      <c r="S604">
        <v>2.6</v>
      </c>
      <c r="T604" t="s">
        <v>27</v>
      </c>
    </row>
    <row r="605" spans="1:20" x14ac:dyDescent="0.25">
      <c r="A605" t="s">
        <v>89</v>
      </c>
      <c r="B605">
        <v>2</v>
      </c>
      <c r="C605" t="s">
        <v>90</v>
      </c>
      <c r="D605" t="s">
        <v>91</v>
      </c>
      <c r="E605" t="s">
        <v>92</v>
      </c>
      <c r="F605">
        <v>150</v>
      </c>
      <c r="G605">
        <v>1300</v>
      </c>
      <c r="H605">
        <v>-2</v>
      </c>
      <c r="I605">
        <v>1983</v>
      </c>
      <c r="J605" t="s">
        <v>32</v>
      </c>
      <c r="K605">
        <v>1596</v>
      </c>
      <c r="L605">
        <v>42085</v>
      </c>
      <c r="M605">
        <v>17.05</v>
      </c>
      <c r="N605">
        <v>40</v>
      </c>
      <c r="O605">
        <v>3.9</v>
      </c>
      <c r="P605">
        <v>3.9</v>
      </c>
      <c r="Q605">
        <v>3.2</v>
      </c>
      <c r="R605">
        <v>3.3</v>
      </c>
      <c r="S605">
        <v>2.4</v>
      </c>
      <c r="T605" t="s">
        <v>27</v>
      </c>
    </row>
    <row r="606" spans="1:20" x14ac:dyDescent="0.25">
      <c r="A606" t="s">
        <v>89</v>
      </c>
      <c r="B606">
        <v>2</v>
      </c>
      <c r="C606" t="s">
        <v>90</v>
      </c>
      <c r="D606" t="s">
        <v>91</v>
      </c>
      <c r="E606" t="s">
        <v>92</v>
      </c>
      <c r="F606">
        <v>150</v>
      </c>
      <c r="G606">
        <v>1300</v>
      </c>
      <c r="H606">
        <v>-2</v>
      </c>
      <c r="I606">
        <v>1983</v>
      </c>
      <c r="J606" t="s">
        <v>32</v>
      </c>
      <c r="K606">
        <v>2634</v>
      </c>
      <c r="L606">
        <v>39.79</v>
      </c>
      <c r="M606">
        <v>17.489999999999998</v>
      </c>
      <c r="N606">
        <v>10</v>
      </c>
      <c r="O606">
        <v>4</v>
      </c>
      <c r="P606">
        <v>4</v>
      </c>
      <c r="Q606">
        <v>3.3</v>
      </c>
      <c r="R606">
        <v>2.5</v>
      </c>
      <c r="S606">
        <v>1.5</v>
      </c>
      <c r="T606" t="s">
        <v>38</v>
      </c>
    </row>
    <row r="607" spans="1:20" x14ac:dyDescent="0.25">
      <c r="A607" t="s">
        <v>89</v>
      </c>
      <c r="B607">
        <v>2</v>
      </c>
      <c r="C607" t="s">
        <v>90</v>
      </c>
      <c r="D607" t="s">
        <v>91</v>
      </c>
      <c r="E607" t="s">
        <v>92</v>
      </c>
      <c r="F607">
        <v>150</v>
      </c>
      <c r="G607">
        <v>1300</v>
      </c>
      <c r="H607">
        <v>-2</v>
      </c>
      <c r="I607">
        <v>1983</v>
      </c>
      <c r="J607" t="s">
        <v>32</v>
      </c>
      <c r="K607">
        <v>2635</v>
      </c>
      <c r="L607">
        <v>32.5</v>
      </c>
      <c r="M607">
        <v>14.57</v>
      </c>
      <c r="N607">
        <v>10</v>
      </c>
      <c r="O607">
        <v>2.7</v>
      </c>
      <c r="P607">
        <v>3</v>
      </c>
      <c r="Q607">
        <v>3</v>
      </c>
      <c r="R607">
        <v>4</v>
      </c>
      <c r="S607">
        <v>3</v>
      </c>
      <c r="T607" t="s">
        <v>25</v>
      </c>
    </row>
    <row r="608" spans="1:20" x14ac:dyDescent="0.25">
      <c r="A608" t="s">
        <v>89</v>
      </c>
      <c r="B608">
        <v>2</v>
      </c>
      <c r="C608" t="s">
        <v>90</v>
      </c>
      <c r="D608" t="s">
        <v>91</v>
      </c>
      <c r="E608" t="s">
        <v>92</v>
      </c>
      <c r="F608">
        <v>150</v>
      </c>
      <c r="G608">
        <v>1300</v>
      </c>
      <c r="H608">
        <v>-2</v>
      </c>
      <c r="I608">
        <v>1983</v>
      </c>
      <c r="J608" t="s">
        <v>34</v>
      </c>
      <c r="K608">
        <v>2570</v>
      </c>
      <c r="L608">
        <v>49.88</v>
      </c>
      <c r="M608">
        <v>14.05</v>
      </c>
      <c r="N608">
        <v>10</v>
      </c>
      <c r="O608">
        <v>4</v>
      </c>
      <c r="P608">
        <v>4.5</v>
      </c>
      <c r="Q608">
        <v>3</v>
      </c>
      <c r="R608">
        <v>4</v>
      </c>
      <c r="S608">
        <v>3</v>
      </c>
      <c r="T608" t="s">
        <v>27</v>
      </c>
    </row>
    <row r="609" spans="1:20" x14ac:dyDescent="0.25">
      <c r="A609" t="s">
        <v>89</v>
      </c>
      <c r="B609">
        <v>2</v>
      </c>
      <c r="C609" t="s">
        <v>90</v>
      </c>
      <c r="D609" t="s">
        <v>91</v>
      </c>
      <c r="E609" t="s">
        <v>92</v>
      </c>
      <c r="F609">
        <v>150</v>
      </c>
      <c r="G609">
        <v>1300</v>
      </c>
      <c r="H609">
        <v>-2</v>
      </c>
      <c r="I609">
        <v>1983</v>
      </c>
      <c r="J609" t="s">
        <v>34</v>
      </c>
      <c r="K609">
        <v>1522</v>
      </c>
      <c r="L609">
        <v>52.26</v>
      </c>
      <c r="M609">
        <v>15.45</v>
      </c>
      <c r="N609">
        <v>10</v>
      </c>
      <c r="O609">
        <v>5</v>
      </c>
      <c r="P609">
        <v>4.5</v>
      </c>
      <c r="Q609">
        <v>2.5</v>
      </c>
      <c r="R609">
        <v>2</v>
      </c>
      <c r="S609">
        <v>2.5</v>
      </c>
      <c r="T609" t="s">
        <v>25</v>
      </c>
    </row>
    <row r="610" spans="1:20" x14ac:dyDescent="0.25">
      <c r="A610" t="s">
        <v>89</v>
      </c>
      <c r="B610">
        <v>2</v>
      </c>
      <c r="C610" t="s">
        <v>90</v>
      </c>
      <c r="D610" t="s">
        <v>91</v>
      </c>
      <c r="E610" t="s">
        <v>92</v>
      </c>
      <c r="F610">
        <v>150</v>
      </c>
      <c r="G610">
        <v>1300</v>
      </c>
      <c r="H610">
        <v>-2</v>
      </c>
      <c r="I610">
        <v>1983</v>
      </c>
      <c r="J610" t="s">
        <v>35</v>
      </c>
      <c r="K610">
        <v>1788</v>
      </c>
      <c r="L610">
        <v>32.86</v>
      </c>
      <c r="M610">
        <v>13.86</v>
      </c>
      <c r="N610">
        <v>30</v>
      </c>
      <c r="O610">
        <v>2.8</v>
      </c>
      <c r="P610">
        <v>2</v>
      </c>
      <c r="Q610">
        <v>3.1</v>
      </c>
      <c r="R610">
        <v>3.1</v>
      </c>
      <c r="S610">
        <v>2.2999999999999998</v>
      </c>
      <c r="T610" t="s">
        <v>25</v>
      </c>
    </row>
    <row r="611" spans="1:20" x14ac:dyDescent="0.25">
      <c r="A611" t="s">
        <v>89</v>
      </c>
      <c r="B611">
        <v>2</v>
      </c>
      <c r="C611" t="s">
        <v>90</v>
      </c>
      <c r="D611" t="s">
        <v>91</v>
      </c>
      <c r="E611" t="s">
        <v>92</v>
      </c>
      <c r="F611">
        <v>150</v>
      </c>
      <c r="G611">
        <v>1300</v>
      </c>
      <c r="H611">
        <v>-2</v>
      </c>
      <c r="I611">
        <v>1983</v>
      </c>
      <c r="J611" t="s">
        <v>35</v>
      </c>
      <c r="K611">
        <v>2571</v>
      </c>
      <c r="L611">
        <v>39.79</v>
      </c>
      <c r="M611">
        <v>18.02</v>
      </c>
      <c r="N611">
        <v>40</v>
      </c>
      <c r="O611">
        <v>4.3</v>
      </c>
      <c r="P611">
        <v>2.5</v>
      </c>
      <c r="Q611">
        <v>3.4</v>
      </c>
      <c r="R611">
        <v>3.8</v>
      </c>
      <c r="S611">
        <v>3.1</v>
      </c>
      <c r="T611" t="s">
        <v>27</v>
      </c>
    </row>
    <row r="612" spans="1:20" x14ac:dyDescent="0.25">
      <c r="A612" t="s">
        <v>89</v>
      </c>
      <c r="B612">
        <v>2</v>
      </c>
      <c r="C612" t="s">
        <v>90</v>
      </c>
      <c r="D612" t="s">
        <v>91</v>
      </c>
      <c r="E612" t="s">
        <v>92</v>
      </c>
      <c r="F612">
        <v>150</v>
      </c>
      <c r="G612">
        <v>1300</v>
      </c>
      <c r="H612">
        <v>-2</v>
      </c>
      <c r="I612">
        <v>1983</v>
      </c>
      <c r="J612" t="s">
        <v>36</v>
      </c>
      <c r="K612">
        <v>2573</v>
      </c>
      <c r="L612">
        <v>8.7200000000000006</v>
      </c>
      <c r="M612">
        <v>10.17</v>
      </c>
      <c r="N612">
        <v>10</v>
      </c>
      <c r="O612">
        <v>1.5</v>
      </c>
      <c r="P612">
        <v>4</v>
      </c>
      <c r="Q612">
        <v>4</v>
      </c>
      <c r="R612">
        <v>4</v>
      </c>
      <c r="S612">
        <v>4</v>
      </c>
      <c r="T612" t="s">
        <v>50</v>
      </c>
    </row>
    <row r="613" spans="1:20" x14ac:dyDescent="0.25">
      <c r="A613" t="s">
        <v>89</v>
      </c>
      <c r="B613">
        <v>2</v>
      </c>
      <c r="C613" t="s">
        <v>90</v>
      </c>
      <c r="D613" t="s">
        <v>91</v>
      </c>
      <c r="E613" t="s">
        <v>92</v>
      </c>
      <c r="F613">
        <v>150</v>
      </c>
      <c r="G613">
        <v>1300</v>
      </c>
      <c r="H613">
        <v>-2</v>
      </c>
      <c r="I613">
        <v>1983</v>
      </c>
      <c r="J613" t="s">
        <v>62</v>
      </c>
      <c r="K613">
        <v>2550</v>
      </c>
      <c r="L613">
        <v>27.97</v>
      </c>
      <c r="M613">
        <v>14.65</v>
      </c>
      <c r="N613">
        <v>10</v>
      </c>
      <c r="O613">
        <v>3</v>
      </c>
      <c r="P613">
        <v>3.5</v>
      </c>
      <c r="Q613">
        <v>3.5</v>
      </c>
      <c r="R613">
        <v>3</v>
      </c>
      <c r="S613">
        <v>3</v>
      </c>
      <c r="T613" t="s">
        <v>25</v>
      </c>
    </row>
    <row r="614" spans="1:20" x14ac:dyDescent="0.25">
      <c r="A614" t="s">
        <v>89</v>
      </c>
      <c r="B614">
        <v>2</v>
      </c>
      <c r="C614" t="s">
        <v>90</v>
      </c>
      <c r="D614" t="s">
        <v>91</v>
      </c>
      <c r="E614" t="s">
        <v>92</v>
      </c>
      <c r="F614">
        <v>150</v>
      </c>
      <c r="G614">
        <v>1300</v>
      </c>
      <c r="H614">
        <v>-2</v>
      </c>
      <c r="I614">
        <v>1983</v>
      </c>
      <c r="J614" t="s">
        <v>62</v>
      </c>
      <c r="K614">
        <v>2553</v>
      </c>
      <c r="L614">
        <v>39.69</v>
      </c>
      <c r="M614">
        <v>18.25</v>
      </c>
      <c r="N614">
        <v>30</v>
      </c>
      <c r="O614">
        <v>3.9</v>
      </c>
      <c r="P614">
        <v>3.8</v>
      </c>
      <c r="Q614">
        <v>4.2</v>
      </c>
      <c r="R614">
        <v>4.0999999999999996</v>
      </c>
      <c r="S614">
        <v>3.6</v>
      </c>
      <c r="T614" t="s">
        <v>27</v>
      </c>
    </row>
    <row r="615" spans="1:20" x14ac:dyDescent="0.25">
      <c r="A615" t="s">
        <v>89</v>
      </c>
      <c r="B615">
        <v>2</v>
      </c>
      <c r="C615" t="s">
        <v>90</v>
      </c>
      <c r="D615" t="s">
        <v>91</v>
      </c>
      <c r="E615" t="s">
        <v>92</v>
      </c>
      <c r="F615">
        <v>150</v>
      </c>
      <c r="G615">
        <v>1300</v>
      </c>
      <c r="H615">
        <v>-2</v>
      </c>
      <c r="I615">
        <v>1983</v>
      </c>
      <c r="J615" t="s">
        <v>37</v>
      </c>
      <c r="K615">
        <v>2575</v>
      </c>
      <c r="L615">
        <v>13.81</v>
      </c>
      <c r="M615">
        <v>10.62</v>
      </c>
      <c r="N615">
        <v>10</v>
      </c>
      <c r="O615">
        <v>1.5</v>
      </c>
      <c r="P615">
        <v>3</v>
      </c>
      <c r="Q615">
        <v>2</v>
      </c>
      <c r="R615">
        <v>4</v>
      </c>
      <c r="S615">
        <v>3</v>
      </c>
      <c r="T615" t="s">
        <v>50</v>
      </c>
    </row>
    <row r="616" spans="1:20" x14ac:dyDescent="0.25">
      <c r="A616" t="s">
        <v>89</v>
      </c>
      <c r="B616">
        <v>3</v>
      </c>
      <c r="C616" t="s">
        <v>90</v>
      </c>
      <c r="D616" t="s">
        <v>91</v>
      </c>
      <c r="E616" t="s">
        <v>92</v>
      </c>
      <c r="F616">
        <v>150</v>
      </c>
      <c r="G616">
        <v>1300</v>
      </c>
      <c r="H616">
        <v>-2</v>
      </c>
      <c r="I616">
        <v>1983</v>
      </c>
      <c r="J616" t="s">
        <v>24</v>
      </c>
      <c r="K616">
        <v>2562</v>
      </c>
      <c r="L616">
        <v>38.79</v>
      </c>
      <c r="M616">
        <v>14.56</v>
      </c>
      <c r="N616">
        <v>50</v>
      </c>
      <c r="O616">
        <v>3.9</v>
      </c>
      <c r="P616">
        <v>3.6</v>
      </c>
      <c r="Q616">
        <v>3.2</v>
      </c>
      <c r="R616">
        <v>3.5</v>
      </c>
      <c r="S616">
        <v>2.4</v>
      </c>
      <c r="T616" t="s">
        <v>27</v>
      </c>
    </row>
    <row r="617" spans="1:20" x14ac:dyDescent="0.25">
      <c r="A617" t="s">
        <v>89</v>
      </c>
      <c r="B617">
        <v>3</v>
      </c>
      <c r="C617" t="s">
        <v>90</v>
      </c>
      <c r="D617" t="s">
        <v>91</v>
      </c>
      <c r="E617" t="s">
        <v>92</v>
      </c>
      <c r="F617">
        <v>150</v>
      </c>
      <c r="G617">
        <v>1300</v>
      </c>
      <c r="H617">
        <v>-2</v>
      </c>
      <c r="I617">
        <v>1983</v>
      </c>
      <c r="J617" t="s">
        <v>80</v>
      </c>
      <c r="K617">
        <v>1252</v>
      </c>
      <c r="L617">
        <v>26.05</v>
      </c>
      <c r="M617">
        <v>12.15</v>
      </c>
      <c r="N617">
        <v>10</v>
      </c>
      <c r="O617">
        <v>3</v>
      </c>
      <c r="P617">
        <v>3</v>
      </c>
      <c r="Q617">
        <v>2.5</v>
      </c>
      <c r="R617">
        <v>3.3</v>
      </c>
      <c r="S617">
        <v>3</v>
      </c>
      <c r="T617" t="s">
        <v>38</v>
      </c>
    </row>
    <row r="618" spans="1:20" x14ac:dyDescent="0.25">
      <c r="A618" t="s">
        <v>89</v>
      </c>
      <c r="B618">
        <v>3</v>
      </c>
      <c r="C618" t="s">
        <v>90</v>
      </c>
      <c r="D618" t="s">
        <v>91</v>
      </c>
      <c r="E618" t="s">
        <v>92</v>
      </c>
      <c r="F618">
        <v>150</v>
      </c>
      <c r="G618">
        <v>1300</v>
      </c>
      <c r="H618">
        <v>-2</v>
      </c>
      <c r="I618">
        <v>1983</v>
      </c>
      <c r="J618" t="s">
        <v>59</v>
      </c>
      <c r="K618">
        <v>2548</v>
      </c>
      <c r="L618">
        <v>26.51</v>
      </c>
      <c r="M618">
        <v>7.66</v>
      </c>
      <c r="N618">
        <v>10</v>
      </c>
      <c r="O618">
        <v>2.5</v>
      </c>
      <c r="P618">
        <v>3</v>
      </c>
      <c r="Q618">
        <v>3</v>
      </c>
      <c r="R618">
        <v>3</v>
      </c>
      <c r="S618">
        <v>3</v>
      </c>
      <c r="T618" t="s">
        <v>38</v>
      </c>
    </row>
    <row r="619" spans="1:20" x14ac:dyDescent="0.25">
      <c r="A619" t="s">
        <v>89</v>
      </c>
      <c r="B619">
        <v>3</v>
      </c>
      <c r="C619" t="s">
        <v>90</v>
      </c>
      <c r="D619" t="s">
        <v>91</v>
      </c>
      <c r="E619" t="s">
        <v>92</v>
      </c>
      <c r="F619">
        <v>150</v>
      </c>
      <c r="G619">
        <v>1300</v>
      </c>
      <c r="H619">
        <v>-2</v>
      </c>
      <c r="I619">
        <v>1983</v>
      </c>
      <c r="J619" t="s">
        <v>26</v>
      </c>
      <c r="K619">
        <v>2552</v>
      </c>
      <c r="L619">
        <v>14.24</v>
      </c>
      <c r="M619">
        <v>7.12</v>
      </c>
      <c r="N619">
        <v>10</v>
      </c>
      <c r="O619">
        <v>2</v>
      </c>
      <c r="P619">
        <v>3</v>
      </c>
      <c r="Q619">
        <v>3</v>
      </c>
      <c r="R619">
        <v>4</v>
      </c>
      <c r="S619">
        <v>4</v>
      </c>
      <c r="T619" t="s">
        <v>30</v>
      </c>
    </row>
    <row r="620" spans="1:20" x14ac:dyDescent="0.25">
      <c r="A620" t="s">
        <v>89</v>
      </c>
      <c r="B620">
        <v>3</v>
      </c>
      <c r="C620" t="s">
        <v>90</v>
      </c>
      <c r="D620" t="s">
        <v>91</v>
      </c>
      <c r="E620" t="s">
        <v>92</v>
      </c>
      <c r="F620">
        <v>150</v>
      </c>
      <c r="G620">
        <v>1300</v>
      </c>
      <c r="H620">
        <v>-2</v>
      </c>
      <c r="I620">
        <v>1983</v>
      </c>
      <c r="J620" t="s">
        <v>33</v>
      </c>
      <c r="K620">
        <v>2547</v>
      </c>
      <c r="L620">
        <v>42.95</v>
      </c>
      <c r="M620">
        <v>13.91</v>
      </c>
      <c r="N620">
        <v>50</v>
      </c>
      <c r="O620">
        <v>4.2</v>
      </c>
      <c r="P620">
        <v>2.8</v>
      </c>
      <c r="Q620">
        <v>2</v>
      </c>
      <c r="R620">
        <v>2.5</v>
      </c>
      <c r="S620">
        <v>1.7</v>
      </c>
      <c r="T620" t="s">
        <v>25</v>
      </c>
    </row>
    <row r="621" spans="1:20" x14ac:dyDescent="0.25">
      <c r="A621" t="s">
        <v>89</v>
      </c>
      <c r="B621">
        <v>3</v>
      </c>
      <c r="C621" t="s">
        <v>90</v>
      </c>
      <c r="D621" t="s">
        <v>91</v>
      </c>
      <c r="E621" t="s">
        <v>92</v>
      </c>
      <c r="F621">
        <v>150</v>
      </c>
      <c r="G621">
        <v>1300</v>
      </c>
      <c r="H621">
        <v>-2</v>
      </c>
      <c r="I621">
        <v>1983</v>
      </c>
      <c r="J621" t="s">
        <v>33</v>
      </c>
      <c r="K621">
        <v>2568</v>
      </c>
      <c r="L621">
        <v>40.08</v>
      </c>
      <c r="M621">
        <v>12.27</v>
      </c>
      <c r="N621">
        <v>50</v>
      </c>
      <c r="O621">
        <v>4.0999999999999996</v>
      </c>
      <c r="P621">
        <v>2.5</v>
      </c>
      <c r="Q621">
        <v>2.2999999999999998</v>
      </c>
      <c r="R621">
        <v>2.6</v>
      </c>
      <c r="S621">
        <v>1.7</v>
      </c>
      <c r="T621" t="s">
        <v>25</v>
      </c>
    </row>
    <row r="622" spans="1:20" x14ac:dyDescent="0.25">
      <c r="A622" t="s">
        <v>89</v>
      </c>
      <c r="B622">
        <v>3</v>
      </c>
      <c r="C622" t="s">
        <v>90</v>
      </c>
      <c r="D622" t="s">
        <v>91</v>
      </c>
      <c r="E622" t="s">
        <v>92</v>
      </c>
      <c r="F622">
        <v>150</v>
      </c>
      <c r="G622">
        <v>1300</v>
      </c>
      <c r="H622">
        <v>-2</v>
      </c>
      <c r="I622">
        <v>1983</v>
      </c>
      <c r="J622" t="s">
        <v>32</v>
      </c>
      <c r="K622">
        <v>1596</v>
      </c>
      <c r="L622">
        <v>33.81</v>
      </c>
      <c r="M622">
        <v>10.93</v>
      </c>
      <c r="N622">
        <v>10</v>
      </c>
      <c r="O622">
        <v>3.3</v>
      </c>
      <c r="P622">
        <v>4</v>
      </c>
      <c r="Q622">
        <v>3.3</v>
      </c>
      <c r="R622">
        <v>4</v>
      </c>
      <c r="S622">
        <v>2.7</v>
      </c>
      <c r="T622" t="s">
        <v>25</v>
      </c>
    </row>
    <row r="623" spans="1:20" x14ac:dyDescent="0.25">
      <c r="A623" t="s">
        <v>89</v>
      </c>
      <c r="B623">
        <v>3</v>
      </c>
      <c r="C623" t="s">
        <v>90</v>
      </c>
      <c r="D623" t="s">
        <v>91</v>
      </c>
      <c r="E623" t="s">
        <v>92</v>
      </c>
      <c r="F623">
        <v>150</v>
      </c>
      <c r="G623">
        <v>1300</v>
      </c>
      <c r="H623">
        <v>-2</v>
      </c>
      <c r="I623">
        <v>1983</v>
      </c>
      <c r="J623" t="s">
        <v>32</v>
      </c>
      <c r="K623">
        <v>2569</v>
      </c>
      <c r="L623">
        <v>31.33</v>
      </c>
      <c r="M623">
        <v>10.199999999999999</v>
      </c>
      <c r="N623">
        <v>10</v>
      </c>
      <c r="O623">
        <v>3.5</v>
      </c>
      <c r="P623">
        <v>4</v>
      </c>
      <c r="Q623">
        <v>3</v>
      </c>
      <c r="R623">
        <v>4</v>
      </c>
      <c r="S623">
        <v>3</v>
      </c>
      <c r="T623" t="s">
        <v>27</v>
      </c>
    </row>
    <row r="624" spans="1:20" x14ac:dyDescent="0.25">
      <c r="A624" t="s">
        <v>89</v>
      </c>
      <c r="B624">
        <v>3</v>
      </c>
      <c r="C624" t="s">
        <v>90</v>
      </c>
      <c r="D624" t="s">
        <v>91</v>
      </c>
      <c r="E624" t="s">
        <v>92</v>
      </c>
      <c r="F624">
        <v>150</v>
      </c>
      <c r="G624">
        <v>1300</v>
      </c>
      <c r="H624">
        <v>-2</v>
      </c>
      <c r="I624">
        <v>1983</v>
      </c>
      <c r="J624" t="s">
        <v>32</v>
      </c>
      <c r="K624">
        <v>2634</v>
      </c>
      <c r="L624">
        <v>40.22</v>
      </c>
      <c r="M624">
        <v>18.22</v>
      </c>
      <c r="N624">
        <v>10</v>
      </c>
      <c r="O624">
        <v>4</v>
      </c>
      <c r="P624">
        <v>4.5</v>
      </c>
      <c r="Q624">
        <v>3</v>
      </c>
      <c r="R624">
        <v>3.5</v>
      </c>
      <c r="S624">
        <v>2</v>
      </c>
      <c r="T624" t="s">
        <v>25</v>
      </c>
    </row>
    <row r="625" spans="1:20" x14ac:dyDescent="0.25">
      <c r="A625" t="s">
        <v>89</v>
      </c>
      <c r="B625">
        <v>3</v>
      </c>
      <c r="C625" t="s">
        <v>90</v>
      </c>
      <c r="D625" t="s">
        <v>91</v>
      </c>
      <c r="E625" t="s">
        <v>92</v>
      </c>
      <c r="F625">
        <v>150</v>
      </c>
      <c r="G625">
        <v>1300</v>
      </c>
      <c r="H625">
        <v>-2</v>
      </c>
      <c r="I625">
        <v>1983</v>
      </c>
      <c r="J625" t="s">
        <v>32</v>
      </c>
      <c r="K625">
        <v>2635</v>
      </c>
      <c r="L625">
        <v>30.75</v>
      </c>
      <c r="M625">
        <v>14.57</v>
      </c>
      <c r="N625">
        <v>20</v>
      </c>
      <c r="O625">
        <v>3.8</v>
      </c>
      <c r="P625">
        <v>4</v>
      </c>
      <c r="Q625">
        <v>3.5</v>
      </c>
      <c r="R625">
        <v>4</v>
      </c>
      <c r="S625">
        <v>2.9</v>
      </c>
      <c r="T625" t="s">
        <v>25</v>
      </c>
    </row>
    <row r="626" spans="1:20" x14ac:dyDescent="0.25">
      <c r="A626" t="s">
        <v>89</v>
      </c>
      <c r="B626">
        <v>3</v>
      </c>
      <c r="C626" t="s">
        <v>90</v>
      </c>
      <c r="D626" t="s">
        <v>91</v>
      </c>
      <c r="E626" t="s">
        <v>92</v>
      </c>
      <c r="F626">
        <v>150</v>
      </c>
      <c r="G626">
        <v>1300</v>
      </c>
      <c r="H626">
        <v>-2</v>
      </c>
      <c r="I626">
        <v>1983</v>
      </c>
      <c r="J626" t="s">
        <v>34</v>
      </c>
      <c r="K626">
        <v>2570</v>
      </c>
      <c r="L626">
        <v>35.4</v>
      </c>
      <c r="M626">
        <v>14.05</v>
      </c>
      <c r="N626">
        <v>10</v>
      </c>
      <c r="O626">
        <v>3</v>
      </c>
      <c r="P626">
        <v>3</v>
      </c>
      <c r="Q626">
        <v>3.3</v>
      </c>
      <c r="R626">
        <v>3.5</v>
      </c>
      <c r="S626">
        <v>3</v>
      </c>
      <c r="T626" t="s">
        <v>27</v>
      </c>
    </row>
    <row r="627" spans="1:20" x14ac:dyDescent="0.25">
      <c r="A627" t="s">
        <v>89</v>
      </c>
      <c r="B627">
        <v>3</v>
      </c>
      <c r="C627" t="s">
        <v>90</v>
      </c>
      <c r="D627" t="s">
        <v>91</v>
      </c>
      <c r="E627" t="s">
        <v>92</v>
      </c>
      <c r="F627">
        <v>150</v>
      </c>
      <c r="G627">
        <v>1300</v>
      </c>
      <c r="H627">
        <v>-2</v>
      </c>
      <c r="I627">
        <v>1983</v>
      </c>
      <c r="J627" t="s">
        <v>34</v>
      </c>
      <c r="K627">
        <v>1522</v>
      </c>
      <c r="L627">
        <v>42.43</v>
      </c>
      <c r="M627">
        <v>13.35</v>
      </c>
      <c r="N627">
        <v>40</v>
      </c>
      <c r="O627">
        <v>4</v>
      </c>
      <c r="P627">
        <v>3.4</v>
      </c>
      <c r="Q627">
        <v>3</v>
      </c>
      <c r="R627">
        <v>3.5</v>
      </c>
      <c r="S627">
        <v>2.1</v>
      </c>
      <c r="T627" t="s">
        <v>27</v>
      </c>
    </row>
    <row r="628" spans="1:20" x14ac:dyDescent="0.25">
      <c r="A628" t="s">
        <v>89</v>
      </c>
      <c r="B628">
        <v>3</v>
      </c>
      <c r="C628" t="s">
        <v>90</v>
      </c>
      <c r="D628" t="s">
        <v>91</v>
      </c>
      <c r="E628" t="s">
        <v>92</v>
      </c>
      <c r="F628">
        <v>150</v>
      </c>
      <c r="G628">
        <v>1300</v>
      </c>
      <c r="H628">
        <v>-2</v>
      </c>
      <c r="I628">
        <v>1983</v>
      </c>
      <c r="J628" t="s">
        <v>35</v>
      </c>
      <c r="K628">
        <v>1788</v>
      </c>
      <c r="L628">
        <v>17.329999999999998</v>
      </c>
      <c r="M628">
        <v>8.32</v>
      </c>
      <c r="N628">
        <v>40</v>
      </c>
      <c r="O628">
        <v>1.9</v>
      </c>
      <c r="P628">
        <v>2.1</v>
      </c>
      <c r="Q628">
        <v>2.5</v>
      </c>
      <c r="R628">
        <v>3</v>
      </c>
      <c r="S628">
        <v>2.8</v>
      </c>
      <c r="T628" t="s">
        <v>30</v>
      </c>
    </row>
    <row r="629" spans="1:20" x14ac:dyDescent="0.25">
      <c r="A629" t="s">
        <v>89</v>
      </c>
      <c r="B629">
        <v>3</v>
      </c>
      <c r="C629" t="s">
        <v>90</v>
      </c>
      <c r="D629" t="s">
        <v>91</v>
      </c>
      <c r="E629" t="s">
        <v>92</v>
      </c>
      <c r="F629">
        <v>150</v>
      </c>
      <c r="G629">
        <v>1300</v>
      </c>
      <c r="H629">
        <v>-2</v>
      </c>
      <c r="I629">
        <v>1983</v>
      </c>
      <c r="J629" t="s">
        <v>35</v>
      </c>
      <c r="K629">
        <v>2571</v>
      </c>
      <c r="L629">
        <v>41.87</v>
      </c>
      <c r="M629">
        <v>15.25</v>
      </c>
      <c r="N629">
        <v>30</v>
      </c>
      <c r="O629">
        <v>4.2</v>
      </c>
      <c r="P629">
        <v>2.8</v>
      </c>
      <c r="Q629">
        <v>2.6</v>
      </c>
      <c r="R629">
        <v>3.3</v>
      </c>
      <c r="S629">
        <v>2.2000000000000002</v>
      </c>
      <c r="T629" t="s">
        <v>25</v>
      </c>
    </row>
    <row r="630" spans="1:20" x14ac:dyDescent="0.25">
      <c r="A630" t="s">
        <v>89</v>
      </c>
      <c r="B630">
        <v>3</v>
      </c>
      <c r="C630" t="s">
        <v>90</v>
      </c>
      <c r="D630" t="s">
        <v>91</v>
      </c>
      <c r="E630" t="s">
        <v>92</v>
      </c>
      <c r="F630">
        <v>150</v>
      </c>
      <c r="G630">
        <v>1300</v>
      </c>
      <c r="H630">
        <v>-2</v>
      </c>
      <c r="I630">
        <v>1983</v>
      </c>
      <c r="J630" t="s">
        <v>62</v>
      </c>
      <c r="K630">
        <v>2550</v>
      </c>
      <c r="L630">
        <v>9.99</v>
      </c>
      <c r="M630">
        <v>5.33</v>
      </c>
      <c r="N630">
        <v>10</v>
      </c>
      <c r="O630">
        <v>1.5</v>
      </c>
      <c r="P630">
        <v>2.5</v>
      </c>
      <c r="Q630">
        <v>3</v>
      </c>
      <c r="R630">
        <v>3</v>
      </c>
      <c r="S630">
        <v>3</v>
      </c>
      <c r="T630" t="s">
        <v>50</v>
      </c>
    </row>
    <row r="631" spans="1:20" x14ac:dyDescent="0.25">
      <c r="A631" t="s">
        <v>93</v>
      </c>
      <c r="B631">
        <v>1</v>
      </c>
      <c r="C631" t="s">
        <v>66</v>
      </c>
      <c r="D631" t="s">
        <v>67</v>
      </c>
      <c r="E631" t="s">
        <v>68</v>
      </c>
      <c r="F631">
        <v>180</v>
      </c>
      <c r="G631">
        <v>1080</v>
      </c>
      <c r="H631">
        <v>-3</v>
      </c>
      <c r="I631">
        <v>1981</v>
      </c>
      <c r="J631" t="s">
        <v>56</v>
      </c>
      <c r="K631">
        <v>1111</v>
      </c>
      <c r="L631">
        <v>2.84</v>
      </c>
      <c r="M631">
        <v>3.41</v>
      </c>
      <c r="N631">
        <v>3</v>
      </c>
      <c r="O631">
        <v>1</v>
      </c>
      <c r="P631">
        <v>2</v>
      </c>
      <c r="Q631">
        <v>3</v>
      </c>
      <c r="R631">
        <v>3</v>
      </c>
      <c r="S631">
        <v>3</v>
      </c>
      <c r="T631" t="s">
        <v>50</v>
      </c>
    </row>
    <row r="632" spans="1:20" x14ac:dyDescent="0.25">
      <c r="A632" t="s">
        <v>93</v>
      </c>
      <c r="B632">
        <v>1</v>
      </c>
      <c r="C632" t="s">
        <v>66</v>
      </c>
      <c r="D632" t="s">
        <v>67</v>
      </c>
      <c r="E632" t="s">
        <v>68</v>
      </c>
      <c r="F632">
        <v>180</v>
      </c>
      <c r="G632">
        <v>1080</v>
      </c>
      <c r="H632">
        <v>-3</v>
      </c>
      <c r="I632">
        <v>1981</v>
      </c>
      <c r="J632" t="s">
        <v>24</v>
      </c>
      <c r="K632">
        <v>2562</v>
      </c>
      <c r="L632">
        <v>7.99</v>
      </c>
      <c r="M632">
        <v>5.49</v>
      </c>
      <c r="N632">
        <v>17</v>
      </c>
      <c r="O632">
        <v>2</v>
      </c>
      <c r="P632">
        <v>3</v>
      </c>
      <c r="Q632">
        <v>2.5</v>
      </c>
      <c r="R632">
        <v>3.3</v>
      </c>
      <c r="S632">
        <v>3</v>
      </c>
      <c r="T632" t="s">
        <v>30</v>
      </c>
    </row>
    <row r="633" spans="1:20" x14ac:dyDescent="0.25">
      <c r="A633" t="s">
        <v>93</v>
      </c>
      <c r="B633">
        <v>1</v>
      </c>
      <c r="C633" t="s">
        <v>66</v>
      </c>
      <c r="D633" t="s">
        <v>67</v>
      </c>
      <c r="E633" t="s">
        <v>68</v>
      </c>
      <c r="F633">
        <v>180</v>
      </c>
      <c r="G633">
        <v>1080</v>
      </c>
      <c r="H633">
        <v>-3</v>
      </c>
      <c r="I633">
        <v>1981</v>
      </c>
      <c r="J633" t="s">
        <v>59</v>
      </c>
      <c r="K633">
        <v>2426</v>
      </c>
      <c r="L633">
        <v>8.3000000000000007</v>
      </c>
      <c r="M633">
        <v>5.93</v>
      </c>
      <c r="N633">
        <v>4</v>
      </c>
      <c r="O633">
        <v>2</v>
      </c>
      <c r="P633">
        <v>3.5</v>
      </c>
      <c r="Q633">
        <v>3</v>
      </c>
      <c r="R633">
        <v>3</v>
      </c>
      <c r="S633">
        <v>3</v>
      </c>
      <c r="T633" t="s">
        <v>50</v>
      </c>
    </row>
    <row r="634" spans="1:20" x14ac:dyDescent="0.25">
      <c r="A634" t="s">
        <v>93</v>
      </c>
      <c r="B634">
        <v>1</v>
      </c>
      <c r="C634" t="s">
        <v>66</v>
      </c>
      <c r="D634" t="s">
        <v>67</v>
      </c>
      <c r="E634" t="s">
        <v>68</v>
      </c>
      <c r="F634">
        <v>180</v>
      </c>
      <c r="G634">
        <v>1080</v>
      </c>
      <c r="H634">
        <v>-3</v>
      </c>
      <c r="I634">
        <v>1981</v>
      </c>
      <c r="J634" t="s">
        <v>59</v>
      </c>
      <c r="K634">
        <v>2548</v>
      </c>
      <c r="L634">
        <v>15.58</v>
      </c>
      <c r="M634">
        <v>8.06</v>
      </c>
      <c r="N634">
        <v>27</v>
      </c>
      <c r="O634">
        <v>3</v>
      </c>
      <c r="P634">
        <v>3.5</v>
      </c>
      <c r="Q634">
        <v>3</v>
      </c>
      <c r="R634">
        <v>2.5</v>
      </c>
      <c r="S634">
        <v>3</v>
      </c>
      <c r="T634" t="s">
        <v>38</v>
      </c>
    </row>
    <row r="635" spans="1:20" x14ac:dyDescent="0.25">
      <c r="A635" t="s">
        <v>93</v>
      </c>
      <c r="B635">
        <v>1</v>
      </c>
      <c r="C635" t="s">
        <v>66</v>
      </c>
      <c r="D635" t="s">
        <v>67</v>
      </c>
      <c r="E635" t="s">
        <v>68</v>
      </c>
      <c r="F635">
        <v>180</v>
      </c>
      <c r="G635">
        <v>1080</v>
      </c>
      <c r="H635">
        <v>-3</v>
      </c>
      <c r="I635">
        <v>1981</v>
      </c>
      <c r="J635" t="s">
        <v>32</v>
      </c>
      <c r="K635">
        <v>1596</v>
      </c>
      <c r="L635">
        <v>4.5599999999999996</v>
      </c>
      <c r="M635">
        <v>3.58</v>
      </c>
      <c r="N635">
        <v>13</v>
      </c>
      <c r="O635">
        <v>2</v>
      </c>
      <c r="P635">
        <v>3</v>
      </c>
      <c r="Q635">
        <v>2</v>
      </c>
      <c r="R635">
        <v>3</v>
      </c>
      <c r="S635">
        <v>3</v>
      </c>
      <c r="T635" t="s">
        <v>50</v>
      </c>
    </row>
    <row r="636" spans="1:20" x14ac:dyDescent="0.25">
      <c r="A636" t="s">
        <v>93</v>
      </c>
      <c r="B636">
        <v>1</v>
      </c>
      <c r="C636" t="s">
        <v>66</v>
      </c>
      <c r="D636" t="s">
        <v>67</v>
      </c>
      <c r="E636" t="s">
        <v>68</v>
      </c>
      <c r="F636">
        <v>180</v>
      </c>
      <c r="G636">
        <v>1080</v>
      </c>
      <c r="H636">
        <v>-3</v>
      </c>
      <c r="I636">
        <v>1981</v>
      </c>
      <c r="J636" t="s">
        <v>32</v>
      </c>
      <c r="K636">
        <v>2634</v>
      </c>
      <c r="L636">
        <v>5.43</v>
      </c>
      <c r="M636">
        <v>4.4400000000000004</v>
      </c>
      <c r="N636">
        <v>9</v>
      </c>
      <c r="O636">
        <v>1</v>
      </c>
      <c r="P636">
        <v>2</v>
      </c>
      <c r="Q636">
        <v>2</v>
      </c>
      <c r="R636">
        <v>3</v>
      </c>
      <c r="S636">
        <v>3</v>
      </c>
      <c r="T636" t="s">
        <v>50</v>
      </c>
    </row>
    <row r="637" spans="1:20" x14ac:dyDescent="0.25">
      <c r="A637" t="s">
        <v>93</v>
      </c>
      <c r="B637">
        <v>1</v>
      </c>
      <c r="C637" t="s">
        <v>66</v>
      </c>
      <c r="D637" t="s">
        <v>67</v>
      </c>
      <c r="E637" t="s">
        <v>68</v>
      </c>
      <c r="F637">
        <v>180</v>
      </c>
      <c r="G637">
        <v>1080</v>
      </c>
      <c r="H637">
        <v>-3</v>
      </c>
      <c r="I637">
        <v>1981</v>
      </c>
      <c r="J637" t="s">
        <v>35</v>
      </c>
      <c r="K637">
        <v>1788</v>
      </c>
      <c r="L637">
        <v>13.07</v>
      </c>
      <c r="M637">
        <v>8.1199999999999992</v>
      </c>
      <c r="N637">
        <v>14</v>
      </c>
      <c r="O637">
        <v>1.5</v>
      </c>
      <c r="P637">
        <v>1.5</v>
      </c>
      <c r="Q637">
        <v>2</v>
      </c>
      <c r="R637">
        <v>3</v>
      </c>
      <c r="S637">
        <v>3</v>
      </c>
      <c r="T637" t="s">
        <v>30</v>
      </c>
    </row>
    <row r="638" spans="1:20" x14ac:dyDescent="0.25">
      <c r="A638" t="s">
        <v>93</v>
      </c>
      <c r="B638">
        <v>1</v>
      </c>
      <c r="C638" t="s">
        <v>66</v>
      </c>
      <c r="D638" t="s">
        <v>67</v>
      </c>
      <c r="E638" t="s">
        <v>68</v>
      </c>
      <c r="F638">
        <v>180</v>
      </c>
      <c r="G638">
        <v>1080</v>
      </c>
      <c r="H638">
        <v>-3</v>
      </c>
      <c r="I638">
        <v>1981</v>
      </c>
      <c r="J638" t="s">
        <v>35</v>
      </c>
      <c r="K638">
        <v>2571</v>
      </c>
      <c r="L638">
        <v>23.55</v>
      </c>
      <c r="M638">
        <v>14.36</v>
      </c>
      <c r="N638">
        <v>37</v>
      </c>
      <c r="O638">
        <v>4</v>
      </c>
      <c r="P638">
        <v>2</v>
      </c>
      <c r="Q638">
        <v>3</v>
      </c>
      <c r="R638">
        <v>3.5</v>
      </c>
      <c r="S638">
        <v>2</v>
      </c>
      <c r="T638" t="s">
        <v>27</v>
      </c>
    </row>
    <row r="639" spans="1:20" x14ac:dyDescent="0.25">
      <c r="A639" t="s">
        <v>93</v>
      </c>
      <c r="B639">
        <v>1</v>
      </c>
      <c r="C639" t="s">
        <v>66</v>
      </c>
      <c r="D639" t="s">
        <v>67</v>
      </c>
      <c r="E639" t="s">
        <v>68</v>
      </c>
      <c r="F639">
        <v>180</v>
      </c>
      <c r="G639">
        <v>1080</v>
      </c>
      <c r="H639">
        <v>-3</v>
      </c>
      <c r="I639">
        <v>1981</v>
      </c>
      <c r="J639" t="s">
        <v>35</v>
      </c>
      <c r="K639">
        <v>2622</v>
      </c>
      <c r="L639">
        <v>16.25</v>
      </c>
      <c r="M639">
        <v>9.77</v>
      </c>
      <c r="N639">
        <v>85</v>
      </c>
      <c r="O639">
        <v>4</v>
      </c>
      <c r="P639">
        <v>2</v>
      </c>
      <c r="Q639">
        <v>2.5</v>
      </c>
      <c r="R639">
        <v>4</v>
      </c>
      <c r="S639">
        <v>2.5</v>
      </c>
      <c r="T639" t="s">
        <v>27</v>
      </c>
    </row>
    <row r="640" spans="1:20" x14ac:dyDescent="0.25">
      <c r="A640" t="s">
        <v>93</v>
      </c>
      <c r="B640">
        <v>1</v>
      </c>
      <c r="C640" t="s">
        <v>66</v>
      </c>
      <c r="D640" t="s">
        <v>67</v>
      </c>
      <c r="E640" t="s">
        <v>68</v>
      </c>
      <c r="F640">
        <v>180</v>
      </c>
      <c r="G640">
        <v>1080</v>
      </c>
      <c r="H640">
        <v>-3</v>
      </c>
      <c r="I640">
        <v>1981</v>
      </c>
      <c r="J640" t="s">
        <v>62</v>
      </c>
      <c r="K640">
        <v>2431</v>
      </c>
      <c r="L640">
        <v>17.079999999999998</v>
      </c>
      <c r="M640">
        <v>10.25</v>
      </c>
      <c r="N640">
        <v>7</v>
      </c>
      <c r="O640">
        <v>2.5</v>
      </c>
      <c r="P640">
        <v>3</v>
      </c>
      <c r="Q640">
        <v>3</v>
      </c>
      <c r="R640">
        <v>3.5</v>
      </c>
      <c r="S640">
        <v>3</v>
      </c>
      <c r="T640" t="s">
        <v>30</v>
      </c>
    </row>
    <row r="641" spans="1:20" x14ac:dyDescent="0.25">
      <c r="A641" t="s">
        <v>93</v>
      </c>
      <c r="B641">
        <v>1</v>
      </c>
      <c r="C641" t="s">
        <v>66</v>
      </c>
      <c r="D641" t="s">
        <v>67</v>
      </c>
      <c r="E641" t="s">
        <v>68</v>
      </c>
      <c r="F641">
        <v>180</v>
      </c>
      <c r="G641">
        <v>1080</v>
      </c>
      <c r="H641">
        <v>-3</v>
      </c>
      <c r="I641">
        <v>1981</v>
      </c>
      <c r="J641" t="s">
        <v>62</v>
      </c>
      <c r="K641">
        <v>2553</v>
      </c>
      <c r="L641">
        <v>14.69</v>
      </c>
      <c r="M641">
        <v>9.68</v>
      </c>
      <c r="N641">
        <v>21</v>
      </c>
      <c r="O641">
        <v>3</v>
      </c>
      <c r="P641">
        <v>3</v>
      </c>
      <c r="Q641">
        <v>3.3</v>
      </c>
      <c r="R641">
        <v>3.5</v>
      </c>
      <c r="S641">
        <v>3.3</v>
      </c>
      <c r="T641" t="s">
        <v>38</v>
      </c>
    </row>
    <row r="642" spans="1:20" x14ac:dyDescent="0.25">
      <c r="A642" t="s">
        <v>93</v>
      </c>
      <c r="B642">
        <v>1</v>
      </c>
      <c r="C642" t="s">
        <v>66</v>
      </c>
      <c r="D642" t="s">
        <v>67</v>
      </c>
      <c r="E642" t="s">
        <v>68</v>
      </c>
      <c r="F642">
        <v>180</v>
      </c>
      <c r="G642">
        <v>1080</v>
      </c>
      <c r="H642">
        <v>-3</v>
      </c>
      <c r="I642">
        <v>1981</v>
      </c>
      <c r="J642" t="s">
        <v>62</v>
      </c>
      <c r="K642">
        <v>2574</v>
      </c>
      <c r="L642">
        <v>11.62</v>
      </c>
      <c r="M642">
        <v>7.4</v>
      </c>
      <c r="N642">
        <v>33</v>
      </c>
      <c r="O642">
        <v>3</v>
      </c>
      <c r="P642">
        <v>3</v>
      </c>
      <c r="Q642">
        <v>3.5</v>
      </c>
      <c r="R642">
        <v>3.5</v>
      </c>
      <c r="S642">
        <v>3.3</v>
      </c>
      <c r="T642" t="s">
        <v>38</v>
      </c>
    </row>
    <row r="643" spans="1:20" x14ac:dyDescent="0.25">
      <c r="A643" t="s">
        <v>93</v>
      </c>
      <c r="B643">
        <v>1</v>
      </c>
      <c r="C643" t="s">
        <v>66</v>
      </c>
      <c r="D643" t="s">
        <v>67</v>
      </c>
      <c r="E643" t="s">
        <v>68</v>
      </c>
      <c r="F643">
        <v>180</v>
      </c>
      <c r="G643">
        <v>1080</v>
      </c>
      <c r="H643">
        <v>-3</v>
      </c>
      <c r="I643">
        <v>1981</v>
      </c>
      <c r="J643" t="s">
        <v>37</v>
      </c>
      <c r="K643">
        <v>2575</v>
      </c>
      <c r="L643">
        <v>9.48</v>
      </c>
      <c r="M643">
        <v>6.16</v>
      </c>
      <c r="N643">
        <v>50</v>
      </c>
      <c r="O643">
        <v>2</v>
      </c>
      <c r="P643">
        <v>1.8</v>
      </c>
      <c r="Q643">
        <v>2.5</v>
      </c>
      <c r="R643">
        <v>3</v>
      </c>
      <c r="S643">
        <v>2.5</v>
      </c>
      <c r="T643" t="s">
        <v>30</v>
      </c>
    </row>
    <row r="644" spans="1:20" x14ac:dyDescent="0.25">
      <c r="A644" t="s">
        <v>93</v>
      </c>
      <c r="B644">
        <v>1</v>
      </c>
      <c r="C644" t="s">
        <v>66</v>
      </c>
      <c r="D644" t="s">
        <v>67</v>
      </c>
      <c r="E644" t="s">
        <v>68</v>
      </c>
      <c r="F644">
        <v>180</v>
      </c>
      <c r="G644">
        <v>1080</v>
      </c>
      <c r="H644">
        <v>-3</v>
      </c>
      <c r="I644">
        <v>1981</v>
      </c>
      <c r="J644" t="s">
        <v>35</v>
      </c>
      <c r="K644">
        <v>1785</v>
      </c>
      <c r="L644">
        <v>10.24</v>
      </c>
      <c r="M644">
        <v>6.95</v>
      </c>
      <c r="N644">
        <v>46</v>
      </c>
      <c r="O644">
        <v>2</v>
      </c>
      <c r="P644">
        <v>2</v>
      </c>
      <c r="Q644">
        <v>3</v>
      </c>
      <c r="R644">
        <v>4</v>
      </c>
      <c r="S644">
        <v>3</v>
      </c>
      <c r="T644" t="s">
        <v>30</v>
      </c>
    </row>
    <row r="645" spans="1:20" x14ac:dyDescent="0.25">
      <c r="A645" t="s">
        <v>93</v>
      </c>
      <c r="B645">
        <v>3</v>
      </c>
      <c r="C645" t="s">
        <v>66</v>
      </c>
      <c r="D645" t="s">
        <v>67</v>
      </c>
      <c r="E645" t="s">
        <v>68</v>
      </c>
      <c r="F645">
        <v>180</v>
      </c>
      <c r="G645">
        <v>1080</v>
      </c>
      <c r="H645">
        <v>-3</v>
      </c>
      <c r="I645">
        <v>1981</v>
      </c>
      <c r="J645" t="s">
        <v>76</v>
      </c>
      <c r="K645">
        <v>1592</v>
      </c>
      <c r="L645">
        <v>14.22</v>
      </c>
      <c r="M645">
        <v>11.45</v>
      </c>
      <c r="N645">
        <v>35</v>
      </c>
      <c r="O645">
        <v>3</v>
      </c>
      <c r="P645">
        <v>3</v>
      </c>
      <c r="Q645">
        <v>3</v>
      </c>
      <c r="R645">
        <v>4</v>
      </c>
      <c r="S645">
        <v>3</v>
      </c>
      <c r="T645" t="s">
        <v>25</v>
      </c>
    </row>
    <row r="646" spans="1:20" x14ac:dyDescent="0.25">
      <c r="A646" t="s">
        <v>93</v>
      </c>
      <c r="B646">
        <v>3</v>
      </c>
      <c r="C646" t="s">
        <v>66</v>
      </c>
      <c r="D646" t="s">
        <v>67</v>
      </c>
      <c r="E646" t="s">
        <v>68</v>
      </c>
      <c r="F646">
        <v>180</v>
      </c>
      <c r="G646">
        <v>1080</v>
      </c>
      <c r="H646">
        <v>-3</v>
      </c>
      <c r="I646">
        <v>1981</v>
      </c>
      <c r="J646" t="s">
        <v>76</v>
      </c>
      <c r="K646">
        <v>2560</v>
      </c>
      <c r="L646">
        <v>9.16</v>
      </c>
      <c r="M646">
        <v>7.23</v>
      </c>
      <c r="N646">
        <v>17</v>
      </c>
      <c r="O646">
        <v>3</v>
      </c>
      <c r="P646">
        <v>4</v>
      </c>
      <c r="Q646">
        <v>3</v>
      </c>
      <c r="R646">
        <v>4</v>
      </c>
      <c r="S646">
        <v>4</v>
      </c>
      <c r="T646" t="s">
        <v>38</v>
      </c>
    </row>
    <row r="647" spans="1:20" x14ac:dyDescent="0.25">
      <c r="A647" t="s">
        <v>93</v>
      </c>
      <c r="B647">
        <v>3</v>
      </c>
      <c r="C647" t="s">
        <v>66</v>
      </c>
      <c r="D647" t="s">
        <v>67</v>
      </c>
      <c r="E647" t="s">
        <v>68</v>
      </c>
      <c r="F647">
        <v>180</v>
      </c>
      <c r="G647">
        <v>1080</v>
      </c>
      <c r="H647">
        <v>-3</v>
      </c>
      <c r="I647">
        <v>1981</v>
      </c>
      <c r="J647" t="s">
        <v>56</v>
      </c>
      <c r="K647">
        <v>1111</v>
      </c>
      <c r="L647">
        <v>6.92</v>
      </c>
      <c r="M647">
        <v>4.54</v>
      </c>
      <c r="N647">
        <v>48</v>
      </c>
      <c r="O647">
        <v>3</v>
      </c>
      <c r="P647">
        <v>3</v>
      </c>
      <c r="Q647">
        <v>2.5</v>
      </c>
      <c r="R647">
        <v>2</v>
      </c>
      <c r="S647">
        <v>2</v>
      </c>
      <c r="T647" t="s">
        <v>38</v>
      </c>
    </row>
    <row r="648" spans="1:20" x14ac:dyDescent="0.25">
      <c r="A648" t="s">
        <v>93</v>
      </c>
      <c r="B648">
        <v>3</v>
      </c>
      <c r="C648" t="s">
        <v>66</v>
      </c>
      <c r="D648" t="s">
        <v>67</v>
      </c>
      <c r="E648" t="s">
        <v>68</v>
      </c>
      <c r="F648">
        <v>180</v>
      </c>
      <c r="G648">
        <v>1080</v>
      </c>
      <c r="H648">
        <v>-3</v>
      </c>
      <c r="I648">
        <v>1981</v>
      </c>
      <c r="J648" t="s">
        <v>24</v>
      </c>
      <c r="K648">
        <v>2562</v>
      </c>
      <c r="L648">
        <v>8.83</v>
      </c>
      <c r="M648">
        <v>8.6</v>
      </c>
      <c r="N648">
        <v>63</v>
      </c>
      <c r="O648">
        <v>3</v>
      </c>
      <c r="P648">
        <v>3.5</v>
      </c>
      <c r="Q648">
        <v>3.5</v>
      </c>
      <c r="R648">
        <v>3.5</v>
      </c>
      <c r="S648">
        <v>3</v>
      </c>
      <c r="T648" t="s">
        <v>38</v>
      </c>
    </row>
    <row r="649" spans="1:20" x14ac:dyDescent="0.25">
      <c r="A649" t="s">
        <v>93</v>
      </c>
      <c r="B649">
        <v>3</v>
      </c>
      <c r="C649" t="s">
        <v>66</v>
      </c>
      <c r="D649" t="s">
        <v>67</v>
      </c>
      <c r="E649" t="s">
        <v>68</v>
      </c>
      <c r="F649">
        <v>180</v>
      </c>
      <c r="G649">
        <v>1080</v>
      </c>
      <c r="H649">
        <v>-3</v>
      </c>
      <c r="I649">
        <v>1981</v>
      </c>
      <c r="J649" t="s">
        <v>59</v>
      </c>
      <c r="K649">
        <v>2426</v>
      </c>
      <c r="L649">
        <v>17.420000000000002</v>
      </c>
      <c r="M649">
        <v>9.01</v>
      </c>
      <c r="N649">
        <v>45</v>
      </c>
      <c r="O649">
        <v>4.5</v>
      </c>
      <c r="P649">
        <v>4.5</v>
      </c>
      <c r="Q649">
        <v>3</v>
      </c>
      <c r="R649">
        <v>2</v>
      </c>
      <c r="S649">
        <v>1.5</v>
      </c>
      <c r="T649" t="s">
        <v>27</v>
      </c>
    </row>
    <row r="650" spans="1:20" x14ac:dyDescent="0.25">
      <c r="A650" t="s">
        <v>93</v>
      </c>
      <c r="B650">
        <v>3</v>
      </c>
      <c r="C650" t="s">
        <v>66</v>
      </c>
      <c r="D650" t="s">
        <v>67</v>
      </c>
      <c r="E650" t="s">
        <v>68</v>
      </c>
      <c r="F650">
        <v>180</v>
      </c>
      <c r="G650">
        <v>1080</v>
      </c>
      <c r="H650">
        <v>-3</v>
      </c>
      <c r="I650">
        <v>1981</v>
      </c>
      <c r="J650" t="s">
        <v>59</v>
      </c>
      <c r="K650">
        <v>2548</v>
      </c>
      <c r="L650">
        <v>13.04</v>
      </c>
      <c r="M650">
        <v>9.36</v>
      </c>
      <c r="N650">
        <v>55</v>
      </c>
      <c r="O650">
        <v>4</v>
      </c>
      <c r="P650">
        <v>4</v>
      </c>
      <c r="Q650">
        <v>3</v>
      </c>
      <c r="R650">
        <v>2.5</v>
      </c>
      <c r="S650">
        <v>2</v>
      </c>
      <c r="T650" t="s">
        <v>25</v>
      </c>
    </row>
    <row r="651" spans="1:20" x14ac:dyDescent="0.25">
      <c r="A651" t="s">
        <v>93</v>
      </c>
      <c r="B651">
        <v>3</v>
      </c>
      <c r="C651" t="s">
        <v>66</v>
      </c>
      <c r="D651" t="s">
        <v>67</v>
      </c>
      <c r="E651" t="s">
        <v>68</v>
      </c>
      <c r="F651">
        <v>180</v>
      </c>
      <c r="G651">
        <v>1080</v>
      </c>
      <c r="H651">
        <v>-3</v>
      </c>
      <c r="I651">
        <v>1981</v>
      </c>
      <c r="J651" t="s">
        <v>32</v>
      </c>
      <c r="K651">
        <v>1596</v>
      </c>
      <c r="L651">
        <v>17.27</v>
      </c>
      <c r="M651">
        <v>9.01</v>
      </c>
      <c r="N651">
        <v>48</v>
      </c>
      <c r="O651">
        <v>3.5</v>
      </c>
      <c r="P651">
        <v>3</v>
      </c>
      <c r="Q651">
        <v>3.3</v>
      </c>
      <c r="R651">
        <v>4</v>
      </c>
      <c r="S651">
        <v>3</v>
      </c>
      <c r="T651" t="s">
        <v>27</v>
      </c>
    </row>
    <row r="652" spans="1:20" x14ac:dyDescent="0.25">
      <c r="A652" t="s">
        <v>93</v>
      </c>
      <c r="B652">
        <v>3</v>
      </c>
      <c r="C652" t="s">
        <v>66</v>
      </c>
      <c r="D652" t="s">
        <v>67</v>
      </c>
      <c r="E652" t="s">
        <v>68</v>
      </c>
      <c r="F652">
        <v>180</v>
      </c>
      <c r="G652">
        <v>1080</v>
      </c>
      <c r="H652">
        <v>-3</v>
      </c>
      <c r="I652">
        <v>1981</v>
      </c>
      <c r="J652" t="s">
        <v>32</v>
      </c>
      <c r="K652">
        <v>2634</v>
      </c>
      <c r="L652">
        <v>11.84</v>
      </c>
      <c r="M652">
        <v>9.1300000000000008</v>
      </c>
      <c r="N652">
        <v>18</v>
      </c>
      <c r="O652">
        <v>2.5</v>
      </c>
      <c r="P652">
        <v>3.5</v>
      </c>
      <c r="Q652">
        <v>2.5</v>
      </c>
      <c r="R652">
        <v>3.5</v>
      </c>
      <c r="S652">
        <v>3</v>
      </c>
      <c r="T652" t="s">
        <v>38</v>
      </c>
    </row>
    <row r="653" spans="1:20" x14ac:dyDescent="0.25">
      <c r="A653" t="s">
        <v>93</v>
      </c>
      <c r="B653">
        <v>3</v>
      </c>
      <c r="C653" t="s">
        <v>66</v>
      </c>
      <c r="D653" t="s">
        <v>67</v>
      </c>
      <c r="E653" t="s">
        <v>68</v>
      </c>
      <c r="F653">
        <v>180</v>
      </c>
      <c r="G653">
        <v>1080</v>
      </c>
      <c r="H653">
        <v>-3</v>
      </c>
      <c r="I653">
        <v>1981</v>
      </c>
      <c r="J653" t="s">
        <v>35</v>
      </c>
      <c r="K653">
        <v>1788</v>
      </c>
      <c r="L653">
        <v>9.5399999999999991</v>
      </c>
      <c r="M653">
        <v>6.83</v>
      </c>
      <c r="N653">
        <v>13</v>
      </c>
      <c r="O653">
        <v>2.5</v>
      </c>
      <c r="P653">
        <v>1.8</v>
      </c>
      <c r="Q653">
        <v>2.5</v>
      </c>
      <c r="R653">
        <v>4</v>
      </c>
      <c r="S653">
        <v>3</v>
      </c>
      <c r="T653" t="s">
        <v>38</v>
      </c>
    </row>
    <row r="654" spans="1:20" x14ac:dyDescent="0.25">
      <c r="A654" t="s">
        <v>93</v>
      </c>
      <c r="B654">
        <v>3</v>
      </c>
      <c r="C654" t="s">
        <v>66</v>
      </c>
      <c r="D654" t="s">
        <v>67</v>
      </c>
      <c r="E654" t="s">
        <v>68</v>
      </c>
      <c r="F654">
        <v>180</v>
      </c>
      <c r="G654">
        <v>1080</v>
      </c>
      <c r="H654">
        <v>-3</v>
      </c>
      <c r="I654">
        <v>1981</v>
      </c>
      <c r="J654" t="s">
        <v>35</v>
      </c>
      <c r="K654">
        <v>1785</v>
      </c>
      <c r="L654">
        <v>7.89</v>
      </c>
      <c r="M654">
        <v>5.65</v>
      </c>
      <c r="N654">
        <v>45</v>
      </c>
      <c r="O654">
        <v>2.5</v>
      </c>
      <c r="P654">
        <v>2</v>
      </c>
      <c r="Q654">
        <v>3</v>
      </c>
      <c r="R654">
        <v>3.3</v>
      </c>
      <c r="S654">
        <v>2.5</v>
      </c>
      <c r="T654" t="s">
        <v>38</v>
      </c>
    </row>
    <row r="655" spans="1:20" x14ac:dyDescent="0.25">
      <c r="A655" t="s">
        <v>93</v>
      </c>
      <c r="B655">
        <v>3</v>
      </c>
      <c r="C655" t="s">
        <v>66</v>
      </c>
      <c r="D655" t="s">
        <v>67</v>
      </c>
      <c r="E655" t="s">
        <v>68</v>
      </c>
      <c r="F655">
        <v>180</v>
      </c>
      <c r="G655">
        <v>1080</v>
      </c>
      <c r="H655">
        <v>-3</v>
      </c>
      <c r="I655">
        <v>1981</v>
      </c>
      <c r="J655" t="s">
        <v>35</v>
      </c>
      <c r="K655">
        <v>2571</v>
      </c>
      <c r="L655">
        <v>12.72</v>
      </c>
      <c r="M655">
        <v>10.6</v>
      </c>
      <c r="N655">
        <v>37</v>
      </c>
      <c r="O655">
        <v>3</v>
      </c>
      <c r="P655">
        <v>2</v>
      </c>
      <c r="Q655">
        <v>3.5</v>
      </c>
      <c r="R655">
        <v>4.5</v>
      </c>
      <c r="S655">
        <v>4.3</v>
      </c>
      <c r="T655" t="s">
        <v>27</v>
      </c>
    </row>
    <row r="656" spans="1:20" x14ac:dyDescent="0.25">
      <c r="A656" t="s">
        <v>93</v>
      </c>
      <c r="B656">
        <v>3</v>
      </c>
      <c r="C656" t="s">
        <v>66</v>
      </c>
      <c r="D656" t="s">
        <v>67</v>
      </c>
      <c r="E656" t="s">
        <v>68</v>
      </c>
      <c r="F656">
        <v>180</v>
      </c>
      <c r="G656">
        <v>1080</v>
      </c>
      <c r="H656">
        <v>-3</v>
      </c>
      <c r="I656">
        <v>1981</v>
      </c>
      <c r="J656" t="s">
        <v>35</v>
      </c>
      <c r="K656">
        <v>2622</v>
      </c>
      <c r="L656">
        <v>11.07</v>
      </c>
      <c r="M656">
        <v>8.9499999999999993</v>
      </c>
      <c r="N656">
        <v>70</v>
      </c>
      <c r="O656">
        <v>3</v>
      </c>
      <c r="P656">
        <v>2</v>
      </c>
      <c r="Q656">
        <v>2.5</v>
      </c>
      <c r="R656">
        <v>4</v>
      </c>
      <c r="S656">
        <v>3</v>
      </c>
      <c r="T656" t="s">
        <v>25</v>
      </c>
    </row>
    <row r="657" spans="1:20" x14ac:dyDescent="0.25">
      <c r="A657" t="s">
        <v>93</v>
      </c>
      <c r="B657">
        <v>3</v>
      </c>
      <c r="C657" t="s">
        <v>66</v>
      </c>
      <c r="D657" t="s">
        <v>67</v>
      </c>
      <c r="E657" t="s">
        <v>68</v>
      </c>
      <c r="F657">
        <v>180</v>
      </c>
      <c r="G657">
        <v>1080</v>
      </c>
      <c r="H657">
        <v>-3</v>
      </c>
      <c r="I657">
        <v>1981</v>
      </c>
      <c r="J657" t="s">
        <v>62</v>
      </c>
      <c r="K657">
        <v>2431</v>
      </c>
      <c r="L657">
        <v>10.25</v>
      </c>
      <c r="M657">
        <v>10.02</v>
      </c>
      <c r="N657">
        <v>36</v>
      </c>
      <c r="O657">
        <v>3</v>
      </c>
      <c r="P657">
        <v>3</v>
      </c>
      <c r="Q657">
        <v>4</v>
      </c>
      <c r="R657">
        <v>4.5</v>
      </c>
      <c r="S657">
        <v>3.5</v>
      </c>
      <c r="T657" t="s">
        <v>38</v>
      </c>
    </row>
    <row r="658" spans="1:20" x14ac:dyDescent="0.25">
      <c r="A658" t="s">
        <v>93</v>
      </c>
      <c r="B658">
        <v>3</v>
      </c>
      <c r="C658" t="s">
        <v>66</v>
      </c>
      <c r="D658" t="s">
        <v>67</v>
      </c>
      <c r="E658" t="s">
        <v>68</v>
      </c>
      <c r="F658">
        <v>180</v>
      </c>
      <c r="G658">
        <v>1080</v>
      </c>
      <c r="H658">
        <v>-3</v>
      </c>
      <c r="I658">
        <v>1981</v>
      </c>
      <c r="J658" t="s">
        <v>62</v>
      </c>
      <c r="K658">
        <v>2432</v>
      </c>
      <c r="L658">
        <v>14.46</v>
      </c>
      <c r="M658">
        <v>11.73</v>
      </c>
      <c r="N658">
        <v>60</v>
      </c>
      <c r="O658">
        <v>4.5</v>
      </c>
      <c r="P658">
        <v>4</v>
      </c>
      <c r="Q658">
        <v>3.5</v>
      </c>
      <c r="R658">
        <v>3.5</v>
      </c>
      <c r="S658">
        <v>2.5</v>
      </c>
      <c r="T658" t="s">
        <v>27</v>
      </c>
    </row>
    <row r="659" spans="1:20" x14ac:dyDescent="0.25">
      <c r="A659" t="s">
        <v>93</v>
      </c>
      <c r="B659">
        <v>3</v>
      </c>
      <c r="C659" t="s">
        <v>66</v>
      </c>
      <c r="D659" t="s">
        <v>67</v>
      </c>
      <c r="E659" t="s">
        <v>68</v>
      </c>
      <c r="F659">
        <v>180</v>
      </c>
      <c r="G659">
        <v>1080</v>
      </c>
      <c r="H659">
        <v>-3</v>
      </c>
      <c r="I659">
        <v>1981</v>
      </c>
      <c r="J659" t="s">
        <v>62</v>
      </c>
      <c r="K659">
        <v>2550</v>
      </c>
      <c r="L659">
        <v>15.37</v>
      </c>
      <c r="M659">
        <v>10.82</v>
      </c>
      <c r="N659">
        <v>13</v>
      </c>
      <c r="O659">
        <v>3</v>
      </c>
      <c r="P659">
        <v>2.7</v>
      </c>
      <c r="Q659">
        <v>3.5</v>
      </c>
      <c r="R659">
        <v>3.5</v>
      </c>
      <c r="S659">
        <v>3</v>
      </c>
      <c r="T659" t="s">
        <v>38</v>
      </c>
    </row>
    <row r="660" spans="1:20" x14ac:dyDescent="0.25">
      <c r="A660" t="s">
        <v>93</v>
      </c>
      <c r="B660">
        <v>3</v>
      </c>
      <c r="C660" t="s">
        <v>66</v>
      </c>
      <c r="D660" t="s">
        <v>67</v>
      </c>
      <c r="E660" t="s">
        <v>68</v>
      </c>
      <c r="F660">
        <v>180</v>
      </c>
      <c r="G660">
        <v>1080</v>
      </c>
      <c r="H660">
        <v>-3</v>
      </c>
      <c r="I660">
        <v>1981</v>
      </c>
      <c r="J660" t="s">
        <v>62</v>
      </c>
      <c r="K660">
        <v>2553</v>
      </c>
      <c r="L660">
        <v>11.96</v>
      </c>
      <c r="M660">
        <v>9.91</v>
      </c>
      <c r="N660">
        <v>33</v>
      </c>
      <c r="O660">
        <v>4</v>
      </c>
      <c r="P660">
        <v>4</v>
      </c>
      <c r="Q660">
        <v>4</v>
      </c>
      <c r="R660">
        <v>4</v>
      </c>
      <c r="S660">
        <v>4</v>
      </c>
      <c r="T660" t="s">
        <v>25</v>
      </c>
    </row>
    <row r="661" spans="1:20" x14ac:dyDescent="0.25">
      <c r="A661" t="s">
        <v>93</v>
      </c>
      <c r="B661">
        <v>3</v>
      </c>
      <c r="C661" t="s">
        <v>66</v>
      </c>
      <c r="D661" t="s">
        <v>67</v>
      </c>
      <c r="E661" t="s">
        <v>68</v>
      </c>
      <c r="F661">
        <v>180</v>
      </c>
      <c r="G661">
        <v>1080</v>
      </c>
      <c r="H661">
        <v>-3</v>
      </c>
      <c r="I661">
        <v>1981</v>
      </c>
      <c r="J661" t="s">
        <v>62</v>
      </c>
      <c r="K661">
        <v>2574</v>
      </c>
      <c r="L661">
        <v>12.41</v>
      </c>
      <c r="M661">
        <v>9.68</v>
      </c>
      <c r="N661">
        <v>67</v>
      </c>
      <c r="O661">
        <v>4</v>
      </c>
      <c r="P661">
        <v>4</v>
      </c>
      <c r="Q661">
        <v>3.5</v>
      </c>
      <c r="R661">
        <v>4</v>
      </c>
      <c r="S661">
        <v>3</v>
      </c>
      <c r="T661" t="s">
        <v>25</v>
      </c>
    </row>
    <row r="662" spans="1:20" x14ac:dyDescent="0.25">
      <c r="A662" t="s">
        <v>93</v>
      </c>
      <c r="B662">
        <v>3</v>
      </c>
      <c r="C662" t="s">
        <v>66</v>
      </c>
      <c r="D662" t="s">
        <v>67</v>
      </c>
      <c r="E662" t="s">
        <v>68</v>
      </c>
      <c r="F662">
        <v>180</v>
      </c>
      <c r="G662">
        <v>1080</v>
      </c>
      <c r="H662">
        <v>-3</v>
      </c>
      <c r="I662">
        <v>1981</v>
      </c>
      <c r="J662" t="s">
        <v>37</v>
      </c>
      <c r="K662">
        <v>2575</v>
      </c>
      <c r="L662">
        <v>7.94</v>
      </c>
      <c r="M662">
        <v>6.16</v>
      </c>
      <c r="N662">
        <v>51</v>
      </c>
      <c r="O662">
        <v>2.5</v>
      </c>
      <c r="P662">
        <v>2</v>
      </c>
      <c r="Q662">
        <v>2.5</v>
      </c>
      <c r="R662">
        <v>4.5</v>
      </c>
      <c r="S662">
        <v>4</v>
      </c>
      <c r="T662" t="s">
        <v>38</v>
      </c>
    </row>
    <row r="663" spans="1:20" x14ac:dyDescent="0.25">
      <c r="A663" t="s">
        <v>93</v>
      </c>
      <c r="B663">
        <v>3</v>
      </c>
      <c r="C663" t="s">
        <v>66</v>
      </c>
      <c r="D663" t="s">
        <v>67</v>
      </c>
      <c r="E663" t="s">
        <v>68</v>
      </c>
      <c r="F663">
        <v>180</v>
      </c>
      <c r="G663">
        <v>1080</v>
      </c>
      <c r="H663">
        <v>-3</v>
      </c>
      <c r="I663">
        <v>1981</v>
      </c>
      <c r="J663" t="s">
        <v>57</v>
      </c>
      <c r="K663">
        <v>2621</v>
      </c>
      <c r="L663">
        <v>5.98</v>
      </c>
      <c r="M663">
        <v>4.03</v>
      </c>
      <c r="N663">
        <v>43</v>
      </c>
      <c r="O663">
        <v>2.5</v>
      </c>
      <c r="P663">
        <v>2</v>
      </c>
      <c r="Q663">
        <v>3.3</v>
      </c>
      <c r="R663">
        <v>4</v>
      </c>
      <c r="S663">
        <v>3.5</v>
      </c>
      <c r="T663" t="s">
        <v>38</v>
      </c>
    </row>
    <row r="664" spans="1:20" x14ac:dyDescent="0.25">
      <c r="A664" t="s">
        <v>94</v>
      </c>
      <c r="B664">
        <v>1</v>
      </c>
      <c r="C664" t="s">
        <v>21</v>
      </c>
      <c r="D664" t="s">
        <v>95</v>
      </c>
      <c r="E664" t="s">
        <v>96</v>
      </c>
      <c r="F664">
        <v>150</v>
      </c>
      <c r="G664">
        <v>900</v>
      </c>
      <c r="H664">
        <v>-2</v>
      </c>
      <c r="I664">
        <v>1986</v>
      </c>
      <c r="J664" t="s">
        <v>76</v>
      </c>
      <c r="K664">
        <v>3266</v>
      </c>
      <c r="L664">
        <v>21.86</v>
      </c>
      <c r="M664">
        <v>10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50</v>
      </c>
    </row>
    <row r="665" spans="1:20" x14ac:dyDescent="0.25">
      <c r="A665" t="s">
        <v>94</v>
      </c>
      <c r="B665">
        <v>1</v>
      </c>
      <c r="C665" t="s">
        <v>21</v>
      </c>
      <c r="D665" t="s">
        <v>95</v>
      </c>
      <c r="E665" t="s">
        <v>96</v>
      </c>
      <c r="F665">
        <v>150</v>
      </c>
      <c r="G665">
        <v>900</v>
      </c>
      <c r="H665">
        <v>-2</v>
      </c>
      <c r="I665">
        <v>1986</v>
      </c>
      <c r="J665" t="s">
        <v>76</v>
      </c>
      <c r="K665">
        <v>3267</v>
      </c>
      <c r="L665">
        <v>33.65</v>
      </c>
      <c r="M665">
        <v>15.36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50</v>
      </c>
    </row>
    <row r="666" spans="1:20" x14ac:dyDescent="0.25">
      <c r="A666" t="s">
        <v>94</v>
      </c>
      <c r="B666">
        <v>1</v>
      </c>
      <c r="C666" t="s">
        <v>21</v>
      </c>
      <c r="D666" t="s">
        <v>95</v>
      </c>
      <c r="E666" t="s">
        <v>96</v>
      </c>
      <c r="F666">
        <v>150</v>
      </c>
      <c r="G666">
        <v>900</v>
      </c>
      <c r="H666">
        <v>-2</v>
      </c>
      <c r="I666">
        <v>1986</v>
      </c>
      <c r="J666" t="s">
        <v>76</v>
      </c>
      <c r="K666">
        <v>3268</v>
      </c>
      <c r="L666">
        <v>18.010000000000002</v>
      </c>
      <c r="M666">
        <v>3.26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50</v>
      </c>
    </row>
    <row r="667" spans="1:20" x14ac:dyDescent="0.25">
      <c r="A667" t="s">
        <v>94</v>
      </c>
      <c r="B667">
        <v>1</v>
      </c>
      <c r="C667" t="s">
        <v>21</v>
      </c>
      <c r="D667" t="s">
        <v>95</v>
      </c>
      <c r="E667" t="s">
        <v>96</v>
      </c>
      <c r="F667">
        <v>150</v>
      </c>
      <c r="G667">
        <v>900</v>
      </c>
      <c r="H667">
        <v>-2</v>
      </c>
      <c r="I667">
        <v>1986</v>
      </c>
      <c r="J667" t="s">
        <v>76</v>
      </c>
      <c r="K667">
        <v>3269</v>
      </c>
      <c r="L667">
        <v>24.72</v>
      </c>
      <c r="M667">
        <v>11.29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50</v>
      </c>
    </row>
    <row r="668" spans="1:20" x14ac:dyDescent="0.25">
      <c r="A668" t="s">
        <v>94</v>
      </c>
      <c r="B668">
        <v>1</v>
      </c>
      <c r="C668" t="s">
        <v>21</v>
      </c>
      <c r="D668" t="s">
        <v>95</v>
      </c>
      <c r="E668" t="s">
        <v>96</v>
      </c>
      <c r="F668">
        <v>150</v>
      </c>
      <c r="G668">
        <v>900</v>
      </c>
      <c r="H668">
        <v>-2</v>
      </c>
      <c r="I668">
        <v>1986</v>
      </c>
      <c r="J668" t="s">
        <v>76</v>
      </c>
      <c r="K668">
        <v>2770</v>
      </c>
      <c r="L668">
        <v>20.85</v>
      </c>
      <c r="M668">
        <v>9.52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50</v>
      </c>
    </row>
    <row r="669" spans="1:20" x14ac:dyDescent="0.25">
      <c r="A669" t="s">
        <v>94</v>
      </c>
      <c r="B669">
        <v>1</v>
      </c>
      <c r="C669" t="s">
        <v>21</v>
      </c>
      <c r="D669" t="s">
        <v>95</v>
      </c>
      <c r="E669" t="s">
        <v>96</v>
      </c>
      <c r="F669">
        <v>150</v>
      </c>
      <c r="G669">
        <v>900</v>
      </c>
      <c r="H669">
        <v>-2</v>
      </c>
      <c r="I669">
        <v>1986</v>
      </c>
      <c r="J669" t="s">
        <v>76</v>
      </c>
      <c r="K669">
        <v>2460</v>
      </c>
      <c r="L669">
        <v>29.6</v>
      </c>
      <c r="M669">
        <v>13.52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50</v>
      </c>
    </row>
    <row r="670" spans="1:20" x14ac:dyDescent="0.25">
      <c r="A670" t="s">
        <v>94</v>
      </c>
      <c r="B670">
        <v>1</v>
      </c>
      <c r="C670" t="s">
        <v>21</v>
      </c>
      <c r="D670" t="s">
        <v>95</v>
      </c>
      <c r="E670" t="s">
        <v>96</v>
      </c>
      <c r="F670">
        <v>150</v>
      </c>
      <c r="G670">
        <v>900</v>
      </c>
      <c r="H670">
        <v>-2</v>
      </c>
      <c r="I670">
        <v>1986</v>
      </c>
      <c r="J670" t="s">
        <v>24</v>
      </c>
      <c r="K670">
        <v>2562</v>
      </c>
      <c r="L670">
        <v>40.44</v>
      </c>
      <c r="M670">
        <v>17.059999999999999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50</v>
      </c>
    </row>
    <row r="671" spans="1:20" x14ac:dyDescent="0.25">
      <c r="A671" t="s">
        <v>94</v>
      </c>
      <c r="B671">
        <v>1</v>
      </c>
      <c r="C671" t="s">
        <v>21</v>
      </c>
      <c r="D671" t="s">
        <v>95</v>
      </c>
      <c r="E671" t="s">
        <v>96</v>
      </c>
      <c r="F671">
        <v>150</v>
      </c>
      <c r="G671">
        <v>900</v>
      </c>
      <c r="H671">
        <v>-2</v>
      </c>
      <c r="I671">
        <v>1986</v>
      </c>
      <c r="J671" t="s">
        <v>32</v>
      </c>
      <c r="K671">
        <v>3270</v>
      </c>
      <c r="L671">
        <v>27.7</v>
      </c>
      <c r="M671">
        <v>12.62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50</v>
      </c>
    </row>
    <row r="672" spans="1:20" x14ac:dyDescent="0.25">
      <c r="A672" t="s">
        <v>94</v>
      </c>
      <c r="B672">
        <v>1</v>
      </c>
      <c r="C672" t="s">
        <v>21</v>
      </c>
      <c r="D672" t="s">
        <v>95</v>
      </c>
      <c r="E672" t="s">
        <v>96</v>
      </c>
      <c r="F672">
        <v>150</v>
      </c>
      <c r="G672">
        <v>900</v>
      </c>
      <c r="H672">
        <v>-2</v>
      </c>
      <c r="I672">
        <v>1986</v>
      </c>
      <c r="J672" t="s">
        <v>32</v>
      </c>
      <c r="K672">
        <v>3271</v>
      </c>
      <c r="L672">
        <v>18.73</v>
      </c>
      <c r="M672">
        <v>8.5299999999999994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50</v>
      </c>
    </row>
    <row r="673" spans="1:20" x14ac:dyDescent="0.25">
      <c r="A673" t="s">
        <v>94</v>
      </c>
      <c r="B673">
        <v>1</v>
      </c>
      <c r="C673" t="s">
        <v>21</v>
      </c>
      <c r="D673" t="s">
        <v>95</v>
      </c>
      <c r="E673" t="s">
        <v>96</v>
      </c>
      <c r="F673">
        <v>150</v>
      </c>
      <c r="G673">
        <v>900</v>
      </c>
      <c r="H673">
        <v>-2</v>
      </c>
      <c r="I673">
        <v>1986</v>
      </c>
      <c r="J673" t="s">
        <v>32</v>
      </c>
      <c r="K673">
        <v>2569</v>
      </c>
      <c r="L673">
        <v>36.65</v>
      </c>
      <c r="M673">
        <v>16.690000000000001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50</v>
      </c>
    </row>
    <row r="674" spans="1:20" x14ac:dyDescent="0.25">
      <c r="A674" t="s">
        <v>94</v>
      </c>
      <c r="B674">
        <v>1</v>
      </c>
      <c r="C674" t="s">
        <v>21</v>
      </c>
      <c r="D674" t="s">
        <v>95</v>
      </c>
      <c r="E674" t="s">
        <v>96</v>
      </c>
      <c r="F674">
        <v>150</v>
      </c>
      <c r="G674">
        <v>900</v>
      </c>
      <c r="H674">
        <v>-2</v>
      </c>
      <c r="I674">
        <v>1986</v>
      </c>
      <c r="J674" t="s">
        <v>32</v>
      </c>
      <c r="K674">
        <v>1596</v>
      </c>
      <c r="L674">
        <v>25.84</v>
      </c>
      <c r="M674">
        <v>11.76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50</v>
      </c>
    </row>
    <row r="675" spans="1:20" x14ac:dyDescent="0.25">
      <c r="A675" t="s">
        <v>94</v>
      </c>
      <c r="B675">
        <v>1</v>
      </c>
      <c r="C675" t="s">
        <v>21</v>
      </c>
      <c r="D675" t="s">
        <v>95</v>
      </c>
      <c r="E675" t="s">
        <v>96</v>
      </c>
      <c r="F675">
        <v>150</v>
      </c>
      <c r="G675">
        <v>900</v>
      </c>
      <c r="H675">
        <v>-2</v>
      </c>
      <c r="I675">
        <v>1986</v>
      </c>
      <c r="J675" t="s">
        <v>32</v>
      </c>
      <c r="K675">
        <v>3068</v>
      </c>
      <c r="L675">
        <v>4.1399999999999997</v>
      </c>
      <c r="M675">
        <v>1.89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50</v>
      </c>
    </row>
    <row r="676" spans="1:20" x14ac:dyDescent="0.25">
      <c r="A676" t="s">
        <v>94</v>
      </c>
      <c r="B676">
        <v>1</v>
      </c>
      <c r="C676" t="s">
        <v>21</v>
      </c>
      <c r="D676" t="s">
        <v>95</v>
      </c>
      <c r="E676" t="s">
        <v>96</v>
      </c>
      <c r="F676">
        <v>150</v>
      </c>
      <c r="G676">
        <v>900</v>
      </c>
      <c r="H676">
        <v>-2</v>
      </c>
      <c r="I676">
        <v>1986</v>
      </c>
      <c r="J676" t="s">
        <v>36</v>
      </c>
      <c r="K676">
        <v>3272</v>
      </c>
      <c r="L676">
        <v>26.63</v>
      </c>
      <c r="M676">
        <v>11.4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50</v>
      </c>
    </row>
    <row r="677" spans="1:20" x14ac:dyDescent="0.25">
      <c r="A677" t="s">
        <v>94</v>
      </c>
      <c r="B677">
        <v>1</v>
      </c>
      <c r="C677" t="s">
        <v>21</v>
      </c>
      <c r="D677" t="s">
        <v>95</v>
      </c>
      <c r="E677" t="s">
        <v>96</v>
      </c>
      <c r="F677">
        <v>150</v>
      </c>
      <c r="G677">
        <v>900</v>
      </c>
      <c r="H677">
        <v>-2</v>
      </c>
      <c r="I677">
        <v>1986</v>
      </c>
      <c r="J677" t="s">
        <v>36</v>
      </c>
      <c r="K677">
        <v>3273</v>
      </c>
      <c r="L677">
        <v>10.1</v>
      </c>
      <c r="M677">
        <v>4.32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50</v>
      </c>
    </row>
    <row r="678" spans="1:20" x14ac:dyDescent="0.25">
      <c r="A678" t="s">
        <v>94</v>
      </c>
      <c r="B678">
        <v>1</v>
      </c>
      <c r="C678" t="s">
        <v>21</v>
      </c>
      <c r="D678" t="s">
        <v>95</v>
      </c>
      <c r="E678" t="s">
        <v>96</v>
      </c>
      <c r="F678">
        <v>150</v>
      </c>
      <c r="G678">
        <v>900</v>
      </c>
      <c r="H678">
        <v>-2</v>
      </c>
      <c r="I678">
        <v>1986</v>
      </c>
      <c r="J678" t="s">
        <v>36</v>
      </c>
      <c r="K678">
        <v>2573</v>
      </c>
      <c r="L678">
        <v>23.62</v>
      </c>
      <c r="M678">
        <v>10.11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50</v>
      </c>
    </row>
    <row r="679" spans="1:20" x14ac:dyDescent="0.25">
      <c r="A679" t="s">
        <v>94</v>
      </c>
      <c r="B679">
        <v>1</v>
      </c>
      <c r="C679" t="s">
        <v>21</v>
      </c>
      <c r="D679" t="s">
        <v>95</v>
      </c>
      <c r="E679" t="s">
        <v>96</v>
      </c>
      <c r="F679">
        <v>150</v>
      </c>
      <c r="G679">
        <v>900</v>
      </c>
      <c r="H679">
        <v>-2</v>
      </c>
      <c r="I679">
        <v>1986</v>
      </c>
      <c r="J679" t="s">
        <v>97</v>
      </c>
      <c r="K679">
        <v>1257</v>
      </c>
      <c r="L679">
        <v>21.07</v>
      </c>
      <c r="M679">
        <v>9.6199999999999992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50</v>
      </c>
    </row>
    <row r="680" spans="1:20" x14ac:dyDescent="0.25">
      <c r="A680" t="s">
        <v>94</v>
      </c>
      <c r="B680">
        <v>1</v>
      </c>
      <c r="C680" t="s">
        <v>21</v>
      </c>
      <c r="D680" t="s">
        <v>95</v>
      </c>
      <c r="E680" t="s">
        <v>96</v>
      </c>
      <c r="F680">
        <v>150</v>
      </c>
      <c r="G680">
        <v>900</v>
      </c>
      <c r="H680">
        <v>-2</v>
      </c>
      <c r="I680">
        <v>1986</v>
      </c>
      <c r="J680" t="s">
        <v>97</v>
      </c>
      <c r="K680">
        <v>1825</v>
      </c>
      <c r="L680">
        <v>19.809999999999999</v>
      </c>
      <c r="M680">
        <v>9.0500000000000007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50</v>
      </c>
    </row>
    <row r="681" spans="1:20" x14ac:dyDescent="0.25">
      <c r="A681" t="s">
        <v>94</v>
      </c>
      <c r="B681">
        <v>1</v>
      </c>
      <c r="C681" t="s">
        <v>21</v>
      </c>
      <c r="D681" t="s">
        <v>95</v>
      </c>
      <c r="E681" t="s">
        <v>96</v>
      </c>
      <c r="F681">
        <v>150</v>
      </c>
      <c r="G681">
        <v>900</v>
      </c>
      <c r="H681">
        <v>-2</v>
      </c>
      <c r="I681">
        <v>1986</v>
      </c>
      <c r="J681" t="s">
        <v>98</v>
      </c>
      <c r="K681">
        <v>2768</v>
      </c>
      <c r="L681">
        <v>32.090000000000003</v>
      </c>
      <c r="M681">
        <v>12.03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50</v>
      </c>
    </row>
    <row r="682" spans="1:20" x14ac:dyDescent="0.25">
      <c r="A682" t="s">
        <v>94</v>
      </c>
      <c r="B682">
        <v>1</v>
      </c>
      <c r="C682" t="s">
        <v>21</v>
      </c>
      <c r="D682" t="s">
        <v>95</v>
      </c>
      <c r="E682" t="s">
        <v>96</v>
      </c>
      <c r="F682">
        <v>150</v>
      </c>
      <c r="G682">
        <v>900</v>
      </c>
      <c r="H682">
        <v>-2</v>
      </c>
      <c r="I682">
        <v>1986</v>
      </c>
      <c r="J682" t="s">
        <v>98</v>
      </c>
      <c r="K682">
        <v>1609</v>
      </c>
      <c r="L682">
        <v>33.99</v>
      </c>
      <c r="M682">
        <v>12.75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50</v>
      </c>
    </row>
    <row r="683" spans="1:20" x14ac:dyDescent="0.25">
      <c r="A683" t="s">
        <v>94</v>
      </c>
      <c r="B683">
        <v>1</v>
      </c>
      <c r="C683" t="s">
        <v>21</v>
      </c>
      <c r="D683" t="s">
        <v>95</v>
      </c>
      <c r="E683" t="s">
        <v>96</v>
      </c>
      <c r="F683">
        <v>150</v>
      </c>
      <c r="G683">
        <v>900</v>
      </c>
      <c r="H683">
        <v>-2</v>
      </c>
      <c r="I683">
        <v>1986</v>
      </c>
      <c r="J683" t="s">
        <v>98</v>
      </c>
      <c r="K683">
        <v>3275</v>
      </c>
      <c r="L683">
        <v>15.25</v>
      </c>
      <c r="M683">
        <v>5.72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50</v>
      </c>
    </row>
    <row r="684" spans="1:20" x14ac:dyDescent="0.25">
      <c r="A684" t="s">
        <v>94</v>
      </c>
      <c r="B684">
        <v>1</v>
      </c>
      <c r="C684" t="s">
        <v>21</v>
      </c>
      <c r="D684" t="s">
        <v>95</v>
      </c>
      <c r="E684" t="s">
        <v>96</v>
      </c>
      <c r="F684">
        <v>150</v>
      </c>
      <c r="G684">
        <v>900</v>
      </c>
      <c r="H684">
        <v>-2</v>
      </c>
      <c r="I684">
        <v>1986</v>
      </c>
      <c r="J684" t="s">
        <v>98</v>
      </c>
      <c r="K684">
        <v>3274</v>
      </c>
      <c r="L684">
        <v>26.87</v>
      </c>
      <c r="M684">
        <v>10.08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50</v>
      </c>
    </row>
    <row r="685" spans="1:20" x14ac:dyDescent="0.25">
      <c r="A685" t="s">
        <v>94</v>
      </c>
      <c r="B685">
        <v>2</v>
      </c>
      <c r="C685" t="s">
        <v>21</v>
      </c>
      <c r="D685" t="s">
        <v>95</v>
      </c>
      <c r="E685" t="s">
        <v>96</v>
      </c>
      <c r="F685">
        <v>150</v>
      </c>
      <c r="G685">
        <v>900</v>
      </c>
      <c r="H685">
        <v>-2</v>
      </c>
      <c r="I685">
        <v>1986</v>
      </c>
      <c r="J685" t="s">
        <v>76</v>
      </c>
      <c r="K685">
        <v>3266</v>
      </c>
      <c r="L685">
        <v>25.73</v>
      </c>
      <c r="M685">
        <v>11.75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50</v>
      </c>
    </row>
    <row r="686" spans="1:20" x14ac:dyDescent="0.25">
      <c r="A686" t="s">
        <v>94</v>
      </c>
      <c r="B686">
        <v>2</v>
      </c>
      <c r="C686" t="s">
        <v>21</v>
      </c>
      <c r="D686" t="s">
        <v>95</v>
      </c>
      <c r="E686" t="s">
        <v>96</v>
      </c>
      <c r="F686">
        <v>150</v>
      </c>
      <c r="G686">
        <v>900</v>
      </c>
      <c r="H686">
        <v>-2</v>
      </c>
      <c r="I686">
        <v>1986</v>
      </c>
      <c r="J686" t="s">
        <v>76</v>
      </c>
      <c r="K686">
        <v>3267</v>
      </c>
      <c r="L686">
        <v>19.91</v>
      </c>
      <c r="M686">
        <v>13.63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50</v>
      </c>
    </row>
    <row r="687" spans="1:20" x14ac:dyDescent="0.25">
      <c r="A687" t="s">
        <v>94</v>
      </c>
      <c r="B687">
        <v>2</v>
      </c>
      <c r="C687" t="s">
        <v>21</v>
      </c>
      <c r="D687" t="s">
        <v>95</v>
      </c>
      <c r="E687" t="s">
        <v>96</v>
      </c>
      <c r="F687">
        <v>150</v>
      </c>
      <c r="G687">
        <v>900</v>
      </c>
      <c r="H687">
        <v>-2</v>
      </c>
      <c r="I687">
        <v>1986</v>
      </c>
      <c r="J687" t="s">
        <v>76</v>
      </c>
      <c r="K687">
        <v>3268</v>
      </c>
      <c r="L687">
        <v>17.690000000000001</v>
      </c>
      <c r="M687">
        <v>8.08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50</v>
      </c>
    </row>
    <row r="688" spans="1:20" x14ac:dyDescent="0.25">
      <c r="A688" t="s">
        <v>94</v>
      </c>
      <c r="B688">
        <v>2</v>
      </c>
      <c r="C688" t="s">
        <v>21</v>
      </c>
      <c r="D688" t="s">
        <v>95</v>
      </c>
      <c r="E688" t="s">
        <v>96</v>
      </c>
      <c r="F688">
        <v>150</v>
      </c>
      <c r="G688">
        <v>900</v>
      </c>
      <c r="H688">
        <v>-2</v>
      </c>
      <c r="I688">
        <v>1986</v>
      </c>
      <c r="J688" t="s">
        <v>76</v>
      </c>
      <c r="K688">
        <v>3269</v>
      </c>
      <c r="L688">
        <v>25.71</v>
      </c>
      <c r="M688">
        <v>11.74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50</v>
      </c>
    </row>
    <row r="689" spans="1:20" x14ac:dyDescent="0.25">
      <c r="A689" t="s">
        <v>94</v>
      </c>
      <c r="B689">
        <v>2</v>
      </c>
      <c r="C689" t="s">
        <v>21</v>
      </c>
      <c r="D689" t="s">
        <v>95</v>
      </c>
      <c r="E689" t="s">
        <v>96</v>
      </c>
      <c r="F689">
        <v>150</v>
      </c>
      <c r="G689">
        <v>900</v>
      </c>
      <c r="H689">
        <v>-2</v>
      </c>
      <c r="I689">
        <v>1986</v>
      </c>
      <c r="J689" t="s">
        <v>76</v>
      </c>
      <c r="K689">
        <v>2770</v>
      </c>
      <c r="L689">
        <v>11.25</v>
      </c>
      <c r="M689">
        <v>5.14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50</v>
      </c>
    </row>
    <row r="690" spans="1:20" x14ac:dyDescent="0.25">
      <c r="A690" t="s">
        <v>94</v>
      </c>
      <c r="B690">
        <v>2</v>
      </c>
      <c r="C690" t="s">
        <v>21</v>
      </c>
      <c r="D690" t="s">
        <v>95</v>
      </c>
      <c r="E690" t="s">
        <v>96</v>
      </c>
      <c r="F690">
        <v>150</v>
      </c>
      <c r="G690">
        <v>900</v>
      </c>
      <c r="H690">
        <v>-2</v>
      </c>
      <c r="I690">
        <v>1986</v>
      </c>
      <c r="J690" t="s">
        <v>76</v>
      </c>
      <c r="K690">
        <v>2460</v>
      </c>
      <c r="L690">
        <v>25.85</v>
      </c>
      <c r="M690">
        <v>11.8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50</v>
      </c>
    </row>
    <row r="691" spans="1:20" x14ac:dyDescent="0.25">
      <c r="A691" t="s">
        <v>94</v>
      </c>
      <c r="B691">
        <v>2</v>
      </c>
      <c r="C691" t="s">
        <v>21</v>
      </c>
      <c r="D691" t="s">
        <v>95</v>
      </c>
      <c r="E691" t="s">
        <v>96</v>
      </c>
      <c r="F691">
        <v>150</v>
      </c>
      <c r="G691">
        <v>900</v>
      </c>
      <c r="H691">
        <v>-2</v>
      </c>
      <c r="I691">
        <v>1986</v>
      </c>
      <c r="J691" t="s">
        <v>24</v>
      </c>
      <c r="K691">
        <v>2562</v>
      </c>
      <c r="L691">
        <v>33.6</v>
      </c>
      <c r="M691">
        <v>14.17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50</v>
      </c>
    </row>
    <row r="692" spans="1:20" x14ac:dyDescent="0.25">
      <c r="A692" t="s">
        <v>94</v>
      </c>
      <c r="B692">
        <v>2</v>
      </c>
      <c r="C692" t="s">
        <v>21</v>
      </c>
      <c r="D692" t="s">
        <v>95</v>
      </c>
      <c r="E692" t="s">
        <v>96</v>
      </c>
      <c r="F692">
        <v>150</v>
      </c>
      <c r="G692">
        <v>900</v>
      </c>
      <c r="H692">
        <v>-2</v>
      </c>
      <c r="I692">
        <v>1986</v>
      </c>
      <c r="J692" t="s">
        <v>32</v>
      </c>
      <c r="K692">
        <v>3270</v>
      </c>
      <c r="L692">
        <v>35.78</v>
      </c>
      <c r="M692">
        <v>16.29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50</v>
      </c>
    </row>
    <row r="693" spans="1:20" x14ac:dyDescent="0.25">
      <c r="A693" t="s">
        <v>94</v>
      </c>
      <c r="B693">
        <v>2</v>
      </c>
      <c r="C693" t="s">
        <v>21</v>
      </c>
      <c r="D693" t="s">
        <v>95</v>
      </c>
      <c r="E693" t="s">
        <v>96</v>
      </c>
      <c r="F693">
        <v>150</v>
      </c>
      <c r="G693">
        <v>900</v>
      </c>
      <c r="H693">
        <v>-2</v>
      </c>
      <c r="I693">
        <v>1986</v>
      </c>
      <c r="J693" t="s">
        <v>32</v>
      </c>
      <c r="K693">
        <v>3271</v>
      </c>
      <c r="L693">
        <v>23.46</v>
      </c>
      <c r="M693">
        <v>10.68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50</v>
      </c>
    </row>
    <row r="694" spans="1:20" x14ac:dyDescent="0.25">
      <c r="A694" t="s">
        <v>94</v>
      </c>
      <c r="B694">
        <v>2</v>
      </c>
      <c r="C694" t="s">
        <v>21</v>
      </c>
      <c r="D694" t="s">
        <v>95</v>
      </c>
      <c r="E694" t="s">
        <v>96</v>
      </c>
      <c r="F694">
        <v>150</v>
      </c>
      <c r="G694">
        <v>900</v>
      </c>
      <c r="H694">
        <v>-2</v>
      </c>
      <c r="I694">
        <v>1986</v>
      </c>
      <c r="J694" t="s">
        <v>32</v>
      </c>
      <c r="K694">
        <v>2569</v>
      </c>
      <c r="L694">
        <v>27.79</v>
      </c>
      <c r="M694">
        <v>12.65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50</v>
      </c>
    </row>
    <row r="695" spans="1:20" x14ac:dyDescent="0.25">
      <c r="A695" t="s">
        <v>94</v>
      </c>
      <c r="B695">
        <v>2</v>
      </c>
      <c r="C695" t="s">
        <v>21</v>
      </c>
      <c r="D695" t="s">
        <v>95</v>
      </c>
      <c r="E695" t="s">
        <v>96</v>
      </c>
      <c r="F695">
        <v>150</v>
      </c>
      <c r="G695">
        <v>900</v>
      </c>
      <c r="H695">
        <v>-2</v>
      </c>
      <c r="I695">
        <v>1986</v>
      </c>
      <c r="J695" t="s">
        <v>32</v>
      </c>
      <c r="K695">
        <v>1596</v>
      </c>
      <c r="L695">
        <v>32.880000000000003</v>
      </c>
      <c r="M695">
        <v>14.98</v>
      </c>
      <c r="N695" t="s">
        <v>44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50</v>
      </c>
    </row>
    <row r="696" spans="1:20" x14ac:dyDescent="0.25">
      <c r="A696" t="s">
        <v>94</v>
      </c>
      <c r="B696">
        <v>2</v>
      </c>
      <c r="C696" t="s">
        <v>21</v>
      </c>
      <c r="D696" t="s">
        <v>95</v>
      </c>
      <c r="E696" t="s">
        <v>96</v>
      </c>
      <c r="F696">
        <v>150</v>
      </c>
      <c r="G696">
        <v>900</v>
      </c>
      <c r="H696">
        <v>-2</v>
      </c>
      <c r="I696">
        <v>1986</v>
      </c>
      <c r="J696" t="s">
        <v>32</v>
      </c>
      <c r="K696">
        <v>3068</v>
      </c>
      <c r="L696">
        <v>32.15</v>
      </c>
      <c r="M696">
        <v>14.64</v>
      </c>
      <c r="N696" t="s">
        <v>44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50</v>
      </c>
    </row>
    <row r="697" spans="1:20" x14ac:dyDescent="0.25">
      <c r="A697" t="s">
        <v>94</v>
      </c>
      <c r="B697">
        <v>2</v>
      </c>
      <c r="C697" t="s">
        <v>21</v>
      </c>
      <c r="D697" t="s">
        <v>95</v>
      </c>
      <c r="E697" t="s">
        <v>96</v>
      </c>
      <c r="F697">
        <v>150</v>
      </c>
      <c r="G697">
        <v>900</v>
      </c>
      <c r="H697">
        <v>-2</v>
      </c>
      <c r="I697">
        <v>1986</v>
      </c>
      <c r="J697" t="s">
        <v>36</v>
      </c>
      <c r="K697">
        <v>3272</v>
      </c>
      <c r="L697">
        <v>35.369999999999997</v>
      </c>
      <c r="M697">
        <v>15.14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50</v>
      </c>
    </row>
    <row r="698" spans="1:20" x14ac:dyDescent="0.25">
      <c r="A698" t="s">
        <v>94</v>
      </c>
      <c r="B698">
        <v>2</v>
      </c>
      <c r="C698" t="s">
        <v>21</v>
      </c>
      <c r="D698" t="s">
        <v>95</v>
      </c>
      <c r="E698" t="s">
        <v>96</v>
      </c>
      <c r="F698">
        <v>150</v>
      </c>
      <c r="G698">
        <v>900</v>
      </c>
      <c r="H698">
        <v>-2</v>
      </c>
      <c r="I698">
        <v>1986</v>
      </c>
      <c r="J698" t="s">
        <v>36</v>
      </c>
      <c r="K698">
        <v>3273</v>
      </c>
      <c r="L698">
        <v>24.72</v>
      </c>
      <c r="M698">
        <v>10.58</v>
      </c>
      <c r="N698" t="s">
        <v>44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50</v>
      </c>
    </row>
    <row r="699" spans="1:20" x14ac:dyDescent="0.25">
      <c r="A699" t="s">
        <v>94</v>
      </c>
      <c r="B699">
        <v>2</v>
      </c>
      <c r="C699" t="s">
        <v>21</v>
      </c>
      <c r="D699" t="s">
        <v>95</v>
      </c>
      <c r="E699" t="s">
        <v>96</v>
      </c>
      <c r="F699">
        <v>150</v>
      </c>
      <c r="G699">
        <v>900</v>
      </c>
      <c r="H699">
        <v>-2</v>
      </c>
      <c r="I699">
        <v>1986</v>
      </c>
      <c r="J699" t="s">
        <v>36</v>
      </c>
      <c r="K699">
        <v>2573</v>
      </c>
      <c r="L699">
        <v>27.66</v>
      </c>
      <c r="M699">
        <v>11.83</v>
      </c>
      <c r="N699" t="s">
        <v>44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50</v>
      </c>
    </row>
    <row r="700" spans="1:20" x14ac:dyDescent="0.25">
      <c r="A700" t="s">
        <v>94</v>
      </c>
      <c r="B700">
        <v>2</v>
      </c>
      <c r="C700" t="s">
        <v>21</v>
      </c>
      <c r="D700" t="s">
        <v>95</v>
      </c>
      <c r="E700" t="s">
        <v>96</v>
      </c>
      <c r="F700">
        <v>150</v>
      </c>
      <c r="G700">
        <v>900</v>
      </c>
      <c r="H700">
        <v>-2</v>
      </c>
      <c r="I700">
        <v>1986</v>
      </c>
      <c r="J700" t="s">
        <v>97</v>
      </c>
      <c r="K700">
        <v>1257</v>
      </c>
      <c r="L700">
        <v>26.18</v>
      </c>
      <c r="M700">
        <v>11.96</v>
      </c>
      <c r="N700" t="s">
        <v>44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50</v>
      </c>
    </row>
    <row r="701" spans="1:20" x14ac:dyDescent="0.25">
      <c r="A701" t="s">
        <v>94</v>
      </c>
      <c r="B701">
        <v>2</v>
      </c>
      <c r="C701" t="s">
        <v>21</v>
      </c>
      <c r="D701" t="s">
        <v>95</v>
      </c>
      <c r="E701" t="s">
        <v>96</v>
      </c>
      <c r="F701">
        <v>150</v>
      </c>
      <c r="G701">
        <v>900</v>
      </c>
      <c r="H701">
        <v>-2</v>
      </c>
      <c r="I701">
        <v>1986</v>
      </c>
      <c r="J701" t="s">
        <v>97</v>
      </c>
      <c r="K701">
        <v>1825</v>
      </c>
      <c r="L701">
        <v>17.5</v>
      </c>
      <c r="M701">
        <v>7.99</v>
      </c>
      <c r="N701" t="s">
        <v>44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50</v>
      </c>
    </row>
    <row r="702" spans="1:20" x14ac:dyDescent="0.25">
      <c r="A702" t="s">
        <v>94</v>
      </c>
      <c r="B702">
        <v>2</v>
      </c>
      <c r="C702" t="s">
        <v>21</v>
      </c>
      <c r="D702" t="s">
        <v>95</v>
      </c>
      <c r="E702" t="s">
        <v>96</v>
      </c>
      <c r="F702">
        <v>150</v>
      </c>
      <c r="G702">
        <v>900</v>
      </c>
      <c r="H702">
        <v>-2</v>
      </c>
      <c r="I702">
        <v>1986</v>
      </c>
      <c r="J702" t="s">
        <v>98</v>
      </c>
      <c r="K702">
        <v>2768</v>
      </c>
      <c r="L702">
        <v>29.91</v>
      </c>
      <c r="M702">
        <v>11.22</v>
      </c>
      <c r="N702" t="s">
        <v>44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50</v>
      </c>
    </row>
    <row r="703" spans="1:20" x14ac:dyDescent="0.25">
      <c r="A703" t="s">
        <v>94</v>
      </c>
      <c r="B703">
        <v>2</v>
      </c>
      <c r="C703" t="s">
        <v>21</v>
      </c>
      <c r="D703" t="s">
        <v>95</v>
      </c>
      <c r="E703" t="s">
        <v>96</v>
      </c>
      <c r="F703">
        <v>150</v>
      </c>
      <c r="G703">
        <v>900</v>
      </c>
      <c r="H703">
        <v>-2</v>
      </c>
      <c r="I703">
        <v>1986</v>
      </c>
      <c r="J703" t="s">
        <v>98</v>
      </c>
      <c r="K703">
        <v>1609</v>
      </c>
      <c r="L703">
        <v>21.89</v>
      </c>
      <c r="M703">
        <v>8.2100000000000009</v>
      </c>
      <c r="N703" t="s">
        <v>44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50</v>
      </c>
    </row>
    <row r="704" spans="1:20" x14ac:dyDescent="0.25">
      <c r="A704" t="s">
        <v>94</v>
      </c>
      <c r="B704">
        <v>2</v>
      </c>
      <c r="C704" t="s">
        <v>21</v>
      </c>
      <c r="D704" t="s">
        <v>95</v>
      </c>
      <c r="E704" t="s">
        <v>96</v>
      </c>
      <c r="F704">
        <v>150</v>
      </c>
      <c r="G704">
        <v>900</v>
      </c>
      <c r="H704">
        <v>-2</v>
      </c>
      <c r="I704">
        <v>1986</v>
      </c>
      <c r="J704" t="s">
        <v>98</v>
      </c>
      <c r="K704">
        <v>3275</v>
      </c>
      <c r="L704">
        <v>28.19</v>
      </c>
      <c r="M704">
        <v>10.57</v>
      </c>
      <c r="N704" t="s">
        <v>44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50</v>
      </c>
    </row>
    <row r="705" spans="1:20" x14ac:dyDescent="0.25">
      <c r="A705" t="s">
        <v>94</v>
      </c>
      <c r="B705">
        <v>2</v>
      </c>
      <c r="C705" t="s">
        <v>21</v>
      </c>
      <c r="D705" t="s">
        <v>95</v>
      </c>
      <c r="E705" t="s">
        <v>96</v>
      </c>
      <c r="F705">
        <v>150</v>
      </c>
      <c r="G705">
        <v>900</v>
      </c>
      <c r="H705">
        <v>-2</v>
      </c>
      <c r="I705">
        <v>1986</v>
      </c>
      <c r="J705" t="s">
        <v>98</v>
      </c>
      <c r="K705">
        <v>3274</v>
      </c>
      <c r="L705">
        <v>19.920000000000002</v>
      </c>
      <c r="M705">
        <v>7.47</v>
      </c>
      <c r="N705" t="s">
        <v>44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50</v>
      </c>
    </row>
    <row r="706" spans="1:20" x14ac:dyDescent="0.25">
      <c r="A706" t="s">
        <v>94</v>
      </c>
      <c r="B706">
        <v>3</v>
      </c>
      <c r="C706" t="s">
        <v>21</v>
      </c>
      <c r="D706" t="s">
        <v>95</v>
      </c>
      <c r="E706" t="s">
        <v>96</v>
      </c>
      <c r="F706">
        <v>150</v>
      </c>
      <c r="G706">
        <v>900</v>
      </c>
      <c r="H706">
        <v>-2</v>
      </c>
      <c r="I706">
        <v>1986</v>
      </c>
      <c r="J706" t="s">
        <v>76</v>
      </c>
      <c r="K706">
        <v>3266</v>
      </c>
      <c r="L706">
        <v>20.16</v>
      </c>
      <c r="M706">
        <v>9.2100000000000009</v>
      </c>
      <c r="N706" t="s">
        <v>44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50</v>
      </c>
    </row>
    <row r="707" spans="1:20" x14ac:dyDescent="0.25">
      <c r="A707" t="s">
        <v>94</v>
      </c>
      <c r="B707">
        <v>3</v>
      </c>
      <c r="C707" t="s">
        <v>21</v>
      </c>
      <c r="D707" t="s">
        <v>95</v>
      </c>
      <c r="E707" t="s">
        <v>96</v>
      </c>
      <c r="F707">
        <v>150</v>
      </c>
      <c r="G707">
        <v>900</v>
      </c>
      <c r="H707">
        <v>-2</v>
      </c>
      <c r="I707">
        <v>1986</v>
      </c>
      <c r="J707" t="s">
        <v>76</v>
      </c>
      <c r="K707">
        <v>3267</v>
      </c>
      <c r="L707">
        <v>16.63</v>
      </c>
      <c r="M707">
        <v>7.59</v>
      </c>
      <c r="N707" t="s">
        <v>44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50</v>
      </c>
    </row>
    <row r="708" spans="1:20" x14ac:dyDescent="0.25">
      <c r="A708" t="s">
        <v>94</v>
      </c>
      <c r="B708">
        <v>3</v>
      </c>
      <c r="C708" t="s">
        <v>21</v>
      </c>
      <c r="D708" t="s">
        <v>95</v>
      </c>
      <c r="E708" t="s">
        <v>96</v>
      </c>
      <c r="F708">
        <v>150</v>
      </c>
      <c r="G708">
        <v>900</v>
      </c>
      <c r="H708">
        <v>-2</v>
      </c>
      <c r="I708">
        <v>1986</v>
      </c>
      <c r="J708" t="s">
        <v>76</v>
      </c>
      <c r="K708">
        <v>3268</v>
      </c>
      <c r="L708">
        <v>14.31</v>
      </c>
      <c r="M708">
        <v>6.53</v>
      </c>
      <c r="N708" t="s">
        <v>44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50</v>
      </c>
    </row>
    <row r="709" spans="1:20" x14ac:dyDescent="0.25">
      <c r="A709" t="s">
        <v>94</v>
      </c>
      <c r="B709">
        <v>3</v>
      </c>
      <c r="C709" t="s">
        <v>21</v>
      </c>
      <c r="D709" t="s">
        <v>95</v>
      </c>
      <c r="E709" t="s">
        <v>96</v>
      </c>
      <c r="F709">
        <v>150</v>
      </c>
      <c r="G709">
        <v>900</v>
      </c>
      <c r="H709">
        <v>-2</v>
      </c>
      <c r="I709">
        <v>1986</v>
      </c>
      <c r="J709" t="s">
        <v>76</v>
      </c>
      <c r="K709">
        <v>3269</v>
      </c>
      <c r="L709">
        <v>25.34</v>
      </c>
      <c r="M709">
        <v>11.57</v>
      </c>
      <c r="N709" t="s">
        <v>44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50</v>
      </c>
    </row>
    <row r="710" spans="1:20" x14ac:dyDescent="0.25">
      <c r="A710" t="s">
        <v>94</v>
      </c>
      <c r="B710">
        <v>3</v>
      </c>
      <c r="C710" t="s">
        <v>21</v>
      </c>
      <c r="D710" t="s">
        <v>95</v>
      </c>
      <c r="E710" t="s">
        <v>96</v>
      </c>
      <c r="F710">
        <v>150</v>
      </c>
      <c r="G710">
        <v>900</v>
      </c>
      <c r="H710">
        <v>-2</v>
      </c>
      <c r="I710">
        <v>1986</v>
      </c>
      <c r="J710" t="s">
        <v>76</v>
      </c>
      <c r="K710">
        <v>2770</v>
      </c>
      <c r="L710">
        <v>15.23</v>
      </c>
      <c r="M710">
        <v>6.96</v>
      </c>
      <c r="N710" t="s">
        <v>44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50</v>
      </c>
    </row>
    <row r="711" spans="1:20" x14ac:dyDescent="0.25">
      <c r="A711" t="s">
        <v>94</v>
      </c>
      <c r="B711">
        <v>3</v>
      </c>
      <c r="C711" t="s">
        <v>21</v>
      </c>
      <c r="D711" t="s">
        <v>95</v>
      </c>
      <c r="E711" t="s">
        <v>96</v>
      </c>
      <c r="F711">
        <v>150</v>
      </c>
      <c r="G711">
        <v>900</v>
      </c>
      <c r="H711">
        <v>-2</v>
      </c>
      <c r="I711">
        <v>1986</v>
      </c>
      <c r="J711" t="s">
        <v>76</v>
      </c>
      <c r="K711">
        <v>2460</v>
      </c>
      <c r="L711">
        <v>24.16</v>
      </c>
      <c r="M711">
        <v>11.03</v>
      </c>
      <c r="N711" t="s">
        <v>44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50</v>
      </c>
    </row>
    <row r="712" spans="1:20" x14ac:dyDescent="0.25">
      <c r="A712" t="s">
        <v>94</v>
      </c>
      <c r="B712">
        <v>3</v>
      </c>
      <c r="C712" t="s">
        <v>21</v>
      </c>
      <c r="D712" t="s">
        <v>95</v>
      </c>
      <c r="E712" t="s">
        <v>96</v>
      </c>
      <c r="F712">
        <v>150</v>
      </c>
      <c r="G712">
        <v>900</v>
      </c>
      <c r="H712">
        <v>-2</v>
      </c>
      <c r="I712">
        <v>1986</v>
      </c>
      <c r="J712" t="s">
        <v>24</v>
      </c>
      <c r="K712">
        <v>2562</v>
      </c>
      <c r="L712">
        <v>29.11</v>
      </c>
      <c r="M712">
        <v>12.28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50</v>
      </c>
    </row>
    <row r="713" spans="1:20" x14ac:dyDescent="0.25">
      <c r="A713" t="s">
        <v>94</v>
      </c>
      <c r="B713">
        <v>3</v>
      </c>
      <c r="C713" t="s">
        <v>21</v>
      </c>
      <c r="D713" t="s">
        <v>95</v>
      </c>
      <c r="E713" t="s">
        <v>96</v>
      </c>
      <c r="F713">
        <v>150</v>
      </c>
      <c r="G713">
        <v>900</v>
      </c>
      <c r="H713">
        <v>-2</v>
      </c>
      <c r="I713">
        <v>1986</v>
      </c>
      <c r="J713" t="s">
        <v>32</v>
      </c>
      <c r="K713">
        <v>3270</v>
      </c>
      <c r="L713">
        <v>29.29</v>
      </c>
      <c r="M713">
        <v>13.33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50</v>
      </c>
    </row>
    <row r="714" spans="1:20" x14ac:dyDescent="0.25">
      <c r="A714" t="s">
        <v>94</v>
      </c>
      <c r="B714">
        <v>3</v>
      </c>
      <c r="C714" t="s">
        <v>21</v>
      </c>
      <c r="D714" t="s">
        <v>95</v>
      </c>
      <c r="E714" t="s">
        <v>96</v>
      </c>
      <c r="F714">
        <v>150</v>
      </c>
      <c r="G714">
        <v>900</v>
      </c>
      <c r="H714">
        <v>-2</v>
      </c>
      <c r="I714">
        <v>1986</v>
      </c>
      <c r="J714" t="s">
        <v>32</v>
      </c>
      <c r="K714">
        <v>3271</v>
      </c>
      <c r="L714">
        <v>12.2</v>
      </c>
      <c r="M714">
        <v>5.56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50</v>
      </c>
    </row>
    <row r="715" spans="1:20" x14ac:dyDescent="0.25">
      <c r="A715" t="s">
        <v>94</v>
      </c>
      <c r="B715">
        <v>3</v>
      </c>
      <c r="C715" t="s">
        <v>21</v>
      </c>
      <c r="D715" t="s">
        <v>95</v>
      </c>
      <c r="E715" t="s">
        <v>96</v>
      </c>
      <c r="F715">
        <v>150</v>
      </c>
      <c r="G715">
        <v>900</v>
      </c>
      <c r="H715">
        <v>-2</v>
      </c>
      <c r="I715">
        <v>1986</v>
      </c>
      <c r="J715" t="s">
        <v>32</v>
      </c>
      <c r="K715">
        <v>2569</v>
      </c>
      <c r="L715">
        <v>22.89</v>
      </c>
      <c r="M715">
        <v>10.42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50</v>
      </c>
    </row>
    <row r="716" spans="1:20" x14ac:dyDescent="0.25">
      <c r="A716" t="s">
        <v>94</v>
      </c>
      <c r="B716">
        <v>3</v>
      </c>
      <c r="C716" t="s">
        <v>21</v>
      </c>
      <c r="D716" t="s">
        <v>95</v>
      </c>
      <c r="E716" t="s">
        <v>96</v>
      </c>
      <c r="F716">
        <v>150</v>
      </c>
      <c r="G716">
        <v>900</v>
      </c>
      <c r="H716">
        <v>-2</v>
      </c>
      <c r="I716">
        <v>1986</v>
      </c>
      <c r="J716" t="s">
        <v>32</v>
      </c>
      <c r="K716">
        <v>1596</v>
      </c>
      <c r="L716">
        <v>30.15</v>
      </c>
      <c r="M716">
        <v>13.73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50</v>
      </c>
    </row>
    <row r="717" spans="1:20" x14ac:dyDescent="0.25">
      <c r="A717" t="s">
        <v>94</v>
      </c>
      <c r="B717">
        <v>3</v>
      </c>
      <c r="C717" t="s">
        <v>21</v>
      </c>
      <c r="D717" t="s">
        <v>95</v>
      </c>
      <c r="E717" t="s">
        <v>96</v>
      </c>
      <c r="F717">
        <v>150</v>
      </c>
      <c r="G717">
        <v>900</v>
      </c>
      <c r="H717">
        <v>-2</v>
      </c>
      <c r="I717">
        <v>1986</v>
      </c>
      <c r="J717" t="s">
        <v>32</v>
      </c>
      <c r="K717">
        <v>3068</v>
      </c>
      <c r="L717">
        <v>29.76</v>
      </c>
      <c r="M717">
        <v>13.55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50</v>
      </c>
    </row>
    <row r="718" spans="1:20" x14ac:dyDescent="0.25">
      <c r="A718" t="s">
        <v>94</v>
      </c>
      <c r="B718">
        <v>3</v>
      </c>
      <c r="C718" t="s">
        <v>21</v>
      </c>
      <c r="D718" t="s">
        <v>95</v>
      </c>
      <c r="E718" t="s">
        <v>96</v>
      </c>
      <c r="F718">
        <v>150</v>
      </c>
      <c r="G718">
        <v>900</v>
      </c>
      <c r="H718">
        <v>-2</v>
      </c>
      <c r="I718">
        <v>1986</v>
      </c>
      <c r="J718" t="s">
        <v>36</v>
      </c>
      <c r="K718">
        <v>3272</v>
      </c>
      <c r="L718">
        <v>33.68</v>
      </c>
      <c r="M718">
        <v>14.41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50</v>
      </c>
    </row>
    <row r="719" spans="1:20" x14ac:dyDescent="0.25">
      <c r="A719" t="s">
        <v>94</v>
      </c>
      <c r="B719">
        <v>3</v>
      </c>
      <c r="C719" t="s">
        <v>21</v>
      </c>
      <c r="D719" t="s">
        <v>95</v>
      </c>
      <c r="E719" t="s">
        <v>96</v>
      </c>
      <c r="F719">
        <v>150</v>
      </c>
      <c r="G719">
        <v>900</v>
      </c>
      <c r="H719">
        <v>-2</v>
      </c>
      <c r="I719">
        <v>1986</v>
      </c>
      <c r="J719" t="s">
        <v>36</v>
      </c>
      <c r="K719">
        <v>3273</v>
      </c>
      <c r="L719">
        <v>25.85</v>
      </c>
      <c r="M719">
        <v>11.06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50</v>
      </c>
    </row>
    <row r="720" spans="1:20" x14ac:dyDescent="0.25">
      <c r="A720" t="s">
        <v>94</v>
      </c>
      <c r="B720">
        <v>3</v>
      </c>
      <c r="C720" t="s">
        <v>21</v>
      </c>
      <c r="D720" t="s">
        <v>95</v>
      </c>
      <c r="E720" t="s">
        <v>96</v>
      </c>
      <c r="F720">
        <v>150</v>
      </c>
      <c r="G720">
        <v>900</v>
      </c>
      <c r="H720">
        <v>-2</v>
      </c>
      <c r="I720">
        <v>1986</v>
      </c>
      <c r="J720" t="s">
        <v>36</v>
      </c>
      <c r="K720">
        <v>2573</v>
      </c>
      <c r="L720">
        <v>20.72</v>
      </c>
      <c r="M720">
        <v>8.8699999999999992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50</v>
      </c>
    </row>
    <row r="721" spans="1:20" x14ac:dyDescent="0.25">
      <c r="A721" t="s">
        <v>94</v>
      </c>
      <c r="B721">
        <v>3</v>
      </c>
      <c r="C721" t="s">
        <v>21</v>
      </c>
      <c r="D721" t="s">
        <v>95</v>
      </c>
      <c r="E721" t="s">
        <v>96</v>
      </c>
      <c r="F721">
        <v>150</v>
      </c>
      <c r="G721">
        <v>900</v>
      </c>
      <c r="H721">
        <v>-2</v>
      </c>
      <c r="I721">
        <v>1986</v>
      </c>
      <c r="J721" t="s">
        <v>97</v>
      </c>
      <c r="K721">
        <v>1257</v>
      </c>
      <c r="L721">
        <v>21.27</v>
      </c>
      <c r="M721">
        <v>9.7200000000000006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50</v>
      </c>
    </row>
    <row r="722" spans="1:20" x14ac:dyDescent="0.25">
      <c r="A722" t="s">
        <v>94</v>
      </c>
      <c r="B722">
        <v>3</v>
      </c>
      <c r="C722" t="s">
        <v>21</v>
      </c>
      <c r="D722" t="s">
        <v>95</v>
      </c>
      <c r="E722" t="s">
        <v>96</v>
      </c>
      <c r="F722">
        <v>150</v>
      </c>
      <c r="G722">
        <v>900</v>
      </c>
      <c r="H722">
        <v>-2</v>
      </c>
      <c r="I722">
        <v>1986</v>
      </c>
      <c r="J722" t="s">
        <v>97</v>
      </c>
      <c r="K722">
        <v>1825</v>
      </c>
      <c r="L722">
        <v>19.63</v>
      </c>
      <c r="M722">
        <v>8.9700000000000006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50</v>
      </c>
    </row>
    <row r="723" spans="1:20" x14ac:dyDescent="0.25">
      <c r="A723" t="s">
        <v>94</v>
      </c>
      <c r="B723">
        <v>3</v>
      </c>
      <c r="C723" t="s">
        <v>21</v>
      </c>
      <c r="D723" t="s">
        <v>95</v>
      </c>
      <c r="E723" t="s">
        <v>96</v>
      </c>
      <c r="F723">
        <v>150</v>
      </c>
      <c r="G723">
        <v>900</v>
      </c>
      <c r="H723">
        <v>-2</v>
      </c>
      <c r="I723">
        <v>1986</v>
      </c>
      <c r="J723" t="s">
        <v>98</v>
      </c>
      <c r="K723">
        <v>2768</v>
      </c>
      <c r="L723">
        <v>26.37</v>
      </c>
      <c r="M723">
        <v>9.89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50</v>
      </c>
    </row>
    <row r="724" spans="1:20" x14ac:dyDescent="0.25">
      <c r="A724" t="s">
        <v>94</v>
      </c>
      <c r="B724">
        <v>3</v>
      </c>
      <c r="C724" t="s">
        <v>21</v>
      </c>
      <c r="D724" t="s">
        <v>95</v>
      </c>
      <c r="E724" t="s">
        <v>96</v>
      </c>
      <c r="F724">
        <v>150</v>
      </c>
      <c r="G724">
        <v>900</v>
      </c>
      <c r="H724">
        <v>-2</v>
      </c>
      <c r="I724">
        <v>1986</v>
      </c>
      <c r="J724" t="s">
        <v>98</v>
      </c>
      <c r="K724">
        <v>1609</v>
      </c>
      <c r="L724">
        <v>26.19</v>
      </c>
      <c r="M724">
        <v>9.82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50</v>
      </c>
    </row>
    <row r="725" spans="1:20" x14ac:dyDescent="0.25">
      <c r="A725" t="s">
        <v>94</v>
      </c>
      <c r="B725">
        <v>3</v>
      </c>
      <c r="C725" t="s">
        <v>21</v>
      </c>
      <c r="D725" t="s">
        <v>95</v>
      </c>
      <c r="E725" t="s">
        <v>96</v>
      </c>
      <c r="F725">
        <v>150</v>
      </c>
      <c r="G725">
        <v>900</v>
      </c>
      <c r="H725">
        <v>-2</v>
      </c>
      <c r="I725">
        <v>1986</v>
      </c>
      <c r="J725" t="s">
        <v>98</v>
      </c>
      <c r="K725">
        <v>3275</v>
      </c>
      <c r="L725">
        <v>17.350000000000001</v>
      </c>
      <c r="M725">
        <v>6.51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50</v>
      </c>
    </row>
    <row r="726" spans="1:20" x14ac:dyDescent="0.25">
      <c r="A726" t="s">
        <v>94</v>
      </c>
      <c r="B726">
        <v>3</v>
      </c>
      <c r="C726" t="s">
        <v>21</v>
      </c>
      <c r="D726" t="s">
        <v>95</v>
      </c>
      <c r="E726" t="s">
        <v>96</v>
      </c>
      <c r="F726">
        <v>150</v>
      </c>
      <c r="G726">
        <v>900</v>
      </c>
      <c r="H726">
        <v>-2</v>
      </c>
      <c r="I726">
        <v>1986</v>
      </c>
      <c r="J726" t="s">
        <v>98</v>
      </c>
      <c r="K726">
        <v>3274</v>
      </c>
      <c r="L726">
        <v>20.57</v>
      </c>
      <c r="M726">
        <v>7.71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50</v>
      </c>
    </row>
    <row r="727" spans="1:20" x14ac:dyDescent="0.25">
      <c r="A727" t="s">
        <v>99</v>
      </c>
      <c r="B727">
        <v>1</v>
      </c>
      <c r="C727" t="s">
        <v>100</v>
      </c>
      <c r="D727" t="s">
        <v>101</v>
      </c>
      <c r="E727" t="s">
        <v>102</v>
      </c>
      <c r="F727">
        <v>150</v>
      </c>
      <c r="G727">
        <v>1750</v>
      </c>
      <c r="H727">
        <v>-2</v>
      </c>
      <c r="I727">
        <v>1986</v>
      </c>
      <c r="J727" t="s">
        <v>76</v>
      </c>
      <c r="K727" t="s">
        <v>44</v>
      </c>
      <c r="L727">
        <v>27.68</v>
      </c>
      <c r="M727">
        <v>12.64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50</v>
      </c>
    </row>
    <row r="728" spans="1:20" x14ac:dyDescent="0.25">
      <c r="A728" t="s">
        <v>99</v>
      </c>
      <c r="B728">
        <v>1</v>
      </c>
      <c r="C728" t="s">
        <v>100</v>
      </c>
      <c r="D728" t="s">
        <v>101</v>
      </c>
      <c r="E728" t="s">
        <v>102</v>
      </c>
      <c r="F728">
        <v>150</v>
      </c>
      <c r="G728">
        <v>1750</v>
      </c>
      <c r="H728">
        <v>-2</v>
      </c>
      <c r="I728">
        <v>1986</v>
      </c>
      <c r="J728" t="s">
        <v>24</v>
      </c>
      <c r="K728" t="s">
        <v>44</v>
      </c>
      <c r="L728">
        <v>30.93</v>
      </c>
      <c r="M728">
        <v>13.05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50</v>
      </c>
    </row>
    <row r="729" spans="1:20" x14ac:dyDescent="0.25">
      <c r="A729" t="s">
        <v>99</v>
      </c>
      <c r="B729">
        <v>1</v>
      </c>
      <c r="C729" t="s">
        <v>100</v>
      </c>
      <c r="D729" t="s">
        <v>101</v>
      </c>
      <c r="E729" t="s">
        <v>102</v>
      </c>
      <c r="F729">
        <v>150</v>
      </c>
      <c r="G729">
        <v>1750</v>
      </c>
      <c r="H729">
        <v>-2</v>
      </c>
      <c r="I729">
        <v>1986</v>
      </c>
      <c r="J729" t="s">
        <v>32</v>
      </c>
      <c r="K729" t="s">
        <v>44</v>
      </c>
      <c r="L729">
        <v>26.16</v>
      </c>
      <c r="M729">
        <v>11.89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50</v>
      </c>
    </row>
    <row r="730" spans="1:20" x14ac:dyDescent="0.25">
      <c r="A730" t="s">
        <v>99</v>
      </c>
      <c r="B730">
        <v>1</v>
      </c>
      <c r="C730" t="s">
        <v>100</v>
      </c>
      <c r="D730" t="s">
        <v>101</v>
      </c>
      <c r="E730" t="s">
        <v>102</v>
      </c>
      <c r="F730">
        <v>150</v>
      </c>
      <c r="G730">
        <v>1750</v>
      </c>
      <c r="H730">
        <v>-2</v>
      </c>
      <c r="I730">
        <v>1986</v>
      </c>
      <c r="J730" t="s">
        <v>36</v>
      </c>
      <c r="K730" t="s">
        <v>44</v>
      </c>
      <c r="L730">
        <v>38.51</v>
      </c>
      <c r="M730">
        <v>16.46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50</v>
      </c>
    </row>
    <row r="731" spans="1:20" x14ac:dyDescent="0.25">
      <c r="A731" t="s">
        <v>99</v>
      </c>
      <c r="B731">
        <v>1</v>
      </c>
      <c r="C731" t="s">
        <v>100</v>
      </c>
      <c r="D731" t="s">
        <v>101</v>
      </c>
      <c r="E731" t="s">
        <v>102</v>
      </c>
      <c r="F731">
        <v>150</v>
      </c>
      <c r="G731">
        <v>1750</v>
      </c>
      <c r="H731">
        <v>-2</v>
      </c>
      <c r="I731">
        <v>1986</v>
      </c>
      <c r="J731" t="s">
        <v>97</v>
      </c>
      <c r="K731" t="s">
        <v>44</v>
      </c>
      <c r="L731">
        <v>24</v>
      </c>
      <c r="M731">
        <v>10.96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50</v>
      </c>
    </row>
    <row r="732" spans="1:20" x14ac:dyDescent="0.25">
      <c r="A732" t="s">
        <v>99</v>
      </c>
      <c r="B732">
        <v>1</v>
      </c>
      <c r="C732" t="s">
        <v>100</v>
      </c>
      <c r="D732" t="s">
        <v>101</v>
      </c>
      <c r="E732" t="s">
        <v>102</v>
      </c>
      <c r="F732">
        <v>150</v>
      </c>
      <c r="G732">
        <v>1750</v>
      </c>
      <c r="H732">
        <v>-2</v>
      </c>
      <c r="I732">
        <v>1986</v>
      </c>
      <c r="J732" t="s">
        <v>98</v>
      </c>
      <c r="K732" t="s">
        <v>44</v>
      </c>
      <c r="L732">
        <v>29.02</v>
      </c>
      <c r="M732">
        <v>10.87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50</v>
      </c>
    </row>
    <row r="733" spans="1:20" x14ac:dyDescent="0.25">
      <c r="A733" t="s">
        <v>103</v>
      </c>
      <c r="B733">
        <v>1</v>
      </c>
      <c r="C733" t="s">
        <v>47</v>
      </c>
      <c r="D733" t="s">
        <v>104</v>
      </c>
      <c r="E733" t="s">
        <v>79</v>
      </c>
      <c r="F733">
        <v>100</v>
      </c>
      <c r="G733">
        <v>1250</v>
      </c>
      <c r="H733">
        <v>-2</v>
      </c>
      <c r="I733">
        <v>1983</v>
      </c>
      <c r="J733" t="s">
        <v>59</v>
      </c>
      <c r="K733">
        <v>2548</v>
      </c>
      <c r="L733">
        <v>41.63</v>
      </c>
      <c r="M733">
        <v>12.64</v>
      </c>
      <c r="N733">
        <v>28</v>
      </c>
      <c r="O733">
        <v>4.2</v>
      </c>
      <c r="P733">
        <v>3.2</v>
      </c>
      <c r="Q733">
        <v>2.2999999999999998</v>
      </c>
      <c r="R733">
        <v>1.9</v>
      </c>
      <c r="S733">
        <v>1.7</v>
      </c>
      <c r="T733" t="s">
        <v>38</v>
      </c>
    </row>
    <row r="734" spans="1:20" x14ac:dyDescent="0.25">
      <c r="A734" t="s">
        <v>103</v>
      </c>
      <c r="B734">
        <v>1</v>
      </c>
      <c r="C734" t="s">
        <v>47</v>
      </c>
      <c r="D734" t="s">
        <v>104</v>
      </c>
      <c r="E734" t="s">
        <v>79</v>
      </c>
      <c r="F734">
        <v>100</v>
      </c>
      <c r="G734">
        <v>1250</v>
      </c>
      <c r="H734">
        <v>-2</v>
      </c>
      <c r="I734">
        <v>1983</v>
      </c>
      <c r="J734" t="s">
        <v>26</v>
      </c>
      <c r="K734">
        <v>2552</v>
      </c>
      <c r="L734">
        <v>33.35</v>
      </c>
      <c r="M734">
        <v>10.61</v>
      </c>
      <c r="N734">
        <v>33</v>
      </c>
      <c r="O734">
        <v>4.5</v>
      </c>
      <c r="P734">
        <v>4</v>
      </c>
      <c r="Q734">
        <v>2.8</v>
      </c>
      <c r="R734">
        <v>3</v>
      </c>
      <c r="S734">
        <v>1.5</v>
      </c>
      <c r="T734" t="s">
        <v>25</v>
      </c>
    </row>
    <row r="735" spans="1:20" x14ac:dyDescent="0.25">
      <c r="A735" t="s">
        <v>103</v>
      </c>
      <c r="B735">
        <v>1</v>
      </c>
      <c r="C735" t="s">
        <v>47</v>
      </c>
      <c r="D735" t="s">
        <v>104</v>
      </c>
      <c r="E735" t="s">
        <v>79</v>
      </c>
      <c r="F735">
        <v>100</v>
      </c>
      <c r="G735">
        <v>1250</v>
      </c>
      <c r="H735">
        <v>-2</v>
      </c>
      <c r="I735">
        <v>1983</v>
      </c>
      <c r="J735" t="s">
        <v>33</v>
      </c>
      <c r="K735">
        <v>2568</v>
      </c>
      <c r="L735">
        <v>28.21</v>
      </c>
      <c r="M735">
        <v>9.4700000000000006</v>
      </c>
      <c r="N735">
        <v>94</v>
      </c>
      <c r="O735">
        <v>4.5999999999999996</v>
      </c>
      <c r="P735">
        <v>3</v>
      </c>
      <c r="Q735">
        <v>2</v>
      </c>
      <c r="R735">
        <v>1.8</v>
      </c>
      <c r="S735">
        <v>1.2</v>
      </c>
      <c r="T735" t="s">
        <v>25</v>
      </c>
    </row>
    <row r="736" spans="1:20" x14ac:dyDescent="0.25">
      <c r="A736" t="s">
        <v>103</v>
      </c>
      <c r="B736">
        <v>1</v>
      </c>
      <c r="C736" t="s">
        <v>47</v>
      </c>
      <c r="D736" t="s">
        <v>104</v>
      </c>
      <c r="E736" t="s">
        <v>79</v>
      </c>
      <c r="F736">
        <v>100</v>
      </c>
      <c r="G736">
        <v>1250</v>
      </c>
      <c r="H736">
        <v>-2</v>
      </c>
      <c r="I736">
        <v>1983</v>
      </c>
      <c r="J736" t="s">
        <v>34</v>
      </c>
      <c r="K736">
        <v>1522</v>
      </c>
      <c r="L736">
        <v>27.36</v>
      </c>
      <c r="M736">
        <v>11.49</v>
      </c>
      <c r="N736">
        <v>67</v>
      </c>
      <c r="O736">
        <v>4.7</v>
      </c>
      <c r="P736">
        <v>3.3</v>
      </c>
      <c r="Q736">
        <v>3.4</v>
      </c>
      <c r="R736">
        <v>3.4</v>
      </c>
      <c r="S736">
        <v>3</v>
      </c>
      <c r="T736" t="s">
        <v>25</v>
      </c>
    </row>
    <row r="737" spans="1:20" x14ac:dyDescent="0.25">
      <c r="A737" t="s">
        <v>103</v>
      </c>
      <c r="B737">
        <v>1</v>
      </c>
      <c r="C737" t="s">
        <v>47</v>
      </c>
      <c r="D737" t="s">
        <v>104</v>
      </c>
      <c r="E737" t="s">
        <v>79</v>
      </c>
      <c r="F737">
        <v>100</v>
      </c>
      <c r="G737">
        <v>1250</v>
      </c>
      <c r="H737">
        <v>-2</v>
      </c>
      <c r="I737">
        <v>1983</v>
      </c>
      <c r="J737" t="s">
        <v>62</v>
      </c>
      <c r="K737" t="s">
        <v>44</v>
      </c>
      <c r="L737">
        <v>22.34</v>
      </c>
      <c r="M737">
        <v>8.84</v>
      </c>
      <c r="N737">
        <v>25</v>
      </c>
      <c r="O737">
        <v>3.8</v>
      </c>
      <c r="P737">
        <v>3.5</v>
      </c>
      <c r="Q737">
        <v>3</v>
      </c>
      <c r="R737">
        <v>3.5</v>
      </c>
      <c r="S737">
        <v>3</v>
      </c>
      <c r="T73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7"/>
  <sheetViews>
    <sheetView workbookViewId="0">
      <pane ySplit="1" topLeftCell="A2" activePane="bottomLeft" state="frozen"/>
      <selection pane="bottomLeft" activeCell="N1" sqref="N1:O1048576"/>
    </sheetView>
  </sheetViews>
  <sheetFormatPr baseColWidth="10" defaultColWidth="9.140625" defaultRowHeight="15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5" width="6" style="4" customWidth="1"/>
    <col min="16" max="16" width="4.85546875" bestFit="1" customWidth="1"/>
    <col min="17" max="17" width="4" bestFit="1" customWidth="1"/>
    <col min="18" max="18" width="7.28515625" bestFit="1" customWidth="1"/>
    <col min="19" max="19" width="9.28515625" bestFit="1" customWidth="1"/>
    <col min="20" max="20" width="10.42578125" bestFit="1" customWidth="1"/>
    <col min="21" max="21" width="9.7109375" bestFit="1" customWidth="1"/>
    <col min="22" max="22" width="8" bestFit="1" customWidth="1"/>
    <col min="23" max="23" width="3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105</v>
      </c>
      <c r="O1" s="3" t="s">
        <v>106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5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 s="4">
        <f>3.14/4*((L2/100)^2)</f>
        <v>2.6721596250000004E-2</v>
      </c>
      <c r="O2" s="4">
        <f>3.14/4*((L2/100)^2)*M2</f>
        <v>0.26614709865000008</v>
      </c>
      <c r="P2">
        <v>40</v>
      </c>
      <c r="Q2">
        <v>4</v>
      </c>
      <c r="R2">
        <v>3</v>
      </c>
      <c r="S2">
        <v>3.5</v>
      </c>
      <c r="T2">
        <v>4</v>
      </c>
      <c r="U2">
        <v>3.5</v>
      </c>
      <c r="V2" t="s">
        <v>25</v>
      </c>
    </row>
    <row r="3" spans="1:25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 s="4">
        <f t="shared" ref="N3:N66" si="0">3.14/4*((L3/100)^2)</f>
        <v>1.3574416250000002E-2</v>
      </c>
      <c r="O3" s="4">
        <f t="shared" ref="O3:O66" si="1">3.14/4*((L3/100)^2)*M3</f>
        <v>0.13099311681250003</v>
      </c>
      <c r="P3">
        <v>90</v>
      </c>
      <c r="Q3">
        <v>4.5</v>
      </c>
      <c r="R3">
        <v>4</v>
      </c>
      <c r="S3">
        <v>3.5</v>
      </c>
      <c r="T3">
        <v>3.5</v>
      </c>
      <c r="U3">
        <v>3</v>
      </c>
      <c r="V3" t="s">
        <v>27</v>
      </c>
      <c r="X3" s="2"/>
    </row>
    <row r="4" spans="1:25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 s="4">
        <f t="shared" si="0"/>
        <v>8.3604383999999997E-3</v>
      </c>
      <c r="O4" s="4">
        <f t="shared" si="1"/>
        <v>5.43428496E-2</v>
      </c>
      <c r="P4">
        <v>50</v>
      </c>
      <c r="Q4">
        <v>2.2999999999999998</v>
      </c>
      <c r="R4">
        <v>2.5</v>
      </c>
      <c r="S4">
        <v>3</v>
      </c>
      <c r="T4">
        <v>3.5</v>
      </c>
      <c r="U4">
        <v>3</v>
      </c>
      <c r="V4" t="s">
        <v>30</v>
      </c>
      <c r="X4" s="2"/>
      <c r="Y4" s="2"/>
    </row>
    <row r="5" spans="1:25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 s="4">
        <f t="shared" si="0"/>
        <v>1.7194640000000008E-2</v>
      </c>
      <c r="O5" s="4">
        <f t="shared" si="1"/>
        <v>0.16300518720000007</v>
      </c>
      <c r="P5">
        <v>70</v>
      </c>
      <c r="Q5">
        <v>3.7</v>
      </c>
      <c r="R5">
        <v>3</v>
      </c>
      <c r="S5">
        <v>3.3</v>
      </c>
      <c r="T5">
        <v>4</v>
      </c>
      <c r="U5">
        <v>3.5</v>
      </c>
      <c r="V5" t="s">
        <v>25</v>
      </c>
      <c r="X5" s="2"/>
    </row>
    <row r="6" spans="1:25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 s="4">
        <f t="shared" si="0"/>
        <v>1.6504624999999998E-2</v>
      </c>
      <c r="O6" s="4">
        <f t="shared" si="1"/>
        <v>0.17791985749999997</v>
      </c>
      <c r="P6">
        <v>90</v>
      </c>
      <c r="Q6">
        <v>4</v>
      </c>
      <c r="R6">
        <v>2.7</v>
      </c>
      <c r="S6">
        <v>3.3</v>
      </c>
      <c r="T6">
        <v>3</v>
      </c>
      <c r="U6">
        <v>3</v>
      </c>
      <c r="V6" t="s">
        <v>25</v>
      </c>
    </row>
    <row r="7" spans="1:25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 s="4">
        <f t="shared" si="0"/>
        <v>2.2713197850000009E-2</v>
      </c>
      <c r="O7" s="4">
        <f t="shared" si="1"/>
        <v>0.27891806959800008</v>
      </c>
      <c r="P7">
        <v>70</v>
      </c>
      <c r="Q7">
        <v>5</v>
      </c>
      <c r="R7">
        <v>4</v>
      </c>
      <c r="S7">
        <v>5</v>
      </c>
      <c r="T7">
        <v>4</v>
      </c>
      <c r="U7">
        <v>4.5</v>
      </c>
      <c r="V7" t="s">
        <v>27</v>
      </c>
    </row>
    <row r="8" spans="1:25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 s="4">
        <f t="shared" si="0"/>
        <v>1.5232524650000002E-2</v>
      </c>
      <c r="O8" s="4">
        <f t="shared" si="1"/>
        <v>0.14882176583050002</v>
      </c>
      <c r="P8">
        <v>80</v>
      </c>
      <c r="Q8">
        <v>4</v>
      </c>
      <c r="R8">
        <v>2</v>
      </c>
      <c r="S8">
        <v>3</v>
      </c>
      <c r="T8">
        <v>3</v>
      </c>
      <c r="U8">
        <v>3</v>
      </c>
      <c r="V8" t="s">
        <v>25</v>
      </c>
    </row>
    <row r="9" spans="1:25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 s="4">
        <f t="shared" si="0"/>
        <v>2.8487846250000004E-2</v>
      </c>
      <c r="O9" s="4">
        <f t="shared" si="1"/>
        <v>0.32077314877500002</v>
      </c>
      <c r="P9">
        <v>100</v>
      </c>
      <c r="Q9">
        <v>5</v>
      </c>
      <c r="R9">
        <v>4.5</v>
      </c>
      <c r="S9">
        <v>3.5</v>
      </c>
      <c r="T9">
        <v>4</v>
      </c>
      <c r="U9">
        <v>2</v>
      </c>
      <c r="V9" t="s">
        <v>27</v>
      </c>
    </row>
    <row r="10" spans="1:25" x14ac:dyDescent="0.25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 s="4">
        <f t="shared" si="0"/>
        <v>4.5580554000000002E-3</v>
      </c>
      <c r="O10" s="4">
        <f t="shared" si="1"/>
        <v>3.0037585086000001E-2</v>
      </c>
      <c r="P10">
        <v>80</v>
      </c>
      <c r="Q10">
        <v>2.5</v>
      </c>
      <c r="R10">
        <v>2.5</v>
      </c>
      <c r="S10">
        <v>3.3</v>
      </c>
      <c r="T10">
        <v>3.5</v>
      </c>
      <c r="U10">
        <v>3.5</v>
      </c>
      <c r="V10" t="s">
        <v>38</v>
      </c>
    </row>
    <row r="11" spans="1:25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 s="4">
        <f t="shared" si="0"/>
        <v>1.7078656249999997E-2</v>
      </c>
      <c r="O11" s="4">
        <f t="shared" si="1"/>
        <v>0.15592813156249999</v>
      </c>
      <c r="P11">
        <v>50</v>
      </c>
      <c r="Q11">
        <v>4</v>
      </c>
      <c r="R11">
        <v>4</v>
      </c>
      <c r="S11">
        <v>3.3</v>
      </c>
      <c r="T11">
        <v>3</v>
      </c>
      <c r="U11">
        <v>3</v>
      </c>
      <c r="V11" t="s">
        <v>25</v>
      </c>
    </row>
    <row r="12" spans="1:25" x14ac:dyDescent="0.25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 s="4">
        <f t="shared" si="0"/>
        <v>5.2141662500000008E-3</v>
      </c>
      <c r="O12" s="4">
        <f t="shared" si="1"/>
        <v>3.5039197200000004E-2</v>
      </c>
      <c r="P12">
        <v>70</v>
      </c>
      <c r="Q12">
        <v>1.5</v>
      </c>
      <c r="R12">
        <v>3</v>
      </c>
      <c r="S12">
        <v>3</v>
      </c>
      <c r="T12">
        <v>3</v>
      </c>
      <c r="U12">
        <v>3</v>
      </c>
      <c r="V12" t="s">
        <v>30</v>
      </c>
    </row>
    <row r="13" spans="1:25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 s="4">
        <f t="shared" si="0"/>
        <v>1.782773465E-2</v>
      </c>
      <c r="O13" s="4">
        <f t="shared" si="1"/>
        <v>0.12782485744049998</v>
      </c>
      <c r="P13">
        <v>10</v>
      </c>
      <c r="Q13">
        <v>4</v>
      </c>
      <c r="R13">
        <v>4</v>
      </c>
      <c r="S13">
        <v>3.3</v>
      </c>
      <c r="T13">
        <v>3</v>
      </c>
      <c r="U13">
        <v>2</v>
      </c>
      <c r="V13" t="s">
        <v>25</v>
      </c>
    </row>
    <row r="14" spans="1:25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 s="4">
        <f t="shared" si="0"/>
        <v>6.3443778500000009E-3</v>
      </c>
      <c r="O14" s="4">
        <f t="shared" si="1"/>
        <v>3.8383485992500008E-2</v>
      </c>
      <c r="P14">
        <v>60</v>
      </c>
      <c r="Q14">
        <v>2.5</v>
      </c>
      <c r="R14">
        <v>3</v>
      </c>
      <c r="S14">
        <v>3</v>
      </c>
      <c r="T14">
        <v>4</v>
      </c>
      <c r="U14">
        <v>4</v>
      </c>
      <c r="V14" t="s">
        <v>30</v>
      </c>
    </row>
    <row r="15" spans="1:25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 s="4">
        <f t="shared" si="0"/>
        <v>1.3533156649999999E-2</v>
      </c>
      <c r="O15" s="4">
        <f t="shared" si="1"/>
        <v>8.2281592431999992E-2</v>
      </c>
      <c r="P15">
        <v>80</v>
      </c>
      <c r="Q15">
        <v>3.5</v>
      </c>
      <c r="R15">
        <v>4</v>
      </c>
      <c r="S15">
        <v>4</v>
      </c>
      <c r="T15">
        <v>3.5</v>
      </c>
      <c r="U15">
        <v>3.5</v>
      </c>
      <c r="V15" t="s">
        <v>27</v>
      </c>
    </row>
    <row r="16" spans="1:25" x14ac:dyDescent="0.25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 s="4">
        <f t="shared" si="0"/>
        <v>9.1223593999999984E-3</v>
      </c>
      <c r="O16" s="4">
        <f t="shared" si="1"/>
        <v>8.146266944199998E-2</v>
      </c>
      <c r="P16">
        <v>100</v>
      </c>
      <c r="Q16">
        <v>3</v>
      </c>
      <c r="R16">
        <v>2</v>
      </c>
      <c r="S16">
        <v>3</v>
      </c>
      <c r="T16">
        <v>3</v>
      </c>
      <c r="U16">
        <v>3</v>
      </c>
      <c r="V16" t="s">
        <v>25</v>
      </c>
    </row>
    <row r="17" spans="1:22" x14ac:dyDescent="0.25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 s="4">
        <f t="shared" si="0"/>
        <v>1.3430282400000002E-2</v>
      </c>
      <c r="O17" s="4">
        <f t="shared" si="1"/>
        <v>0.131482464696</v>
      </c>
      <c r="P17">
        <v>90</v>
      </c>
      <c r="Q17">
        <v>5</v>
      </c>
      <c r="R17">
        <v>4.5</v>
      </c>
      <c r="S17">
        <v>5</v>
      </c>
      <c r="T17">
        <v>4</v>
      </c>
      <c r="U17">
        <v>4</v>
      </c>
      <c r="V17" t="s">
        <v>27</v>
      </c>
    </row>
    <row r="18" spans="1:22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 s="4">
        <f t="shared" si="0"/>
        <v>8.1991994000000026E-3</v>
      </c>
      <c r="O18" s="4">
        <f t="shared" si="1"/>
        <v>6.8217339008000019E-2</v>
      </c>
      <c r="P18">
        <v>100</v>
      </c>
      <c r="Q18">
        <v>3</v>
      </c>
      <c r="R18">
        <v>1.8</v>
      </c>
      <c r="S18">
        <v>3</v>
      </c>
      <c r="T18">
        <v>3</v>
      </c>
      <c r="U18">
        <v>3</v>
      </c>
      <c r="V18" t="s">
        <v>38</v>
      </c>
    </row>
    <row r="19" spans="1:22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 s="4">
        <f t="shared" si="0"/>
        <v>2.7480031850000006E-2</v>
      </c>
      <c r="O19" s="4">
        <f t="shared" si="1"/>
        <v>0.2995323471650001</v>
      </c>
      <c r="P19">
        <v>100</v>
      </c>
      <c r="Q19">
        <v>4</v>
      </c>
      <c r="R19">
        <v>4</v>
      </c>
      <c r="S19">
        <v>3.3</v>
      </c>
      <c r="T19">
        <v>4</v>
      </c>
      <c r="U19">
        <v>3</v>
      </c>
      <c r="V19" t="s">
        <v>27</v>
      </c>
    </row>
    <row r="20" spans="1:22" x14ac:dyDescent="0.25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 s="4">
        <f t="shared" si="0"/>
        <v>5.3170326500000002E-3</v>
      </c>
      <c r="O20" s="4">
        <f t="shared" si="1"/>
        <v>3.4560712224999998E-2</v>
      </c>
      <c r="P20">
        <v>70</v>
      </c>
      <c r="Q20">
        <v>2</v>
      </c>
      <c r="R20">
        <v>2</v>
      </c>
      <c r="S20">
        <v>3.3</v>
      </c>
      <c r="T20">
        <v>4</v>
      </c>
      <c r="U20">
        <v>3.5</v>
      </c>
      <c r="V20" t="s">
        <v>30</v>
      </c>
    </row>
    <row r="21" spans="1:22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 s="4">
        <f t="shared" si="0"/>
        <v>2.40956064E-2</v>
      </c>
      <c r="O21" s="4">
        <f t="shared" si="1"/>
        <v>0.22216149100800001</v>
      </c>
      <c r="P21">
        <v>60</v>
      </c>
      <c r="Q21">
        <v>4</v>
      </c>
      <c r="R21">
        <v>3</v>
      </c>
      <c r="S21">
        <v>3</v>
      </c>
      <c r="T21">
        <v>3</v>
      </c>
      <c r="U21">
        <v>2</v>
      </c>
      <c r="V21" t="s">
        <v>25</v>
      </c>
    </row>
    <row r="22" spans="1:22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 s="4">
        <f t="shared" si="0"/>
        <v>9.071656249999999E-3</v>
      </c>
      <c r="O22" s="4">
        <f t="shared" si="1"/>
        <v>5.3613488437499995E-2</v>
      </c>
      <c r="P22">
        <v>50</v>
      </c>
      <c r="Q22">
        <v>2.7</v>
      </c>
      <c r="R22">
        <v>4</v>
      </c>
      <c r="S22">
        <v>3.3</v>
      </c>
      <c r="T22">
        <v>3.5</v>
      </c>
      <c r="U22">
        <v>3</v>
      </c>
      <c r="V22" t="s">
        <v>38</v>
      </c>
    </row>
    <row r="23" spans="1:22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 s="4">
        <f t="shared" si="0"/>
        <v>3.6354166399999999E-2</v>
      </c>
      <c r="O23" s="4">
        <f t="shared" si="1"/>
        <v>0.31882603932799997</v>
      </c>
      <c r="P23">
        <v>20</v>
      </c>
      <c r="Q23">
        <v>4</v>
      </c>
      <c r="R23">
        <v>3.5</v>
      </c>
      <c r="S23">
        <v>3</v>
      </c>
      <c r="T23">
        <v>3</v>
      </c>
      <c r="U23">
        <v>1</v>
      </c>
      <c r="V23" t="s">
        <v>38</v>
      </c>
    </row>
    <row r="24" spans="1:22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 s="4">
        <f t="shared" si="0"/>
        <v>1.8184399399999999E-2</v>
      </c>
      <c r="O24" s="4">
        <f t="shared" si="1"/>
        <v>0.1181985961</v>
      </c>
      <c r="P24">
        <v>30</v>
      </c>
      <c r="Q24">
        <v>3</v>
      </c>
      <c r="R24">
        <v>4</v>
      </c>
      <c r="S24">
        <v>3</v>
      </c>
      <c r="T24">
        <v>3</v>
      </c>
      <c r="U24">
        <v>3</v>
      </c>
      <c r="V24" t="s">
        <v>38</v>
      </c>
    </row>
    <row r="25" spans="1:22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 s="4">
        <f t="shared" si="0"/>
        <v>7.4318226500000003E-3</v>
      </c>
      <c r="O25" s="4">
        <f t="shared" si="1"/>
        <v>6.4433902375500007E-2</v>
      </c>
      <c r="P25">
        <v>70</v>
      </c>
      <c r="Q25">
        <v>2.7</v>
      </c>
      <c r="R25">
        <v>4</v>
      </c>
      <c r="S25">
        <v>3.5</v>
      </c>
      <c r="T25">
        <v>3.5</v>
      </c>
      <c r="U25">
        <v>3.5</v>
      </c>
      <c r="V25" t="s">
        <v>25</v>
      </c>
    </row>
    <row r="26" spans="1:22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 s="4">
        <f t="shared" si="0"/>
        <v>2.3088616249999996E-2</v>
      </c>
      <c r="O26" s="4">
        <f t="shared" si="1"/>
        <v>0.18978842557499997</v>
      </c>
      <c r="P26">
        <v>60</v>
      </c>
      <c r="Q26">
        <v>5</v>
      </c>
      <c r="R26">
        <v>2.7</v>
      </c>
      <c r="S26">
        <v>3.5</v>
      </c>
      <c r="T26">
        <v>3</v>
      </c>
      <c r="U26">
        <v>2</v>
      </c>
      <c r="V26" t="s">
        <v>25</v>
      </c>
    </row>
    <row r="27" spans="1:22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 s="4">
        <f t="shared" si="0"/>
        <v>2.042388665E-2</v>
      </c>
      <c r="O27" s="4">
        <f t="shared" si="1"/>
        <v>0.2032176721675</v>
      </c>
      <c r="P27">
        <v>50</v>
      </c>
      <c r="Q27">
        <v>4.3</v>
      </c>
      <c r="R27">
        <v>4.5</v>
      </c>
      <c r="S27">
        <v>3.3</v>
      </c>
      <c r="T27">
        <v>3.5</v>
      </c>
      <c r="U27">
        <v>3</v>
      </c>
      <c r="V27" t="s">
        <v>25</v>
      </c>
    </row>
    <row r="28" spans="1:22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 s="4">
        <f t="shared" si="0"/>
        <v>6.0514393999999989E-3</v>
      </c>
      <c r="O28" s="4">
        <f t="shared" si="1"/>
        <v>3.5037834125999992E-2</v>
      </c>
      <c r="P28">
        <v>50</v>
      </c>
      <c r="Q28">
        <v>2.5</v>
      </c>
      <c r="R28">
        <v>2</v>
      </c>
      <c r="S28">
        <v>3.2</v>
      </c>
      <c r="T28">
        <v>3.3</v>
      </c>
      <c r="U28">
        <v>3</v>
      </c>
      <c r="V28" t="s">
        <v>38</v>
      </c>
    </row>
    <row r="29" spans="1:22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 s="4">
        <f t="shared" si="0"/>
        <v>2.3169463400000003E-2</v>
      </c>
      <c r="O29" s="4">
        <f t="shared" si="1"/>
        <v>0.23146293936600004</v>
      </c>
      <c r="P29">
        <v>90</v>
      </c>
      <c r="Q29">
        <v>4.3</v>
      </c>
      <c r="R29">
        <v>4.5</v>
      </c>
      <c r="S29">
        <v>3.5</v>
      </c>
      <c r="T29">
        <v>4</v>
      </c>
      <c r="U29">
        <v>3.3</v>
      </c>
      <c r="V29" t="s">
        <v>25</v>
      </c>
    </row>
    <row r="30" spans="1:22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 s="4">
        <f t="shared" si="0"/>
        <v>1.2050699850000002E-2</v>
      </c>
      <c r="O30" s="4">
        <f t="shared" si="1"/>
        <v>6.6881384167500016E-2</v>
      </c>
      <c r="P30">
        <v>80</v>
      </c>
      <c r="Q30">
        <v>3</v>
      </c>
      <c r="R30">
        <v>2.5</v>
      </c>
      <c r="S30">
        <v>2</v>
      </c>
      <c r="T30">
        <v>2</v>
      </c>
      <c r="U30">
        <v>2</v>
      </c>
      <c r="V30" t="s">
        <v>38</v>
      </c>
    </row>
    <row r="31" spans="1:22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 s="4">
        <f t="shared" si="0"/>
        <v>1.7078656249999997E-2</v>
      </c>
      <c r="O31" s="4">
        <f t="shared" si="1"/>
        <v>0.13304273218749998</v>
      </c>
      <c r="P31">
        <v>30</v>
      </c>
      <c r="Q31">
        <v>4</v>
      </c>
      <c r="R31">
        <v>4</v>
      </c>
      <c r="S31">
        <v>4</v>
      </c>
      <c r="T31">
        <v>2.5</v>
      </c>
      <c r="U31">
        <v>2</v>
      </c>
      <c r="V31" t="s">
        <v>25</v>
      </c>
    </row>
    <row r="32" spans="1:22" x14ac:dyDescent="0.25">
      <c r="A32" t="s">
        <v>40</v>
      </c>
      <c r="B32">
        <v>1</v>
      </c>
      <c r="C32" t="s">
        <v>41</v>
      </c>
      <c r="D32" t="s">
        <v>42</v>
      </c>
      <c r="E32" t="s">
        <v>43</v>
      </c>
      <c r="F32">
        <v>200</v>
      </c>
      <c r="G32">
        <v>1400</v>
      </c>
      <c r="H32">
        <v>-2</v>
      </c>
      <c r="I32">
        <v>1980</v>
      </c>
      <c r="J32" t="s">
        <v>26</v>
      </c>
      <c r="K32">
        <v>1487</v>
      </c>
      <c r="L32">
        <v>27.98</v>
      </c>
      <c r="M32">
        <v>8.64</v>
      </c>
      <c r="N32" s="4">
        <f t="shared" si="0"/>
        <v>6.1456111399999992E-2</v>
      </c>
      <c r="O32" s="4">
        <f t="shared" si="1"/>
        <v>0.53098080249599999</v>
      </c>
      <c r="P32" t="s">
        <v>44</v>
      </c>
      <c r="Q32">
        <v>2.2999999999999998</v>
      </c>
      <c r="R32">
        <v>4</v>
      </c>
      <c r="S32">
        <v>2</v>
      </c>
      <c r="T32">
        <v>2</v>
      </c>
      <c r="U32">
        <v>2</v>
      </c>
      <c r="V32" t="s">
        <v>30</v>
      </c>
    </row>
    <row r="33" spans="1:22" x14ac:dyDescent="0.25">
      <c r="A33" t="s">
        <v>40</v>
      </c>
      <c r="B33">
        <v>1</v>
      </c>
      <c r="C33" t="s">
        <v>41</v>
      </c>
      <c r="D33" t="s">
        <v>42</v>
      </c>
      <c r="E33" t="s">
        <v>43</v>
      </c>
      <c r="F33">
        <v>200</v>
      </c>
      <c r="G33">
        <v>1400</v>
      </c>
      <c r="H33">
        <v>-2</v>
      </c>
      <c r="I33">
        <v>1980</v>
      </c>
      <c r="J33" t="s">
        <v>32</v>
      </c>
      <c r="K33">
        <v>1596</v>
      </c>
      <c r="L33">
        <v>25.99</v>
      </c>
      <c r="M33">
        <v>9.6</v>
      </c>
      <c r="N33" s="4">
        <f t="shared" si="0"/>
        <v>5.3025187849999982E-2</v>
      </c>
      <c r="O33" s="4">
        <f t="shared" si="1"/>
        <v>0.50904180335999982</v>
      </c>
      <c r="P33" t="s">
        <v>44</v>
      </c>
      <c r="Q33">
        <v>4</v>
      </c>
      <c r="R33">
        <v>4</v>
      </c>
      <c r="S33">
        <v>3</v>
      </c>
      <c r="T33">
        <v>4</v>
      </c>
      <c r="U33">
        <v>2.7</v>
      </c>
      <c r="V33" t="s">
        <v>27</v>
      </c>
    </row>
    <row r="34" spans="1:22" x14ac:dyDescent="0.25">
      <c r="A34" t="s">
        <v>40</v>
      </c>
      <c r="B34">
        <v>1</v>
      </c>
      <c r="C34" t="s">
        <v>41</v>
      </c>
      <c r="D34" t="s">
        <v>42</v>
      </c>
      <c r="E34" t="s">
        <v>43</v>
      </c>
      <c r="F34">
        <v>200</v>
      </c>
      <c r="G34">
        <v>1400</v>
      </c>
      <c r="H34">
        <v>-2</v>
      </c>
      <c r="I34">
        <v>1980</v>
      </c>
      <c r="J34" t="s">
        <v>33</v>
      </c>
      <c r="K34">
        <v>2088</v>
      </c>
      <c r="L34">
        <v>33.409999999999997</v>
      </c>
      <c r="M34">
        <v>8.35</v>
      </c>
      <c r="N34" s="4">
        <f t="shared" si="0"/>
        <v>8.7623905849999989E-2</v>
      </c>
      <c r="O34" s="4">
        <f t="shared" si="1"/>
        <v>0.73165961384749989</v>
      </c>
      <c r="P34" t="s">
        <v>44</v>
      </c>
      <c r="Q34">
        <v>4</v>
      </c>
      <c r="R34">
        <v>2.8</v>
      </c>
      <c r="S34">
        <v>2.5</v>
      </c>
      <c r="T34">
        <v>1.5</v>
      </c>
      <c r="U34">
        <v>1.5</v>
      </c>
      <c r="V34" t="s">
        <v>38</v>
      </c>
    </row>
    <row r="35" spans="1:22" x14ac:dyDescent="0.25">
      <c r="A35" t="s">
        <v>40</v>
      </c>
      <c r="B35">
        <v>1</v>
      </c>
      <c r="C35" t="s">
        <v>41</v>
      </c>
      <c r="D35" t="s">
        <v>42</v>
      </c>
      <c r="E35" t="s">
        <v>43</v>
      </c>
      <c r="F35">
        <v>200</v>
      </c>
      <c r="G35">
        <v>1400</v>
      </c>
      <c r="H35">
        <v>-2</v>
      </c>
      <c r="I35">
        <v>1980</v>
      </c>
      <c r="J35" t="s">
        <v>35</v>
      </c>
      <c r="K35">
        <v>1521</v>
      </c>
      <c r="L35">
        <v>33.299999999999997</v>
      </c>
      <c r="M35">
        <v>13.32</v>
      </c>
      <c r="N35" s="4">
        <f t="shared" si="0"/>
        <v>8.7047864999999988E-2</v>
      </c>
      <c r="O35" s="4">
        <f t="shared" si="1"/>
        <v>1.1594775617999999</v>
      </c>
      <c r="P35" t="s">
        <v>44</v>
      </c>
      <c r="Q35">
        <v>4</v>
      </c>
      <c r="R35">
        <v>2.2999999999999998</v>
      </c>
      <c r="S35">
        <v>3.3</v>
      </c>
      <c r="T35">
        <v>2</v>
      </c>
      <c r="U35">
        <v>1</v>
      </c>
      <c r="V35" t="s">
        <v>25</v>
      </c>
    </row>
    <row r="36" spans="1:22" x14ac:dyDescent="0.25">
      <c r="A36" t="s">
        <v>40</v>
      </c>
      <c r="B36">
        <v>1</v>
      </c>
      <c r="C36" t="s">
        <v>41</v>
      </c>
      <c r="D36" t="s">
        <v>42</v>
      </c>
      <c r="E36" t="s">
        <v>43</v>
      </c>
      <c r="F36">
        <v>200</v>
      </c>
      <c r="G36">
        <v>1400</v>
      </c>
      <c r="H36">
        <v>-2</v>
      </c>
      <c r="I36">
        <v>1980</v>
      </c>
      <c r="J36" t="s">
        <v>36</v>
      </c>
      <c r="K36">
        <v>1523</v>
      </c>
      <c r="L36">
        <v>33.130000000000003</v>
      </c>
      <c r="M36">
        <v>12.33</v>
      </c>
      <c r="N36" s="4">
        <f t="shared" si="0"/>
        <v>8.6161356650000021E-2</v>
      </c>
      <c r="O36" s="4">
        <f t="shared" si="1"/>
        <v>1.0623695274945002</v>
      </c>
      <c r="P36" t="s">
        <v>44</v>
      </c>
      <c r="Q36">
        <v>4</v>
      </c>
      <c r="R36">
        <v>4</v>
      </c>
      <c r="S36">
        <v>3.5</v>
      </c>
      <c r="T36">
        <v>4</v>
      </c>
      <c r="U36">
        <v>2.7</v>
      </c>
      <c r="V36" t="s">
        <v>25</v>
      </c>
    </row>
    <row r="37" spans="1:22" x14ac:dyDescent="0.25">
      <c r="A37" t="s">
        <v>40</v>
      </c>
      <c r="B37">
        <v>1</v>
      </c>
      <c r="C37" t="s">
        <v>41</v>
      </c>
      <c r="D37" t="s">
        <v>42</v>
      </c>
      <c r="E37" t="s">
        <v>43</v>
      </c>
      <c r="F37">
        <v>200</v>
      </c>
      <c r="G37">
        <v>1400</v>
      </c>
      <c r="H37">
        <v>-2</v>
      </c>
      <c r="I37">
        <v>1980</v>
      </c>
      <c r="J37" t="s">
        <v>37</v>
      </c>
      <c r="K37">
        <v>1524</v>
      </c>
      <c r="L37">
        <v>12.79</v>
      </c>
      <c r="M37">
        <v>8.82</v>
      </c>
      <c r="N37" s="4">
        <f t="shared" si="0"/>
        <v>1.2841351849999998E-2</v>
      </c>
      <c r="O37" s="4">
        <f t="shared" si="1"/>
        <v>0.11326072331699999</v>
      </c>
      <c r="P37" t="s">
        <v>44</v>
      </c>
      <c r="Q37">
        <v>2.5</v>
      </c>
      <c r="R37">
        <v>3</v>
      </c>
      <c r="S37">
        <v>3.3</v>
      </c>
      <c r="T37">
        <v>4</v>
      </c>
      <c r="U37">
        <v>4</v>
      </c>
      <c r="V37" t="s">
        <v>30</v>
      </c>
    </row>
    <row r="38" spans="1:22" x14ac:dyDescent="0.25">
      <c r="A38" t="s">
        <v>40</v>
      </c>
      <c r="B38">
        <v>2</v>
      </c>
      <c r="C38" t="s">
        <v>41</v>
      </c>
      <c r="D38" t="s">
        <v>42</v>
      </c>
      <c r="E38" t="s">
        <v>43</v>
      </c>
      <c r="F38">
        <v>200</v>
      </c>
      <c r="G38">
        <v>1400</v>
      </c>
      <c r="H38">
        <v>-2</v>
      </c>
      <c r="I38">
        <v>1980</v>
      </c>
      <c r="J38" t="s">
        <v>24</v>
      </c>
      <c r="K38">
        <v>1520</v>
      </c>
      <c r="L38">
        <v>25.92</v>
      </c>
      <c r="M38">
        <v>12.12</v>
      </c>
      <c r="N38" s="4">
        <f t="shared" si="0"/>
        <v>5.2739942400000017E-2</v>
      </c>
      <c r="O38" s="4">
        <f t="shared" si="1"/>
        <v>0.63920810188800015</v>
      </c>
      <c r="P38" t="s">
        <v>44</v>
      </c>
      <c r="Q38">
        <v>3.3</v>
      </c>
      <c r="R38">
        <v>3</v>
      </c>
      <c r="S38">
        <v>4</v>
      </c>
      <c r="T38">
        <v>3.5</v>
      </c>
      <c r="U38">
        <v>3.5</v>
      </c>
      <c r="V38" t="s">
        <v>25</v>
      </c>
    </row>
    <row r="39" spans="1:22" x14ac:dyDescent="0.25">
      <c r="A39" t="s">
        <v>40</v>
      </c>
      <c r="B39">
        <v>2</v>
      </c>
      <c r="C39" t="s">
        <v>41</v>
      </c>
      <c r="D39" t="s">
        <v>42</v>
      </c>
      <c r="E39" t="s">
        <v>43</v>
      </c>
      <c r="F39">
        <v>200</v>
      </c>
      <c r="G39">
        <v>1400</v>
      </c>
      <c r="H39">
        <v>-2</v>
      </c>
      <c r="I39">
        <v>1980</v>
      </c>
      <c r="J39" t="s">
        <v>26</v>
      </c>
      <c r="K39">
        <v>1487</v>
      </c>
      <c r="L39">
        <v>26.94</v>
      </c>
      <c r="M39">
        <v>9.93</v>
      </c>
      <c r="N39" s="4">
        <f t="shared" si="0"/>
        <v>5.697244260000002E-2</v>
      </c>
      <c r="O39" s="4">
        <f t="shared" si="1"/>
        <v>0.56573635501800024</v>
      </c>
      <c r="P39" t="s">
        <v>44</v>
      </c>
      <c r="Q39">
        <v>3.3</v>
      </c>
      <c r="R39">
        <v>4</v>
      </c>
      <c r="S39">
        <v>3</v>
      </c>
      <c r="T39">
        <v>3.5</v>
      </c>
      <c r="U39">
        <v>3</v>
      </c>
      <c r="V39" t="s">
        <v>25</v>
      </c>
    </row>
    <row r="40" spans="1:22" x14ac:dyDescent="0.25">
      <c r="A40" t="s">
        <v>40</v>
      </c>
      <c r="B40">
        <v>2</v>
      </c>
      <c r="C40" t="s">
        <v>41</v>
      </c>
      <c r="D40" t="s">
        <v>42</v>
      </c>
      <c r="E40" t="s">
        <v>43</v>
      </c>
      <c r="F40">
        <v>200</v>
      </c>
      <c r="G40">
        <v>1400</v>
      </c>
      <c r="H40">
        <v>-2</v>
      </c>
      <c r="I40">
        <v>1980</v>
      </c>
      <c r="J40" t="s">
        <v>45</v>
      </c>
      <c r="K40">
        <v>1362</v>
      </c>
      <c r="L40">
        <v>11.88</v>
      </c>
      <c r="M40">
        <v>8.23</v>
      </c>
      <c r="N40" s="4">
        <f t="shared" si="0"/>
        <v>1.1079050400000002E-2</v>
      </c>
      <c r="O40" s="4">
        <f t="shared" si="1"/>
        <v>9.1180584792000016E-2</v>
      </c>
      <c r="P40" t="s">
        <v>44</v>
      </c>
      <c r="Q40">
        <v>2</v>
      </c>
      <c r="R40">
        <v>4</v>
      </c>
      <c r="S40">
        <v>4</v>
      </c>
      <c r="T40">
        <v>4</v>
      </c>
      <c r="U40">
        <v>4</v>
      </c>
      <c r="V40" t="s">
        <v>30</v>
      </c>
    </row>
    <row r="41" spans="1:22" x14ac:dyDescent="0.25">
      <c r="A41" t="s">
        <v>40</v>
      </c>
      <c r="B41">
        <v>2</v>
      </c>
      <c r="C41" t="s">
        <v>41</v>
      </c>
      <c r="D41" t="s">
        <v>42</v>
      </c>
      <c r="E41" t="s">
        <v>43</v>
      </c>
      <c r="F41">
        <v>200</v>
      </c>
      <c r="G41">
        <v>1400</v>
      </c>
      <c r="H41">
        <v>-2</v>
      </c>
      <c r="I41">
        <v>1980</v>
      </c>
      <c r="J41" t="s">
        <v>32</v>
      </c>
      <c r="K41">
        <v>1596</v>
      </c>
      <c r="L41">
        <v>24.42</v>
      </c>
      <c r="M41">
        <v>10.47</v>
      </c>
      <c r="N41" s="4">
        <f t="shared" si="0"/>
        <v>4.6812407400000013E-2</v>
      </c>
      <c r="O41" s="4">
        <f t="shared" si="1"/>
        <v>0.49012590547800017</v>
      </c>
      <c r="P41" t="s">
        <v>44</v>
      </c>
      <c r="Q41">
        <v>4.5</v>
      </c>
      <c r="R41">
        <v>4</v>
      </c>
      <c r="S41">
        <v>4.3</v>
      </c>
      <c r="T41">
        <v>3.7</v>
      </c>
      <c r="U41">
        <v>3.3</v>
      </c>
      <c r="V41" t="s">
        <v>27</v>
      </c>
    </row>
    <row r="42" spans="1:22" x14ac:dyDescent="0.25">
      <c r="A42" t="s">
        <v>40</v>
      </c>
      <c r="B42">
        <v>2</v>
      </c>
      <c r="C42" t="s">
        <v>41</v>
      </c>
      <c r="D42" t="s">
        <v>42</v>
      </c>
      <c r="E42" t="s">
        <v>43</v>
      </c>
      <c r="F42">
        <v>200</v>
      </c>
      <c r="G42">
        <v>1400</v>
      </c>
      <c r="H42">
        <v>-2</v>
      </c>
      <c r="I42">
        <v>1980</v>
      </c>
      <c r="J42" t="s">
        <v>33</v>
      </c>
      <c r="K42">
        <v>2088</v>
      </c>
      <c r="L42">
        <v>31.74</v>
      </c>
      <c r="M42">
        <v>11.69</v>
      </c>
      <c r="N42" s="4">
        <f t="shared" si="0"/>
        <v>7.9083066599999988E-2</v>
      </c>
      <c r="O42" s="4">
        <f t="shared" si="1"/>
        <v>0.92448104855399982</v>
      </c>
      <c r="P42" t="s">
        <v>44</v>
      </c>
      <c r="Q42">
        <v>4</v>
      </c>
      <c r="R42">
        <v>2.5</v>
      </c>
      <c r="S42">
        <v>3</v>
      </c>
      <c r="T42">
        <v>3</v>
      </c>
      <c r="U42">
        <v>2</v>
      </c>
      <c r="V42" t="s">
        <v>25</v>
      </c>
    </row>
    <row r="43" spans="1:22" x14ac:dyDescent="0.25">
      <c r="A43" t="s">
        <v>40</v>
      </c>
      <c r="B43">
        <v>2</v>
      </c>
      <c r="C43" t="s">
        <v>41</v>
      </c>
      <c r="D43" t="s">
        <v>42</v>
      </c>
      <c r="E43" t="s">
        <v>43</v>
      </c>
      <c r="F43">
        <v>200</v>
      </c>
      <c r="G43">
        <v>1400</v>
      </c>
      <c r="H43">
        <v>-2</v>
      </c>
      <c r="I43">
        <v>1980</v>
      </c>
      <c r="J43" t="s">
        <v>34</v>
      </c>
      <c r="K43">
        <v>1522</v>
      </c>
      <c r="L43">
        <v>39.72</v>
      </c>
      <c r="M43">
        <v>13.82</v>
      </c>
      <c r="N43" s="4">
        <f t="shared" si="0"/>
        <v>0.1238477544</v>
      </c>
      <c r="O43" s="4">
        <f t="shared" si="1"/>
        <v>1.7115759658080001</v>
      </c>
      <c r="P43" t="s">
        <v>44</v>
      </c>
      <c r="Q43">
        <v>5</v>
      </c>
      <c r="R43">
        <v>4</v>
      </c>
      <c r="S43">
        <v>3.3</v>
      </c>
      <c r="T43">
        <v>3</v>
      </c>
      <c r="U43">
        <v>2</v>
      </c>
      <c r="V43" t="s">
        <v>27</v>
      </c>
    </row>
    <row r="44" spans="1:22" x14ac:dyDescent="0.25">
      <c r="A44" t="s">
        <v>40</v>
      </c>
      <c r="B44">
        <v>2</v>
      </c>
      <c r="C44" t="s">
        <v>41</v>
      </c>
      <c r="D44" t="s">
        <v>42</v>
      </c>
      <c r="E44" t="s">
        <v>43</v>
      </c>
      <c r="F44">
        <v>200</v>
      </c>
      <c r="G44">
        <v>1400</v>
      </c>
      <c r="H44">
        <v>-2</v>
      </c>
      <c r="I44">
        <v>1980</v>
      </c>
      <c r="J44" t="s">
        <v>35</v>
      </c>
      <c r="K44">
        <v>1521</v>
      </c>
      <c r="L44">
        <v>31.38</v>
      </c>
      <c r="M44">
        <v>13.32</v>
      </c>
      <c r="N44" s="4">
        <f t="shared" si="0"/>
        <v>7.7299295399999982E-2</v>
      </c>
      <c r="O44" s="4">
        <f t="shared" si="1"/>
        <v>1.0296266147279998</v>
      </c>
      <c r="P44" t="s">
        <v>44</v>
      </c>
      <c r="Q44">
        <v>4.3</v>
      </c>
      <c r="R44">
        <v>2.7</v>
      </c>
      <c r="S44">
        <v>4</v>
      </c>
      <c r="T44">
        <v>3.5</v>
      </c>
      <c r="U44">
        <v>3.3</v>
      </c>
      <c r="V44" t="s">
        <v>27</v>
      </c>
    </row>
    <row r="45" spans="1:22" x14ac:dyDescent="0.25">
      <c r="A45" t="s">
        <v>40</v>
      </c>
      <c r="B45">
        <v>2</v>
      </c>
      <c r="C45" t="s">
        <v>41</v>
      </c>
      <c r="D45" t="s">
        <v>42</v>
      </c>
      <c r="E45" t="s">
        <v>43</v>
      </c>
      <c r="F45">
        <v>200</v>
      </c>
      <c r="G45">
        <v>1400</v>
      </c>
      <c r="H45">
        <v>-2</v>
      </c>
      <c r="I45">
        <v>1980</v>
      </c>
      <c r="J45" t="s">
        <v>36</v>
      </c>
      <c r="K45">
        <v>1523</v>
      </c>
      <c r="L45">
        <v>31.72</v>
      </c>
      <c r="M45">
        <v>9.9600000000000009</v>
      </c>
      <c r="N45" s="4">
        <f t="shared" si="0"/>
        <v>7.8983434399999997E-2</v>
      </c>
      <c r="O45" s="4">
        <f t="shared" si="1"/>
        <v>0.78667500662400003</v>
      </c>
      <c r="P45" t="s">
        <v>44</v>
      </c>
      <c r="Q45">
        <v>4.5</v>
      </c>
      <c r="R45">
        <v>4</v>
      </c>
      <c r="S45">
        <v>3.5</v>
      </c>
      <c r="T45">
        <v>3.5</v>
      </c>
      <c r="U45">
        <v>3</v>
      </c>
      <c r="V45" t="s">
        <v>27</v>
      </c>
    </row>
    <row r="46" spans="1:22" x14ac:dyDescent="0.25">
      <c r="A46" t="s">
        <v>40</v>
      </c>
      <c r="B46">
        <v>2</v>
      </c>
      <c r="C46" t="s">
        <v>41</v>
      </c>
      <c r="D46" t="s">
        <v>42</v>
      </c>
      <c r="E46" t="s">
        <v>43</v>
      </c>
      <c r="F46">
        <v>200</v>
      </c>
      <c r="G46">
        <v>1400</v>
      </c>
      <c r="H46">
        <v>-2</v>
      </c>
      <c r="I46">
        <v>1980</v>
      </c>
      <c r="J46" t="s">
        <v>37</v>
      </c>
      <c r="K46">
        <v>1524</v>
      </c>
      <c r="L46">
        <v>23.36</v>
      </c>
      <c r="M46">
        <v>10.33</v>
      </c>
      <c r="N46" s="4">
        <f t="shared" si="0"/>
        <v>4.28366336E-2</v>
      </c>
      <c r="O46" s="4">
        <f t="shared" si="1"/>
        <v>0.44250242508800003</v>
      </c>
      <c r="P46" t="s">
        <v>44</v>
      </c>
      <c r="Q46">
        <v>3.3</v>
      </c>
      <c r="R46">
        <v>3</v>
      </c>
      <c r="S46">
        <v>3</v>
      </c>
      <c r="T46">
        <v>4</v>
      </c>
      <c r="U46">
        <v>4</v>
      </c>
      <c r="V46" t="s">
        <v>25</v>
      </c>
    </row>
    <row r="47" spans="1:22" x14ac:dyDescent="0.25">
      <c r="A47" t="s">
        <v>40</v>
      </c>
      <c r="B47">
        <v>3</v>
      </c>
      <c r="C47" t="s">
        <v>41</v>
      </c>
      <c r="D47" t="s">
        <v>42</v>
      </c>
      <c r="E47" t="s">
        <v>43</v>
      </c>
      <c r="F47">
        <v>200</v>
      </c>
      <c r="G47">
        <v>1400</v>
      </c>
      <c r="H47">
        <v>-2</v>
      </c>
      <c r="I47">
        <v>1980</v>
      </c>
      <c r="J47" t="s">
        <v>24</v>
      </c>
      <c r="K47">
        <v>1520</v>
      </c>
      <c r="L47">
        <v>13.99</v>
      </c>
      <c r="M47">
        <v>5.59</v>
      </c>
      <c r="N47" s="4">
        <f t="shared" si="0"/>
        <v>1.5364027849999998E-2</v>
      </c>
      <c r="O47" s="4">
        <f t="shared" si="1"/>
        <v>8.5884915681499988E-2</v>
      </c>
      <c r="P47" t="s">
        <v>44</v>
      </c>
      <c r="Q47">
        <v>2</v>
      </c>
      <c r="R47">
        <v>4</v>
      </c>
      <c r="S47">
        <v>3</v>
      </c>
      <c r="T47">
        <v>4</v>
      </c>
      <c r="U47">
        <v>3</v>
      </c>
      <c r="V47" t="s">
        <v>30</v>
      </c>
    </row>
    <row r="48" spans="1:22" x14ac:dyDescent="0.25">
      <c r="A48" t="s">
        <v>40</v>
      </c>
      <c r="B48">
        <v>3</v>
      </c>
      <c r="C48" t="s">
        <v>41</v>
      </c>
      <c r="D48" t="s">
        <v>42</v>
      </c>
      <c r="E48" t="s">
        <v>43</v>
      </c>
      <c r="F48">
        <v>200</v>
      </c>
      <c r="G48">
        <v>1400</v>
      </c>
      <c r="H48">
        <v>-2</v>
      </c>
      <c r="I48">
        <v>1980</v>
      </c>
      <c r="J48" t="s">
        <v>26</v>
      </c>
      <c r="K48">
        <v>1487</v>
      </c>
      <c r="L48">
        <v>3.0720000000000001</v>
      </c>
      <c r="M48">
        <v>9.93</v>
      </c>
      <c r="N48" s="4">
        <f t="shared" si="0"/>
        <v>7.4081894399999999E-4</v>
      </c>
      <c r="O48" s="4">
        <f t="shared" si="1"/>
        <v>7.3563321139199995E-3</v>
      </c>
      <c r="P48" t="s">
        <v>44</v>
      </c>
      <c r="Q48">
        <v>3</v>
      </c>
      <c r="R48">
        <v>4</v>
      </c>
      <c r="S48">
        <v>2</v>
      </c>
      <c r="T48">
        <v>2</v>
      </c>
      <c r="U48">
        <v>1</v>
      </c>
      <c r="V48" t="s">
        <v>25</v>
      </c>
    </row>
    <row r="49" spans="1:22" x14ac:dyDescent="0.25">
      <c r="A49" t="s">
        <v>40</v>
      </c>
      <c r="B49">
        <v>3</v>
      </c>
      <c r="C49" t="s">
        <v>41</v>
      </c>
      <c r="D49" t="s">
        <v>42</v>
      </c>
      <c r="E49" t="s">
        <v>43</v>
      </c>
      <c r="F49">
        <v>200</v>
      </c>
      <c r="G49">
        <v>1400</v>
      </c>
      <c r="H49">
        <v>-2</v>
      </c>
      <c r="I49">
        <v>1980</v>
      </c>
      <c r="J49" t="s">
        <v>45</v>
      </c>
      <c r="K49">
        <v>1362</v>
      </c>
      <c r="L49">
        <v>26.5</v>
      </c>
      <c r="M49">
        <v>10.97</v>
      </c>
      <c r="N49" s="4">
        <f t="shared" si="0"/>
        <v>5.5126625000000012E-2</v>
      </c>
      <c r="O49" s="4">
        <f t="shared" si="1"/>
        <v>0.60473907625000012</v>
      </c>
      <c r="P49" t="s">
        <v>44</v>
      </c>
      <c r="Q49">
        <v>3.5</v>
      </c>
      <c r="R49">
        <v>3.5</v>
      </c>
      <c r="S49">
        <v>3.7</v>
      </c>
      <c r="T49">
        <v>4</v>
      </c>
      <c r="U49">
        <v>3.7</v>
      </c>
      <c r="V49" t="s">
        <v>25</v>
      </c>
    </row>
    <row r="50" spans="1:22" x14ac:dyDescent="0.25">
      <c r="A50" t="s">
        <v>40</v>
      </c>
      <c r="B50">
        <v>3</v>
      </c>
      <c r="C50" t="s">
        <v>41</v>
      </c>
      <c r="D50" t="s">
        <v>42</v>
      </c>
      <c r="E50" t="s">
        <v>43</v>
      </c>
      <c r="F50">
        <v>200</v>
      </c>
      <c r="G50">
        <v>1400</v>
      </c>
      <c r="H50">
        <v>-2</v>
      </c>
      <c r="I50">
        <v>1980</v>
      </c>
      <c r="J50" t="s">
        <v>32</v>
      </c>
      <c r="K50">
        <v>1596</v>
      </c>
      <c r="L50">
        <v>24.42</v>
      </c>
      <c r="M50">
        <v>7.85</v>
      </c>
      <c r="N50" s="4">
        <f t="shared" si="0"/>
        <v>4.6812407400000013E-2</v>
      </c>
      <c r="O50" s="4">
        <f t="shared" si="1"/>
        <v>0.36747739809000007</v>
      </c>
      <c r="P50" t="s">
        <v>44</v>
      </c>
      <c r="Q50">
        <v>3</v>
      </c>
      <c r="R50">
        <v>3.5</v>
      </c>
      <c r="S50">
        <v>3.3</v>
      </c>
      <c r="T50">
        <v>3.3</v>
      </c>
      <c r="U50">
        <v>3.3</v>
      </c>
      <c r="V50" t="s">
        <v>25</v>
      </c>
    </row>
    <row r="51" spans="1:22" x14ac:dyDescent="0.25">
      <c r="A51" t="s">
        <v>40</v>
      </c>
      <c r="B51">
        <v>3</v>
      </c>
      <c r="C51" t="s">
        <v>41</v>
      </c>
      <c r="D51" t="s">
        <v>42</v>
      </c>
      <c r="E51" t="s">
        <v>43</v>
      </c>
      <c r="F51">
        <v>200</v>
      </c>
      <c r="G51">
        <v>1400</v>
      </c>
      <c r="H51">
        <v>-2</v>
      </c>
      <c r="I51">
        <v>1980</v>
      </c>
      <c r="J51" t="s">
        <v>33</v>
      </c>
      <c r="K51">
        <v>2088</v>
      </c>
      <c r="L51">
        <v>32.99</v>
      </c>
      <c r="M51">
        <v>12.53</v>
      </c>
      <c r="N51" s="4">
        <f t="shared" si="0"/>
        <v>8.5434697850000019E-2</v>
      </c>
      <c r="O51" s="4">
        <f t="shared" si="1"/>
        <v>1.0704967640605001</v>
      </c>
      <c r="P51" t="s">
        <v>44</v>
      </c>
      <c r="Q51">
        <v>5</v>
      </c>
      <c r="R51">
        <v>2.5</v>
      </c>
      <c r="S51">
        <v>4</v>
      </c>
      <c r="T51">
        <v>3</v>
      </c>
      <c r="U51">
        <v>2</v>
      </c>
      <c r="V51" t="s">
        <v>25</v>
      </c>
    </row>
    <row r="52" spans="1:22" x14ac:dyDescent="0.25">
      <c r="A52" t="s">
        <v>40</v>
      </c>
      <c r="B52">
        <v>3</v>
      </c>
      <c r="C52" t="s">
        <v>41</v>
      </c>
      <c r="D52" t="s">
        <v>42</v>
      </c>
      <c r="E52" t="s">
        <v>43</v>
      </c>
      <c r="F52">
        <v>200</v>
      </c>
      <c r="G52">
        <v>1400</v>
      </c>
      <c r="H52">
        <v>-2</v>
      </c>
      <c r="I52">
        <v>1980</v>
      </c>
      <c r="J52" t="s">
        <v>34</v>
      </c>
      <c r="K52">
        <v>1522</v>
      </c>
      <c r="L52">
        <v>30.48</v>
      </c>
      <c r="M52">
        <v>12.09</v>
      </c>
      <c r="N52" s="4">
        <f t="shared" si="0"/>
        <v>7.2928886400000004E-2</v>
      </c>
      <c r="O52" s="4">
        <f t="shared" si="1"/>
        <v>0.88171023657600001</v>
      </c>
      <c r="P52" t="s">
        <v>44</v>
      </c>
      <c r="Q52">
        <v>4.5</v>
      </c>
      <c r="R52">
        <v>4</v>
      </c>
      <c r="S52">
        <v>3.5</v>
      </c>
      <c r="T52">
        <v>3.5</v>
      </c>
      <c r="U52">
        <v>2.5</v>
      </c>
      <c r="V52" t="s">
        <v>27</v>
      </c>
    </row>
    <row r="53" spans="1:22" x14ac:dyDescent="0.25">
      <c r="A53" t="s">
        <v>40</v>
      </c>
      <c r="B53">
        <v>3</v>
      </c>
      <c r="C53" t="s">
        <v>41</v>
      </c>
      <c r="D53" t="s">
        <v>42</v>
      </c>
      <c r="E53" t="s">
        <v>43</v>
      </c>
      <c r="F53">
        <v>200</v>
      </c>
      <c r="G53">
        <v>1400</v>
      </c>
      <c r="H53">
        <v>-2</v>
      </c>
      <c r="I53">
        <v>1980</v>
      </c>
      <c r="J53" t="s">
        <v>35</v>
      </c>
      <c r="K53">
        <v>1521</v>
      </c>
      <c r="L53">
        <v>9.99</v>
      </c>
      <c r="M53">
        <v>7.49</v>
      </c>
      <c r="N53" s="4">
        <f t="shared" si="0"/>
        <v>7.8343078500000014E-3</v>
      </c>
      <c r="O53" s="4">
        <f t="shared" si="1"/>
        <v>5.8678965796500011E-2</v>
      </c>
      <c r="P53" t="s">
        <v>44</v>
      </c>
      <c r="Q53">
        <v>2</v>
      </c>
      <c r="R53">
        <v>2</v>
      </c>
      <c r="S53">
        <v>3</v>
      </c>
      <c r="T53">
        <v>4</v>
      </c>
      <c r="U53">
        <v>4</v>
      </c>
      <c r="V53" t="s">
        <v>30</v>
      </c>
    </row>
    <row r="54" spans="1:22" x14ac:dyDescent="0.25">
      <c r="A54" t="s">
        <v>40</v>
      </c>
      <c r="B54">
        <v>3</v>
      </c>
      <c r="C54" t="s">
        <v>41</v>
      </c>
      <c r="D54" t="s">
        <v>42</v>
      </c>
      <c r="E54" t="s">
        <v>43</v>
      </c>
      <c r="F54">
        <v>200</v>
      </c>
      <c r="G54">
        <v>1400</v>
      </c>
      <c r="H54">
        <v>-2</v>
      </c>
      <c r="I54">
        <v>1980</v>
      </c>
      <c r="J54" t="s">
        <v>36</v>
      </c>
      <c r="K54">
        <v>1523</v>
      </c>
      <c r="L54">
        <v>39.65</v>
      </c>
      <c r="M54">
        <v>10.56</v>
      </c>
      <c r="N54" s="4">
        <f t="shared" si="0"/>
        <v>0.12341161624999998</v>
      </c>
      <c r="O54" s="4">
        <f t="shared" si="1"/>
        <v>1.3032266675999999</v>
      </c>
      <c r="P54" t="s">
        <v>44</v>
      </c>
      <c r="Q54">
        <v>4</v>
      </c>
      <c r="R54">
        <v>4.5</v>
      </c>
      <c r="S54">
        <v>3</v>
      </c>
      <c r="T54">
        <v>3</v>
      </c>
      <c r="U54">
        <v>1</v>
      </c>
      <c r="V54" t="s">
        <v>27</v>
      </c>
    </row>
    <row r="55" spans="1:22" x14ac:dyDescent="0.25">
      <c r="A55" t="s">
        <v>40</v>
      </c>
      <c r="B55">
        <v>3</v>
      </c>
      <c r="C55" t="s">
        <v>41</v>
      </c>
      <c r="D55" t="s">
        <v>42</v>
      </c>
      <c r="E55" t="s">
        <v>43</v>
      </c>
      <c r="F55">
        <v>200</v>
      </c>
      <c r="G55">
        <v>1400</v>
      </c>
      <c r="H55">
        <v>-2</v>
      </c>
      <c r="I55">
        <v>1980</v>
      </c>
      <c r="J55" t="s">
        <v>37</v>
      </c>
      <c r="K55">
        <v>1524</v>
      </c>
      <c r="L55">
        <v>22.72</v>
      </c>
      <c r="M55">
        <v>11.52</v>
      </c>
      <c r="N55" s="4">
        <f t="shared" si="0"/>
        <v>4.0521574399999996E-2</v>
      </c>
      <c r="O55" s="4">
        <f t="shared" si="1"/>
        <v>0.46680853708799996</v>
      </c>
      <c r="P55" t="s">
        <v>44</v>
      </c>
      <c r="Q55">
        <v>3</v>
      </c>
      <c r="R55">
        <v>2.5</v>
      </c>
      <c r="S55">
        <v>3.5</v>
      </c>
      <c r="T55">
        <v>3.5</v>
      </c>
      <c r="U55">
        <v>2.8</v>
      </c>
      <c r="V55" t="s">
        <v>25</v>
      </c>
    </row>
    <row r="56" spans="1:22" x14ac:dyDescent="0.25">
      <c r="A56" t="s">
        <v>46</v>
      </c>
      <c r="B56">
        <v>1</v>
      </c>
      <c r="C56" t="s">
        <v>47</v>
      </c>
      <c r="D56" t="s">
        <v>48</v>
      </c>
      <c r="E56" t="s">
        <v>49</v>
      </c>
      <c r="F56">
        <v>130</v>
      </c>
      <c r="G56">
        <v>1000</v>
      </c>
      <c r="H56">
        <v>-3</v>
      </c>
      <c r="I56">
        <v>1980</v>
      </c>
      <c r="J56" t="s">
        <v>24</v>
      </c>
      <c r="K56">
        <v>1520</v>
      </c>
      <c r="L56">
        <v>10.1</v>
      </c>
      <c r="M56">
        <v>8.1999999999999993</v>
      </c>
      <c r="N56" s="4">
        <f t="shared" si="0"/>
        <v>8.0077849999999982E-3</v>
      </c>
      <c r="O56" s="4">
        <f t="shared" si="1"/>
        <v>6.5663836999999975E-2</v>
      </c>
      <c r="P56">
        <v>60</v>
      </c>
      <c r="Q56">
        <v>3</v>
      </c>
      <c r="R56">
        <v>4</v>
      </c>
      <c r="S56">
        <v>3.5</v>
      </c>
      <c r="T56">
        <v>3.5</v>
      </c>
      <c r="U56">
        <v>3.2</v>
      </c>
      <c r="V56" t="s">
        <v>38</v>
      </c>
    </row>
    <row r="57" spans="1:22" x14ac:dyDescent="0.25">
      <c r="A57" t="s">
        <v>46</v>
      </c>
      <c r="B57">
        <v>1</v>
      </c>
      <c r="C57" t="s">
        <v>47</v>
      </c>
      <c r="D57" t="s">
        <v>48</v>
      </c>
      <c r="E57" t="s">
        <v>49</v>
      </c>
      <c r="F57">
        <v>130</v>
      </c>
      <c r="G57">
        <v>1000</v>
      </c>
      <c r="H57">
        <v>-3</v>
      </c>
      <c r="I57">
        <v>1980</v>
      </c>
      <c r="J57" t="s">
        <v>45</v>
      </c>
      <c r="K57">
        <v>1362</v>
      </c>
      <c r="L57">
        <v>4.7</v>
      </c>
      <c r="M57">
        <v>5.5</v>
      </c>
      <c r="N57" s="4">
        <f t="shared" si="0"/>
        <v>1.7340650000000001E-3</v>
      </c>
      <c r="O57" s="4">
        <f t="shared" si="1"/>
        <v>9.5373575000000013E-3</v>
      </c>
      <c r="P57">
        <v>20</v>
      </c>
      <c r="Q57">
        <v>1</v>
      </c>
      <c r="R57">
        <v>1.5</v>
      </c>
      <c r="S57">
        <v>2</v>
      </c>
      <c r="T57">
        <v>3</v>
      </c>
      <c r="U57">
        <v>3</v>
      </c>
      <c r="V57" t="s">
        <v>50</v>
      </c>
    </row>
    <row r="58" spans="1:22" x14ac:dyDescent="0.25">
      <c r="A58" t="s">
        <v>46</v>
      </c>
      <c r="B58">
        <v>1</v>
      </c>
      <c r="C58" t="s">
        <v>47</v>
      </c>
      <c r="D58" t="s">
        <v>48</v>
      </c>
      <c r="E58" t="s">
        <v>49</v>
      </c>
      <c r="F58">
        <v>130</v>
      </c>
      <c r="G58">
        <v>1000</v>
      </c>
      <c r="H58">
        <v>-3</v>
      </c>
      <c r="I58">
        <v>1980</v>
      </c>
      <c r="J58" t="s">
        <v>32</v>
      </c>
      <c r="K58">
        <v>1596</v>
      </c>
      <c r="L58">
        <v>17</v>
      </c>
      <c r="M58">
        <v>12.6</v>
      </c>
      <c r="N58" s="4">
        <f t="shared" si="0"/>
        <v>2.2686500000000005E-2</v>
      </c>
      <c r="O58" s="4">
        <f t="shared" si="1"/>
        <v>0.28584990000000005</v>
      </c>
      <c r="P58">
        <v>50</v>
      </c>
      <c r="Q58">
        <v>4.3</v>
      </c>
      <c r="R58">
        <v>4</v>
      </c>
      <c r="S58">
        <v>3.2</v>
      </c>
      <c r="T58">
        <v>4</v>
      </c>
      <c r="U58">
        <v>3.5</v>
      </c>
      <c r="V58" t="s">
        <v>25</v>
      </c>
    </row>
    <row r="59" spans="1:22" x14ac:dyDescent="0.25">
      <c r="A59" t="s">
        <v>46</v>
      </c>
      <c r="B59">
        <v>1</v>
      </c>
      <c r="C59" t="s">
        <v>47</v>
      </c>
      <c r="D59" t="s">
        <v>48</v>
      </c>
      <c r="E59" t="s">
        <v>49</v>
      </c>
      <c r="F59">
        <v>130</v>
      </c>
      <c r="G59">
        <v>1000</v>
      </c>
      <c r="H59">
        <v>-3</v>
      </c>
      <c r="I59">
        <v>1980</v>
      </c>
      <c r="J59" t="s">
        <v>33</v>
      </c>
      <c r="K59">
        <v>2088</v>
      </c>
      <c r="L59">
        <v>10.3</v>
      </c>
      <c r="M59">
        <v>9.4</v>
      </c>
      <c r="N59" s="4">
        <f t="shared" si="0"/>
        <v>8.3280650000000025E-3</v>
      </c>
      <c r="O59" s="4">
        <f t="shared" si="1"/>
        <v>7.8283811000000023E-2</v>
      </c>
      <c r="P59">
        <v>80</v>
      </c>
      <c r="Q59">
        <v>3</v>
      </c>
      <c r="R59">
        <v>2.5</v>
      </c>
      <c r="S59">
        <v>3</v>
      </c>
      <c r="T59">
        <v>3</v>
      </c>
      <c r="U59">
        <v>3</v>
      </c>
      <c r="V59" t="s">
        <v>25</v>
      </c>
    </row>
    <row r="60" spans="1:22" x14ac:dyDescent="0.25">
      <c r="A60" t="s">
        <v>46</v>
      </c>
      <c r="B60">
        <v>1</v>
      </c>
      <c r="C60" t="s">
        <v>47</v>
      </c>
      <c r="D60" t="s">
        <v>48</v>
      </c>
      <c r="E60" t="s">
        <v>49</v>
      </c>
      <c r="F60">
        <v>130</v>
      </c>
      <c r="G60">
        <v>1000</v>
      </c>
      <c r="H60">
        <v>-3</v>
      </c>
      <c r="I60">
        <v>1980</v>
      </c>
      <c r="J60" t="s">
        <v>34</v>
      </c>
      <c r="K60">
        <v>1522</v>
      </c>
      <c r="L60">
        <v>21.6</v>
      </c>
      <c r="M60">
        <v>12</v>
      </c>
      <c r="N60" s="4">
        <f t="shared" si="0"/>
        <v>3.6624960000000012E-2</v>
      </c>
      <c r="O60" s="4">
        <f t="shared" si="1"/>
        <v>0.43949952000000014</v>
      </c>
      <c r="P60">
        <v>40</v>
      </c>
      <c r="Q60">
        <v>4</v>
      </c>
      <c r="R60">
        <v>3.7</v>
      </c>
      <c r="S60">
        <v>3.5</v>
      </c>
      <c r="T60">
        <v>3.5</v>
      </c>
      <c r="U60">
        <v>3</v>
      </c>
      <c r="V60" t="s">
        <v>25</v>
      </c>
    </row>
    <row r="61" spans="1:22" x14ac:dyDescent="0.25">
      <c r="A61" t="s">
        <v>46</v>
      </c>
      <c r="B61">
        <v>1</v>
      </c>
      <c r="C61" t="s">
        <v>47</v>
      </c>
      <c r="D61" t="s">
        <v>48</v>
      </c>
      <c r="E61" t="s">
        <v>49</v>
      </c>
      <c r="F61">
        <v>130</v>
      </c>
      <c r="G61">
        <v>1000</v>
      </c>
      <c r="H61">
        <v>-3</v>
      </c>
      <c r="I61">
        <v>1980</v>
      </c>
      <c r="J61" t="s">
        <v>35</v>
      </c>
      <c r="K61">
        <v>1521</v>
      </c>
      <c r="L61">
        <v>11.3</v>
      </c>
      <c r="M61">
        <v>10</v>
      </c>
      <c r="N61" s="4">
        <f t="shared" si="0"/>
        <v>1.0023665000000001E-2</v>
      </c>
      <c r="O61" s="4">
        <f t="shared" si="1"/>
        <v>0.10023665000000001</v>
      </c>
      <c r="P61">
        <v>40</v>
      </c>
      <c r="Q61">
        <v>2.7</v>
      </c>
      <c r="R61">
        <v>2</v>
      </c>
      <c r="S61">
        <v>3.2</v>
      </c>
      <c r="T61">
        <v>4</v>
      </c>
      <c r="U61">
        <v>3</v>
      </c>
      <c r="V61" t="s">
        <v>38</v>
      </c>
    </row>
    <row r="62" spans="1:22" x14ac:dyDescent="0.25">
      <c r="A62" t="s">
        <v>46</v>
      </c>
      <c r="B62">
        <v>1</v>
      </c>
      <c r="C62" t="s">
        <v>47</v>
      </c>
      <c r="D62" t="s">
        <v>48</v>
      </c>
      <c r="E62" t="s">
        <v>49</v>
      </c>
      <c r="F62">
        <v>130</v>
      </c>
      <c r="G62">
        <v>1000</v>
      </c>
      <c r="H62">
        <v>-3</v>
      </c>
      <c r="I62">
        <v>1980</v>
      </c>
      <c r="J62" t="s">
        <v>36</v>
      </c>
      <c r="K62">
        <v>1523</v>
      </c>
      <c r="L62">
        <v>12.7</v>
      </c>
      <c r="M62">
        <v>9.3000000000000007</v>
      </c>
      <c r="N62" s="4">
        <f t="shared" si="0"/>
        <v>1.2661265000000001E-2</v>
      </c>
      <c r="O62" s="4">
        <f t="shared" si="1"/>
        <v>0.11774976450000002</v>
      </c>
      <c r="P62">
        <v>80</v>
      </c>
      <c r="Q62">
        <v>2.9</v>
      </c>
      <c r="R62">
        <v>4</v>
      </c>
      <c r="S62">
        <v>3.2</v>
      </c>
      <c r="T62">
        <v>3.9</v>
      </c>
      <c r="U62">
        <v>3.4</v>
      </c>
      <c r="V62" t="s">
        <v>25</v>
      </c>
    </row>
    <row r="63" spans="1:22" x14ac:dyDescent="0.25">
      <c r="A63" t="s">
        <v>46</v>
      </c>
      <c r="B63">
        <v>1</v>
      </c>
      <c r="C63" t="s">
        <v>47</v>
      </c>
      <c r="D63" t="s">
        <v>48</v>
      </c>
      <c r="E63" t="s">
        <v>49</v>
      </c>
      <c r="F63">
        <v>130</v>
      </c>
      <c r="G63">
        <v>1000</v>
      </c>
      <c r="H63">
        <v>-3</v>
      </c>
      <c r="I63">
        <v>1980</v>
      </c>
      <c r="J63" t="s">
        <v>37</v>
      </c>
      <c r="K63">
        <v>1524</v>
      </c>
      <c r="L63">
        <v>5.4</v>
      </c>
      <c r="M63">
        <v>4.5</v>
      </c>
      <c r="N63" s="4">
        <f t="shared" si="0"/>
        <v>2.2890600000000007E-3</v>
      </c>
      <c r="O63" s="4">
        <f t="shared" si="1"/>
        <v>1.0300770000000004E-2</v>
      </c>
      <c r="P63">
        <v>20</v>
      </c>
      <c r="Q63">
        <v>1</v>
      </c>
      <c r="R63">
        <v>2</v>
      </c>
      <c r="S63">
        <v>3</v>
      </c>
      <c r="T63">
        <v>3</v>
      </c>
      <c r="U63">
        <v>3</v>
      </c>
      <c r="V63" t="s">
        <v>50</v>
      </c>
    </row>
    <row r="64" spans="1:22" x14ac:dyDescent="0.25">
      <c r="A64" t="s">
        <v>46</v>
      </c>
      <c r="B64">
        <v>2</v>
      </c>
      <c r="C64" t="s">
        <v>47</v>
      </c>
      <c r="D64" t="s">
        <v>48</v>
      </c>
      <c r="E64" t="s">
        <v>49</v>
      </c>
      <c r="F64">
        <v>130</v>
      </c>
      <c r="G64">
        <v>1000</v>
      </c>
      <c r="H64">
        <v>-3</v>
      </c>
      <c r="I64">
        <v>1980</v>
      </c>
      <c r="J64" t="s">
        <v>24</v>
      </c>
      <c r="K64">
        <v>1520</v>
      </c>
      <c r="L64">
        <v>6.8</v>
      </c>
      <c r="M64">
        <v>5.5</v>
      </c>
      <c r="N64" s="4">
        <f t="shared" si="0"/>
        <v>3.6298400000000005E-3</v>
      </c>
      <c r="O64" s="4">
        <f t="shared" si="1"/>
        <v>1.9964120000000002E-2</v>
      </c>
      <c r="P64">
        <v>60</v>
      </c>
      <c r="Q64">
        <v>2.5</v>
      </c>
      <c r="R64">
        <v>3.5</v>
      </c>
      <c r="S64">
        <v>3.5</v>
      </c>
      <c r="T64">
        <v>3.5</v>
      </c>
      <c r="U64">
        <v>3</v>
      </c>
      <c r="V64" t="s">
        <v>30</v>
      </c>
    </row>
    <row r="65" spans="1:22" x14ac:dyDescent="0.25">
      <c r="A65" t="s">
        <v>46</v>
      </c>
      <c r="B65">
        <v>2</v>
      </c>
      <c r="C65" t="s">
        <v>47</v>
      </c>
      <c r="D65" t="s">
        <v>48</v>
      </c>
      <c r="E65" t="s">
        <v>49</v>
      </c>
      <c r="F65">
        <v>130</v>
      </c>
      <c r="G65">
        <v>1000</v>
      </c>
      <c r="H65">
        <v>-3</v>
      </c>
      <c r="I65">
        <v>1980</v>
      </c>
      <c r="J65" t="s">
        <v>26</v>
      </c>
      <c r="K65">
        <v>1487</v>
      </c>
      <c r="L65">
        <v>17.8</v>
      </c>
      <c r="M65">
        <v>10</v>
      </c>
      <c r="N65" s="4">
        <f t="shared" si="0"/>
        <v>2.4871940000000006E-2</v>
      </c>
      <c r="O65" s="4">
        <f t="shared" si="1"/>
        <v>0.24871940000000006</v>
      </c>
      <c r="P65">
        <v>10</v>
      </c>
      <c r="Q65">
        <v>4</v>
      </c>
      <c r="R65">
        <v>4</v>
      </c>
      <c r="S65">
        <v>3.5</v>
      </c>
      <c r="T65">
        <v>4</v>
      </c>
      <c r="U65">
        <v>2</v>
      </c>
      <c r="V65" t="s">
        <v>25</v>
      </c>
    </row>
    <row r="66" spans="1:22" x14ac:dyDescent="0.25">
      <c r="A66" t="s">
        <v>46</v>
      </c>
      <c r="B66">
        <v>2</v>
      </c>
      <c r="C66" t="s">
        <v>47</v>
      </c>
      <c r="D66" t="s">
        <v>48</v>
      </c>
      <c r="E66" t="s">
        <v>49</v>
      </c>
      <c r="F66">
        <v>130</v>
      </c>
      <c r="G66">
        <v>1000</v>
      </c>
      <c r="H66">
        <v>-3</v>
      </c>
      <c r="I66">
        <v>1980</v>
      </c>
      <c r="J66" t="s">
        <v>32</v>
      </c>
      <c r="K66">
        <v>1596</v>
      </c>
      <c r="L66">
        <v>20.399999999999999</v>
      </c>
      <c r="M66">
        <v>10.199999999999999</v>
      </c>
      <c r="N66" s="4">
        <f t="shared" si="0"/>
        <v>3.2668559999999999E-2</v>
      </c>
      <c r="O66" s="4">
        <f t="shared" si="1"/>
        <v>0.33321931199999999</v>
      </c>
      <c r="P66">
        <v>60</v>
      </c>
      <c r="Q66">
        <v>4</v>
      </c>
      <c r="R66">
        <v>4</v>
      </c>
      <c r="S66">
        <v>3</v>
      </c>
      <c r="T66">
        <v>3</v>
      </c>
      <c r="U66">
        <v>2.5</v>
      </c>
      <c r="V66" t="s">
        <v>25</v>
      </c>
    </row>
    <row r="67" spans="1:22" x14ac:dyDescent="0.25">
      <c r="A67" t="s">
        <v>46</v>
      </c>
      <c r="B67">
        <v>2</v>
      </c>
      <c r="C67" t="s">
        <v>47</v>
      </c>
      <c r="D67" t="s">
        <v>48</v>
      </c>
      <c r="E67" t="s">
        <v>49</v>
      </c>
      <c r="F67">
        <v>130</v>
      </c>
      <c r="G67">
        <v>1000</v>
      </c>
      <c r="H67">
        <v>-3</v>
      </c>
      <c r="I67">
        <v>1980</v>
      </c>
      <c r="J67" t="s">
        <v>33</v>
      </c>
      <c r="K67">
        <v>2088</v>
      </c>
      <c r="L67">
        <v>19.100000000000001</v>
      </c>
      <c r="M67">
        <v>9.6999999999999993</v>
      </c>
      <c r="N67" s="4">
        <f t="shared" ref="N67:N130" si="2">3.14/4*((L67/100)^2)</f>
        <v>2.8637585E-2</v>
      </c>
      <c r="O67" s="4">
        <f t="shared" ref="O67:O130" si="3">3.14/4*((L67/100)^2)*M67</f>
        <v>0.27778457449999999</v>
      </c>
      <c r="P67">
        <v>60</v>
      </c>
      <c r="Q67">
        <v>3.7</v>
      </c>
      <c r="R67">
        <v>3</v>
      </c>
      <c r="S67">
        <v>2</v>
      </c>
      <c r="T67">
        <v>2</v>
      </c>
      <c r="U67">
        <v>1.5</v>
      </c>
      <c r="V67" t="s">
        <v>25</v>
      </c>
    </row>
    <row r="68" spans="1:22" x14ac:dyDescent="0.25">
      <c r="A68" t="s">
        <v>46</v>
      </c>
      <c r="B68">
        <v>2</v>
      </c>
      <c r="C68" t="s">
        <v>47</v>
      </c>
      <c r="D68" t="s">
        <v>48</v>
      </c>
      <c r="E68" t="s">
        <v>49</v>
      </c>
      <c r="F68">
        <v>130</v>
      </c>
      <c r="G68">
        <v>1000</v>
      </c>
      <c r="H68">
        <v>-3</v>
      </c>
      <c r="I68">
        <v>1980</v>
      </c>
      <c r="J68" t="s">
        <v>34</v>
      </c>
      <c r="K68">
        <v>1522</v>
      </c>
      <c r="L68">
        <v>15.5</v>
      </c>
      <c r="M68">
        <v>9.8000000000000007</v>
      </c>
      <c r="N68" s="4">
        <f t="shared" si="2"/>
        <v>1.8859625000000001E-2</v>
      </c>
      <c r="O68" s="4">
        <f t="shared" si="3"/>
        <v>0.18482432500000004</v>
      </c>
      <c r="P68">
        <v>40</v>
      </c>
      <c r="Q68">
        <v>4</v>
      </c>
      <c r="R68">
        <v>3.5</v>
      </c>
      <c r="S68">
        <v>3.5</v>
      </c>
      <c r="T68">
        <v>3.5</v>
      </c>
      <c r="U68">
        <v>3</v>
      </c>
      <c r="V68" t="s">
        <v>25</v>
      </c>
    </row>
    <row r="69" spans="1:22" x14ac:dyDescent="0.25">
      <c r="A69" t="s">
        <v>46</v>
      </c>
      <c r="B69">
        <v>2</v>
      </c>
      <c r="C69" t="s">
        <v>47</v>
      </c>
      <c r="D69" t="s">
        <v>48</v>
      </c>
      <c r="E69" t="s">
        <v>49</v>
      </c>
      <c r="F69">
        <v>130</v>
      </c>
      <c r="G69">
        <v>1000</v>
      </c>
      <c r="H69">
        <v>-3</v>
      </c>
      <c r="I69">
        <v>1980</v>
      </c>
      <c r="J69" t="s">
        <v>35</v>
      </c>
      <c r="K69">
        <v>1521</v>
      </c>
      <c r="L69">
        <v>13.5</v>
      </c>
      <c r="M69">
        <v>7.7</v>
      </c>
      <c r="N69" s="4">
        <f t="shared" si="2"/>
        <v>1.4306625000000002E-2</v>
      </c>
      <c r="O69" s="4">
        <f t="shared" si="3"/>
        <v>0.11016101250000002</v>
      </c>
      <c r="P69">
        <v>30</v>
      </c>
      <c r="Q69">
        <v>3</v>
      </c>
      <c r="R69">
        <v>2</v>
      </c>
      <c r="S69">
        <v>3.3</v>
      </c>
      <c r="T69">
        <v>4</v>
      </c>
      <c r="U69">
        <v>3.5</v>
      </c>
      <c r="V69" t="s">
        <v>25</v>
      </c>
    </row>
    <row r="70" spans="1:22" x14ac:dyDescent="0.25">
      <c r="A70" t="s">
        <v>46</v>
      </c>
      <c r="B70">
        <v>2</v>
      </c>
      <c r="C70" t="s">
        <v>47</v>
      </c>
      <c r="D70" t="s">
        <v>48</v>
      </c>
      <c r="E70" t="s">
        <v>49</v>
      </c>
      <c r="F70">
        <v>130</v>
      </c>
      <c r="G70">
        <v>1000</v>
      </c>
      <c r="H70">
        <v>-3</v>
      </c>
      <c r="I70">
        <v>1980</v>
      </c>
      <c r="J70" t="s">
        <v>36</v>
      </c>
      <c r="K70">
        <v>1523</v>
      </c>
      <c r="L70">
        <v>20.8</v>
      </c>
      <c r="M70">
        <v>12</v>
      </c>
      <c r="N70" s="4">
        <f t="shared" si="2"/>
        <v>3.3962240000000012E-2</v>
      </c>
      <c r="O70" s="4">
        <f t="shared" si="3"/>
        <v>0.40754688000000017</v>
      </c>
      <c r="P70">
        <v>20</v>
      </c>
      <c r="Q70">
        <v>3</v>
      </c>
      <c r="R70">
        <v>4</v>
      </c>
      <c r="S70">
        <v>3</v>
      </c>
      <c r="T70">
        <v>3.5</v>
      </c>
      <c r="U70">
        <v>3</v>
      </c>
      <c r="V70" t="s">
        <v>38</v>
      </c>
    </row>
    <row r="71" spans="1:22" x14ac:dyDescent="0.25">
      <c r="A71" t="s">
        <v>46</v>
      </c>
      <c r="B71">
        <v>2</v>
      </c>
      <c r="C71" t="s">
        <v>47</v>
      </c>
      <c r="D71" t="s">
        <v>48</v>
      </c>
      <c r="E71" t="s">
        <v>49</v>
      </c>
      <c r="F71">
        <v>130</v>
      </c>
      <c r="G71">
        <v>1000</v>
      </c>
      <c r="H71">
        <v>-3</v>
      </c>
      <c r="I71">
        <v>1980</v>
      </c>
      <c r="J71" t="s">
        <v>37</v>
      </c>
      <c r="K71">
        <v>1524</v>
      </c>
      <c r="L71">
        <v>11.5</v>
      </c>
      <c r="M71">
        <v>5.8</v>
      </c>
      <c r="N71" s="4">
        <f t="shared" si="2"/>
        <v>1.0381625E-2</v>
      </c>
      <c r="O71" s="4">
        <f t="shared" si="3"/>
        <v>6.0213425000000001E-2</v>
      </c>
      <c r="P71">
        <v>40</v>
      </c>
      <c r="Q71">
        <v>1.5</v>
      </c>
      <c r="R71">
        <v>2</v>
      </c>
      <c r="S71">
        <v>2.5</v>
      </c>
      <c r="T71">
        <v>3.5</v>
      </c>
      <c r="U71">
        <v>2.5</v>
      </c>
      <c r="V71" t="s">
        <v>50</v>
      </c>
    </row>
    <row r="72" spans="1:22" x14ac:dyDescent="0.25">
      <c r="A72" t="s">
        <v>46</v>
      </c>
      <c r="B72">
        <v>3</v>
      </c>
      <c r="C72" t="s">
        <v>47</v>
      </c>
      <c r="D72" t="s">
        <v>48</v>
      </c>
      <c r="E72" t="s">
        <v>49</v>
      </c>
      <c r="F72">
        <v>130</v>
      </c>
      <c r="G72">
        <v>1000</v>
      </c>
      <c r="H72">
        <v>-3</v>
      </c>
      <c r="I72">
        <v>1980</v>
      </c>
      <c r="J72" t="s">
        <v>26</v>
      </c>
      <c r="K72">
        <v>1487</v>
      </c>
      <c r="L72">
        <v>37.6</v>
      </c>
      <c r="M72">
        <v>13</v>
      </c>
      <c r="N72" s="4">
        <f t="shared" si="2"/>
        <v>0.11098016000000001</v>
      </c>
      <c r="O72" s="4">
        <f t="shared" si="3"/>
        <v>1.4427420800000001</v>
      </c>
      <c r="P72">
        <v>10</v>
      </c>
      <c r="Q72">
        <v>5</v>
      </c>
      <c r="R72">
        <v>4</v>
      </c>
      <c r="S72">
        <v>2</v>
      </c>
      <c r="T72">
        <v>2</v>
      </c>
      <c r="U72">
        <v>1</v>
      </c>
      <c r="V72" t="s">
        <v>25</v>
      </c>
    </row>
    <row r="73" spans="1:22" x14ac:dyDescent="0.25">
      <c r="A73" t="s">
        <v>46</v>
      </c>
      <c r="B73">
        <v>3</v>
      </c>
      <c r="C73" t="s">
        <v>47</v>
      </c>
      <c r="D73" t="s">
        <v>48</v>
      </c>
      <c r="E73" t="s">
        <v>49</v>
      </c>
      <c r="F73">
        <v>130</v>
      </c>
      <c r="G73">
        <v>1000</v>
      </c>
      <c r="H73">
        <v>-3</v>
      </c>
      <c r="I73">
        <v>1980</v>
      </c>
      <c r="J73" t="s">
        <v>32</v>
      </c>
      <c r="K73">
        <v>1596</v>
      </c>
      <c r="L73">
        <v>24.5</v>
      </c>
      <c r="M73">
        <v>12</v>
      </c>
      <c r="N73" s="4">
        <f t="shared" si="2"/>
        <v>4.7119624999999998E-2</v>
      </c>
      <c r="O73" s="4">
        <f t="shared" si="3"/>
        <v>0.56543549999999998</v>
      </c>
      <c r="P73">
        <v>20</v>
      </c>
      <c r="Q73">
        <v>4</v>
      </c>
      <c r="R73">
        <v>4</v>
      </c>
      <c r="S73">
        <v>4</v>
      </c>
      <c r="T73">
        <v>4</v>
      </c>
      <c r="U73">
        <v>2</v>
      </c>
      <c r="V73" t="s">
        <v>25</v>
      </c>
    </row>
    <row r="74" spans="1:22" x14ac:dyDescent="0.25">
      <c r="A74" t="s">
        <v>46</v>
      </c>
      <c r="B74">
        <v>3</v>
      </c>
      <c r="C74" t="s">
        <v>47</v>
      </c>
      <c r="D74" t="s">
        <v>48</v>
      </c>
      <c r="E74" t="s">
        <v>49</v>
      </c>
      <c r="F74">
        <v>130</v>
      </c>
      <c r="G74">
        <v>1000</v>
      </c>
      <c r="H74">
        <v>-3</v>
      </c>
      <c r="I74">
        <v>1980</v>
      </c>
      <c r="J74" t="s">
        <v>33</v>
      </c>
      <c r="K74">
        <v>2088</v>
      </c>
      <c r="L74">
        <v>17.600000000000001</v>
      </c>
      <c r="M74">
        <v>9</v>
      </c>
      <c r="N74" s="4">
        <f t="shared" si="2"/>
        <v>2.4316160000000007E-2</v>
      </c>
      <c r="O74" s="4">
        <f t="shared" si="3"/>
        <v>0.21884544000000006</v>
      </c>
      <c r="P74">
        <v>90</v>
      </c>
      <c r="Q74">
        <v>4.5</v>
      </c>
      <c r="R74">
        <v>2.5</v>
      </c>
      <c r="S74">
        <v>3</v>
      </c>
      <c r="T74">
        <v>2</v>
      </c>
      <c r="U74">
        <v>1.5</v>
      </c>
      <c r="V74" t="s">
        <v>25</v>
      </c>
    </row>
    <row r="75" spans="1:22" x14ac:dyDescent="0.25">
      <c r="A75" t="s">
        <v>46</v>
      </c>
      <c r="B75">
        <v>3</v>
      </c>
      <c r="C75" t="s">
        <v>47</v>
      </c>
      <c r="D75" t="s">
        <v>48</v>
      </c>
      <c r="E75" t="s">
        <v>49</v>
      </c>
      <c r="F75">
        <v>130</v>
      </c>
      <c r="G75">
        <v>1000</v>
      </c>
      <c r="H75">
        <v>-3</v>
      </c>
      <c r="I75">
        <v>1980</v>
      </c>
      <c r="J75" t="s">
        <v>35</v>
      </c>
      <c r="K75">
        <v>1521</v>
      </c>
      <c r="L75">
        <v>16.2</v>
      </c>
      <c r="M75">
        <v>10.199999999999999</v>
      </c>
      <c r="N75" s="4">
        <f t="shared" si="2"/>
        <v>2.0601540000000002E-2</v>
      </c>
      <c r="O75" s="4">
        <f t="shared" si="3"/>
        <v>0.210135708</v>
      </c>
      <c r="P75">
        <v>60</v>
      </c>
      <c r="Q75">
        <v>4</v>
      </c>
      <c r="R75">
        <v>2.2999999999999998</v>
      </c>
      <c r="S75">
        <v>3</v>
      </c>
      <c r="T75">
        <v>3.3</v>
      </c>
      <c r="U75">
        <v>3</v>
      </c>
      <c r="V75" t="s">
        <v>27</v>
      </c>
    </row>
    <row r="76" spans="1:22" x14ac:dyDescent="0.25">
      <c r="A76" t="s">
        <v>46</v>
      </c>
      <c r="B76">
        <v>3</v>
      </c>
      <c r="C76" t="s">
        <v>47</v>
      </c>
      <c r="D76" t="s">
        <v>48</v>
      </c>
      <c r="E76" t="s">
        <v>49</v>
      </c>
      <c r="F76">
        <v>130</v>
      </c>
      <c r="G76">
        <v>1000</v>
      </c>
      <c r="H76">
        <v>-3</v>
      </c>
      <c r="I76">
        <v>1980</v>
      </c>
      <c r="J76" t="s">
        <v>36</v>
      </c>
      <c r="K76">
        <v>1523</v>
      </c>
      <c r="L76">
        <v>11.5</v>
      </c>
      <c r="M76">
        <v>9</v>
      </c>
      <c r="N76" s="4">
        <f t="shared" si="2"/>
        <v>1.0381625E-2</v>
      </c>
      <c r="O76" s="4">
        <f t="shared" si="3"/>
        <v>9.3434625000000007E-2</v>
      </c>
      <c r="P76">
        <v>20</v>
      </c>
      <c r="Q76">
        <v>2.7</v>
      </c>
      <c r="R76">
        <v>3.7</v>
      </c>
      <c r="S76">
        <v>4</v>
      </c>
      <c r="T76">
        <v>4</v>
      </c>
      <c r="U76">
        <v>3</v>
      </c>
      <c r="V76" t="s">
        <v>25</v>
      </c>
    </row>
    <row r="77" spans="1:22" x14ac:dyDescent="0.25">
      <c r="A77" t="s">
        <v>46</v>
      </c>
      <c r="B77">
        <v>3</v>
      </c>
      <c r="C77" t="s">
        <v>47</v>
      </c>
      <c r="D77" t="s">
        <v>48</v>
      </c>
      <c r="E77" t="s">
        <v>49</v>
      </c>
      <c r="F77">
        <v>130</v>
      </c>
      <c r="G77">
        <v>1000</v>
      </c>
      <c r="H77">
        <v>-3</v>
      </c>
      <c r="I77">
        <v>1980</v>
      </c>
      <c r="J77" t="s">
        <v>37</v>
      </c>
      <c r="K77">
        <v>1524</v>
      </c>
      <c r="L77">
        <v>7.6</v>
      </c>
      <c r="M77">
        <v>5.5</v>
      </c>
      <c r="N77" s="4">
        <f t="shared" si="2"/>
        <v>4.5341599999999998E-3</v>
      </c>
      <c r="O77" s="4">
        <f t="shared" si="3"/>
        <v>2.4937879999999999E-2</v>
      </c>
      <c r="P77">
        <v>20</v>
      </c>
      <c r="Q77">
        <v>1</v>
      </c>
      <c r="R77">
        <v>2</v>
      </c>
      <c r="S77">
        <v>2</v>
      </c>
      <c r="T77">
        <v>3</v>
      </c>
      <c r="U77">
        <v>3</v>
      </c>
      <c r="V77" t="s">
        <v>50</v>
      </c>
    </row>
    <row r="78" spans="1:22" x14ac:dyDescent="0.25">
      <c r="A78" t="s">
        <v>51</v>
      </c>
      <c r="B78">
        <v>1</v>
      </c>
      <c r="C78" t="s">
        <v>52</v>
      </c>
      <c r="D78" t="s">
        <v>53</v>
      </c>
      <c r="E78" t="s">
        <v>54</v>
      </c>
      <c r="F78">
        <v>70</v>
      </c>
      <c r="G78">
        <v>1000</v>
      </c>
      <c r="H78">
        <v>-2</v>
      </c>
      <c r="I78">
        <v>1981</v>
      </c>
      <c r="J78" t="s">
        <v>55</v>
      </c>
      <c r="K78">
        <v>1094</v>
      </c>
      <c r="L78">
        <v>3.4</v>
      </c>
      <c r="M78">
        <v>5.5</v>
      </c>
      <c r="N78" s="4">
        <f t="shared" si="2"/>
        <v>9.0746000000000012E-4</v>
      </c>
      <c r="O78" s="4">
        <f t="shared" si="3"/>
        <v>4.9910300000000005E-3</v>
      </c>
      <c r="P78">
        <v>50</v>
      </c>
      <c r="Q78">
        <v>1</v>
      </c>
      <c r="R78">
        <v>1</v>
      </c>
      <c r="S78">
        <v>3</v>
      </c>
      <c r="T78">
        <v>3</v>
      </c>
      <c r="U78">
        <v>3</v>
      </c>
      <c r="V78" t="s">
        <v>50</v>
      </c>
    </row>
    <row r="79" spans="1:22" x14ac:dyDescent="0.25">
      <c r="A79" t="s">
        <v>51</v>
      </c>
      <c r="B79">
        <v>1</v>
      </c>
      <c r="C79" t="s">
        <v>52</v>
      </c>
      <c r="D79" t="s">
        <v>53</v>
      </c>
      <c r="E79" t="s">
        <v>54</v>
      </c>
      <c r="F79">
        <v>70</v>
      </c>
      <c r="G79">
        <v>1000</v>
      </c>
      <c r="H79">
        <v>-2</v>
      </c>
      <c r="I79">
        <v>1981</v>
      </c>
      <c r="J79" t="s">
        <v>56</v>
      </c>
      <c r="K79">
        <v>1111</v>
      </c>
      <c r="L79">
        <v>17.600000000000001</v>
      </c>
      <c r="M79">
        <v>12.6</v>
      </c>
      <c r="N79" s="4">
        <f t="shared" si="2"/>
        <v>2.4316160000000007E-2</v>
      </c>
      <c r="O79" s="4">
        <f t="shared" si="3"/>
        <v>0.30638361600000008</v>
      </c>
      <c r="P79">
        <v>71</v>
      </c>
      <c r="Q79">
        <v>3.5</v>
      </c>
      <c r="R79">
        <v>3</v>
      </c>
      <c r="S79">
        <v>3.3</v>
      </c>
      <c r="T79">
        <v>2.5</v>
      </c>
      <c r="U79">
        <v>2</v>
      </c>
      <c r="V79" t="s">
        <v>25</v>
      </c>
    </row>
    <row r="80" spans="1:22" x14ac:dyDescent="0.25">
      <c r="A80" t="s">
        <v>51</v>
      </c>
      <c r="B80">
        <v>1</v>
      </c>
      <c r="C80" t="s">
        <v>52</v>
      </c>
      <c r="D80" t="s">
        <v>53</v>
      </c>
      <c r="E80" t="s">
        <v>54</v>
      </c>
      <c r="F80">
        <v>70</v>
      </c>
      <c r="G80">
        <v>1000</v>
      </c>
      <c r="H80">
        <v>-2</v>
      </c>
      <c r="I80">
        <v>1981</v>
      </c>
      <c r="J80" t="s">
        <v>57</v>
      </c>
      <c r="K80">
        <v>1112</v>
      </c>
      <c r="L80">
        <v>14</v>
      </c>
      <c r="M80">
        <v>10</v>
      </c>
      <c r="N80" s="4">
        <f t="shared" si="2"/>
        <v>1.5386000000000002E-2</v>
      </c>
      <c r="O80" s="4">
        <f t="shared" si="3"/>
        <v>0.15386000000000002</v>
      </c>
      <c r="P80">
        <v>100</v>
      </c>
      <c r="Q80">
        <v>2.5</v>
      </c>
      <c r="R80">
        <v>1.5</v>
      </c>
      <c r="S80">
        <v>3</v>
      </c>
      <c r="T80">
        <v>4</v>
      </c>
      <c r="U80">
        <v>4</v>
      </c>
      <c r="V80" t="s">
        <v>30</v>
      </c>
    </row>
    <row r="81" spans="1:22" x14ac:dyDescent="0.25">
      <c r="A81" t="s">
        <v>51</v>
      </c>
      <c r="B81">
        <v>1</v>
      </c>
      <c r="C81" t="s">
        <v>52</v>
      </c>
      <c r="D81" t="s">
        <v>53</v>
      </c>
      <c r="E81" t="s">
        <v>54</v>
      </c>
      <c r="F81">
        <v>70</v>
      </c>
      <c r="G81">
        <v>1000</v>
      </c>
      <c r="H81">
        <v>-2</v>
      </c>
      <c r="I81">
        <v>1981</v>
      </c>
      <c r="J81" t="s">
        <v>57</v>
      </c>
      <c r="K81">
        <v>1113</v>
      </c>
      <c r="L81">
        <v>8.8000000000000007</v>
      </c>
      <c r="M81">
        <v>11.4</v>
      </c>
      <c r="N81" s="4">
        <f t="shared" si="2"/>
        <v>6.0790400000000017E-3</v>
      </c>
      <c r="O81" s="4">
        <f t="shared" si="3"/>
        <v>6.9301056000000028E-2</v>
      </c>
      <c r="P81">
        <v>100</v>
      </c>
      <c r="Q81">
        <v>2</v>
      </c>
      <c r="R81">
        <v>2</v>
      </c>
      <c r="S81">
        <v>4</v>
      </c>
      <c r="T81">
        <v>4</v>
      </c>
      <c r="U81">
        <v>4</v>
      </c>
      <c r="V81" t="s">
        <v>30</v>
      </c>
    </row>
    <row r="82" spans="1:22" x14ac:dyDescent="0.25">
      <c r="A82" t="s">
        <v>51</v>
      </c>
      <c r="B82">
        <v>1</v>
      </c>
      <c r="C82" t="s">
        <v>52</v>
      </c>
      <c r="D82" t="s">
        <v>53</v>
      </c>
      <c r="E82" t="s">
        <v>54</v>
      </c>
      <c r="F82">
        <v>70</v>
      </c>
      <c r="G82">
        <v>1000</v>
      </c>
      <c r="H82">
        <v>-2</v>
      </c>
      <c r="I82">
        <v>1981</v>
      </c>
      <c r="J82" t="s">
        <v>58</v>
      </c>
      <c r="K82">
        <v>1338</v>
      </c>
      <c r="L82">
        <v>15.8</v>
      </c>
      <c r="M82">
        <v>10</v>
      </c>
      <c r="N82" s="4">
        <f t="shared" si="2"/>
        <v>1.9596740000000001E-2</v>
      </c>
      <c r="O82" s="4">
        <f t="shared" si="3"/>
        <v>0.19596740000000001</v>
      </c>
      <c r="P82">
        <v>38</v>
      </c>
      <c r="Q82">
        <v>3.5</v>
      </c>
      <c r="R82">
        <v>3.5</v>
      </c>
      <c r="S82">
        <v>3.3</v>
      </c>
      <c r="T82">
        <v>3.5</v>
      </c>
      <c r="U82">
        <v>3</v>
      </c>
      <c r="V82" t="s">
        <v>38</v>
      </c>
    </row>
    <row r="83" spans="1:22" x14ac:dyDescent="0.25">
      <c r="A83" t="s">
        <v>51</v>
      </c>
      <c r="B83">
        <v>1</v>
      </c>
      <c r="C83" t="s">
        <v>52</v>
      </c>
      <c r="D83" t="s">
        <v>53</v>
      </c>
      <c r="E83" t="s">
        <v>54</v>
      </c>
      <c r="F83">
        <v>70</v>
      </c>
      <c r="G83">
        <v>1000</v>
      </c>
      <c r="H83">
        <v>-2</v>
      </c>
      <c r="I83">
        <v>1981</v>
      </c>
      <c r="J83" t="s">
        <v>59</v>
      </c>
      <c r="K83">
        <v>1482</v>
      </c>
      <c r="L83">
        <v>15.5</v>
      </c>
      <c r="M83">
        <v>10.5</v>
      </c>
      <c r="N83" s="4">
        <f t="shared" si="2"/>
        <v>1.8859625000000001E-2</v>
      </c>
      <c r="O83" s="4">
        <f t="shared" si="3"/>
        <v>0.19802606250000002</v>
      </c>
      <c r="P83">
        <v>50</v>
      </c>
      <c r="Q83">
        <v>3</v>
      </c>
      <c r="R83">
        <v>3.3</v>
      </c>
      <c r="S83">
        <v>3.3</v>
      </c>
      <c r="T83">
        <v>3</v>
      </c>
      <c r="U83">
        <v>3</v>
      </c>
      <c r="V83" t="s">
        <v>27</v>
      </c>
    </row>
    <row r="84" spans="1:22" x14ac:dyDescent="0.25">
      <c r="A84" t="s">
        <v>51</v>
      </c>
      <c r="B84">
        <v>1</v>
      </c>
      <c r="C84" t="s">
        <v>52</v>
      </c>
      <c r="D84" t="s">
        <v>53</v>
      </c>
      <c r="E84" t="s">
        <v>54</v>
      </c>
      <c r="F84">
        <v>70</v>
      </c>
      <c r="G84">
        <v>1000</v>
      </c>
      <c r="H84">
        <v>-2</v>
      </c>
      <c r="I84">
        <v>1981</v>
      </c>
      <c r="J84" t="s">
        <v>59</v>
      </c>
      <c r="K84">
        <v>1978</v>
      </c>
      <c r="L84">
        <v>14.6</v>
      </c>
      <c r="M84">
        <v>11.1</v>
      </c>
      <c r="N84" s="4">
        <f t="shared" si="2"/>
        <v>1.6733059999999998E-2</v>
      </c>
      <c r="O84" s="4">
        <f t="shared" si="3"/>
        <v>0.18573696599999998</v>
      </c>
      <c r="P84">
        <v>100</v>
      </c>
      <c r="Q84">
        <v>4</v>
      </c>
      <c r="R84">
        <v>3</v>
      </c>
      <c r="S84">
        <v>3.5</v>
      </c>
      <c r="T84">
        <v>3.5</v>
      </c>
      <c r="U84">
        <v>3.3</v>
      </c>
      <c r="V84" t="s">
        <v>25</v>
      </c>
    </row>
    <row r="85" spans="1:22" x14ac:dyDescent="0.25">
      <c r="A85" t="s">
        <v>51</v>
      </c>
      <c r="B85">
        <v>1</v>
      </c>
      <c r="C85" t="s">
        <v>52</v>
      </c>
      <c r="D85" t="s">
        <v>53</v>
      </c>
      <c r="E85" t="s">
        <v>54</v>
      </c>
      <c r="F85">
        <v>70</v>
      </c>
      <c r="G85">
        <v>1000</v>
      </c>
      <c r="H85">
        <v>-2</v>
      </c>
      <c r="I85">
        <v>1981</v>
      </c>
      <c r="J85" t="s">
        <v>26</v>
      </c>
      <c r="K85">
        <v>1339</v>
      </c>
      <c r="L85">
        <v>17.3</v>
      </c>
      <c r="M85">
        <v>13.2</v>
      </c>
      <c r="N85" s="4">
        <f t="shared" si="2"/>
        <v>2.3494265000000004E-2</v>
      </c>
      <c r="O85" s="4">
        <f t="shared" si="3"/>
        <v>0.31012429800000002</v>
      </c>
      <c r="P85">
        <v>71</v>
      </c>
      <c r="Q85">
        <v>3.3</v>
      </c>
      <c r="R85">
        <v>3</v>
      </c>
      <c r="S85">
        <v>3</v>
      </c>
      <c r="T85">
        <v>3</v>
      </c>
      <c r="U85">
        <v>3</v>
      </c>
      <c r="V85" t="s">
        <v>38</v>
      </c>
    </row>
    <row r="86" spans="1:22" x14ac:dyDescent="0.25">
      <c r="A86" t="s">
        <v>51</v>
      </c>
      <c r="B86">
        <v>1</v>
      </c>
      <c r="C86" t="s">
        <v>52</v>
      </c>
      <c r="D86" t="s">
        <v>53</v>
      </c>
      <c r="E86" t="s">
        <v>54</v>
      </c>
      <c r="F86">
        <v>70</v>
      </c>
      <c r="G86">
        <v>1000</v>
      </c>
      <c r="H86">
        <v>-2</v>
      </c>
      <c r="I86">
        <v>1981</v>
      </c>
      <c r="J86" t="s">
        <v>26</v>
      </c>
      <c r="K86">
        <v>1786</v>
      </c>
      <c r="L86">
        <v>13.3</v>
      </c>
      <c r="M86">
        <v>10.8</v>
      </c>
      <c r="N86" s="4">
        <f t="shared" si="2"/>
        <v>1.3885865000000002E-2</v>
      </c>
      <c r="O86" s="4">
        <f t="shared" si="3"/>
        <v>0.14996734200000003</v>
      </c>
      <c r="P86">
        <v>75</v>
      </c>
      <c r="Q86">
        <v>4</v>
      </c>
      <c r="R86">
        <v>3.8</v>
      </c>
      <c r="S86">
        <v>4</v>
      </c>
      <c r="T86">
        <v>4</v>
      </c>
      <c r="U86">
        <v>4</v>
      </c>
      <c r="V86" t="s">
        <v>27</v>
      </c>
    </row>
    <row r="87" spans="1:22" x14ac:dyDescent="0.25">
      <c r="A87" t="s">
        <v>51</v>
      </c>
      <c r="B87">
        <v>1</v>
      </c>
      <c r="C87" t="s">
        <v>52</v>
      </c>
      <c r="D87" t="s">
        <v>53</v>
      </c>
      <c r="E87" t="s">
        <v>54</v>
      </c>
      <c r="F87">
        <v>70</v>
      </c>
      <c r="G87">
        <v>1000</v>
      </c>
      <c r="H87">
        <v>-2</v>
      </c>
      <c r="I87">
        <v>1981</v>
      </c>
      <c r="J87" t="s">
        <v>26</v>
      </c>
      <c r="K87">
        <v>2447</v>
      </c>
      <c r="L87">
        <v>19.8</v>
      </c>
      <c r="M87">
        <v>10.7</v>
      </c>
      <c r="N87" s="4">
        <f t="shared" si="2"/>
        <v>3.0775140000000003E-2</v>
      </c>
      <c r="O87" s="4">
        <f t="shared" si="3"/>
        <v>0.32929399800000003</v>
      </c>
      <c r="P87">
        <v>75</v>
      </c>
      <c r="Q87">
        <v>4.5</v>
      </c>
      <c r="R87">
        <v>3</v>
      </c>
      <c r="S87">
        <v>3</v>
      </c>
      <c r="T87">
        <v>3</v>
      </c>
      <c r="U87">
        <v>2.5</v>
      </c>
      <c r="V87" t="s">
        <v>25</v>
      </c>
    </row>
    <row r="88" spans="1:22" x14ac:dyDescent="0.25">
      <c r="A88" t="s">
        <v>51</v>
      </c>
      <c r="B88">
        <v>1</v>
      </c>
      <c r="C88" t="s">
        <v>52</v>
      </c>
      <c r="D88" t="s">
        <v>53</v>
      </c>
      <c r="E88" t="s">
        <v>54</v>
      </c>
      <c r="F88">
        <v>70</v>
      </c>
      <c r="G88">
        <v>1000</v>
      </c>
      <c r="H88">
        <v>-2</v>
      </c>
      <c r="I88">
        <v>1981</v>
      </c>
      <c r="J88" t="s">
        <v>60</v>
      </c>
      <c r="K88">
        <v>1595</v>
      </c>
      <c r="L88">
        <v>5.2</v>
      </c>
      <c r="M88">
        <v>4.3</v>
      </c>
      <c r="N88" s="4">
        <f t="shared" si="2"/>
        <v>2.1226400000000007E-3</v>
      </c>
      <c r="O88" s="4">
        <f t="shared" si="3"/>
        <v>9.1273520000000035E-3</v>
      </c>
      <c r="P88">
        <v>75</v>
      </c>
      <c r="Q88">
        <v>0.5</v>
      </c>
      <c r="R88">
        <v>0.5</v>
      </c>
      <c r="S88">
        <v>4</v>
      </c>
      <c r="T88">
        <v>4</v>
      </c>
      <c r="U88">
        <v>4</v>
      </c>
      <c r="V88" t="s">
        <v>50</v>
      </c>
    </row>
    <row r="89" spans="1:22" x14ac:dyDescent="0.25">
      <c r="A89" t="s">
        <v>51</v>
      </c>
      <c r="B89">
        <v>1</v>
      </c>
      <c r="C89" t="s">
        <v>52</v>
      </c>
      <c r="D89" t="s">
        <v>53</v>
      </c>
      <c r="E89" t="s">
        <v>54</v>
      </c>
      <c r="F89">
        <v>70</v>
      </c>
      <c r="G89">
        <v>1000</v>
      </c>
      <c r="H89">
        <v>-2</v>
      </c>
      <c r="I89">
        <v>1981</v>
      </c>
      <c r="J89" t="s">
        <v>61</v>
      </c>
      <c r="K89">
        <v>1171</v>
      </c>
      <c r="L89">
        <v>15</v>
      </c>
      <c r="M89">
        <v>11.3</v>
      </c>
      <c r="N89" s="4">
        <f t="shared" si="2"/>
        <v>1.7662500000000001E-2</v>
      </c>
      <c r="O89" s="4">
        <f t="shared" si="3"/>
        <v>0.19958625000000002</v>
      </c>
      <c r="P89">
        <v>88</v>
      </c>
      <c r="Q89">
        <v>2.2999999999999998</v>
      </c>
      <c r="R89">
        <v>1.7</v>
      </c>
      <c r="S89">
        <v>3</v>
      </c>
      <c r="T89">
        <v>3</v>
      </c>
      <c r="U89">
        <v>2</v>
      </c>
      <c r="V89" t="s">
        <v>30</v>
      </c>
    </row>
    <row r="90" spans="1:22" x14ac:dyDescent="0.25">
      <c r="A90" t="s">
        <v>51</v>
      </c>
      <c r="B90">
        <v>1</v>
      </c>
      <c r="C90" t="s">
        <v>52</v>
      </c>
      <c r="D90" t="s">
        <v>53</v>
      </c>
      <c r="E90" t="s">
        <v>54</v>
      </c>
      <c r="F90">
        <v>70</v>
      </c>
      <c r="G90">
        <v>1000</v>
      </c>
      <c r="H90">
        <v>-2</v>
      </c>
      <c r="I90">
        <v>1981</v>
      </c>
      <c r="J90" t="s">
        <v>32</v>
      </c>
      <c r="K90">
        <v>1596</v>
      </c>
      <c r="L90">
        <v>15.3</v>
      </c>
      <c r="M90">
        <v>10.8</v>
      </c>
      <c r="N90" s="4">
        <f t="shared" si="2"/>
        <v>1.8376065E-2</v>
      </c>
      <c r="O90" s="4">
        <f t="shared" si="3"/>
        <v>0.19846150200000001</v>
      </c>
      <c r="P90">
        <v>75</v>
      </c>
      <c r="Q90">
        <v>3</v>
      </c>
      <c r="R90">
        <v>3</v>
      </c>
      <c r="S90">
        <v>3</v>
      </c>
      <c r="T90">
        <v>4</v>
      </c>
      <c r="U90">
        <v>3.5</v>
      </c>
      <c r="V90" t="s">
        <v>27</v>
      </c>
    </row>
    <row r="91" spans="1:22" x14ac:dyDescent="0.25">
      <c r="A91" t="s">
        <v>51</v>
      </c>
      <c r="B91">
        <v>1</v>
      </c>
      <c r="C91" t="s">
        <v>52</v>
      </c>
      <c r="D91" t="s">
        <v>53</v>
      </c>
      <c r="E91" t="s">
        <v>54</v>
      </c>
      <c r="F91">
        <v>70</v>
      </c>
      <c r="G91">
        <v>1000</v>
      </c>
      <c r="H91">
        <v>-2</v>
      </c>
      <c r="I91">
        <v>1981</v>
      </c>
      <c r="J91" t="s">
        <v>34</v>
      </c>
      <c r="K91">
        <v>2459</v>
      </c>
      <c r="L91">
        <v>19</v>
      </c>
      <c r="M91">
        <v>16</v>
      </c>
      <c r="N91" s="4">
        <f t="shared" si="2"/>
        <v>2.8338500000000003E-2</v>
      </c>
      <c r="O91" s="4">
        <f t="shared" si="3"/>
        <v>0.45341600000000004</v>
      </c>
      <c r="P91">
        <v>88</v>
      </c>
      <c r="Q91">
        <v>4.3</v>
      </c>
      <c r="R91">
        <v>3</v>
      </c>
      <c r="S91">
        <v>4.8</v>
      </c>
      <c r="T91">
        <v>4</v>
      </c>
      <c r="U91">
        <v>4</v>
      </c>
      <c r="V91" t="s">
        <v>27</v>
      </c>
    </row>
    <row r="92" spans="1:22" x14ac:dyDescent="0.25">
      <c r="A92" t="s">
        <v>51</v>
      </c>
      <c r="B92">
        <v>1</v>
      </c>
      <c r="C92" t="s">
        <v>52</v>
      </c>
      <c r="D92" t="s">
        <v>53</v>
      </c>
      <c r="E92" t="s">
        <v>54</v>
      </c>
      <c r="F92">
        <v>70</v>
      </c>
      <c r="G92">
        <v>1000</v>
      </c>
      <c r="H92">
        <v>-2</v>
      </c>
      <c r="I92">
        <v>1981</v>
      </c>
      <c r="J92" t="s">
        <v>35</v>
      </c>
      <c r="K92">
        <v>1785</v>
      </c>
      <c r="L92">
        <v>7.2</v>
      </c>
      <c r="M92">
        <v>6</v>
      </c>
      <c r="N92" s="4">
        <f t="shared" si="2"/>
        <v>4.0694400000000014E-3</v>
      </c>
      <c r="O92" s="4">
        <f t="shared" si="3"/>
        <v>2.441664000000001E-2</v>
      </c>
      <c r="P92">
        <v>50</v>
      </c>
      <c r="Q92">
        <v>1.3</v>
      </c>
      <c r="R92">
        <v>1.3</v>
      </c>
      <c r="S92">
        <v>4</v>
      </c>
      <c r="T92">
        <v>4</v>
      </c>
      <c r="U92">
        <v>4</v>
      </c>
      <c r="V92" t="s">
        <v>50</v>
      </c>
    </row>
    <row r="93" spans="1:22" x14ac:dyDescent="0.25">
      <c r="A93" t="s">
        <v>51</v>
      </c>
      <c r="B93">
        <v>1</v>
      </c>
      <c r="C93" t="s">
        <v>52</v>
      </c>
      <c r="D93" t="s">
        <v>53</v>
      </c>
      <c r="E93" t="s">
        <v>54</v>
      </c>
      <c r="F93">
        <v>70</v>
      </c>
      <c r="G93">
        <v>1000</v>
      </c>
      <c r="H93">
        <v>-2</v>
      </c>
      <c r="I93">
        <v>1981</v>
      </c>
      <c r="J93" t="s">
        <v>36</v>
      </c>
      <c r="K93">
        <v>1598</v>
      </c>
      <c r="L93">
        <v>15.9</v>
      </c>
      <c r="M93">
        <v>12.8</v>
      </c>
      <c r="N93" s="4">
        <f t="shared" si="2"/>
        <v>1.9845585000000002E-2</v>
      </c>
      <c r="O93" s="4">
        <f t="shared" si="3"/>
        <v>0.25402348800000002</v>
      </c>
      <c r="P93">
        <v>100</v>
      </c>
      <c r="Q93">
        <v>4</v>
      </c>
      <c r="R93">
        <v>4</v>
      </c>
      <c r="S93">
        <v>3.3</v>
      </c>
      <c r="T93">
        <v>4</v>
      </c>
      <c r="U93">
        <v>3</v>
      </c>
      <c r="V93" t="s">
        <v>27</v>
      </c>
    </row>
    <row r="94" spans="1:22" x14ac:dyDescent="0.25">
      <c r="A94" t="s">
        <v>51</v>
      </c>
      <c r="B94">
        <v>1</v>
      </c>
      <c r="C94" t="s">
        <v>52</v>
      </c>
      <c r="D94" t="s">
        <v>53</v>
      </c>
      <c r="E94" t="s">
        <v>54</v>
      </c>
      <c r="F94">
        <v>70</v>
      </c>
      <c r="G94">
        <v>1000</v>
      </c>
      <c r="H94">
        <v>-2</v>
      </c>
      <c r="I94">
        <v>1981</v>
      </c>
      <c r="J94" t="s">
        <v>62</v>
      </c>
      <c r="K94">
        <v>1787</v>
      </c>
      <c r="L94">
        <v>18.100000000000001</v>
      </c>
      <c r="M94">
        <v>14.8</v>
      </c>
      <c r="N94" s="4">
        <f t="shared" si="2"/>
        <v>2.5717385000000006E-2</v>
      </c>
      <c r="O94" s="4">
        <f t="shared" si="3"/>
        <v>0.3806172980000001</v>
      </c>
      <c r="P94">
        <v>100</v>
      </c>
      <c r="Q94">
        <v>4.5999999999999996</v>
      </c>
      <c r="R94">
        <v>4</v>
      </c>
      <c r="S94">
        <v>4.3</v>
      </c>
      <c r="T94">
        <v>4.3</v>
      </c>
      <c r="U94">
        <v>4</v>
      </c>
      <c r="V94" t="s">
        <v>27</v>
      </c>
    </row>
    <row r="95" spans="1:22" x14ac:dyDescent="0.25">
      <c r="A95" t="s">
        <v>51</v>
      </c>
      <c r="B95">
        <v>1</v>
      </c>
      <c r="C95" t="s">
        <v>52</v>
      </c>
      <c r="D95" t="s">
        <v>53</v>
      </c>
      <c r="E95" t="s">
        <v>54</v>
      </c>
      <c r="F95">
        <v>70</v>
      </c>
      <c r="G95">
        <v>1000</v>
      </c>
      <c r="H95">
        <v>-2</v>
      </c>
      <c r="I95">
        <v>1981</v>
      </c>
      <c r="J95" t="s">
        <v>62</v>
      </c>
      <c r="K95">
        <v>2482</v>
      </c>
      <c r="L95">
        <v>17</v>
      </c>
      <c r="M95">
        <v>14.1</v>
      </c>
      <c r="N95" s="4">
        <f t="shared" si="2"/>
        <v>2.2686500000000005E-2</v>
      </c>
      <c r="O95" s="4">
        <f t="shared" si="3"/>
        <v>0.31987965000000007</v>
      </c>
      <c r="P95">
        <v>88</v>
      </c>
      <c r="Q95">
        <v>4.5</v>
      </c>
      <c r="R95">
        <v>3</v>
      </c>
      <c r="S95">
        <v>3.7</v>
      </c>
      <c r="T95">
        <v>3.7</v>
      </c>
      <c r="U95">
        <v>3.7</v>
      </c>
      <c r="V95" t="s">
        <v>27</v>
      </c>
    </row>
    <row r="96" spans="1:22" x14ac:dyDescent="0.25">
      <c r="A96" t="s">
        <v>51</v>
      </c>
      <c r="B96">
        <v>1</v>
      </c>
      <c r="C96" t="s">
        <v>52</v>
      </c>
      <c r="D96" t="s">
        <v>53</v>
      </c>
      <c r="E96" t="s">
        <v>54</v>
      </c>
      <c r="F96">
        <v>70</v>
      </c>
      <c r="G96">
        <v>1000</v>
      </c>
      <c r="H96">
        <v>-2</v>
      </c>
      <c r="I96">
        <v>1981</v>
      </c>
      <c r="J96" t="s">
        <v>62</v>
      </c>
      <c r="K96">
        <v>2431</v>
      </c>
      <c r="L96">
        <v>26.1</v>
      </c>
      <c r="M96">
        <v>16</v>
      </c>
      <c r="N96" s="4">
        <f t="shared" si="2"/>
        <v>5.3474985000000003E-2</v>
      </c>
      <c r="O96" s="4">
        <f t="shared" si="3"/>
        <v>0.85559976000000004</v>
      </c>
      <c r="P96">
        <v>38</v>
      </c>
      <c r="Q96">
        <v>5</v>
      </c>
      <c r="R96">
        <v>3</v>
      </c>
      <c r="S96">
        <v>4</v>
      </c>
      <c r="T96">
        <v>4</v>
      </c>
      <c r="U96">
        <v>2.7</v>
      </c>
      <c r="V96" t="s">
        <v>27</v>
      </c>
    </row>
    <row r="97" spans="1:22" x14ac:dyDescent="0.25">
      <c r="A97" t="s">
        <v>51</v>
      </c>
      <c r="B97">
        <v>1</v>
      </c>
      <c r="C97" t="s">
        <v>52</v>
      </c>
      <c r="D97" t="s">
        <v>53</v>
      </c>
      <c r="E97" t="s">
        <v>54</v>
      </c>
      <c r="F97">
        <v>70</v>
      </c>
      <c r="G97">
        <v>1000</v>
      </c>
      <c r="H97">
        <v>-2</v>
      </c>
      <c r="I97">
        <v>1981</v>
      </c>
      <c r="J97" t="s">
        <v>37</v>
      </c>
      <c r="K97">
        <v>1524</v>
      </c>
      <c r="L97">
        <v>12.2</v>
      </c>
      <c r="M97">
        <v>13.8</v>
      </c>
      <c r="N97" s="4">
        <f t="shared" si="2"/>
        <v>1.168394E-2</v>
      </c>
      <c r="O97" s="4">
        <f t="shared" si="3"/>
        <v>0.16123837200000002</v>
      </c>
      <c r="P97">
        <v>50</v>
      </c>
      <c r="Q97">
        <v>2</v>
      </c>
      <c r="R97">
        <v>1.5</v>
      </c>
      <c r="S97">
        <v>3</v>
      </c>
      <c r="T97">
        <v>3</v>
      </c>
      <c r="U97">
        <v>3</v>
      </c>
      <c r="V97" t="s">
        <v>30</v>
      </c>
    </row>
    <row r="98" spans="1:22" x14ac:dyDescent="0.25">
      <c r="A98" t="s">
        <v>51</v>
      </c>
      <c r="B98">
        <v>1</v>
      </c>
      <c r="C98" t="s">
        <v>52</v>
      </c>
      <c r="D98" t="s">
        <v>53</v>
      </c>
      <c r="E98" t="s">
        <v>54</v>
      </c>
      <c r="F98">
        <v>70</v>
      </c>
      <c r="G98">
        <v>1000</v>
      </c>
      <c r="H98">
        <v>-2</v>
      </c>
      <c r="I98">
        <v>1981</v>
      </c>
      <c r="J98" t="s">
        <v>63</v>
      </c>
      <c r="K98">
        <v>1340</v>
      </c>
      <c r="L98">
        <v>9.3000000000000007</v>
      </c>
      <c r="M98">
        <v>4.3</v>
      </c>
      <c r="N98" s="4">
        <f t="shared" si="2"/>
        <v>6.7894650000000023E-3</v>
      </c>
      <c r="O98" s="4">
        <f t="shared" si="3"/>
        <v>2.9194699500000008E-2</v>
      </c>
      <c r="P98">
        <v>63</v>
      </c>
      <c r="Q98">
        <v>1</v>
      </c>
      <c r="R98">
        <v>1.2</v>
      </c>
      <c r="S98">
        <v>1</v>
      </c>
      <c r="T98">
        <v>1</v>
      </c>
      <c r="U98">
        <v>1</v>
      </c>
      <c r="V98" t="s">
        <v>50</v>
      </c>
    </row>
    <row r="99" spans="1:22" x14ac:dyDescent="0.25">
      <c r="A99" t="s">
        <v>51</v>
      </c>
      <c r="B99">
        <v>1</v>
      </c>
      <c r="C99" t="s">
        <v>52</v>
      </c>
      <c r="D99" t="s">
        <v>53</v>
      </c>
      <c r="E99" t="s">
        <v>54</v>
      </c>
      <c r="F99">
        <v>70</v>
      </c>
      <c r="G99">
        <v>1000</v>
      </c>
      <c r="H99">
        <v>-2</v>
      </c>
      <c r="I99">
        <v>1981</v>
      </c>
      <c r="J99" t="s">
        <v>62</v>
      </c>
      <c r="K99">
        <v>2428</v>
      </c>
      <c r="L99">
        <v>22.6</v>
      </c>
      <c r="M99">
        <v>13.4</v>
      </c>
      <c r="N99" s="4">
        <f t="shared" si="2"/>
        <v>4.0094660000000004E-2</v>
      </c>
      <c r="O99" s="4">
        <f t="shared" si="3"/>
        <v>0.53726844400000007</v>
      </c>
      <c r="P99">
        <v>100</v>
      </c>
      <c r="Q99">
        <v>5</v>
      </c>
      <c r="R99">
        <v>3</v>
      </c>
      <c r="S99">
        <v>2.2999999999999998</v>
      </c>
      <c r="T99">
        <v>2.7</v>
      </c>
      <c r="U99">
        <v>2</v>
      </c>
      <c r="V99" t="s">
        <v>27</v>
      </c>
    </row>
    <row r="100" spans="1:22" x14ac:dyDescent="0.25">
      <c r="A100" t="s">
        <v>51</v>
      </c>
      <c r="B100">
        <v>2</v>
      </c>
      <c r="C100" t="s">
        <v>52</v>
      </c>
      <c r="D100" t="s">
        <v>53</v>
      </c>
      <c r="E100" t="s">
        <v>54</v>
      </c>
      <c r="F100">
        <v>70</v>
      </c>
      <c r="G100">
        <v>1000</v>
      </c>
      <c r="H100">
        <v>-2</v>
      </c>
      <c r="I100">
        <v>1981</v>
      </c>
      <c r="J100" t="s">
        <v>55</v>
      </c>
      <c r="K100">
        <v>1094</v>
      </c>
      <c r="L100">
        <v>7.8</v>
      </c>
      <c r="M100">
        <v>7.4</v>
      </c>
      <c r="N100" s="4">
        <f t="shared" si="2"/>
        <v>4.7759400000000002E-3</v>
      </c>
      <c r="O100" s="4">
        <f t="shared" si="3"/>
        <v>3.5341956000000001E-2</v>
      </c>
      <c r="P100">
        <v>63</v>
      </c>
      <c r="Q100">
        <v>1</v>
      </c>
      <c r="R100">
        <v>1</v>
      </c>
      <c r="S100">
        <v>3</v>
      </c>
      <c r="T100">
        <v>3</v>
      </c>
      <c r="U100">
        <v>3</v>
      </c>
      <c r="V100" t="s">
        <v>50</v>
      </c>
    </row>
    <row r="101" spans="1:22" x14ac:dyDescent="0.25">
      <c r="A101" t="s">
        <v>51</v>
      </c>
      <c r="B101">
        <v>2</v>
      </c>
      <c r="C101" t="s">
        <v>52</v>
      </c>
      <c r="D101" t="s">
        <v>53</v>
      </c>
      <c r="E101" t="s">
        <v>54</v>
      </c>
      <c r="F101">
        <v>70</v>
      </c>
      <c r="G101">
        <v>1000</v>
      </c>
      <c r="H101">
        <v>-2</v>
      </c>
      <c r="I101">
        <v>1981</v>
      </c>
      <c r="J101" t="s">
        <v>56</v>
      </c>
      <c r="K101">
        <v>1111</v>
      </c>
      <c r="L101">
        <v>16.399999999999999</v>
      </c>
      <c r="M101">
        <v>13.3</v>
      </c>
      <c r="N101" s="4">
        <f t="shared" si="2"/>
        <v>2.1113359999999994E-2</v>
      </c>
      <c r="O101" s="4">
        <f t="shared" si="3"/>
        <v>0.28080768799999994</v>
      </c>
      <c r="P101">
        <v>100</v>
      </c>
      <c r="Q101">
        <v>4.5</v>
      </c>
      <c r="R101">
        <v>3</v>
      </c>
      <c r="S101">
        <v>3.3</v>
      </c>
      <c r="T101">
        <v>3.3</v>
      </c>
      <c r="U101">
        <v>2.7</v>
      </c>
      <c r="V101" t="s">
        <v>25</v>
      </c>
    </row>
    <row r="102" spans="1:22" x14ac:dyDescent="0.25">
      <c r="A102" t="s">
        <v>51</v>
      </c>
      <c r="B102">
        <v>2</v>
      </c>
      <c r="C102" t="s">
        <v>52</v>
      </c>
      <c r="D102" t="s">
        <v>53</v>
      </c>
      <c r="E102" t="s">
        <v>54</v>
      </c>
      <c r="F102">
        <v>70</v>
      </c>
      <c r="G102">
        <v>1000</v>
      </c>
      <c r="H102">
        <v>-2</v>
      </c>
      <c r="I102">
        <v>1981</v>
      </c>
      <c r="J102" t="s">
        <v>57</v>
      </c>
      <c r="K102">
        <v>1112</v>
      </c>
      <c r="L102">
        <v>11.9</v>
      </c>
      <c r="M102">
        <v>9.6999999999999993</v>
      </c>
      <c r="N102" s="4">
        <f t="shared" si="2"/>
        <v>1.1116385000000001E-2</v>
      </c>
      <c r="O102" s="4">
        <f t="shared" si="3"/>
        <v>0.1078289345</v>
      </c>
      <c r="P102">
        <v>100</v>
      </c>
      <c r="Q102">
        <v>2.2999999999999998</v>
      </c>
      <c r="R102">
        <v>1.8</v>
      </c>
      <c r="S102">
        <v>3</v>
      </c>
      <c r="T102">
        <v>3.5</v>
      </c>
      <c r="U102">
        <v>3.2</v>
      </c>
      <c r="V102" t="s">
        <v>30</v>
      </c>
    </row>
    <row r="103" spans="1:22" x14ac:dyDescent="0.25">
      <c r="A103" t="s">
        <v>51</v>
      </c>
      <c r="B103">
        <v>2</v>
      </c>
      <c r="C103" t="s">
        <v>52</v>
      </c>
      <c r="D103" t="s">
        <v>53</v>
      </c>
      <c r="E103" t="s">
        <v>54</v>
      </c>
      <c r="F103">
        <v>70</v>
      </c>
      <c r="G103">
        <v>1000</v>
      </c>
      <c r="H103">
        <v>-2</v>
      </c>
      <c r="I103">
        <v>1981</v>
      </c>
      <c r="J103" t="s">
        <v>57</v>
      </c>
      <c r="K103">
        <v>1113</v>
      </c>
      <c r="L103">
        <v>10.4</v>
      </c>
      <c r="M103">
        <v>9.4</v>
      </c>
      <c r="N103" s="4">
        <f t="shared" si="2"/>
        <v>8.4905600000000029E-3</v>
      </c>
      <c r="O103" s="4">
        <f t="shared" si="3"/>
        <v>7.9811264000000035E-2</v>
      </c>
      <c r="P103">
        <v>88</v>
      </c>
      <c r="Q103">
        <v>2</v>
      </c>
      <c r="R103">
        <v>1.7</v>
      </c>
      <c r="S103">
        <v>4</v>
      </c>
      <c r="T103">
        <v>4</v>
      </c>
      <c r="U103">
        <v>4</v>
      </c>
      <c r="V103" t="s">
        <v>30</v>
      </c>
    </row>
    <row r="104" spans="1:22" x14ac:dyDescent="0.25">
      <c r="A104" t="s">
        <v>51</v>
      </c>
      <c r="B104">
        <v>2</v>
      </c>
      <c r="C104" t="s">
        <v>52</v>
      </c>
      <c r="D104" t="s">
        <v>53</v>
      </c>
      <c r="E104" t="s">
        <v>54</v>
      </c>
      <c r="F104">
        <v>70</v>
      </c>
      <c r="G104">
        <v>1000</v>
      </c>
      <c r="H104">
        <v>-2</v>
      </c>
      <c r="I104">
        <v>1981</v>
      </c>
      <c r="J104" t="s">
        <v>58</v>
      </c>
      <c r="K104">
        <v>1338</v>
      </c>
      <c r="L104">
        <v>13.5</v>
      </c>
      <c r="M104">
        <v>10</v>
      </c>
      <c r="N104" s="4">
        <f t="shared" si="2"/>
        <v>1.4306625000000002E-2</v>
      </c>
      <c r="O104" s="4">
        <f t="shared" si="3"/>
        <v>0.14306625000000001</v>
      </c>
      <c r="P104">
        <v>13</v>
      </c>
      <c r="Q104">
        <v>3</v>
      </c>
      <c r="R104">
        <v>4</v>
      </c>
      <c r="S104">
        <v>3</v>
      </c>
      <c r="T104">
        <v>4</v>
      </c>
      <c r="U104">
        <v>3.3</v>
      </c>
      <c r="V104" t="s">
        <v>30</v>
      </c>
    </row>
    <row r="105" spans="1:22" x14ac:dyDescent="0.25">
      <c r="A105" t="s">
        <v>51</v>
      </c>
      <c r="B105">
        <v>2</v>
      </c>
      <c r="C105" t="s">
        <v>52</v>
      </c>
      <c r="D105" t="s">
        <v>53</v>
      </c>
      <c r="E105" t="s">
        <v>54</v>
      </c>
      <c r="F105">
        <v>70</v>
      </c>
      <c r="G105">
        <v>1000</v>
      </c>
      <c r="H105">
        <v>-2</v>
      </c>
      <c r="I105">
        <v>1981</v>
      </c>
      <c r="J105" t="s">
        <v>59</v>
      </c>
      <c r="K105">
        <v>1482</v>
      </c>
      <c r="L105">
        <v>23</v>
      </c>
      <c r="M105">
        <v>11</v>
      </c>
      <c r="N105" s="4">
        <f t="shared" si="2"/>
        <v>4.1526500000000001E-2</v>
      </c>
      <c r="O105" s="4">
        <f t="shared" si="3"/>
        <v>0.45679150000000002</v>
      </c>
      <c r="P105">
        <v>13</v>
      </c>
      <c r="Q105">
        <v>3</v>
      </c>
      <c r="R105">
        <v>3.5</v>
      </c>
      <c r="S105">
        <v>2</v>
      </c>
      <c r="T105">
        <v>1</v>
      </c>
      <c r="U105">
        <v>1</v>
      </c>
      <c r="V105" t="s">
        <v>38</v>
      </c>
    </row>
    <row r="106" spans="1:22" x14ac:dyDescent="0.25">
      <c r="A106" t="s">
        <v>51</v>
      </c>
      <c r="B106">
        <v>2</v>
      </c>
      <c r="C106" t="s">
        <v>52</v>
      </c>
      <c r="D106" t="s">
        <v>53</v>
      </c>
      <c r="E106" t="s">
        <v>54</v>
      </c>
      <c r="F106">
        <v>70</v>
      </c>
      <c r="G106">
        <v>1000</v>
      </c>
      <c r="H106">
        <v>-2</v>
      </c>
      <c r="I106">
        <v>1981</v>
      </c>
      <c r="J106" t="s">
        <v>59</v>
      </c>
      <c r="K106">
        <v>1978</v>
      </c>
      <c r="L106">
        <v>23.7</v>
      </c>
      <c r="M106">
        <v>12.6</v>
      </c>
      <c r="N106" s="4">
        <f t="shared" si="2"/>
        <v>4.4092664999999996E-2</v>
      </c>
      <c r="O106" s="4">
        <f t="shared" si="3"/>
        <v>0.55556757899999998</v>
      </c>
      <c r="P106">
        <v>88</v>
      </c>
      <c r="Q106">
        <v>5</v>
      </c>
      <c r="R106">
        <v>3.3</v>
      </c>
      <c r="S106">
        <v>3</v>
      </c>
      <c r="T106">
        <v>2</v>
      </c>
      <c r="U106">
        <v>2</v>
      </c>
      <c r="V106" t="s">
        <v>25</v>
      </c>
    </row>
    <row r="107" spans="1:22" x14ac:dyDescent="0.25">
      <c r="A107" t="s">
        <v>51</v>
      </c>
      <c r="B107">
        <v>2</v>
      </c>
      <c r="C107" t="s">
        <v>52</v>
      </c>
      <c r="D107" t="s">
        <v>53</v>
      </c>
      <c r="E107" t="s">
        <v>54</v>
      </c>
      <c r="F107">
        <v>70</v>
      </c>
      <c r="G107">
        <v>1000</v>
      </c>
      <c r="H107">
        <v>-2</v>
      </c>
      <c r="I107">
        <v>1981</v>
      </c>
      <c r="J107" t="s">
        <v>26</v>
      </c>
      <c r="K107">
        <v>1339</v>
      </c>
      <c r="L107">
        <v>33.799999999999997</v>
      </c>
      <c r="M107">
        <v>16</v>
      </c>
      <c r="N107" s="4">
        <f t="shared" si="2"/>
        <v>8.968153999999999E-2</v>
      </c>
      <c r="O107" s="4">
        <f t="shared" si="3"/>
        <v>1.4349046399999998</v>
      </c>
      <c r="P107">
        <v>50</v>
      </c>
      <c r="Q107">
        <v>5</v>
      </c>
      <c r="R107">
        <v>3</v>
      </c>
      <c r="S107">
        <v>2</v>
      </c>
      <c r="T107">
        <v>2</v>
      </c>
      <c r="U107">
        <v>0.5</v>
      </c>
      <c r="V107" t="s">
        <v>25</v>
      </c>
    </row>
    <row r="108" spans="1:22" x14ac:dyDescent="0.25">
      <c r="A108" t="s">
        <v>51</v>
      </c>
      <c r="B108">
        <v>2</v>
      </c>
      <c r="C108" t="s">
        <v>52</v>
      </c>
      <c r="D108" t="s">
        <v>53</v>
      </c>
      <c r="E108" t="s">
        <v>54</v>
      </c>
      <c r="F108">
        <v>70</v>
      </c>
      <c r="G108">
        <v>1000</v>
      </c>
      <c r="H108">
        <v>-2</v>
      </c>
      <c r="I108">
        <v>1981</v>
      </c>
      <c r="J108" t="s">
        <v>26</v>
      </c>
      <c r="K108">
        <v>1786</v>
      </c>
      <c r="L108">
        <v>17</v>
      </c>
      <c r="M108">
        <v>15.3</v>
      </c>
      <c r="N108" s="4">
        <f t="shared" si="2"/>
        <v>2.2686500000000005E-2</v>
      </c>
      <c r="O108" s="4">
        <f t="shared" si="3"/>
        <v>0.34710345000000009</v>
      </c>
      <c r="P108">
        <v>75</v>
      </c>
      <c r="Q108">
        <v>4.7</v>
      </c>
      <c r="R108">
        <v>4</v>
      </c>
      <c r="S108">
        <v>3.5</v>
      </c>
      <c r="T108">
        <v>4</v>
      </c>
      <c r="U108">
        <v>4</v>
      </c>
      <c r="V108" t="s">
        <v>27</v>
      </c>
    </row>
    <row r="109" spans="1:22" x14ac:dyDescent="0.25">
      <c r="A109" t="s">
        <v>51</v>
      </c>
      <c r="B109">
        <v>2</v>
      </c>
      <c r="C109" t="s">
        <v>52</v>
      </c>
      <c r="D109" t="s">
        <v>53</v>
      </c>
      <c r="E109" t="s">
        <v>54</v>
      </c>
      <c r="F109">
        <v>70</v>
      </c>
      <c r="G109">
        <v>1000</v>
      </c>
      <c r="H109">
        <v>-2</v>
      </c>
      <c r="I109">
        <v>1981</v>
      </c>
      <c r="J109" t="s">
        <v>26</v>
      </c>
      <c r="K109">
        <v>2447</v>
      </c>
      <c r="L109">
        <v>20.8</v>
      </c>
      <c r="M109">
        <v>12.6</v>
      </c>
      <c r="N109" s="4">
        <f t="shared" si="2"/>
        <v>3.3962240000000012E-2</v>
      </c>
      <c r="O109" s="4">
        <f t="shared" si="3"/>
        <v>0.42792422400000013</v>
      </c>
      <c r="P109">
        <v>63</v>
      </c>
      <c r="Q109">
        <v>4</v>
      </c>
      <c r="R109">
        <v>3</v>
      </c>
      <c r="S109">
        <v>3.3</v>
      </c>
      <c r="T109">
        <v>3.5</v>
      </c>
      <c r="U109">
        <v>3.5</v>
      </c>
      <c r="V109" t="s">
        <v>25</v>
      </c>
    </row>
    <row r="110" spans="1:22" x14ac:dyDescent="0.25">
      <c r="A110" t="s">
        <v>51</v>
      </c>
      <c r="B110">
        <v>2</v>
      </c>
      <c r="C110" t="s">
        <v>52</v>
      </c>
      <c r="D110" t="s">
        <v>53</v>
      </c>
      <c r="E110" t="s">
        <v>54</v>
      </c>
      <c r="F110">
        <v>70</v>
      </c>
      <c r="G110">
        <v>1000</v>
      </c>
      <c r="H110">
        <v>-2</v>
      </c>
      <c r="I110">
        <v>1981</v>
      </c>
      <c r="J110" t="s">
        <v>60</v>
      </c>
      <c r="K110">
        <v>1595</v>
      </c>
      <c r="L110">
        <v>6.5</v>
      </c>
      <c r="M110">
        <v>4.4000000000000004</v>
      </c>
      <c r="N110" s="4">
        <f t="shared" si="2"/>
        <v>3.3166250000000006E-3</v>
      </c>
      <c r="O110" s="4">
        <f t="shared" si="3"/>
        <v>1.4593150000000004E-2</v>
      </c>
      <c r="P110">
        <v>63</v>
      </c>
      <c r="Q110">
        <v>0.5</v>
      </c>
      <c r="R110">
        <v>0.5</v>
      </c>
      <c r="S110">
        <v>4</v>
      </c>
      <c r="T110">
        <v>4.5</v>
      </c>
      <c r="U110">
        <v>4</v>
      </c>
      <c r="V110" t="s">
        <v>50</v>
      </c>
    </row>
    <row r="111" spans="1:22" x14ac:dyDescent="0.25">
      <c r="A111" t="s">
        <v>51</v>
      </c>
      <c r="B111">
        <v>2</v>
      </c>
      <c r="C111" t="s">
        <v>52</v>
      </c>
      <c r="D111" t="s">
        <v>53</v>
      </c>
      <c r="E111" t="s">
        <v>54</v>
      </c>
      <c r="F111">
        <v>70</v>
      </c>
      <c r="G111">
        <v>1000</v>
      </c>
      <c r="H111">
        <v>-2</v>
      </c>
      <c r="I111">
        <v>1981</v>
      </c>
      <c r="J111" t="s">
        <v>61</v>
      </c>
      <c r="K111">
        <v>1171</v>
      </c>
      <c r="L111">
        <v>10.4</v>
      </c>
      <c r="M111">
        <v>6.4</v>
      </c>
      <c r="N111" s="4">
        <f t="shared" si="2"/>
        <v>8.4905600000000029E-3</v>
      </c>
      <c r="O111" s="4">
        <f t="shared" si="3"/>
        <v>5.4339584000000024E-2</v>
      </c>
      <c r="P111">
        <v>75</v>
      </c>
      <c r="Q111">
        <v>1.7</v>
      </c>
      <c r="R111">
        <v>1.5</v>
      </c>
      <c r="S111">
        <v>0</v>
      </c>
      <c r="T111">
        <v>0</v>
      </c>
      <c r="U111">
        <v>0</v>
      </c>
      <c r="V111" t="s">
        <v>50</v>
      </c>
    </row>
    <row r="112" spans="1:22" x14ac:dyDescent="0.25">
      <c r="A112" t="s">
        <v>51</v>
      </c>
      <c r="B112">
        <v>2</v>
      </c>
      <c r="C112" t="s">
        <v>52</v>
      </c>
      <c r="D112" t="s">
        <v>53</v>
      </c>
      <c r="E112" t="s">
        <v>54</v>
      </c>
      <c r="F112">
        <v>70</v>
      </c>
      <c r="G112">
        <v>1000</v>
      </c>
      <c r="H112">
        <v>-2</v>
      </c>
      <c r="I112">
        <v>1981</v>
      </c>
      <c r="J112" t="s">
        <v>32</v>
      </c>
      <c r="K112">
        <v>1596</v>
      </c>
      <c r="L112">
        <v>12.6</v>
      </c>
      <c r="M112">
        <v>8</v>
      </c>
      <c r="N112" s="4">
        <f t="shared" si="2"/>
        <v>1.2462660000000002E-2</v>
      </c>
      <c r="O112" s="4">
        <f t="shared" si="3"/>
        <v>9.9701280000000017E-2</v>
      </c>
      <c r="P112">
        <v>37</v>
      </c>
      <c r="Q112">
        <v>2.5</v>
      </c>
      <c r="R112">
        <v>3.5</v>
      </c>
      <c r="S112">
        <v>4</v>
      </c>
      <c r="T112">
        <v>4</v>
      </c>
      <c r="U112">
        <v>4</v>
      </c>
      <c r="V112" t="s">
        <v>38</v>
      </c>
    </row>
    <row r="113" spans="1:22" x14ac:dyDescent="0.25">
      <c r="A113" t="s">
        <v>51</v>
      </c>
      <c r="B113">
        <v>2</v>
      </c>
      <c r="C113" t="s">
        <v>52</v>
      </c>
      <c r="D113" t="s">
        <v>53</v>
      </c>
      <c r="E113" t="s">
        <v>54</v>
      </c>
      <c r="F113">
        <v>70</v>
      </c>
      <c r="G113">
        <v>1000</v>
      </c>
      <c r="H113">
        <v>-2</v>
      </c>
      <c r="I113">
        <v>1981</v>
      </c>
      <c r="J113" t="s">
        <v>34</v>
      </c>
      <c r="K113">
        <v>1337</v>
      </c>
      <c r="L113">
        <v>22.2</v>
      </c>
      <c r="M113">
        <v>14.6</v>
      </c>
      <c r="N113" s="4">
        <f t="shared" si="2"/>
        <v>3.8687940000000004E-2</v>
      </c>
      <c r="O113" s="4">
        <f t="shared" si="3"/>
        <v>0.56484392400000005</v>
      </c>
      <c r="P113">
        <v>63</v>
      </c>
      <c r="Q113">
        <v>5</v>
      </c>
      <c r="R113">
        <v>3</v>
      </c>
      <c r="S113">
        <v>4</v>
      </c>
      <c r="T113">
        <v>4</v>
      </c>
      <c r="U113">
        <v>3.2</v>
      </c>
      <c r="V113" t="s">
        <v>27</v>
      </c>
    </row>
    <row r="114" spans="1:22" x14ac:dyDescent="0.25">
      <c r="A114" t="s">
        <v>51</v>
      </c>
      <c r="B114">
        <v>2</v>
      </c>
      <c r="C114" t="s">
        <v>52</v>
      </c>
      <c r="D114" t="s">
        <v>53</v>
      </c>
      <c r="E114" t="s">
        <v>54</v>
      </c>
      <c r="F114">
        <v>70</v>
      </c>
      <c r="G114">
        <v>1000</v>
      </c>
      <c r="H114">
        <v>-2</v>
      </c>
      <c r="I114">
        <v>1981</v>
      </c>
      <c r="J114" t="s">
        <v>34</v>
      </c>
      <c r="K114">
        <v>2459</v>
      </c>
      <c r="L114">
        <v>19.600000000000001</v>
      </c>
      <c r="M114">
        <v>15.4</v>
      </c>
      <c r="N114" s="4">
        <f t="shared" si="2"/>
        <v>3.0156560000000006E-2</v>
      </c>
      <c r="O114" s="4">
        <f t="shared" si="3"/>
        <v>0.46441102400000012</v>
      </c>
      <c r="P114">
        <v>100</v>
      </c>
      <c r="Q114">
        <v>5</v>
      </c>
      <c r="R114">
        <v>3</v>
      </c>
      <c r="S114">
        <v>5</v>
      </c>
      <c r="T114">
        <v>4.3</v>
      </c>
      <c r="U114">
        <v>3</v>
      </c>
      <c r="V114" t="s">
        <v>27</v>
      </c>
    </row>
    <row r="115" spans="1:22" x14ac:dyDescent="0.25">
      <c r="A115" t="s">
        <v>51</v>
      </c>
      <c r="B115">
        <v>2</v>
      </c>
      <c r="C115" t="s">
        <v>52</v>
      </c>
      <c r="D115" t="s">
        <v>53</v>
      </c>
      <c r="E115" t="s">
        <v>54</v>
      </c>
      <c r="F115">
        <v>70</v>
      </c>
      <c r="G115">
        <v>1000</v>
      </c>
      <c r="H115">
        <v>-2</v>
      </c>
      <c r="I115">
        <v>1981</v>
      </c>
      <c r="J115" t="s">
        <v>35</v>
      </c>
      <c r="K115">
        <v>1785</v>
      </c>
      <c r="L115">
        <v>9.8000000000000007</v>
      </c>
      <c r="M115">
        <v>7.5</v>
      </c>
      <c r="N115" s="4">
        <f t="shared" si="2"/>
        <v>7.5391400000000015E-3</v>
      </c>
      <c r="O115" s="4">
        <f t="shared" si="3"/>
        <v>5.6543550000000012E-2</v>
      </c>
      <c r="P115">
        <v>75</v>
      </c>
      <c r="Q115">
        <v>1.7</v>
      </c>
      <c r="R115">
        <v>1.3</v>
      </c>
      <c r="S115">
        <v>3.3</v>
      </c>
      <c r="T115">
        <v>4</v>
      </c>
      <c r="U115">
        <v>3.5</v>
      </c>
      <c r="V115" t="s">
        <v>30</v>
      </c>
    </row>
    <row r="116" spans="1:22" x14ac:dyDescent="0.25">
      <c r="A116" t="s">
        <v>51</v>
      </c>
      <c r="B116">
        <v>2</v>
      </c>
      <c r="C116" t="s">
        <v>52</v>
      </c>
      <c r="D116" t="s">
        <v>53</v>
      </c>
      <c r="E116" t="s">
        <v>54</v>
      </c>
      <c r="F116">
        <v>70</v>
      </c>
      <c r="G116">
        <v>1000</v>
      </c>
      <c r="H116">
        <v>-2</v>
      </c>
      <c r="I116">
        <v>1981</v>
      </c>
      <c r="J116" t="s">
        <v>36</v>
      </c>
      <c r="K116">
        <v>1598</v>
      </c>
      <c r="L116">
        <v>15.2</v>
      </c>
      <c r="M116">
        <v>14.4</v>
      </c>
      <c r="N116" s="4">
        <f t="shared" si="2"/>
        <v>1.8136639999999999E-2</v>
      </c>
      <c r="O116" s="4">
        <f t="shared" si="3"/>
        <v>0.26116761599999999</v>
      </c>
      <c r="P116">
        <v>100</v>
      </c>
      <c r="Q116">
        <v>4.5</v>
      </c>
      <c r="R116">
        <v>4</v>
      </c>
      <c r="S116">
        <v>3</v>
      </c>
      <c r="T116">
        <v>4</v>
      </c>
      <c r="U116">
        <v>3</v>
      </c>
      <c r="V116" t="s">
        <v>25</v>
      </c>
    </row>
    <row r="117" spans="1:22" x14ac:dyDescent="0.25">
      <c r="A117" t="s">
        <v>51</v>
      </c>
      <c r="B117">
        <v>2</v>
      </c>
      <c r="C117" t="s">
        <v>52</v>
      </c>
      <c r="D117" t="s">
        <v>53</v>
      </c>
      <c r="E117" t="s">
        <v>54</v>
      </c>
      <c r="F117">
        <v>70</v>
      </c>
      <c r="G117">
        <v>1000</v>
      </c>
      <c r="H117">
        <v>-2</v>
      </c>
      <c r="I117">
        <v>1981</v>
      </c>
      <c r="J117" t="s">
        <v>62</v>
      </c>
      <c r="K117">
        <v>1787</v>
      </c>
      <c r="L117">
        <v>19.600000000000001</v>
      </c>
      <c r="M117">
        <v>16.600000000000001</v>
      </c>
      <c r="N117" s="4">
        <f t="shared" si="2"/>
        <v>3.0156560000000006E-2</v>
      </c>
      <c r="O117" s="4">
        <f t="shared" si="3"/>
        <v>0.50059889600000018</v>
      </c>
      <c r="P117">
        <v>100</v>
      </c>
      <c r="Q117">
        <v>5</v>
      </c>
      <c r="R117">
        <v>3</v>
      </c>
      <c r="S117">
        <v>4</v>
      </c>
      <c r="T117">
        <v>4</v>
      </c>
      <c r="U117">
        <v>3</v>
      </c>
      <c r="V117" t="s">
        <v>27</v>
      </c>
    </row>
    <row r="118" spans="1:22" x14ac:dyDescent="0.25">
      <c r="A118" t="s">
        <v>51</v>
      </c>
      <c r="B118">
        <v>2</v>
      </c>
      <c r="C118" t="s">
        <v>52</v>
      </c>
      <c r="D118" t="s">
        <v>53</v>
      </c>
      <c r="E118" t="s">
        <v>54</v>
      </c>
      <c r="F118">
        <v>70</v>
      </c>
      <c r="G118">
        <v>1000</v>
      </c>
      <c r="H118">
        <v>-2</v>
      </c>
      <c r="I118">
        <v>1981</v>
      </c>
      <c r="J118" t="s">
        <v>62</v>
      </c>
      <c r="K118">
        <v>2482</v>
      </c>
      <c r="L118">
        <v>17</v>
      </c>
      <c r="M118">
        <v>14.1</v>
      </c>
      <c r="N118" s="4">
        <f t="shared" si="2"/>
        <v>2.2686500000000005E-2</v>
      </c>
      <c r="O118" s="4">
        <f t="shared" si="3"/>
        <v>0.31987965000000007</v>
      </c>
      <c r="P118">
        <v>88</v>
      </c>
      <c r="Q118">
        <v>4.5</v>
      </c>
      <c r="R118">
        <v>3</v>
      </c>
      <c r="S118">
        <v>3.7</v>
      </c>
      <c r="T118">
        <v>3.7</v>
      </c>
      <c r="U118">
        <v>3.7</v>
      </c>
      <c r="V118" t="s">
        <v>27</v>
      </c>
    </row>
    <row r="119" spans="1:22" x14ac:dyDescent="0.25">
      <c r="A119" t="s">
        <v>51</v>
      </c>
      <c r="B119">
        <v>2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62</v>
      </c>
      <c r="K119">
        <v>2431</v>
      </c>
      <c r="L119">
        <v>26</v>
      </c>
      <c r="M119">
        <v>14</v>
      </c>
      <c r="N119" s="4">
        <f t="shared" si="2"/>
        <v>5.3066000000000009E-2</v>
      </c>
      <c r="O119" s="4">
        <f t="shared" si="3"/>
        <v>0.74292400000000014</v>
      </c>
      <c r="P119">
        <v>88</v>
      </c>
      <c r="Q119">
        <v>5</v>
      </c>
      <c r="R119">
        <v>3.5</v>
      </c>
      <c r="S119">
        <v>3.5</v>
      </c>
      <c r="T119">
        <v>4</v>
      </c>
      <c r="U119">
        <v>3.3</v>
      </c>
      <c r="V119" t="s">
        <v>27</v>
      </c>
    </row>
    <row r="120" spans="1:22" x14ac:dyDescent="0.25">
      <c r="A120" t="s">
        <v>51</v>
      </c>
      <c r="B120">
        <v>2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64</v>
      </c>
      <c r="K120">
        <v>1192</v>
      </c>
      <c r="L120">
        <v>8.9</v>
      </c>
      <c r="M120">
        <v>5.2</v>
      </c>
      <c r="N120" s="4">
        <f t="shared" si="2"/>
        <v>6.2179850000000014E-3</v>
      </c>
      <c r="O120" s="4">
        <f t="shared" si="3"/>
        <v>3.233352200000001E-2</v>
      </c>
      <c r="P120">
        <v>63</v>
      </c>
      <c r="Q120">
        <v>2.5</v>
      </c>
      <c r="R120">
        <v>1.8</v>
      </c>
      <c r="S120">
        <v>3</v>
      </c>
      <c r="T120">
        <v>3</v>
      </c>
      <c r="U120">
        <v>3</v>
      </c>
      <c r="V120" t="s">
        <v>50</v>
      </c>
    </row>
    <row r="121" spans="1:22" x14ac:dyDescent="0.25">
      <c r="A121" t="s">
        <v>51</v>
      </c>
      <c r="B121">
        <v>2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37</v>
      </c>
      <c r="K121">
        <v>1524</v>
      </c>
      <c r="L121">
        <v>10.3</v>
      </c>
      <c r="M121">
        <v>7.8</v>
      </c>
      <c r="N121" s="4">
        <f t="shared" si="2"/>
        <v>8.3280650000000025E-3</v>
      </c>
      <c r="O121" s="4">
        <f t="shared" si="3"/>
        <v>6.4958907000000024E-2</v>
      </c>
      <c r="P121">
        <v>100</v>
      </c>
      <c r="Q121">
        <v>2.2999999999999998</v>
      </c>
      <c r="R121">
        <v>2</v>
      </c>
      <c r="S121">
        <v>3</v>
      </c>
      <c r="T121">
        <v>3</v>
      </c>
      <c r="U121">
        <v>3</v>
      </c>
      <c r="V121" t="s">
        <v>30</v>
      </c>
    </row>
    <row r="122" spans="1:22" x14ac:dyDescent="0.25">
      <c r="A122" t="s">
        <v>51</v>
      </c>
      <c r="B122">
        <v>22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39</v>
      </c>
      <c r="K122">
        <v>2435</v>
      </c>
      <c r="L122">
        <v>19.600000000000001</v>
      </c>
      <c r="M122">
        <v>12.3</v>
      </c>
      <c r="N122" s="4">
        <f t="shared" si="2"/>
        <v>3.0156560000000006E-2</v>
      </c>
      <c r="O122" s="4">
        <f t="shared" si="3"/>
        <v>0.37092568800000009</v>
      </c>
      <c r="P122">
        <v>75</v>
      </c>
      <c r="Q122">
        <v>3.3</v>
      </c>
      <c r="R122">
        <v>3</v>
      </c>
      <c r="S122">
        <v>3.3</v>
      </c>
      <c r="T122">
        <v>3.5</v>
      </c>
      <c r="U122">
        <v>3.5</v>
      </c>
      <c r="V122" t="s">
        <v>27</v>
      </c>
    </row>
    <row r="123" spans="1:22" x14ac:dyDescent="0.25">
      <c r="A123" t="s">
        <v>51</v>
      </c>
      <c r="B123">
        <v>2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63</v>
      </c>
      <c r="K123">
        <v>1340</v>
      </c>
      <c r="L123">
        <v>20.100000000000001</v>
      </c>
      <c r="M123">
        <v>6.9</v>
      </c>
      <c r="N123" s="4">
        <f t="shared" si="2"/>
        <v>3.1714785000000009E-2</v>
      </c>
      <c r="O123" s="4">
        <f t="shared" si="3"/>
        <v>0.21883201650000009</v>
      </c>
      <c r="P123">
        <v>88</v>
      </c>
      <c r="Q123">
        <v>3</v>
      </c>
      <c r="R123">
        <v>2.5</v>
      </c>
      <c r="S123">
        <v>1</v>
      </c>
      <c r="T123">
        <v>0.5</v>
      </c>
      <c r="U123">
        <v>0</v>
      </c>
      <c r="V123" t="s">
        <v>30</v>
      </c>
    </row>
    <row r="124" spans="1:22" x14ac:dyDescent="0.25">
      <c r="A124" t="s">
        <v>51</v>
      </c>
      <c r="B124">
        <v>3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55</v>
      </c>
      <c r="K124">
        <v>1094</v>
      </c>
      <c r="L124">
        <v>13.5</v>
      </c>
      <c r="M124">
        <v>4</v>
      </c>
      <c r="N124" s="4">
        <f t="shared" si="2"/>
        <v>1.4306625000000002E-2</v>
      </c>
      <c r="O124" s="4">
        <f t="shared" si="3"/>
        <v>5.7226500000000007E-2</v>
      </c>
      <c r="P124">
        <v>13</v>
      </c>
      <c r="Q124">
        <v>0.5</v>
      </c>
      <c r="R124">
        <v>0</v>
      </c>
      <c r="S124">
        <v>1</v>
      </c>
      <c r="T124">
        <v>1</v>
      </c>
      <c r="U124">
        <v>1</v>
      </c>
      <c r="V124" t="s">
        <v>50</v>
      </c>
    </row>
    <row r="125" spans="1:22" x14ac:dyDescent="0.25">
      <c r="A125" t="s">
        <v>51</v>
      </c>
      <c r="B125">
        <v>3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56</v>
      </c>
      <c r="K125">
        <v>1111</v>
      </c>
      <c r="L125">
        <v>14.2</v>
      </c>
      <c r="M125">
        <v>10.8</v>
      </c>
      <c r="N125" s="4">
        <f t="shared" si="2"/>
        <v>1.5828739999999997E-2</v>
      </c>
      <c r="O125" s="4">
        <f t="shared" si="3"/>
        <v>0.17095039199999998</v>
      </c>
      <c r="P125">
        <v>100</v>
      </c>
      <c r="Q125">
        <v>3</v>
      </c>
      <c r="R125">
        <v>2.8</v>
      </c>
      <c r="S125">
        <v>3.3</v>
      </c>
      <c r="T125">
        <v>3.3</v>
      </c>
      <c r="U125">
        <v>3</v>
      </c>
      <c r="V125" t="s">
        <v>25</v>
      </c>
    </row>
    <row r="126" spans="1:22" x14ac:dyDescent="0.25">
      <c r="A126" t="s">
        <v>51</v>
      </c>
      <c r="B126">
        <v>3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57</v>
      </c>
      <c r="K126">
        <v>1112</v>
      </c>
      <c r="L126">
        <v>13.1</v>
      </c>
      <c r="M126">
        <v>10.6</v>
      </c>
      <c r="N126" s="4">
        <f t="shared" si="2"/>
        <v>1.3471385000000002E-2</v>
      </c>
      <c r="O126" s="4">
        <f t="shared" si="3"/>
        <v>0.14279668100000001</v>
      </c>
      <c r="P126">
        <v>88</v>
      </c>
      <c r="Q126">
        <v>2</v>
      </c>
      <c r="R126">
        <v>2</v>
      </c>
      <c r="S126">
        <v>3</v>
      </c>
      <c r="T126">
        <v>3</v>
      </c>
      <c r="U126">
        <v>3</v>
      </c>
      <c r="V126" t="s">
        <v>50</v>
      </c>
    </row>
    <row r="127" spans="1:22" x14ac:dyDescent="0.25">
      <c r="A127" t="s">
        <v>51</v>
      </c>
      <c r="B127">
        <v>3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57</v>
      </c>
      <c r="K127">
        <v>1113</v>
      </c>
      <c r="L127">
        <v>9.6</v>
      </c>
      <c r="M127">
        <v>7</v>
      </c>
      <c r="N127" s="4">
        <f t="shared" si="2"/>
        <v>7.2345600000000001E-3</v>
      </c>
      <c r="O127" s="4">
        <f t="shared" si="3"/>
        <v>5.064192E-2</v>
      </c>
      <c r="P127">
        <v>100</v>
      </c>
      <c r="Q127">
        <v>2.6</v>
      </c>
      <c r="R127">
        <v>2</v>
      </c>
      <c r="S127">
        <v>3</v>
      </c>
      <c r="T127">
        <v>3</v>
      </c>
      <c r="U127">
        <v>3</v>
      </c>
      <c r="V127" t="s">
        <v>30</v>
      </c>
    </row>
    <row r="128" spans="1:22" x14ac:dyDescent="0.25">
      <c r="A128" t="s">
        <v>51</v>
      </c>
      <c r="B128">
        <v>3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58</v>
      </c>
      <c r="K128">
        <v>1338</v>
      </c>
      <c r="L128">
        <v>18.899999999999999</v>
      </c>
      <c r="M128">
        <v>9</v>
      </c>
      <c r="N128" s="4">
        <f t="shared" si="2"/>
        <v>2.8040984999999994E-2</v>
      </c>
      <c r="O128" s="4">
        <f t="shared" si="3"/>
        <v>0.25236886499999994</v>
      </c>
      <c r="P128">
        <v>13</v>
      </c>
      <c r="Q128">
        <v>2</v>
      </c>
      <c r="R128">
        <v>3.5</v>
      </c>
      <c r="S128">
        <v>3</v>
      </c>
      <c r="T128">
        <v>3.5</v>
      </c>
      <c r="U128">
        <v>3</v>
      </c>
      <c r="V128" t="s">
        <v>50</v>
      </c>
    </row>
    <row r="129" spans="1:22" x14ac:dyDescent="0.25">
      <c r="A129" t="s">
        <v>51</v>
      </c>
      <c r="B129">
        <v>3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59</v>
      </c>
      <c r="K129">
        <v>1482</v>
      </c>
      <c r="L129">
        <v>20</v>
      </c>
      <c r="M129">
        <v>13.2</v>
      </c>
      <c r="N129" s="4">
        <f t="shared" si="2"/>
        <v>3.1400000000000004E-2</v>
      </c>
      <c r="O129" s="4">
        <f t="shared" si="3"/>
        <v>0.41448000000000002</v>
      </c>
      <c r="P129">
        <v>75</v>
      </c>
      <c r="Q129">
        <v>4.5</v>
      </c>
      <c r="R129">
        <v>3</v>
      </c>
      <c r="S129">
        <v>4</v>
      </c>
      <c r="T129">
        <v>4</v>
      </c>
      <c r="U129">
        <v>4</v>
      </c>
      <c r="V129" t="s">
        <v>27</v>
      </c>
    </row>
    <row r="130" spans="1:22" x14ac:dyDescent="0.25">
      <c r="A130" t="s">
        <v>51</v>
      </c>
      <c r="B130">
        <v>3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59</v>
      </c>
      <c r="K130">
        <v>1978</v>
      </c>
      <c r="L130">
        <v>26.6</v>
      </c>
      <c r="M130">
        <v>13.5</v>
      </c>
      <c r="N130" s="4">
        <f t="shared" si="2"/>
        <v>5.554346000000001E-2</v>
      </c>
      <c r="O130" s="4">
        <f t="shared" si="3"/>
        <v>0.74983671000000018</v>
      </c>
      <c r="P130">
        <v>75</v>
      </c>
      <c r="Q130">
        <v>5</v>
      </c>
      <c r="R130">
        <v>3</v>
      </c>
      <c r="S130">
        <v>2.5</v>
      </c>
      <c r="T130">
        <v>2</v>
      </c>
      <c r="U130">
        <v>1</v>
      </c>
      <c r="V130" t="s">
        <v>25</v>
      </c>
    </row>
    <row r="131" spans="1:22" x14ac:dyDescent="0.25">
      <c r="A131" t="s">
        <v>51</v>
      </c>
      <c r="B131">
        <v>3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26</v>
      </c>
      <c r="K131">
        <v>1339</v>
      </c>
      <c r="L131">
        <v>23.9</v>
      </c>
      <c r="M131">
        <v>12.7</v>
      </c>
      <c r="N131" s="4">
        <f t="shared" ref="N131:N194" si="4">3.14/4*((L131/100)^2)</f>
        <v>4.4839984999999999E-2</v>
      </c>
      <c r="O131" s="4">
        <f t="shared" ref="O131:O194" si="5">3.14/4*((L131/100)^2)*M131</f>
        <v>0.56946780949999998</v>
      </c>
      <c r="P131">
        <v>37</v>
      </c>
      <c r="Q131">
        <v>4</v>
      </c>
      <c r="R131">
        <v>3</v>
      </c>
      <c r="S131">
        <v>3</v>
      </c>
      <c r="T131">
        <v>3</v>
      </c>
      <c r="U131">
        <v>3</v>
      </c>
      <c r="V131" t="s">
        <v>25</v>
      </c>
    </row>
    <row r="132" spans="1:22" x14ac:dyDescent="0.25">
      <c r="A132" t="s">
        <v>51</v>
      </c>
      <c r="B132">
        <v>3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26</v>
      </c>
      <c r="K132">
        <v>1786</v>
      </c>
      <c r="L132">
        <v>17.8</v>
      </c>
      <c r="M132">
        <v>12.2</v>
      </c>
      <c r="N132" s="4">
        <f t="shared" si="4"/>
        <v>2.4871940000000006E-2</v>
      </c>
      <c r="O132" s="4">
        <f t="shared" si="5"/>
        <v>0.30343766800000005</v>
      </c>
      <c r="P132">
        <v>63</v>
      </c>
      <c r="Q132">
        <v>4.7</v>
      </c>
      <c r="R132">
        <v>3.1</v>
      </c>
      <c r="S132">
        <v>3</v>
      </c>
      <c r="T132">
        <v>3</v>
      </c>
      <c r="U132">
        <v>3</v>
      </c>
      <c r="V132" t="s">
        <v>25</v>
      </c>
    </row>
    <row r="133" spans="1:22" x14ac:dyDescent="0.25">
      <c r="A133" t="s">
        <v>51</v>
      </c>
      <c r="B133">
        <v>3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26</v>
      </c>
      <c r="K133">
        <v>2447</v>
      </c>
      <c r="L133">
        <v>21.4</v>
      </c>
      <c r="M133">
        <v>12.7</v>
      </c>
      <c r="N133" s="4">
        <f t="shared" si="4"/>
        <v>3.594986E-2</v>
      </c>
      <c r="O133" s="4">
        <f t="shared" si="5"/>
        <v>0.45656322199999999</v>
      </c>
      <c r="P133">
        <v>75</v>
      </c>
      <c r="Q133">
        <v>4.5999999999999996</v>
      </c>
      <c r="R133">
        <v>4</v>
      </c>
      <c r="S133">
        <v>3</v>
      </c>
      <c r="T133">
        <v>3</v>
      </c>
      <c r="U133">
        <v>3</v>
      </c>
      <c r="V133" t="s">
        <v>27</v>
      </c>
    </row>
    <row r="134" spans="1:22" x14ac:dyDescent="0.25">
      <c r="A134" t="s">
        <v>51</v>
      </c>
      <c r="B134">
        <v>3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60</v>
      </c>
      <c r="K134">
        <v>1595</v>
      </c>
      <c r="L134">
        <v>7.8</v>
      </c>
      <c r="M134">
        <v>5.3</v>
      </c>
      <c r="N134" s="4">
        <f t="shared" si="4"/>
        <v>4.7759400000000002E-3</v>
      </c>
      <c r="O134" s="4">
        <f t="shared" si="5"/>
        <v>2.5312482000000001E-2</v>
      </c>
      <c r="P134">
        <v>50</v>
      </c>
      <c r="Q134">
        <v>1</v>
      </c>
      <c r="R134">
        <v>1.5</v>
      </c>
      <c r="S134">
        <v>4</v>
      </c>
      <c r="T134">
        <v>4</v>
      </c>
      <c r="U134">
        <v>4</v>
      </c>
      <c r="V134" t="s">
        <v>50</v>
      </c>
    </row>
    <row r="135" spans="1:22" x14ac:dyDescent="0.25">
      <c r="A135" t="s">
        <v>51</v>
      </c>
      <c r="B135">
        <v>3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61</v>
      </c>
      <c r="K135">
        <v>1171</v>
      </c>
      <c r="L135">
        <v>13.1</v>
      </c>
      <c r="M135">
        <v>10.1</v>
      </c>
      <c r="N135" s="4">
        <f t="shared" si="4"/>
        <v>1.3471385000000002E-2</v>
      </c>
      <c r="O135" s="4">
        <f t="shared" si="5"/>
        <v>0.13606098850000001</v>
      </c>
      <c r="P135">
        <v>100</v>
      </c>
      <c r="Q135">
        <v>2</v>
      </c>
      <c r="R135">
        <v>2</v>
      </c>
      <c r="S135">
        <v>2</v>
      </c>
      <c r="T135">
        <v>2</v>
      </c>
      <c r="U135">
        <v>2</v>
      </c>
      <c r="V135" t="s">
        <v>30</v>
      </c>
    </row>
    <row r="136" spans="1:22" x14ac:dyDescent="0.25">
      <c r="A136" t="s">
        <v>51</v>
      </c>
      <c r="B136">
        <v>3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32</v>
      </c>
      <c r="K136">
        <v>1596</v>
      </c>
      <c r="L136">
        <v>15.1</v>
      </c>
      <c r="M136">
        <v>12.3</v>
      </c>
      <c r="N136" s="4">
        <f t="shared" si="4"/>
        <v>1.7898785E-2</v>
      </c>
      <c r="O136" s="4">
        <f t="shared" si="5"/>
        <v>0.22015505550000003</v>
      </c>
      <c r="P136">
        <v>88</v>
      </c>
      <c r="Q136">
        <v>3.5</v>
      </c>
      <c r="R136">
        <v>3</v>
      </c>
      <c r="S136">
        <v>3.3</v>
      </c>
      <c r="T136">
        <v>4</v>
      </c>
      <c r="U136">
        <v>4</v>
      </c>
      <c r="V136" t="s">
        <v>27</v>
      </c>
    </row>
    <row r="137" spans="1:22" x14ac:dyDescent="0.25">
      <c r="A137" t="s">
        <v>51</v>
      </c>
      <c r="B137">
        <v>3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34</v>
      </c>
      <c r="K137">
        <v>1337</v>
      </c>
      <c r="L137">
        <v>24.5</v>
      </c>
      <c r="M137">
        <v>13.5</v>
      </c>
      <c r="N137" s="4">
        <f t="shared" si="4"/>
        <v>4.7119624999999998E-2</v>
      </c>
      <c r="O137" s="4">
        <f t="shared" si="5"/>
        <v>0.63611493749999992</v>
      </c>
      <c r="P137">
        <v>75</v>
      </c>
      <c r="Q137">
        <v>5</v>
      </c>
      <c r="R137">
        <v>3</v>
      </c>
      <c r="S137">
        <v>4</v>
      </c>
      <c r="T137">
        <v>4</v>
      </c>
      <c r="U137">
        <v>2.5</v>
      </c>
      <c r="V137" t="s">
        <v>27</v>
      </c>
    </row>
    <row r="138" spans="1:22" x14ac:dyDescent="0.25">
      <c r="A138" t="s">
        <v>51</v>
      </c>
      <c r="B138">
        <v>3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34</v>
      </c>
      <c r="K138">
        <v>2459</v>
      </c>
      <c r="L138">
        <v>23.7</v>
      </c>
      <c r="M138">
        <v>13.3</v>
      </c>
      <c r="N138" s="4">
        <f t="shared" si="4"/>
        <v>4.4092664999999996E-2</v>
      </c>
      <c r="O138" s="4">
        <f t="shared" si="5"/>
        <v>0.58643244449999998</v>
      </c>
      <c r="P138">
        <v>88</v>
      </c>
      <c r="Q138">
        <v>5</v>
      </c>
      <c r="R138">
        <v>3</v>
      </c>
      <c r="S138">
        <v>3.5</v>
      </c>
      <c r="T138">
        <v>3.5</v>
      </c>
      <c r="U138">
        <v>2.5</v>
      </c>
      <c r="V138" t="s">
        <v>27</v>
      </c>
    </row>
    <row r="139" spans="1:22" x14ac:dyDescent="0.25">
      <c r="A139" t="s">
        <v>51</v>
      </c>
      <c r="B139">
        <v>3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35</v>
      </c>
      <c r="K139">
        <v>1785</v>
      </c>
      <c r="L139">
        <v>10.5</v>
      </c>
      <c r="M139">
        <v>7.6</v>
      </c>
      <c r="N139" s="4">
        <f t="shared" si="4"/>
        <v>8.6546249999999991E-3</v>
      </c>
      <c r="O139" s="4">
        <f t="shared" si="5"/>
        <v>6.5775149999999991E-2</v>
      </c>
      <c r="P139">
        <v>88</v>
      </c>
      <c r="Q139">
        <v>2.2999999999999998</v>
      </c>
      <c r="R139">
        <v>2</v>
      </c>
      <c r="S139">
        <v>3</v>
      </c>
      <c r="T139">
        <v>3.5</v>
      </c>
      <c r="U139">
        <v>3</v>
      </c>
      <c r="V139" t="s">
        <v>30</v>
      </c>
    </row>
    <row r="140" spans="1:22" x14ac:dyDescent="0.25">
      <c r="A140" t="s">
        <v>51</v>
      </c>
      <c r="B140">
        <v>3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36</v>
      </c>
      <c r="K140">
        <v>1598</v>
      </c>
      <c r="L140">
        <v>14</v>
      </c>
      <c r="M140">
        <v>10.3</v>
      </c>
      <c r="N140" s="4">
        <f t="shared" si="4"/>
        <v>1.5386000000000002E-2</v>
      </c>
      <c r="O140" s="4">
        <f t="shared" si="5"/>
        <v>0.15847580000000003</v>
      </c>
      <c r="P140">
        <v>100</v>
      </c>
      <c r="Q140">
        <v>3.5</v>
      </c>
      <c r="R140">
        <v>4</v>
      </c>
      <c r="S140">
        <v>2</v>
      </c>
      <c r="T140">
        <v>3</v>
      </c>
      <c r="U140">
        <v>2</v>
      </c>
      <c r="V140" t="s">
        <v>38</v>
      </c>
    </row>
    <row r="141" spans="1:22" x14ac:dyDescent="0.25">
      <c r="A141" t="s">
        <v>51</v>
      </c>
      <c r="B141">
        <v>3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62</v>
      </c>
      <c r="K141">
        <v>1787</v>
      </c>
      <c r="L141">
        <v>21.8</v>
      </c>
      <c r="M141">
        <v>13.8</v>
      </c>
      <c r="N141" s="4">
        <f t="shared" si="4"/>
        <v>3.730634E-2</v>
      </c>
      <c r="O141" s="4">
        <f t="shared" si="5"/>
        <v>0.514827492</v>
      </c>
      <c r="P141">
        <v>100</v>
      </c>
      <c r="Q141">
        <v>5</v>
      </c>
      <c r="R141">
        <v>3</v>
      </c>
      <c r="S141">
        <v>3</v>
      </c>
      <c r="T141">
        <v>3</v>
      </c>
      <c r="U141">
        <v>2</v>
      </c>
      <c r="V141" t="s">
        <v>27</v>
      </c>
    </row>
    <row r="142" spans="1:22" x14ac:dyDescent="0.25">
      <c r="A142" t="s">
        <v>51</v>
      </c>
      <c r="B142">
        <v>3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62</v>
      </c>
      <c r="K142">
        <v>2482</v>
      </c>
      <c r="L142">
        <v>16.399999999999999</v>
      </c>
      <c r="M142">
        <v>12.1</v>
      </c>
      <c r="N142" s="4">
        <f t="shared" si="4"/>
        <v>2.1113359999999994E-2</v>
      </c>
      <c r="O142" s="4">
        <f t="shared" si="5"/>
        <v>0.25547165599999994</v>
      </c>
      <c r="P142">
        <v>88</v>
      </c>
      <c r="Q142">
        <v>4.8</v>
      </c>
      <c r="R142">
        <v>3</v>
      </c>
      <c r="S142">
        <v>3.3</v>
      </c>
      <c r="T142">
        <v>3.5</v>
      </c>
      <c r="U142">
        <v>2</v>
      </c>
      <c r="V142" t="s">
        <v>27</v>
      </c>
    </row>
    <row r="143" spans="1:22" x14ac:dyDescent="0.25">
      <c r="A143" t="s">
        <v>51</v>
      </c>
      <c r="B143">
        <v>3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62</v>
      </c>
      <c r="K143">
        <v>2431</v>
      </c>
      <c r="L143">
        <v>17.600000000000001</v>
      </c>
      <c r="M143">
        <v>12.4</v>
      </c>
      <c r="N143" s="4">
        <f t="shared" si="4"/>
        <v>2.4316160000000007E-2</v>
      </c>
      <c r="O143" s="4">
        <f t="shared" si="5"/>
        <v>0.30152038400000009</v>
      </c>
      <c r="P143">
        <v>100</v>
      </c>
      <c r="Q143">
        <v>3.5</v>
      </c>
      <c r="R143">
        <v>3.3</v>
      </c>
      <c r="S143">
        <v>3</v>
      </c>
      <c r="T143">
        <v>3</v>
      </c>
      <c r="U143">
        <v>2</v>
      </c>
      <c r="V143" t="s">
        <v>25</v>
      </c>
    </row>
    <row r="144" spans="1:22" x14ac:dyDescent="0.25">
      <c r="A144" t="s">
        <v>51</v>
      </c>
      <c r="B144">
        <v>3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64</v>
      </c>
      <c r="K144">
        <v>1192</v>
      </c>
      <c r="L144">
        <v>12.2</v>
      </c>
      <c r="M144">
        <v>4.4000000000000004</v>
      </c>
      <c r="N144" s="4">
        <f t="shared" si="4"/>
        <v>1.168394E-2</v>
      </c>
      <c r="O144" s="4">
        <f t="shared" si="5"/>
        <v>5.1409336000000007E-2</v>
      </c>
      <c r="P144">
        <v>75</v>
      </c>
      <c r="Q144">
        <v>3</v>
      </c>
      <c r="R144">
        <v>2</v>
      </c>
      <c r="S144">
        <v>3</v>
      </c>
      <c r="T144">
        <v>2.5</v>
      </c>
      <c r="U144">
        <v>2.5</v>
      </c>
      <c r="V144" t="s">
        <v>30</v>
      </c>
    </row>
    <row r="145" spans="1:22" x14ac:dyDescent="0.25">
      <c r="A145" t="s">
        <v>51</v>
      </c>
      <c r="B145">
        <v>3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37</v>
      </c>
      <c r="K145">
        <v>1524</v>
      </c>
      <c r="L145">
        <v>9</v>
      </c>
      <c r="M145">
        <v>6.8</v>
      </c>
      <c r="N145" s="4">
        <f t="shared" si="4"/>
        <v>6.3584999999999996E-3</v>
      </c>
      <c r="O145" s="4">
        <f t="shared" si="5"/>
        <v>4.3237799999999993E-2</v>
      </c>
      <c r="P145">
        <v>100</v>
      </c>
      <c r="Q145">
        <v>2</v>
      </c>
      <c r="R145">
        <v>1.5</v>
      </c>
      <c r="S145">
        <v>2</v>
      </c>
      <c r="T145">
        <v>4</v>
      </c>
      <c r="U145">
        <v>3.5</v>
      </c>
      <c r="V145" t="s">
        <v>50</v>
      </c>
    </row>
    <row r="146" spans="1:22" x14ac:dyDescent="0.25">
      <c r="A146" t="s">
        <v>51</v>
      </c>
      <c r="B146">
        <v>3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39</v>
      </c>
      <c r="K146">
        <v>2435</v>
      </c>
      <c r="L146">
        <v>20.3</v>
      </c>
      <c r="M146">
        <v>13.6</v>
      </c>
      <c r="N146" s="4">
        <f t="shared" si="4"/>
        <v>3.2349065000000003E-2</v>
      </c>
      <c r="O146" s="4">
        <f t="shared" si="5"/>
        <v>0.43994728400000005</v>
      </c>
      <c r="P146">
        <v>63</v>
      </c>
      <c r="Q146">
        <v>4</v>
      </c>
      <c r="R146">
        <v>2.7</v>
      </c>
      <c r="S146">
        <v>3</v>
      </c>
      <c r="T146">
        <v>2.5</v>
      </c>
      <c r="U146">
        <v>2</v>
      </c>
      <c r="V146" t="s">
        <v>25</v>
      </c>
    </row>
    <row r="147" spans="1:22" x14ac:dyDescent="0.25">
      <c r="A147" t="s">
        <v>51</v>
      </c>
      <c r="B147">
        <v>3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63</v>
      </c>
      <c r="K147">
        <v>1340</v>
      </c>
      <c r="L147">
        <v>8.8000000000000007</v>
      </c>
      <c r="M147">
        <v>6.3</v>
      </c>
      <c r="N147" s="4">
        <f t="shared" si="4"/>
        <v>6.0790400000000017E-3</v>
      </c>
      <c r="O147" s="4">
        <f t="shared" si="5"/>
        <v>3.829795200000001E-2</v>
      </c>
      <c r="P147">
        <v>100</v>
      </c>
      <c r="Q147">
        <v>2</v>
      </c>
      <c r="R147">
        <v>2</v>
      </c>
      <c r="S147">
        <v>1</v>
      </c>
      <c r="T147">
        <v>2</v>
      </c>
      <c r="U147">
        <v>2</v>
      </c>
      <c r="V147" t="s">
        <v>50</v>
      </c>
    </row>
    <row r="148" spans="1:22" x14ac:dyDescent="0.25">
      <c r="A148" t="s">
        <v>65</v>
      </c>
      <c r="B148">
        <v>1</v>
      </c>
      <c r="C148" t="s">
        <v>66</v>
      </c>
      <c r="D148" t="s">
        <v>67</v>
      </c>
      <c r="E148" t="s">
        <v>68</v>
      </c>
      <c r="F148">
        <v>180</v>
      </c>
      <c r="G148">
        <v>1080</v>
      </c>
      <c r="H148">
        <v>-3</v>
      </c>
      <c r="I148">
        <v>1981</v>
      </c>
      <c r="J148" t="s">
        <v>55</v>
      </c>
      <c r="K148">
        <v>1094</v>
      </c>
      <c r="L148">
        <v>2.86</v>
      </c>
      <c r="M148">
        <v>3.2</v>
      </c>
      <c r="N148" s="4">
        <f t="shared" si="4"/>
        <v>6.4209860000000011E-4</v>
      </c>
      <c r="O148" s="4">
        <f t="shared" si="5"/>
        <v>2.0547155200000005E-3</v>
      </c>
      <c r="P148">
        <v>25</v>
      </c>
      <c r="Q148">
        <v>2</v>
      </c>
      <c r="R148">
        <v>2</v>
      </c>
      <c r="S148">
        <v>2</v>
      </c>
      <c r="T148">
        <v>2</v>
      </c>
      <c r="U148">
        <v>2</v>
      </c>
      <c r="V148" t="s">
        <v>50</v>
      </c>
    </row>
    <row r="149" spans="1:22" x14ac:dyDescent="0.25">
      <c r="A149" t="s">
        <v>65</v>
      </c>
      <c r="B149">
        <v>1</v>
      </c>
      <c r="C149" t="s">
        <v>66</v>
      </c>
      <c r="D149" t="s">
        <v>67</v>
      </c>
      <c r="E149" t="s">
        <v>68</v>
      </c>
      <c r="F149">
        <v>180</v>
      </c>
      <c r="G149">
        <v>1080</v>
      </c>
      <c r="H149">
        <v>-3</v>
      </c>
      <c r="I149">
        <v>1981</v>
      </c>
      <c r="J149" t="s">
        <v>56</v>
      </c>
      <c r="K149">
        <v>1111</v>
      </c>
      <c r="L149">
        <v>4.49</v>
      </c>
      <c r="M149">
        <v>4.1100000000000003</v>
      </c>
      <c r="N149" s="4">
        <f t="shared" si="4"/>
        <v>1.5825678500000003E-3</v>
      </c>
      <c r="O149" s="4">
        <f t="shared" si="5"/>
        <v>6.5043538635000016E-3</v>
      </c>
      <c r="P149">
        <v>44</v>
      </c>
      <c r="Q149">
        <v>2.5</v>
      </c>
      <c r="R149">
        <v>3</v>
      </c>
      <c r="S149">
        <v>3</v>
      </c>
      <c r="T149">
        <v>3</v>
      </c>
      <c r="U149">
        <v>3</v>
      </c>
      <c r="V149" t="s">
        <v>30</v>
      </c>
    </row>
    <row r="150" spans="1:22" x14ac:dyDescent="0.25">
      <c r="A150" t="s">
        <v>65</v>
      </c>
      <c r="B150">
        <v>1</v>
      </c>
      <c r="C150" t="s">
        <v>66</v>
      </c>
      <c r="D150" t="s">
        <v>67</v>
      </c>
      <c r="E150" t="s">
        <v>68</v>
      </c>
      <c r="F150">
        <v>180</v>
      </c>
      <c r="G150">
        <v>1080</v>
      </c>
      <c r="H150">
        <v>-3</v>
      </c>
      <c r="I150">
        <v>1981</v>
      </c>
      <c r="J150" t="s">
        <v>57</v>
      </c>
      <c r="K150">
        <v>1112</v>
      </c>
      <c r="L150">
        <v>9.89</v>
      </c>
      <c r="M150">
        <v>6.68</v>
      </c>
      <c r="N150" s="4">
        <f t="shared" si="4"/>
        <v>7.6782498500000008E-3</v>
      </c>
      <c r="O150" s="4">
        <f t="shared" si="5"/>
        <v>5.1290708998000006E-2</v>
      </c>
      <c r="P150">
        <v>100</v>
      </c>
      <c r="Q150">
        <v>3.5</v>
      </c>
      <c r="R150">
        <v>2</v>
      </c>
      <c r="S150">
        <v>3</v>
      </c>
      <c r="T150">
        <v>4</v>
      </c>
      <c r="U150">
        <v>3</v>
      </c>
      <c r="V150" t="s">
        <v>27</v>
      </c>
    </row>
    <row r="151" spans="1:22" x14ac:dyDescent="0.25">
      <c r="A151" t="s">
        <v>65</v>
      </c>
      <c r="B151">
        <v>1</v>
      </c>
      <c r="C151" t="s">
        <v>66</v>
      </c>
      <c r="D151" t="s">
        <v>67</v>
      </c>
      <c r="E151" t="s">
        <v>68</v>
      </c>
      <c r="F151">
        <v>180</v>
      </c>
      <c r="G151">
        <v>1080</v>
      </c>
      <c r="H151">
        <v>-3</v>
      </c>
      <c r="I151">
        <v>1981</v>
      </c>
      <c r="J151" t="s">
        <v>60</v>
      </c>
      <c r="K151">
        <v>1595</v>
      </c>
      <c r="L151">
        <v>5.34</v>
      </c>
      <c r="M151">
        <v>3.05</v>
      </c>
      <c r="N151" s="4">
        <f t="shared" si="4"/>
        <v>2.2384745999999996E-3</v>
      </c>
      <c r="O151" s="4">
        <f t="shared" si="5"/>
        <v>6.8273475299999989E-3</v>
      </c>
      <c r="P151">
        <v>75</v>
      </c>
      <c r="Q151">
        <v>2.7</v>
      </c>
      <c r="R151">
        <v>1</v>
      </c>
      <c r="S151">
        <v>3</v>
      </c>
      <c r="T151">
        <v>4</v>
      </c>
      <c r="U151">
        <v>4</v>
      </c>
      <c r="V151" t="s">
        <v>30</v>
      </c>
    </row>
    <row r="152" spans="1:22" x14ac:dyDescent="0.25">
      <c r="A152" t="s">
        <v>65</v>
      </c>
      <c r="B152">
        <v>1</v>
      </c>
      <c r="C152" t="s">
        <v>66</v>
      </c>
      <c r="D152" t="s">
        <v>67</v>
      </c>
      <c r="E152" t="s">
        <v>68</v>
      </c>
      <c r="F152">
        <v>180</v>
      </c>
      <c r="G152">
        <v>1080</v>
      </c>
      <c r="H152">
        <v>-3</v>
      </c>
      <c r="I152">
        <v>1981</v>
      </c>
      <c r="J152" t="s">
        <v>26</v>
      </c>
      <c r="K152">
        <v>1339</v>
      </c>
      <c r="L152">
        <v>3.28</v>
      </c>
      <c r="M152">
        <v>4.07</v>
      </c>
      <c r="N152" s="4">
        <f t="shared" si="4"/>
        <v>8.4453439999999989E-4</v>
      </c>
      <c r="O152" s="4">
        <f t="shared" si="5"/>
        <v>3.4372550079999997E-3</v>
      </c>
      <c r="P152">
        <v>75</v>
      </c>
      <c r="Q152">
        <v>2</v>
      </c>
      <c r="R152">
        <v>3</v>
      </c>
      <c r="S152">
        <v>3</v>
      </c>
      <c r="T152">
        <v>3</v>
      </c>
      <c r="U152">
        <v>3</v>
      </c>
      <c r="V152" t="s">
        <v>30</v>
      </c>
    </row>
    <row r="153" spans="1:22" x14ac:dyDescent="0.25">
      <c r="A153" t="s">
        <v>65</v>
      </c>
      <c r="B153">
        <v>1</v>
      </c>
      <c r="C153" t="s">
        <v>66</v>
      </c>
      <c r="D153" t="s">
        <v>67</v>
      </c>
      <c r="E153" t="s">
        <v>68</v>
      </c>
      <c r="F153">
        <v>180</v>
      </c>
      <c r="G153">
        <v>1080</v>
      </c>
      <c r="H153">
        <v>-3</v>
      </c>
      <c r="I153">
        <v>1981</v>
      </c>
      <c r="J153" t="s">
        <v>26</v>
      </c>
      <c r="K153">
        <v>2447</v>
      </c>
      <c r="L153">
        <v>7.62</v>
      </c>
      <c r="M153">
        <v>5.39</v>
      </c>
      <c r="N153" s="4">
        <f t="shared" si="4"/>
        <v>4.5580554000000002E-3</v>
      </c>
      <c r="O153" s="4">
        <f t="shared" si="5"/>
        <v>2.4567918606000001E-2</v>
      </c>
      <c r="P153">
        <v>100</v>
      </c>
      <c r="Q153">
        <v>3</v>
      </c>
      <c r="R153">
        <v>3</v>
      </c>
      <c r="S153">
        <v>3</v>
      </c>
      <c r="T153">
        <v>3.5</v>
      </c>
      <c r="U153">
        <v>3</v>
      </c>
      <c r="V153" t="s">
        <v>25</v>
      </c>
    </row>
    <row r="154" spans="1:22" x14ac:dyDescent="0.25">
      <c r="A154" t="s">
        <v>65</v>
      </c>
      <c r="B154">
        <v>1</v>
      </c>
      <c r="C154" t="s">
        <v>66</v>
      </c>
      <c r="D154" t="s">
        <v>67</v>
      </c>
      <c r="E154" t="s">
        <v>68</v>
      </c>
      <c r="F154">
        <v>180</v>
      </c>
      <c r="G154">
        <v>1080</v>
      </c>
      <c r="H154">
        <v>-3</v>
      </c>
      <c r="I154">
        <v>1981</v>
      </c>
      <c r="J154" t="s">
        <v>26</v>
      </c>
      <c r="K154">
        <v>1786</v>
      </c>
      <c r="L154">
        <v>6.05</v>
      </c>
      <c r="M154">
        <v>5.39</v>
      </c>
      <c r="N154" s="4">
        <f t="shared" si="4"/>
        <v>2.8732962499999999E-3</v>
      </c>
      <c r="O154" s="4">
        <f t="shared" si="5"/>
        <v>1.5487066787499998E-2</v>
      </c>
      <c r="P154">
        <v>88</v>
      </c>
      <c r="Q154">
        <v>4</v>
      </c>
      <c r="R154">
        <v>4</v>
      </c>
      <c r="S154">
        <v>3.5</v>
      </c>
      <c r="T154">
        <v>3.5</v>
      </c>
      <c r="U154">
        <v>3.5</v>
      </c>
      <c r="V154" t="s">
        <v>25</v>
      </c>
    </row>
    <row r="155" spans="1:22" x14ac:dyDescent="0.25">
      <c r="A155" t="s">
        <v>65</v>
      </c>
      <c r="B155">
        <v>1</v>
      </c>
      <c r="C155" t="s">
        <v>66</v>
      </c>
      <c r="D155" t="s">
        <v>67</v>
      </c>
      <c r="E155" t="s">
        <v>68</v>
      </c>
      <c r="F155">
        <v>180</v>
      </c>
      <c r="G155">
        <v>1080</v>
      </c>
      <c r="H155">
        <v>-3</v>
      </c>
      <c r="I155">
        <v>1981</v>
      </c>
      <c r="J155" t="s">
        <v>32</v>
      </c>
      <c r="K155">
        <v>1596</v>
      </c>
      <c r="L155">
        <v>6.38</v>
      </c>
      <c r="M155">
        <v>5.07</v>
      </c>
      <c r="N155" s="4">
        <f t="shared" si="4"/>
        <v>3.1952954E-3</v>
      </c>
      <c r="O155" s="4">
        <f t="shared" si="5"/>
        <v>1.6200147678000001E-2</v>
      </c>
      <c r="P155">
        <v>88</v>
      </c>
      <c r="Q155">
        <v>3</v>
      </c>
      <c r="R155">
        <v>4</v>
      </c>
      <c r="S155">
        <v>3.5</v>
      </c>
      <c r="T155">
        <v>4</v>
      </c>
      <c r="U155">
        <v>4</v>
      </c>
      <c r="V155" t="s">
        <v>27</v>
      </c>
    </row>
    <row r="156" spans="1:22" x14ac:dyDescent="0.25">
      <c r="A156" t="s">
        <v>65</v>
      </c>
      <c r="B156">
        <v>1</v>
      </c>
      <c r="C156" t="s">
        <v>66</v>
      </c>
      <c r="D156" t="s">
        <v>67</v>
      </c>
      <c r="E156" t="s">
        <v>68</v>
      </c>
      <c r="F156">
        <v>180</v>
      </c>
      <c r="G156">
        <v>1080</v>
      </c>
      <c r="H156">
        <v>-3</v>
      </c>
      <c r="I156">
        <v>1981</v>
      </c>
      <c r="J156" t="s">
        <v>61</v>
      </c>
      <c r="K156">
        <v>1171</v>
      </c>
      <c r="L156">
        <v>6.16</v>
      </c>
      <c r="M156">
        <v>4.3</v>
      </c>
      <c r="N156" s="4">
        <f t="shared" si="4"/>
        <v>2.9787296000000005E-3</v>
      </c>
      <c r="O156" s="4">
        <f t="shared" si="5"/>
        <v>1.2808537280000001E-2</v>
      </c>
      <c r="P156">
        <v>40</v>
      </c>
      <c r="Q156">
        <v>3</v>
      </c>
      <c r="R156">
        <v>2</v>
      </c>
      <c r="S156">
        <v>1</v>
      </c>
      <c r="T156">
        <v>1</v>
      </c>
      <c r="U156">
        <v>1</v>
      </c>
      <c r="V156" t="s">
        <v>30</v>
      </c>
    </row>
    <row r="157" spans="1:22" x14ac:dyDescent="0.25">
      <c r="A157" t="s">
        <v>65</v>
      </c>
      <c r="B157">
        <v>1</v>
      </c>
      <c r="C157" t="s">
        <v>66</v>
      </c>
      <c r="D157" t="s">
        <v>67</v>
      </c>
      <c r="E157" t="s">
        <v>68</v>
      </c>
      <c r="F157">
        <v>180</v>
      </c>
      <c r="G157">
        <v>1080</v>
      </c>
      <c r="H157">
        <v>-3</v>
      </c>
      <c r="I157">
        <v>1981</v>
      </c>
      <c r="J157" t="s">
        <v>34</v>
      </c>
      <c r="K157">
        <v>2469</v>
      </c>
      <c r="L157">
        <v>19.920000000000002</v>
      </c>
      <c r="M157">
        <v>7.37</v>
      </c>
      <c r="N157" s="4">
        <f t="shared" si="4"/>
        <v>3.1149302400000002E-2</v>
      </c>
      <c r="O157" s="4">
        <f t="shared" si="5"/>
        <v>0.22957035868800002</v>
      </c>
      <c r="P157">
        <v>13</v>
      </c>
      <c r="Q157">
        <v>2</v>
      </c>
      <c r="R157">
        <v>2.5</v>
      </c>
      <c r="S157">
        <v>3</v>
      </c>
      <c r="T157">
        <v>3</v>
      </c>
      <c r="U157">
        <v>3</v>
      </c>
      <c r="V157" t="s">
        <v>30</v>
      </c>
    </row>
    <row r="158" spans="1:22" x14ac:dyDescent="0.25">
      <c r="A158" t="s">
        <v>65</v>
      </c>
      <c r="B158">
        <v>1</v>
      </c>
      <c r="C158" t="s">
        <v>66</v>
      </c>
      <c r="D158" t="s">
        <v>67</v>
      </c>
      <c r="E158" t="s">
        <v>68</v>
      </c>
      <c r="F158">
        <v>180</v>
      </c>
      <c r="G158">
        <v>1080</v>
      </c>
      <c r="H158">
        <v>-3</v>
      </c>
      <c r="I158">
        <v>1981</v>
      </c>
      <c r="J158" t="s">
        <v>35</v>
      </c>
      <c r="K158">
        <v>1785</v>
      </c>
      <c r="L158">
        <v>3.91</v>
      </c>
      <c r="M158">
        <v>3.91</v>
      </c>
      <c r="N158" s="4">
        <f t="shared" si="4"/>
        <v>1.2001158500000002E-3</v>
      </c>
      <c r="O158" s="4">
        <f t="shared" si="5"/>
        <v>4.6924529735000008E-3</v>
      </c>
      <c r="P158">
        <v>63</v>
      </c>
      <c r="Q158">
        <v>2.5</v>
      </c>
      <c r="R158">
        <v>1.5</v>
      </c>
      <c r="S158">
        <v>3</v>
      </c>
      <c r="T158">
        <v>4</v>
      </c>
      <c r="U158">
        <v>3</v>
      </c>
      <c r="V158" t="s">
        <v>38</v>
      </c>
    </row>
    <row r="159" spans="1:22" x14ac:dyDescent="0.25">
      <c r="A159" t="s">
        <v>65</v>
      </c>
      <c r="B159">
        <v>1</v>
      </c>
      <c r="C159" t="s">
        <v>66</v>
      </c>
      <c r="D159" t="s">
        <v>67</v>
      </c>
      <c r="E159" t="s">
        <v>68</v>
      </c>
      <c r="F159">
        <v>180</v>
      </c>
      <c r="G159">
        <v>1080</v>
      </c>
      <c r="H159">
        <v>-3</v>
      </c>
      <c r="I159">
        <v>1981</v>
      </c>
      <c r="J159" t="s">
        <v>36</v>
      </c>
      <c r="K159">
        <v>1598</v>
      </c>
      <c r="L159">
        <v>10.75</v>
      </c>
      <c r="M159">
        <v>9.26</v>
      </c>
      <c r="N159" s="4">
        <f t="shared" si="4"/>
        <v>9.071656249999999E-3</v>
      </c>
      <c r="O159" s="4">
        <f t="shared" si="5"/>
        <v>8.4003536874999993E-2</v>
      </c>
      <c r="P159">
        <v>88</v>
      </c>
      <c r="Q159">
        <v>4</v>
      </c>
      <c r="R159">
        <v>4</v>
      </c>
      <c r="S159">
        <v>4</v>
      </c>
      <c r="T159">
        <v>4</v>
      </c>
      <c r="U159">
        <v>4</v>
      </c>
      <c r="V159" t="s">
        <v>27</v>
      </c>
    </row>
    <row r="160" spans="1:22" x14ac:dyDescent="0.25">
      <c r="A160" t="s">
        <v>65</v>
      </c>
      <c r="B160">
        <v>1</v>
      </c>
      <c r="C160" t="s">
        <v>66</v>
      </c>
      <c r="D160" t="s">
        <v>67</v>
      </c>
      <c r="E160" t="s">
        <v>68</v>
      </c>
      <c r="F160">
        <v>180</v>
      </c>
      <c r="G160">
        <v>1080</v>
      </c>
      <c r="H160">
        <v>-3</v>
      </c>
      <c r="I160">
        <v>1981</v>
      </c>
      <c r="J160" t="s">
        <v>62</v>
      </c>
      <c r="K160">
        <v>2428</v>
      </c>
      <c r="L160">
        <v>3.63</v>
      </c>
      <c r="M160">
        <v>5.0199999999999996</v>
      </c>
      <c r="N160" s="4">
        <f t="shared" si="4"/>
        <v>1.03438665E-3</v>
      </c>
      <c r="O160" s="4">
        <f t="shared" si="5"/>
        <v>5.1926209829999993E-3</v>
      </c>
      <c r="P160">
        <v>63</v>
      </c>
      <c r="Q160">
        <v>4</v>
      </c>
      <c r="R160">
        <v>3.5</v>
      </c>
      <c r="S160">
        <v>4</v>
      </c>
      <c r="T160">
        <v>4</v>
      </c>
      <c r="U160">
        <v>3.5</v>
      </c>
      <c r="V160" t="s">
        <v>25</v>
      </c>
    </row>
    <row r="161" spans="1:22" x14ac:dyDescent="0.25">
      <c r="A161" t="s">
        <v>65</v>
      </c>
      <c r="B161">
        <v>1</v>
      </c>
      <c r="C161" t="s">
        <v>66</v>
      </c>
      <c r="D161" t="s">
        <v>67</v>
      </c>
      <c r="E161" t="s">
        <v>68</v>
      </c>
      <c r="F161">
        <v>180</v>
      </c>
      <c r="G161">
        <v>1080</v>
      </c>
      <c r="H161">
        <v>-3</v>
      </c>
      <c r="I161">
        <v>1981</v>
      </c>
      <c r="J161" t="s">
        <v>62</v>
      </c>
      <c r="K161">
        <v>2431</v>
      </c>
      <c r="L161">
        <v>6.14</v>
      </c>
      <c r="M161">
        <v>5.86</v>
      </c>
      <c r="N161" s="4">
        <f t="shared" si="4"/>
        <v>2.9594185999999999E-3</v>
      </c>
      <c r="O161" s="4">
        <f t="shared" si="5"/>
        <v>1.7342192996000001E-2</v>
      </c>
      <c r="P161">
        <v>75</v>
      </c>
      <c r="Q161">
        <v>4</v>
      </c>
      <c r="R161">
        <v>3</v>
      </c>
      <c r="S161">
        <v>4</v>
      </c>
      <c r="T161">
        <v>4</v>
      </c>
      <c r="U161">
        <v>4</v>
      </c>
      <c r="V161" t="s">
        <v>27</v>
      </c>
    </row>
    <row r="162" spans="1:22" x14ac:dyDescent="0.25">
      <c r="A162" t="s">
        <v>65</v>
      </c>
      <c r="B162">
        <v>1</v>
      </c>
      <c r="C162" t="s">
        <v>66</v>
      </c>
      <c r="D162" t="s">
        <v>67</v>
      </c>
      <c r="E162" t="s">
        <v>68</v>
      </c>
      <c r="F162">
        <v>180</v>
      </c>
      <c r="G162">
        <v>1080</v>
      </c>
      <c r="H162">
        <v>-3</v>
      </c>
      <c r="I162">
        <v>1981</v>
      </c>
      <c r="J162" t="s">
        <v>62</v>
      </c>
      <c r="K162">
        <v>1787</v>
      </c>
      <c r="L162">
        <v>5.3</v>
      </c>
      <c r="M162">
        <v>4.88</v>
      </c>
      <c r="N162" s="4">
        <f t="shared" si="4"/>
        <v>2.205065E-3</v>
      </c>
      <c r="O162" s="4">
        <f t="shared" si="5"/>
        <v>1.07607172E-2</v>
      </c>
      <c r="P162">
        <v>38</v>
      </c>
      <c r="Q162">
        <v>3.5</v>
      </c>
      <c r="R162">
        <v>3</v>
      </c>
      <c r="S162">
        <v>4</v>
      </c>
      <c r="T162">
        <v>4</v>
      </c>
      <c r="U162">
        <v>4</v>
      </c>
      <c r="V162" t="s">
        <v>25</v>
      </c>
    </row>
    <row r="163" spans="1:22" x14ac:dyDescent="0.25">
      <c r="A163" t="s">
        <v>65</v>
      </c>
      <c r="B163">
        <v>1</v>
      </c>
      <c r="C163" t="s">
        <v>66</v>
      </c>
      <c r="D163" t="s">
        <v>67</v>
      </c>
      <c r="E163" t="s">
        <v>68</v>
      </c>
      <c r="F163">
        <v>180</v>
      </c>
      <c r="G163">
        <v>1080</v>
      </c>
      <c r="H163">
        <v>-3</v>
      </c>
      <c r="I163">
        <v>1981</v>
      </c>
      <c r="J163" t="s">
        <v>39</v>
      </c>
      <c r="K163">
        <v>2435</v>
      </c>
      <c r="L163">
        <v>14.93</v>
      </c>
      <c r="M163">
        <v>9.39</v>
      </c>
      <c r="N163" s="4">
        <f t="shared" si="4"/>
        <v>1.7498034649999997E-2</v>
      </c>
      <c r="O163" s="4">
        <f t="shared" si="5"/>
        <v>0.16430654536349998</v>
      </c>
      <c r="P163">
        <v>63</v>
      </c>
      <c r="Q163">
        <v>4</v>
      </c>
      <c r="R163">
        <v>3</v>
      </c>
      <c r="S163">
        <v>3</v>
      </c>
      <c r="T163">
        <v>2.5</v>
      </c>
      <c r="U163">
        <v>2.5</v>
      </c>
      <c r="V163" t="s">
        <v>25</v>
      </c>
    </row>
    <row r="164" spans="1:22" x14ac:dyDescent="0.25">
      <c r="A164" t="s">
        <v>65</v>
      </c>
      <c r="B164">
        <v>1</v>
      </c>
      <c r="C164" t="s">
        <v>66</v>
      </c>
      <c r="D164" t="s">
        <v>67</v>
      </c>
      <c r="E164" t="s">
        <v>68</v>
      </c>
      <c r="F164">
        <v>180</v>
      </c>
      <c r="G164">
        <v>1080</v>
      </c>
      <c r="H164">
        <v>-3</v>
      </c>
      <c r="I164">
        <v>1981</v>
      </c>
      <c r="J164" t="s">
        <v>37</v>
      </c>
      <c r="K164">
        <v>1524</v>
      </c>
      <c r="L164">
        <v>3.21</v>
      </c>
      <c r="M164">
        <v>3.72</v>
      </c>
      <c r="N164" s="4">
        <f t="shared" si="4"/>
        <v>8.0887184999999993E-4</v>
      </c>
      <c r="O164" s="4">
        <f t="shared" si="5"/>
        <v>3.0090032819999999E-3</v>
      </c>
      <c r="P164">
        <v>50</v>
      </c>
      <c r="Q164">
        <v>1.5</v>
      </c>
      <c r="R164">
        <v>2</v>
      </c>
      <c r="S164">
        <v>2</v>
      </c>
      <c r="T164">
        <v>4</v>
      </c>
      <c r="U164">
        <v>4</v>
      </c>
      <c r="V164" t="s">
        <v>30</v>
      </c>
    </row>
    <row r="165" spans="1:22" x14ac:dyDescent="0.25">
      <c r="A165" t="s">
        <v>65</v>
      </c>
      <c r="B165">
        <v>1</v>
      </c>
      <c r="C165" t="s">
        <v>66</v>
      </c>
      <c r="D165" t="s">
        <v>67</v>
      </c>
      <c r="E165" t="s">
        <v>68</v>
      </c>
      <c r="F165">
        <v>180</v>
      </c>
      <c r="G165">
        <v>1080</v>
      </c>
      <c r="H165">
        <v>-3</v>
      </c>
      <c r="I165">
        <v>1981</v>
      </c>
      <c r="J165" t="s">
        <v>63</v>
      </c>
      <c r="K165">
        <v>1340</v>
      </c>
      <c r="L165">
        <v>5.93</v>
      </c>
      <c r="M165">
        <v>6.48</v>
      </c>
      <c r="N165" s="4">
        <f t="shared" si="4"/>
        <v>2.7604446499999999E-3</v>
      </c>
      <c r="O165" s="4">
        <f t="shared" si="5"/>
        <v>1.7887681331999999E-2</v>
      </c>
      <c r="P165">
        <v>100</v>
      </c>
      <c r="Q165">
        <v>1.8</v>
      </c>
      <c r="R165">
        <v>1.8</v>
      </c>
      <c r="S165">
        <v>2</v>
      </c>
      <c r="T165">
        <v>2</v>
      </c>
      <c r="U165">
        <v>3</v>
      </c>
      <c r="V165" t="s">
        <v>30</v>
      </c>
    </row>
    <row r="166" spans="1:22" x14ac:dyDescent="0.25">
      <c r="A166" t="s">
        <v>65</v>
      </c>
      <c r="B166">
        <v>1</v>
      </c>
      <c r="C166" t="s">
        <v>66</v>
      </c>
      <c r="D166" t="s">
        <v>67</v>
      </c>
      <c r="E166" t="s">
        <v>68</v>
      </c>
      <c r="F166">
        <v>180</v>
      </c>
      <c r="G166">
        <v>1080</v>
      </c>
      <c r="H166">
        <v>-3</v>
      </c>
      <c r="I166">
        <v>1981</v>
      </c>
      <c r="J166" t="s">
        <v>69</v>
      </c>
      <c r="K166">
        <v>1780</v>
      </c>
      <c r="L166">
        <v>6.24</v>
      </c>
      <c r="M166">
        <v>4.8499999999999996</v>
      </c>
      <c r="N166" s="4">
        <f t="shared" si="4"/>
        <v>3.0566016000000006E-3</v>
      </c>
      <c r="O166" s="4">
        <f t="shared" si="5"/>
        <v>1.4824517760000001E-2</v>
      </c>
      <c r="P166">
        <v>25</v>
      </c>
      <c r="Q166">
        <v>2.5</v>
      </c>
      <c r="R166">
        <v>4</v>
      </c>
      <c r="S166">
        <v>3</v>
      </c>
      <c r="T166">
        <v>3</v>
      </c>
      <c r="U166">
        <v>3</v>
      </c>
      <c r="V166" t="s">
        <v>30</v>
      </c>
    </row>
    <row r="167" spans="1:22" x14ac:dyDescent="0.25">
      <c r="A167" t="s">
        <v>65</v>
      </c>
      <c r="B167">
        <v>2</v>
      </c>
      <c r="C167" t="s">
        <v>66</v>
      </c>
      <c r="D167" t="s">
        <v>67</v>
      </c>
      <c r="E167" t="s">
        <v>68</v>
      </c>
      <c r="F167">
        <v>180</v>
      </c>
      <c r="G167">
        <v>1080</v>
      </c>
      <c r="H167">
        <v>-3</v>
      </c>
      <c r="I167">
        <v>1981</v>
      </c>
      <c r="J167" t="s">
        <v>55</v>
      </c>
      <c r="K167">
        <v>1094</v>
      </c>
      <c r="L167">
        <v>1.03</v>
      </c>
      <c r="M167">
        <v>2.17</v>
      </c>
      <c r="N167" s="4">
        <f t="shared" si="4"/>
        <v>8.3280650000000007E-5</v>
      </c>
      <c r="O167" s="4">
        <f t="shared" si="5"/>
        <v>1.8071901050000001E-4</v>
      </c>
      <c r="P167">
        <v>13</v>
      </c>
      <c r="Q167">
        <v>2</v>
      </c>
      <c r="R167">
        <v>2</v>
      </c>
      <c r="S167">
        <v>2</v>
      </c>
      <c r="T167">
        <v>2</v>
      </c>
      <c r="U167">
        <v>2</v>
      </c>
      <c r="V167" t="s">
        <v>50</v>
      </c>
    </row>
    <row r="168" spans="1:22" x14ac:dyDescent="0.25">
      <c r="A168" t="s">
        <v>65</v>
      </c>
      <c r="B168">
        <v>2</v>
      </c>
      <c r="C168" t="s">
        <v>66</v>
      </c>
      <c r="D168" t="s">
        <v>67</v>
      </c>
      <c r="E168" t="s">
        <v>68</v>
      </c>
      <c r="F168">
        <v>180</v>
      </c>
      <c r="G168">
        <v>1080</v>
      </c>
      <c r="H168">
        <v>-3</v>
      </c>
      <c r="I168">
        <v>1981</v>
      </c>
      <c r="J168" t="s">
        <v>56</v>
      </c>
      <c r="K168">
        <v>1111</v>
      </c>
      <c r="L168">
        <v>6.29</v>
      </c>
      <c r="M168">
        <v>4.62</v>
      </c>
      <c r="N168" s="4">
        <f t="shared" si="4"/>
        <v>3.1057818499999998E-3</v>
      </c>
      <c r="O168" s="4">
        <f t="shared" si="5"/>
        <v>1.4348712147E-2</v>
      </c>
      <c r="P168">
        <v>100</v>
      </c>
      <c r="Q168">
        <v>3</v>
      </c>
      <c r="R168">
        <v>2.5</v>
      </c>
      <c r="S168">
        <v>2</v>
      </c>
      <c r="T168">
        <v>2</v>
      </c>
      <c r="U168">
        <v>2.5</v>
      </c>
      <c r="V168" t="s">
        <v>38</v>
      </c>
    </row>
    <row r="169" spans="1:22" x14ac:dyDescent="0.25">
      <c r="A169" t="s">
        <v>65</v>
      </c>
      <c r="B169">
        <v>2</v>
      </c>
      <c r="C169" t="s">
        <v>66</v>
      </c>
      <c r="D169" t="s">
        <v>67</v>
      </c>
      <c r="E169" t="s">
        <v>68</v>
      </c>
      <c r="F169">
        <v>180</v>
      </c>
      <c r="G169">
        <v>1080</v>
      </c>
      <c r="H169">
        <v>-3</v>
      </c>
      <c r="I169">
        <v>1981</v>
      </c>
      <c r="J169" t="s">
        <v>57</v>
      </c>
      <c r="K169">
        <v>1112</v>
      </c>
      <c r="L169">
        <v>11.43</v>
      </c>
      <c r="M169">
        <v>7.83</v>
      </c>
      <c r="N169" s="4">
        <f t="shared" si="4"/>
        <v>1.025562465E-2</v>
      </c>
      <c r="O169" s="4">
        <f t="shared" si="5"/>
        <v>8.0301541009500002E-2</v>
      </c>
      <c r="P169">
        <v>88</v>
      </c>
      <c r="Q169">
        <v>3</v>
      </c>
      <c r="R169">
        <v>2</v>
      </c>
      <c r="S169">
        <v>3.5</v>
      </c>
      <c r="T169">
        <v>4</v>
      </c>
      <c r="U169">
        <v>4</v>
      </c>
      <c r="V169" t="s">
        <v>27</v>
      </c>
    </row>
    <row r="170" spans="1:22" x14ac:dyDescent="0.25">
      <c r="A170" t="s">
        <v>65</v>
      </c>
      <c r="B170">
        <v>2</v>
      </c>
      <c r="C170" t="s">
        <v>66</v>
      </c>
      <c r="D170" t="s">
        <v>67</v>
      </c>
      <c r="E170" t="s">
        <v>68</v>
      </c>
      <c r="F170">
        <v>180</v>
      </c>
      <c r="G170">
        <v>1080</v>
      </c>
      <c r="H170">
        <v>-3</v>
      </c>
      <c r="I170">
        <v>1981</v>
      </c>
      <c r="J170" t="s">
        <v>57</v>
      </c>
      <c r="K170">
        <v>1113</v>
      </c>
      <c r="L170">
        <v>3.98</v>
      </c>
      <c r="M170">
        <v>3.98</v>
      </c>
      <c r="N170" s="4">
        <f t="shared" si="4"/>
        <v>1.2434714E-3</v>
      </c>
      <c r="O170" s="4">
        <f t="shared" si="5"/>
        <v>4.9490161719999998E-3</v>
      </c>
      <c r="P170">
        <v>75</v>
      </c>
      <c r="Q170">
        <v>3</v>
      </c>
      <c r="R170">
        <v>2</v>
      </c>
      <c r="S170">
        <v>3</v>
      </c>
      <c r="T170">
        <v>4</v>
      </c>
      <c r="U170">
        <v>3</v>
      </c>
      <c r="V170" t="s">
        <v>38</v>
      </c>
    </row>
    <row r="171" spans="1:22" x14ac:dyDescent="0.25">
      <c r="A171" t="s">
        <v>65</v>
      </c>
      <c r="B171">
        <v>2</v>
      </c>
      <c r="C171" t="s">
        <v>66</v>
      </c>
      <c r="D171" t="s">
        <v>67</v>
      </c>
      <c r="E171" t="s">
        <v>68</v>
      </c>
      <c r="F171">
        <v>180</v>
      </c>
      <c r="G171">
        <v>1080</v>
      </c>
      <c r="H171">
        <v>-3</v>
      </c>
      <c r="I171">
        <v>1981</v>
      </c>
      <c r="J171" t="s">
        <v>60</v>
      </c>
      <c r="K171">
        <v>1595</v>
      </c>
      <c r="L171">
        <v>2.8</v>
      </c>
      <c r="M171">
        <v>2.92</v>
      </c>
      <c r="N171" s="4">
        <f t="shared" si="4"/>
        <v>6.1543999999999987E-4</v>
      </c>
      <c r="O171" s="4">
        <f t="shared" si="5"/>
        <v>1.7970847999999996E-3</v>
      </c>
      <c r="P171">
        <v>75</v>
      </c>
      <c r="Q171">
        <v>2.5</v>
      </c>
      <c r="R171">
        <v>1.8</v>
      </c>
      <c r="S171">
        <v>3.2</v>
      </c>
      <c r="T171">
        <v>3.5</v>
      </c>
      <c r="U171">
        <v>3.5</v>
      </c>
      <c r="V171" t="s">
        <v>30</v>
      </c>
    </row>
    <row r="172" spans="1:22" x14ac:dyDescent="0.25">
      <c r="A172" t="s">
        <v>65</v>
      </c>
      <c r="B172">
        <v>2</v>
      </c>
      <c r="C172" t="s">
        <v>66</v>
      </c>
      <c r="D172" t="s">
        <v>67</v>
      </c>
      <c r="E172" t="s">
        <v>68</v>
      </c>
      <c r="F172">
        <v>180</v>
      </c>
      <c r="G172">
        <v>1080</v>
      </c>
      <c r="H172">
        <v>-3</v>
      </c>
      <c r="I172">
        <v>1981</v>
      </c>
      <c r="J172" t="s">
        <v>58</v>
      </c>
      <c r="K172">
        <v>1338</v>
      </c>
      <c r="L172">
        <v>6.07</v>
      </c>
      <c r="M172">
        <v>5.89</v>
      </c>
      <c r="N172" s="4">
        <f t="shared" si="4"/>
        <v>2.8923246500000004E-3</v>
      </c>
      <c r="O172" s="4">
        <f t="shared" si="5"/>
        <v>1.7035792188500001E-2</v>
      </c>
      <c r="P172">
        <v>63</v>
      </c>
      <c r="Q172">
        <v>3</v>
      </c>
      <c r="R172">
        <v>3</v>
      </c>
      <c r="S172">
        <v>2</v>
      </c>
      <c r="T172">
        <v>2</v>
      </c>
      <c r="U172">
        <v>2.5</v>
      </c>
      <c r="V172" t="s">
        <v>30</v>
      </c>
    </row>
    <row r="173" spans="1:22" x14ac:dyDescent="0.25">
      <c r="A173" t="s">
        <v>65</v>
      </c>
      <c r="B173">
        <v>2</v>
      </c>
      <c r="C173" t="s">
        <v>66</v>
      </c>
      <c r="D173" t="s">
        <v>67</v>
      </c>
      <c r="E173" t="s">
        <v>68</v>
      </c>
      <c r="F173">
        <v>180</v>
      </c>
      <c r="G173">
        <v>1080</v>
      </c>
      <c r="H173">
        <v>-3</v>
      </c>
      <c r="I173">
        <v>1981</v>
      </c>
      <c r="J173" t="s">
        <v>59</v>
      </c>
      <c r="K173">
        <v>1978</v>
      </c>
      <c r="L173">
        <v>4.04</v>
      </c>
      <c r="M173">
        <v>4.66</v>
      </c>
      <c r="N173" s="4">
        <f t="shared" si="4"/>
        <v>1.2812456000000001E-3</v>
      </c>
      <c r="O173" s="4">
        <f t="shared" si="5"/>
        <v>5.9706044960000006E-3</v>
      </c>
      <c r="P173">
        <v>50</v>
      </c>
      <c r="Q173">
        <v>2.5</v>
      </c>
      <c r="R173">
        <v>3</v>
      </c>
      <c r="S173">
        <v>3.5</v>
      </c>
      <c r="T173">
        <v>3.5</v>
      </c>
      <c r="U173">
        <v>3.5</v>
      </c>
      <c r="V173" t="s">
        <v>38</v>
      </c>
    </row>
    <row r="174" spans="1:22" x14ac:dyDescent="0.25">
      <c r="A174" t="s">
        <v>65</v>
      </c>
      <c r="B174">
        <v>2</v>
      </c>
      <c r="C174" t="s">
        <v>66</v>
      </c>
      <c r="D174" t="s">
        <v>67</v>
      </c>
      <c r="E174" t="s">
        <v>68</v>
      </c>
      <c r="F174">
        <v>180</v>
      </c>
      <c r="G174">
        <v>1080</v>
      </c>
      <c r="H174">
        <v>-3</v>
      </c>
      <c r="I174">
        <v>1981</v>
      </c>
      <c r="J174" t="s">
        <v>59</v>
      </c>
      <c r="K174">
        <v>1482</v>
      </c>
      <c r="L174">
        <v>11.03</v>
      </c>
      <c r="M174">
        <v>6.25</v>
      </c>
      <c r="N174" s="4">
        <f t="shared" si="4"/>
        <v>9.5503806499999989E-3</v>
      </c>
      <c r="O174" s="4">
        <f t="shared" si="5"/>
        <v>5.9689879062499993E-2</v>
      </c>
      <c r="P174">
        <v>38</v>
      </c>
      <c r="Q174">
        <v>3.5</v>
      </c>
      <c r="R174">
        <v>3.5</v>
      </c>
      <c r="S174">
        <v>3</v>
      </c>
      <c r="T174">
        <v>2.5</v>
      </c>
      <c r="U174">
        <v>2</v>
      </c>
      <c r="V174" t="s">
        <v>38</v>
      </c>
    </row>
    <row r="175" spans="1:22" x14ac:dyDescent="0.25">
      <c r="A175" t="s">
        <v>65</v>
      </c>
      <c r="B175">
        <v>2</v>
      </c>
      <c r="C175" t="s">
        <v>66</v>
      </c>
      <c r="D175" t="s">
        <v>67</v>
      </c>
      <c r="E175" t="s">
        <v>68</v>
      </c>
      <c r="F175">
        <v>180</v>
      </c>
      <c r="G175">
        <v>1080</v>
      </c>
      <c r="H175">
        <v>-3</v>
      </c>
      <c r="I175">
        <v>1981</v>
      </c>
      <c r="J175" t="s">
        <v>26</v>
      </c>
      <c r="K175">
        <v>1339</v>
      </c>
      <c r="L175">
        <v>12.49</v>
      </c>
      <c r="M175">
        <v>10.119999999999999</v>
      </c>
      <c r="N175" s="4">
        <f t="shared" si="4"/>
        <v>1.2246007850000001E-2</v>
      </c>
      <c r="O175" s="4">
        <f t="shared" si="5"/>
        <v>0.12392959944199999</v>
      </c>
      <c r="P175">
        <v>63</v>
      </c>
      <c r="Q175">
        <v>4.5</v>
      </c>
      <c r="R175">
        <v>3</v>
      </c>
      <c r="S175">
        <v>3.5</v>
      </c>
      <c r="T175">
        <v>3.5</v>
      </c>
      <c r="U175">
        <v>3.5</v>
      </c>
      <c r="V175" t="s">
        <v>27</v>
      </c>
    </row>
    <row r="176" spans="1:22" x14ac:dyDescent="0.25">
      <c r="A176" t="s">
        <v>65</v>
      </c>
      <c r="B176">
        <v>2</v>
      </c>
      <c r="C176" t="s">
        <v>66</v>
      </c>
      <c r="D176" t="s">
        <v>67</v>
      </c>
      <c r="E176" t="s">
        <v>68</v>
      </c>
      <c r="F176">
        <v>180</v>
      </c>
      <c r="G176">
        <v>1080</v>
      </c>
      <c r="H176">
        <v>-3</v>
      </c>
      <c r="I176">
        <v>1981</v>
      </c>
      <c r="J176" t="s">
        <v>26</v>
      </c>
      <c r="K176">
        <v>2447</v>
      </c>
      <c r="L176">
        <v>9.99</v>
      </c>
      <c r="M176">
        <v>6.83</v>
      </c>
      <c r="N176" s="4">
        <f t="shared" si="4"/>
        <v>7.8343078500000014E-3</v>
      </c>
      <c r="O176" s="4">
        <f t="shared" si="5"/>
        <v>5.3508322615500009E-2</v>
      </c>
      <c r="P176">
        <v>88</v>
      </c>
      <c r="Q176">
        <v>4</v>
      </c>
      <c r="R176">
        <v>3</v>
      </c>
      <c r="S176">
        <v>3.5</v>
      </c>
      <c r="T176">
        <v>3</v>
      </c>
      <c r="U176">
        <v>2.5</v>
      </c>
      <c r="V176" t="s">
        <v>25</v>
      </c>
    </row>
    <row r="177" spans="1:22" x14ac:dyDescent="0.25">
      <c r="A177" t="s">
        <v>65</v>
      </c>
      <c r="B177">
        <v>2</v>
      </c>
      <c r="C177" t="s">
        <v>66</v>
      </c>
      <c r="D177" t="s">
        <v>67</v>
      </c>
      <c r="E177" t="s">
        <v>68</v>
      </c>
      <c r="F177">
        <v>180</v>
      </c>
      <c r="G177">
        <v>1080</v>
      </c>
      <c r="H177">
        <v>-3</v>
      </c>
      <c r="I177">
        <v>1981</v>
      </c>
      <c r="J177" t="s">
        <v>26</v>
      </c>
      <c r="K177">
        <v>1786</v>
      </c>
      <c r="L177">
        <v>17.739999999999998</v>
      </c>
      <c r="M177">
        <v>9.99</v>
      </c>
      <c r="N177" s="4">
        <f t="shared" si="4"/>
        <v>2.4704546599999995E-2</v>
      </c>
      <c r="O177" s="4">
        <f t="shared" si="5"/>
        <v>0.24679842053399995</v>
      </c>
      <c r="P177">
        <v>100</v>
      </c>
      <c r="Q177">
        <v>5</v>
      </c>
      <c r="R177">
        <v>3</v>
      </c>
      <c r="S177">
        <v>3</v>
      </c>
      <c r="T177">
        <v>2.5</v>
      </c>
      <c r="U177">
        <v>2</v>
      </c>
      <c r="V177" t="s">
        <v>27</v>
      </c>
    </row>
    <row r="178" spans="1:22" x14ac:dyDescent="0.25">
      <c r="A178" t="s">
        <v>65</v>
      </c>
      <c r="B178">
        <v>2</v>
      </c>
      <c r="C178" t="s">
        <v>66</v>
      </c>
      <c r="D178" t="s">
        <v>67</v>
      </c>
      <c r="E178" t="s">
        <v>68</v>
      </c>
      <c r="F178">
        <v>180</v>
      </c>
      <c r="G178">
        <v>1080</v>
      </c>
      <c r="H178">
        <v>-3</v>
      </c>
      <c r="I178">
        <v>1981</v>
      </c>
      <c r="J178" t="s">
        <v>32</v>
      </c>
      <c r="K178">
        <v>1596</v>
      </c>
      <c r="L178">
        <v>2.73</v>
      </c>
      <c r="M178">
        <v>3.77</v>
      </c>
      <c r="N178" s="4">
        <f t="shared" si="4"/>
        <v>5.8505265000000008E-4</v>
      </c>
      <c r="O178" s="4">
        <f t="shared" si="5"/>
        <v>2.2056484905000001E-3</v>
      </c>
      <c r="P178">
        <v>100</v>
      </c>
      <c r="Q178">
        <v>2.5</v>
      </c>
      <c r="R178">
        <v>4</v>
      </c>
      <c r="S178">
        <v>3.5</v>
      </c>
      <c r="T178">
        <v>4.5</v>
      </c>
      <c r="U178">
        <v>4</v>
      </c>
      <c r="V178" t="s">
        <v>25</v>
      </c>
    </row>
    <row r="179" spans="1:22" x14ac:dyDescent="0.25">
      <c r="A179" t="s">
        <v>65</v>
      </c>
      <c r="B179">
        <v>2</v>
      </c>
      <c r="C179" t="s">
        <v>66</v>
      </c>
      <c r="D179" t="s">
        <v>67</v>
      </c>
      <c r="E179" t="s">
        <v>68</v>
      </c>
      <c r="F179">
        <v>180</v>
      </c>
      <c r="G179">
        <v>1080</v>
      </c>
      <c r="H179">
        <v>-3</v>
      </c>
      <c r="I179">
        <v>1981</v>
      </c>
      <c r="J179" t="s">
        <v>61</v>
      </c>
      <c r="K179">
        <v>1171</v>
      </c>
      <c r="L179">
        <v>2.79</v>
      </c>
      <c r="M179">
        <v>2.9</v>
      </c>
      <c r="N179" s="4">
        <f t="shared" si="4"/>
        <v>6.1105185000000012E-4</v>
      </c>
      <c r="O179" s="4">
        <f t="shared" si="5"/>
        <v>1.7720503650000003E-3</v>
      </c>
      <c r="P179">
        <v>75</v>
      </c>
      <c r="Q179">
        <v>2</v>
      </c>
      <c r="R179">
        <v>2</v>
      </c>
      <c r="S179">
        <v>2</v>
      </c>
      <c r="T179">
        <v>2</v>
      </c>
      <c r="U179">
        <v>3</v>
      </c>
      <c r="V179" t="s">
        <v>30</v>
      </c>
    </row>
    <row r="180" spans="1:22" x14ac:dyDescent="0.25">
      <c r="A180" t="s">
        <v>65</v>
      </c>
      <c r="B180">
        <v>2</v>
      </c>
      <c r="C180" t="s">
        <v>66</v>
      </c>
      <c r="D180" t="s">
        <v>67</v>
      </c>
      <c r="E180" t="s">
        <v>68</v>
      </c>
      <c r="F180">
        <v>180</v>
      </c>
      <c r="G180">
        <v>1080</v>
      </c>
      <c r="H180">
        <v>-3</v>
      </c>
      <c r="I180">
        <v>1981</v>
      </c>
      <c r="J180" t="s">
        <v>34</v>
      </c>
      <c r="K180">
        <v>2469</v>
      </c>
      <c r="L180">
        <v>9.8800000000000008</v>
      </c>
      <c r="M180">
        <v>8.94</v>
      </c>
      <c r="N180" s="4">
        <f t="shared" si="4"/>
        <v>7.6627304000000031E-3</v>
      </c>
      <c r="O180" s="4">
        <f t="shared" si="5"/>
        <v>6.8504809776000028E-2</v>
      </c>
      <c r="P180">
        <v>88</v>
      </c>
      <c r="Q180">
        <v>4</v>
      </c>
      <c r="R180">
        <v>3</v>
      </c>
      <c r="S180">
        <v>3.5</v>
      </c>
      <c r="T180">
        <v>3.5</v>
      </c>
      <c r="U180">
        <v>3.5</v>
      </c>
      <c r="V180" t="s">
        <v>25</v>
      </c>
    </row>
    <row r="181" spans="1:22" x14ac:dyDescent="0.25">
      <c r="A181" t="s">
        <v>65</v>
      </c>
      <c r="B181">
        <v>2</v>
      </c>
      <c r="C181" t="s">
        <v>66</v>
      </c>
      <c r="D181" t="s">
        <v>67</v>
      </c>
      <c r="E181" t="s">
        <v>68</v>
      </c>
      <c r="F181">
        <v>180</v>
      </c>
      <c r="G181">
        <v>1080</v>
      </c>
      <c r="H181">
        <v>-3</v>
      </c>
      <c r="I181">
        <v>1981</v>
      </c>
      <c r="J181" t="s">
        <v>34</v>
      </c>
      <c r="K181">
        <v>1337</v>
      </c>
      <c r="L181">
        <v>8.6300000000000008</v>
      </c>
      <c r="M181">
        <v>8.2100000000000009</v>
      </c>
      <c r="N181" s="4">
        <f t="shared" si="4"/>
        <v>5.84643665E-3</v>
      </c>
      <c r="O181" s="4">
        <f t="shared" si="5"/>
        <v>4.7999244896500003E-2</v>
      </c>
      <c r="P181">
        <v>100</v>
      </c>
      <c r="Q181">
        <v>4</v>
      </c>
      <c r="R181">
        <v>3</v>
      </c>
      <c r="S181">
        <v>3.5</v>
      </c>
      <c r="T181">
        <v>3.5</v>
      </c>
      <c r="U181">
        <v>3.5</v>
      </c>
      <c r="V181" t="s">
        <v>25</v>
      </c>
    </row>
    <row r="182" spans="1:22" x14ac:dyDescent="0.25">
      <c r="A182" t="s">
        <v>65</v>
      </c>
      <c r="B182">
        <v>2</v>
      </c>
      <c r="C182" t="s">
        <v>66</v>
      </c>
      <c r="D182" t="s">
        <v>67</v>
      </c>
      <c r="E182" t="s">
        <v>68</v>
      </c>
      <c r="F182">
        <v>180</v>
      </c>
      <c r="G182">
        <v>1080</v>
      </c>
      <c r="H182">
        <v>-3</v>
      </c>
      <c r="I182">
        <v>1981</v>
      </c>
      <c r="J182" t="s">
        <v>35</v>
      </c>
      <c r="K182">
        <v>1785</v>
      </c>
      <c r="L182">
        <v>4.3899999999999997</v>
      </c>
      <c r="M182">
        <v>4.03</v>
      </c>
      <c r="N182" s="4">
        <f t="shared" si="4"/>
        <v>1.5128598499999997E-3</v>
      </c>
      <c r="O182" s="4">
        <f t="shared" si="5"/>
        <v>6.0968251954999992E-3</v>
      </c>
      <c r="P182">
        <v>88</v>
      </c>
      <c r="Q182">
        <v>1.5</v>
      </c>
      <c r="R182">
        <v>1.5</v>
      </c>
      <c r="S182">
        <v>2</v>
      </c>
      <c r="T182">
        <v>2</v>
      </c>
      <c r="U182">
        <v>3</v>
      </c>
      <c r="V182" t="s">
        <v>50</v>
      </c>
    </row>
    <row r="183" spans="1:22" x14ac:dyDescent="0.25">
      <c r="A183" t="s">
        <v>65</v>
      </c>
      <c r="B183">
        <v>2</v>
      </c>
      <c r="C183" t="s">
        <v>66</v>
      </c>
      <c r="D183" t="s">
        <v>67</v>
      </c>
      <c r="E183" t="s">
        <v>68</v>
      </c>
      <c r="F183">
        <v>180</v>
      </c>
      <c r="G183">
        <v>1080</v>
      </c>
      <c r="H183">
        <v>-3</v>
      </c>
      <c r="I183">
        <v>1981</v>
      </c>
      <c r="J183" t="s">
        <v>36</v>
      </c>
      <c r="K183">
        <v>1598</v>
      </c>
      <c r="L183">
        <v>7.94</v>
      </c>
      <c r="M183">
        <v>7.77</v>
      </c>
      <c r="N183" s="4">
        <f t="shared" si="4"/>
        <v>4.9489225999999999E-3</v>
      </c>
      <c r="O183" s="4">
        <f t="shared" si="5"/>
        <v>3.8453128601999995E-2</v>
      </c>
      <c r="P183">
        <v>100</v>
      </c>
      <c r="Q183">
        <v>3.5</v>
      </c>
      <c r="R183">
        <v>4</v>
      </c>
      <c r="S183">
        <v>2.5</v>
      </c>
      <c r="T183">
        <v>4</v>
      </c>
      <c r="U183">
        <v>3.3</v>
      </c>
      <c r="V183" t="s">
        <v>27</v>
      </c>
    </row>
    <row r="184" spans="1:22" x14ac:dyDescent="0.25">
      <c r="A184" t="s">
        <v>65</v>
      </c>
      <c r="B184">
        <v>2</v>
      </c>
      <c r="C184" t="s">
        <v>66</v>
      </c>
      <c r="D184" t="s">
        <v>67</v>
      </c>
      <c r="E184" t="s">
        <v>68</v>
      </c>
      <c r="F184">
        <v>180</v>
      </c>
      <c r="G184">
        <v>1080</v>
      </c>
      <c r="H184">
        <v>-3</v>
      </c>
      <c r="I184">
        <v>1981</v>
      </c>
      <c r="J184" t="s">
        <v>62</v>
      </c>
      <c r="K184">
        <v>2428</v>
      </c>
      <c r="L184">
        <v>6.48</v>
      </c>
      <c r="M184">
        <v>6.42</v>
      </c>
      <c r="N184" s="4">
        <f t="shared" si="4"/>
        <v>3.2962464000000011E-3</v>
      </c>
      <c r="O184" s="4">
        <f t="shared" si="5"/>
        <v>2.1161901888000007E-2</v>
      </c>
      <c r="P184">
        <v>38</v>
      </c>
      <c r="Q184">
        <v>4</v>
      </c>
      <c r="R184">
        <v>3.5</v>
      </c>
      <c r="S184">
        <v>4</v>
      </c>
      <c r="T184">
        <v>4</v>
      </c>
      <c r="U184">
        <v>3.5</v>
      </c>
      <c r="V184" t="s">
        <v>25</v>
      </c>
    </row>
    <row r="185" spans="1:22" x14ac:dyDescent="0.25">
      <c r="A185" t="s">
        <v>65</v>
      </c>
      <c r="B185">
        <v>2</v>
      </c>
      <c r="C185" t="s">
        <v>66</v>
      </c>
      <c r="D185" t="s">
        <v>67</v>
      </c>
      <c r="E185" t="s">
        <v>68</v>
      </c>
      <c r="F185">
        <v>180</v>
      </c>
      <c r="G185">
        <v>1080</v>
      </c>
      <c r="H185">
        <v>-3</v>
      </c>
      <c r="I185">
        <v>1981</v>
      </c>
      <c r="J185" t="s">
        <v>62</v>
      </c>
      <c r="K185">
        <v>2431</v>
      </c>
      <c r="L185">
        <v>6.28</v>
      </c>
      <c r="M185">
        <v>6.7</v>
      </c>
      <c r="N185" s="4">
        <f t="shared" si="4"/>
        <v>3.0959144000000014E-3</v>
      </c>
      <c r="O185" s="4">
        <f t="shared" si="5"/>
        <v>2.0742626480000009E-2</v>
      </c>
      <c r="P185">
        <v>100</v>
      </c>
      <c r="Q185">
        <v>4</v>
      </c>
      <c r="R185">
        <v>3</v>
      </c>
      <c r="S185">
        <v>4</v>
      </c>
      <c r="T185">
        <v>4</v>
      </c>
      <c r="U185">
        <v>3.5</v>
      </c>
      <c r="V185" t="s">
        <v>25</v>
      </c>
    </row>
    <row r="186" spans="1:22" x14ac:dyDescent="0.25">
      <c r="A186" t="s">
        <v>65</v>
      </c>
      <c r="B186">
        <v>2</v>
      </c>
      <c r="C186" t="s">
        <v>66</v>
      </c>
      <c r="D186" t="s">
        <v>67</v>
      </c>
      <c r="E186" t="s">
        <v>68</v>
      </c>
      <c r="F186">
        <v>180</v>
      </c>
      <c r="G186">
        <v>1080</v>
      </c>
      <c r="H186">
        <v>-3</v>
      </c>
      <c r="I186">
        <v>1981</v>
      </c>
      <c r="J186" t="s">
        <v>62</v>
      </c>
      <c r="K186">
        <v>1787</v>
      </c>
      <c r="L186">
        <v>11.58</v>
      </c>
      <c r="M186">
        <v>8.3699999999999992</v>
      </c>
      <c r="N186" s="4">
        <f t="shared" si="4"/>
        <v>1.0526567400000001E-2</v>
      </c>
      <c r="O186" s="4">
        <f t="shared" si="5"/>
        <v>8.8107369137999991E-2</v>
      </c>
      <c r="P186">
        <v>63</v>
      </c>
      <c r="Q186">
        <v>4</v>
      </c>
      <c r="R186">
        <v>3.5</v>
      </c>
      <c r="S186">
        <v>4</v>
      </c>
      <c r="T186">
        <v>4</v>
      </c>
      <c r="U186">
        <v>3.5</v>
      </c>
      <c r="V186" t="s">
        <v>27</v>
      </c>
    </row>
    <row r="187" spans="1:22" x14ac:dyDescent="0.25">
      <c r="A187" t="s">
        <v>65</v>
      </c>
      <c r="B187">
        <v>2</v>
      </c>
      <c r="C187" t="s">
        <v>66</v>
      </c>
      <c r="D187" t="s">
        <v>67</v>
      </c>
      <c r="E187" t="s">
        <v>68</v>
      </c>
      <c r="F187">
        <v>180</v>
      </c>
      <c r="G187">
        <v>1080</v>
      </c>
      <c r="H187">
        <v>-3</v>
      </c>
      <c r="I187">
        <v>1981</v>
      </c>
      <c r="J187" t="s">
        <v>39</v>
      </c>
      <c r="K187">
        <v>2435</v>
      </c>
      <c r="L187">
        <v>3.56</v>
      </c>
      <c r="M187">
        <v>4.2699999999999996</v>
      </c>
      <c r="N187" s="4">
        <f t="shared" si="4"/>
        <v>9.948775999999999E-4</v>
      </c>
      <c r="O187" s="4">
        <f t="shared" si="5"/>
        <v>4.2481273519999994E-3</v>
      </c>
      <c r="P187">
        <v>25</v>
      </c>
      <c r="Q187">
        <v>3</v>
      </c>
      <c r="R187">
        <v>3</v>
      </c>
      <c r="S187">
        <v>3</v>
      </c>
      <c r="T187">
        <v>3</v>
      </c>
      <c r="U187">
        <v>3</v>
      </c>
      <c r="V187" t="s">
        <v>38</v>
      </c>
    </row>
    <row r="188" spans="1:22" x14ac:dyDescent="0.25">
      <c r="A188" t="s">
        <v>65</v>
      </c>
      <c r="B188">
        <v>2</v>
      </c>
      <c r="C188" t="s">
        <v>66</v>
      </c>
      <c r="D188" t="s">
        <v>67</v>
      </c>
      <c r="E188" t="s">
        <v>68</v>
      </c>
      <c r="F188">
        <v>180</v>
      </c>
      <c r="G188">
        <v>1080</v>
      </c>
      <c r="H188">
        <v>-3</v>
      </c>
      <c r="I188">
        <v>1981</v>
      </c>
      <c r="J188" t="s">
        <v>37</v>
      </c>
      <c r="K188">
        <v>1524</v>
      </c>
      <c r="L188">
        <v>2.57</v>
      </c>
      <c r="M188">
        <v>3.08</v>
      </c>
      <c r="N188" s="4">
        <f t="shared" si="4"/>
        <v>5.1848464999999994E-4</v>
      </c>
      <c r="O188" s="4">
        <f t="shared" si="5"/>
        <v>1.5969327219999998E-3</v>
      </c>
      <c r="P188">
        <v>75</v>
      </c>
      <c r="Q188">
        <v>2</v>
      </c>
      <c r="R188">
        <v>2</v>
      </c>
      <c r="S188">
        <v>2</v>
      </c>
      <c r="T188">
        <v>4</v>
      </c>
      <c r="U188">
        <v>3</v>
      </c>
      <c r="V188" t="s">
        <v>30</v>
      </c>
    </row>
    <row r="189" spans="1:22" x14ac:dyDescent="0.25">
      <c r="A189" t="s">
        <v>65</v>
      </c>
      <c r="B189">
        <v>2</v>
      </c>
      <c r="C189" t="s">
        <v>66</v>
      </c>
      <c r="D189" t="s">
        <v>67</v>
      </c>
      <c r="E189" t="s">
        <v>68</v>
      </c>
      <c r="F189">
        <v>180</v>
      </c>
      <c r="G189">
        <v>1080</v>
      </c>
      <c r="H189">
        <v>-3</v>
      </c>
      <c r="I189">
        <v>1981</v>
      </c>
      <c r="J189" t="s">
        <v>63</v>
      </c>
      <c r="K189">
        <v>1340</v>
      </c>
      <c r="L189">
        <v>5.37</v>
      </c>
      <c r="M189">
        <v>5.74</v>
      </c>
      <c r="N189" s="4">
        <f t="shared" si="4"/>
        <v>2.2636966499999999E-3</v>
      </c>
      <c r="O189" s="4">
        <f t="shared" si="5"/>
        <v>1.2993618771E-2</v>
      </c>
      <c r="P189">
        <v>100</v>
      </c>
      <c r="Q189">
        <v>1.5</v>
      </c>
      <c r="R189">
        <v>1</v>
      </c>
      <c r="S189">
        <v>1.5</v>
      </c>
      <c r="T189">
        <v>1.5</v>
      </c>
      <c r="U189">
        <v>2</v>
      </c>
      <c r="V189" t="s">
        <v>50</v>
      </c>
    </row>
    <row r="190" spans="1:22" x14ac:dyDescent="0.25">
      <c r="A190" t="s">
        <v>65</v>
      </c>
      <c r="B190">
        <v>2</v>
      </c>
      <c r="C190" t="s">
        <v>66</v>
      </c>
      <c r="D190" t="s">
        <v>67</v>
      </c>
      <c r="E190" t="s">
        <v>68</v>
      </c>
      <c r="F190">
        <v>180</v>
      </c>
      <c r="G190">
        <v>1080</v>
      </c>
      <c r="H190">
        <v>-3</v>
      </c>
      <c r="I190">
        <v>1981</v>
      </c>
      <c r="J190" t="s">
        <v>69</v>
      </c>
      <c r="K190">
        <v>1780</v>
      </c>
      <c r="L190">
        <v>2.6</v>
      </c>
      <c r="M190">
        <v>3.64</v>
      </c>
      <c r="N190" s="4">
        <f t="shared" si="4"/>
        <v>5.3066000000000018E-4</v>
      </c>
      <c r="O190" s="4">
        <f t="shared" si="5"/>
        <v>1.9316024000000007E-3</v>
      </c>
      <c r="P190">
        <v>38</v>
      </c>
      <c r="Q190">
        <v>1</v>
      </c>
      <c r="R190">
        <v>2</v>
      </c>
      <c r="S190">
        <v>2</v>
      </c>
      <c r="T190">
        <v>2</v>
      </c>
      <c r="U190">
        <v>3</v>
      </c>
      <c r="V190" t="s">
        <v>50</v>
      </c>
    </row>
    <row r="191" spans="1:22" x14ac:dyDescent="0.25">
      <c r="A191" t="s">
        <v>65</v>
      </c>
      <c r="B191">
        <v>3</v>
      </c>
      <c r="C191" t="s">
        <v>66</v>
      </c>
      <c r="D191" t="s">
        <v>67</v>
      </c>
      <c r="E191" t="s">
        <v>68</v>
      </c>
      <c r="F191">
        <v>180</v>
      </c>
      <c r="G191">
        <v>1080</v>
      </c>
      <c r="H191">
        <v>-3</v>
      </c>
      <c r="I191">
        <v>1981</v>
      </c>
      <c r="J191" t="s">
        <v>55</v>
      </c>
      <c r="K191">
        <v>1094</v>
      </c>
      <c r="L191">
        <v>5.26</v>
      </c>
      <c r="M191">
        <v>5.48</v>
      </c>
      <c r="N191" s="4">
        <f t="shared" si="4"/>
        <v>2.1719066000000001E-3</v>
      </c>
      <c r="O191" s="4">
        <f t="shared" si="5"/>
        <v>1.1902048168000001E-2</v>
      </c>
      <c r="P191">
        <v>63</v>
      </c>
      <c r="Q191">
        <v>2</v>
      </c>
      <c r="R191">
        <v>1.5</v>
      </c>
      <c r="S191">
        <v>2</v>
      </c>
      <c r="T191">
        <v>2</v>
      </c>
      <c r="U191">
        <v>2</v>
      </c>
      <c r="V191" t="s">
        <v>50</v>
      </c>
    </row>
    <row r="192" spans="1:22" x14ac:dyDescent="0.25">
      <c r="A192" t="s">
        <v>65</v>
      </c>
      <c r="B192">
        <v>3</v>
      </c>
      <c r="C192" t="s">
        <v>66</v>
      </c>
      <c r="D192" t="s">
        <v>67</v>
      </c>
      <c r="E192" t="s">
        <v>68</v>
      </c>
      <c r="F192">
        <v>180</v>
      </c>
      <c r="G192">
        <v>1080</v>
      </c>
      <c r="H192">
        <v>-3</v>
      </c>
      <c r="I192">
        <v>1981</v>
      </c>
      <c r="J192" t="s">
        <v>56</v>
      </c>
      <c r="K192">
        <v>1111</v>
      </c>
      <c r="L192">
        <v>4.88</v>
      </c>
      <c r="M192">
        <v>4.1100000000000003</v>
      </c>
      <c r="N192" s="4">
        <f t="shared" si="4"/>
        <v>1.8694303999999995E-3</v>
      </c>
      <c r="O192" s="4">
        <f t="shared" si="5"/>
        <v>7.6833589439999983E-3</v>
      </c>
      <c r="P192">
        <v>88</v>
      </c>
      <c r="Q192">
        <v>3.5</v>
      </c>
      <c r="R192">
        <v>2.5</v>
      </c>
      <c r="S192">
        <v>2</v>
      </c>
      <c r="T192">
        <v>2</v>
      </c>
      <c r="U192">
        <v>2</v>
      </c>
      <c r="V192" t="s">
        <v>38</v>
      </c>
    </row>
    <row r="193" spans="1:22" x14ac:dyDescent="0.25">
      <c r="A193" t="s">
        <v>65</v>
      </c>
      <c r="B193">
        <v>3</v>
      </c>
      <c r="C193" t="s">
        <v>66</v>
      </c>
      <c r="D193" t="s">
        <v>67</v>
      </c>
      <c r="E193" t="s">
        <v>68</v>
      </c>
      <c r="F193">
        <v>180</v>
      </c>
      <c r="G193">
        <v>1080</v>
      </c>
      <c r="H193">
        <v>-3</v>
      </c>
      <c r="I193">
        <v>1981</v>
      </c>
      <c r="J193" t="s">
        <v>57</v>
      </c>
      <c r="K193">
        <v>1112</v>
      </c>
      <c r="L193">
        <v>7.83</v>
      </c>
      <c r="M193">
        <v>6.68</v>
      </c>
      <c r="N193" s="4">
        <f t="shared" si="4"/>
        <v>4.8127486499999995E-3</v>
      </c>
      <c r="O193" s="4">
        <f t="shared" si="5"/>
        <v>3.2149160981999998E-2</v>
      </c>
      <c r="P193">
        <v>100</v>
      </c>
      <c r="Q193">
        <v>3</v>
      </c>
      <c r="R193">
        <v>1.8</v>
      </c>
      <c r="S193">
        <v>3.5</v>
      </c>
      <c r="T193">
        <v>4</v>
      </c>
      <c r="U193">
        <v>4</v>
      </c>
      <c r="V193" t="s">
        <v>25</v>
      </c>
    </row>
    <row r="194" spans="1:22" x14ac:dyDescent="0.25">
      <c r="A194" t="s">
        <v>65</v>
      </c>
      <c r="B194">
        <v>3</v>
      </c>
      <c r="C194" t="s">
        <v>66</v>
      </c>
      <c r="D194" t="s">
        <v>67</v>
      </c>
      <c r="E194" t="s">
        <v>68</v>
      </c>
      <c r="F194">
        <v>180</v>
      </c>
      <c r="G194">
        <v>1080</v>
      </c>
      <c r="H194">
        <v>-3</v>
      </c>
      <c r="I194">
        <v>1981</v>
      </c>
      <c r="J194" t="s">
        <v>57</v>
      </c>
      <c r="K194">
        <v>1113</v>
      </c>
      <c r="L194">
        <v>4.62</v>
      </c>
      <c r="M194">
        <v>4.1100000000000003</v>
      </c>
      <c r="N194" s="4">
        <f t="shared" si="4"/>
        <v>1.6755353999999998E-3</v>
      </c>
      <c r="O194" s="4">
        <f t="shared" si="5"/>
        <v>6.8864504939999995E-3</v>
      </c>
      <c r="P194">
        <v>88</v>
      </c>
      <c r="Q194">
        <v>3</v>
      </c>
      <c r="R194">
        <v>2</v>
      </c>
      <c r="S194">
        <v>2.5</v>
      </c>
      <c r="T194">
        <v>3.5</v>
      </c>
      <c r="U194">
        <v>3</v>
      </c>
      <c r="V194" t="s">
        <v>38</v>
      </c>
    </row>
    <row r="195" spans="1:22" x14ac:dyDescent="0.25">
      <c r="A195" t="s">
        <v>65</v>
      </c>
      <c r="B195">
        <v>3</v>
      </c>
      <c r="C195" t="s">
        <v>66</v>
      </c>
      <c r="D195" t="s">
        <v>67</v>
      </c>
      <c r="E195" t="s">
        <v>68</v>
      </c>
      <c r="F195">
        <v>180</v>
      </c>
      <c r="G195">
        <v>1080</v>
      </c>
      <c r="H195">
        <v>-3</v>
      </c>
      <c r="I195">
        <v>1981</v>
      </c>
      <c r="J195" t="s">
        <v>60</v>
      </c>
      <c r="K195">
        <v>1595</v>
      </c>
      <c r="L195">
        <v>2.29</v>
      </c>
      <c r="M195">
        <v>2.67</v>
      </c>
      <c r="N195" s="4">
        <f t="shared" ref="N195:N258" si="6">3.14/4*((L195/100)^2)</f>
        <v>4.1166185000000003E-4</v>
      </c>
      <c r="O195" s="4">
        <f t="shared" ref="O195:O258" si="7">3.14/4*((L195/100)^2)*M195</f>
        <v>1.0991371395000001E-3</v>
      </c>
      <c r="P195">
        <v>75</v>
      </c>
      <c r="Q195">
        <v>2.5</v>
      </c>
      <c r="R195">
        <v>1.5</v>
      </c>
      <c r="S195">
        <v>3</v>
      </c>
      <c r="T195">
        <v>4</v>
      </c>
      <c r="U195">
        <v>4</v>
      </c>
      <c r="V195" t="s">
        <v>30</v>
      </c>
    </row>
    <row r="196" spans="1:22" x14ac:dyDescent="0.25">
      <c r="A196" t="s">
        <v>65</v>
      </c>
      <c r="B196">
        <v>3</v>
      </c>
      <c r="C196" t="s">
        <v>66</v>
      </c>
      <c r="D196" t="s">
        <v>67</v>
      </c>
      <c r="E196" t="s">
        <v>68</v>
      </c>
      <c r="F196">
        <v>180</v>
      </c>
      <c r="G196">
        <v>1080</v>
      </c>
      <c r="H196">
        <v>-3</v>
      </c>
      <c r="I196">
        <v>1981</v>
      </c>
      <c r="J196" t="s">
        <v>58</v>
      </c>
      <c r="K196">
        <v>1338</v>
      </c>
      <c r="L196">
        <v>7.28</v>
      </c>
      <c r="M196">
        <v>7.45</v>
      </c>
      <c r="N196" s="4">
        <f t="shared" si="6"/>
        <v>4.1603744000000007E-3</v>
      </c>
      <c r="O196" s="4">
        <f t="shared" si="7"/>
        <v>3.0994789280000004E-2</v>
      </c>
      <c r="P196">
        <v>63</v>
      </c>
      <c r="Q196">
        <v>4</v>
      </c>
      <c r="R196">
        <v>3</v>
      </c>
      <c r="S196">
        <v>3.3</v>
      </c>
      <c r="T196">
        <v>3.3</v>
      </c>
      <c r="U196">
        <v>3</v>
      </c>
      <c r="V196" t="s">
        <v>25</v>
      </c>
    </row>
    <row r="197" spans="1:22" x14ac:dyDescent="0.25">
      <c r="A197" t="s">
        <v>65</v>
      </c>
      <c r="B197">
        <v>3</v>
      </c>
      <c r="C197" t="s">
        <v>66</v>
      </c>
      <c r="D197" t="s">
        <v>67</v>
      </c>
      <c r="E197" t="s">
        <v>68</v>
      </c>
      <c r="F197">
        <v>180</v>
      </c>
      <c r="G197">
        <v>1080</v>
      </c>
      <c r="H197">
        <v>-3</v>
      </c>
      <c r="I197">
        <v>1981</v>
      </c>
      <c r="J197" t="s">
        <v>59</v>
      </c>
      <c r="K197">
        <v>1978</v>
      </c>
      <c r="L197">
        <v>16.54</v>
      </c>
      <c r="M197">
        <v>9.93</v>
      </c>
      <c r="N197" s="4">
        <f t="shared" si="6"/>
        <v>2.1475370599999998E-2</v>
      </c>
      <c r="O197" s="4">
        <f t="shared" si="7"/>
        <v>0.21325043005799998</v>
      </c>
      <c r="P197">
        <v>100</v>
      </c>
      <c r="Q197">
        <v>5</v>
      </c>
      <c r="R197">
        <v>3.3</v>
      </c>
      <c r="S197">
        <v>3.3</v>
      </c>
      <c r="T197">
        <v>2.5</v>
      </c>
      <c r="U197">
        <v>2</v>
      </c>
      <c r="V197" t="s">
        <v>27</v>
      </c>
    </row>
    <row r="198" spans="1:22" x14ac:dyDescent="0.25">
      <c r="A198" t="s">
        <v>65</v>
      </c>
      <c r="B198">
        <v>3</v>
      </c>
      <c r="C198" t="s">
        <v>66</v>
      </c>
      <c r="D198" t="s">
        <v>67</v>
      </c>
      <c r="E198" t="s">
        <v>68</v>
      </c>
      <c r="F198">
        <v>180</v>
      </c>
      <c r="G198">
        <v>1080</v>
      </c>
      <c r="H198">
        <v>-3</v>
      </c>
      <c r="I198">
        <v>1981</v>
      </c>
      <c r="J198" t="s">
        <v>59</v>
      </c>
      <c r="K198">
        <v>1482</v>
      </c>
      <c r="L198">
        <v>10.54</v>
      </c>
      <c r="M198">
        <v>7.84</v>
      </c>
      <c r="N198" s="4">
        <f t="shared" si="6"/>
        <v>8.720690599999999E-3</v>
      </c>
      <c r="O198" s="4">
        <f t="shared" si="7"/>
        <v>6.837021430399999E-2</v>
      </c>
      <c r="P198">
        <v>88</v>
      </c>
      <c r="Q198">
        <v>4</v>
      </c>
      <c r="R198">
        <v>3.3</v>
      </c>
      <c r="S198">
        <v>3.3</v>
      </c>
      <c r="T198">
        <v>3.5</v>
      </c>
      <c r="U198">
        <v>3.5</v>
      </c>
      <c r="V198" t="s">
        <v>25</v>
      </c>
    </row>
    <row r="199" spans="1:22" x14ac:dyDescent="0.25">
      <c r="A199" t="s">
        <v>65</v>
      </c>
      <c r="B199">
        <v>3</v>
      </c>
      <c r="C199" t="s">
        <v>66</v>
      </c>
      <c r="D199" t="s">
        <v>67</v>
      </c>
      <c r="E199" t="s">
        <v>68</v>
      </c>
      <c r="F199">
        <v>180</v>
      </c>
      <c r="G199">
        <v>1080</v>
      </c>
      <c r="H199">
        <v>-3</v>
      </c>
      <c r="I199">
        <v>1981</v>
      </c>
      <c r="J199" t="s">
        <v>26</v>
      </c>
      <c r="K199">
        <v>1339</v>
      </c>
      <c r="L199">
        <v>3.81</v>
      </c>
      <c r="M199">
        <v>4.7300000000000004</v>
      </c>
      <c r="N199" s="4">
        <f t="shared" si="6"/>
        <v>1.1395138500000001E-3</v>
      </c>
      <c r="O199" s="4">
        <f t="shared" si="7"/>
        <v>5.3899005105000003E-3</v>
      </c>
      <c r="P199">
        <v>100</v>
      </c>
      <c r="Q199">
        <v>3</v>
      </c>
      <c r="R199">
        <v>2.7</v>
      </c>
      <c r="S199">
        <v>3</v>
      </c>
      <c r="T199">
        <v>3</v>
      </c>
      <c r="U199">
        <v>3.5</v>
      </c>
      <c r="V199" t="s">
        <v>25</v>
      </c>
    </row>
    <row r="200" spans="1:22" x14ac:dyDescent="0.25">
      <c r="A200" t="s">
        <v>65</v>
      </c>
      <c r="B200">
        <v>3</v>
      </c>
      <c r="C200" t="s">
        <v>66</v>
      </c>
      <c r="D200" t="s">
        <v>67</v>
      </c>
      <c r="E200" t="s">
        <v>68</v>
      </c>
      <c r="F200">
        <v>180</v>
      </c>
      <c r="G200">
        <v>1080</v>
      </c>
      <c r="H200">
        <v>-3</v>
      </c>
      <c r="I200">
        <v>1981</v>
      </c>
      <c r="J200" t="s">
        <v>26</v>
      </c>
      <c r="K200">
        <v>2447</v>
      </c>
      <c r="L200">
        <v>11.57</v>
      </c>
      <c r="M200">
        <v>8.41</v>
      </c>
      <c r="N200" s="4">
        <f t="shared" si="6"/>
        <v>1.0508394649999999E-2</v>
      </c>
      <c r="O200" s="4">
        <f t="shared" si="7"/>
        <v>8.8375599006499994E-2</v>
      </c>
      <c r="P200">
        <v>100</v>
      </c>
      <c r="Q200">
        <v>4</v>
      </c>
      <c r="R200">
        <v>3</v>
      </c>
      <c r="S200">
        <v>3.5</v>
      </c>
      <c r="T200">
        <v>3.5</v>
      </c>
      <c r="U200">
        <v>3.5</v>
      </c>
      <c r="V200" t="s">
        <v>27</v>
      </c>
    </row>
    <row r="201" spans="1:22" x14ac:dyDescent="0.25">
      <c r="A201" t="s">
        <v>65</v>
      </c>
      <c r="B201">
        <v>3</v>
      </c>
      <c r="C201" t="s">
        <v>66</v>
      </c>
      <c r="D201" t="s">
        <v>67</v>
      </c>
      <c r="E201" t="s">
        <v>68</v>
      </c>
      <c r="F201">
        <v>180</v>
      </c>
      <c r="G201">
        <v>1080</v>
      </c>
      <c r="H201">
        <v>-3</v>
      </c>
      <c r="I201">
        <v>1981</v>
      </c>
      <c r="J201" t="s">
        <v>26</v>
      </c>
      <c r="K201">
        <v>1786</v>
      </c>
      <c r="L201">
        <v>13.67</v>
      </c>
      <c r="M201">
        <v>8.81</v>
      </c>
      <c r="N201" s="4">
        <f t="shared" si="6"/>
        <v>1.466920865E-2</v>
      </c>
      <c r="O201" s="4">
        <f t="shared" si="7"/>
        <v>0.12923572820650001</v>
      </c>
      <c r="P201">
        <v>100</v>
      </c>
      <c r="Q201">
        <v>4.8</v>
      </c>
      <c r="R201">
        <v>3</v>
      </c>
      <c r="S201">
        <v>3.5</v>
      </c>
      <c r="T201">
        <v>3.5</v>
      </c>
      <c r="U201">
        <v>3</v>
      </c>
      <c r="V201" t="s">
        <v>27</v>
      </c>
    </row>
    <row r="202" spans="1:22" x14ac:dyDescent="0.25">
      <c r="A202" t="s">
        <v>65</v>
      </c>
      <c r="B202">
        <v>3</v>
      </c>
      <c r="C202" t="s">
        <v>66</v>
      </c>
      <c r="D202" t="s">
        <v>67</v>
      </c>
      <c r="E202" t="s">
        <v>68</v>
      </c>
      <c r="F202">
        <v>180</v>
      </c>
      <c r="G202">
        <v>1080</v>
      </c>
      <c r="H202">
        <v>-3</v>
      </c>
      <c r="I202">
        <v>1981</v>
      </c>
      <c r="J202" t="s">
        <v>32</v>
      </c>
      <c r="K202">
        <v>1596</v>
      </c>
      <c r="L202">
        <v>7.03</v>
      </c>
      <c r="M202">
        <v>5.99</v>
      </c>
      <c r="N202" s="4">
        <f t="shared" si="6"/>
        <v>3.8795406500000008E-3</v>
      </c>
      <c r="O202" s="4">
        <f t="shared" si="7"/>
        <v>2.3238448493500007E-2</v>
      </c>
      <c r="P202">
        <v>88</v>
      </c>
      <c r="Q202">
        <v>3.5</v>
      </c>
      <c r="R202">
        <v>2.7</v>
      </c>
      <c r="S202">
        <v>3.5</v>
      </c>
      <c r="T202">
        <v>4</v>
      </c>
      <c r="U202">
        <v>4</v>
      </c>
      <c r="V202" t="s">
        <v>27</v>
      </c>
    </row>
    <row r="203" spans="1:22" x14ac:dyDescent="0.25">
      <c r="A203" t="s">
        <v>65</v>
      </c>
      <c r="B203">
        <v>3</v>
      </c>
      <c r="C203" t="s">
        <v>66</v>
      </c>
      <c r="D203" t="s">
        <v>67</v>
      </c>
      <c r="E203" t="s">
        <v>68</v>
      </c>
      <c r="F203">
        <v>180</v>
      </c>
      <c r="G203">
        <v>1080</v>
      </c>
      <c r="H203">
        <v>-3</v>
      </c>
      <c r="I203">
        <v>1981</v>
      </c>
      <c r="J203" t="s">
        <v>61</v>
      </c>
      <c r="K203">
        <v>1171</v>
      </c>
      <c r="L203">
        <v>0</v>
      </c>
      <c r="M203">
        <v>0</v>
      </c>
      <c r="N203" s="4">
        <f t="shared" si="6"/>
        <v>0</v>
      </c>
      <c r="O203" s="4">
        <f t="shared" si="7"/>
        <v>0</v>
      </c>
      <c r="P203" t="s">
        <v>44</v>
      </c>
      <c r="Q203">
        <v>2.5</v>
      </c>
      <c r="R203">
        <v>2</v>
      </c>
      <c r="S203">
        <v>1</v>
      </c>
      <c r="T203">
        <v>1</v>
      </c>
      <c r="U203">
        <v>1</v>
      </c>
      <c r="V203" t="s">
        <v>50</v>
      </c>
    </row>
    <row r="204" spans="1:22" x14ac:dyDescent="0.25">
      <c r="A204" t="s">
        <v>65</v>
      </c>
      <c r="B204">
        <v>3</v>
      </c>
      <c r="C204" t="s">
        <v>66</v>
      </c>
      <c r="D204" t="s">
        <v>67</v>
      </c>
      <c r="E204" t="s">
        <v>68</v>
      </c>
      <c r="F204">
        <v>180</v>
      </c>
      <c r="G204">
        <v>1080</v>
      </c>
      <c r="H204">
        <v>-3</v>
      </c>
      <c r="I204">
        <v>1981</v>
      </c>
      <c r="J204" t="s">
        <v>34</v>
      </c>
      <c r="K204">
        <v>2469</v>
      </c>
      <c r="L204">
        <v>7.68</v>
      </c>
      <c r="M204">
        <v>8</v>
      </c>
      <c r="N204" s="4">
        <f t="shared" si="6"/>
        <v>4.6301183999999992E-3</v>
      </c>
      <c r="O204" s="4">
        <f t="shared" si="7"/>
        <v>3.7040947199999993E-2</v>
      </c>
      <c r="P204">
        <v>88</v>
      </c>
      <c r="Q204">
        <v>4.5</v>
      </c>
      <c r="R204">
        <v>3</v>
      </c>
      <c r="S204">
        <v>4</v>
      </c>
      <c r="T204">
        <v>4</v>
      </c>
      <c r="U204">
        <v>4</v>
      </c>
      <c r="V204" t="s">
        <v>27</v>
      </c>
    </row>
    <row r="205" spans="1:22" x14ac:dyDescent="0.25">
      <c r="A205" t="s">
        <v>65</v>
      </c>
      <c r="B205">
        <v>3</v>
      </c>
      <c r="C205" t="s">
        <v>66</v>
      </c>
      <c r="D205" t="s">
        <v>67</v>
      </c>
      <c r="E205" t="s">
        <v>68</v>
      </c>
      <c r="F205">
        <v>180</v>
      </c>
      <c r="G205">
        <v>1080</v>
      </c>
      <c r="H205">
        <v>-3</v>
      </c>
      <c r="I205">
        <v>1981</v>
      </c>
      <c r="J205" t="s">
        <v>35</v>
      </c>
      <c r="K205">
        <v>1785</v>
      </c>
      <c r="L205">
        <v>3.2</v>
      </c>
      <c r="M205">
        <v>3.56</v>
      </c>
      <c r="N205" s="4">
        <f t="shared" si="6"/>
        <v>8.0384E-4</v>
      </c>
      <c r="O205" s="4">
        <f t="shared" si="7"/>
        <v>2.8616703999999999E-3</v>
      </c>
      <c r="P205">
        <v>88</v>
      </c>
      <c r="Q205">
        <v>1.5</v>
      </c>
      <c r="R205">
        <v>1.8</v>
      </c>
      <c r="S205">
        <v>2.5</v>
      </c>
      <c r="T205">
        <v>3.3</v>
      </c>
      <c r="U205">
        <v>3.5</v>
      </c>
      <c r="V205" t="s">
        <v>30</v>
      </c>
    </row>
    <row r="206" spans="1:22" x14ac:dyDescent="0.25">
      <c r="A206" t="s">
        <v>65</v>
      </c>
      <c r="B206">
        <v>3</v>
      </c>
      <c r="C206" t="s">
        <v>66</v>
      </c>
      <c r="D206" t="s">
        <v>67</v>
      </c>
      <c r="E206" t="s">
        <v>68</v>
      </c>
      <c r="F206">
        <v>180</v>
      </c>
      <c r="G206">
        <v>1080</v>
      </c>
      <c r="H206">
        <v>-3</v>
      </c>
      <c r="I206">
        <v>1981</v>
      </c>
      <c r="J206" t="s">
        <v>36</v>
      </c>
      <c r="K206">
        <v>1598</v>
      </c>
      <c r="L206">
        <v>6.78</v>
      </c>
      <c r="M206">
        <v>5.62</v>
      </c>
      <c r="N206" s="4">
        <f t="shared" si="6"/>
        <v>3.6085193999999998E-3</v>
      </c>
      <c r="O206" s="4">
        <f t="shared" si="7"/>
        <v>2.0279879027999999E-2</v>
      </c>
      <c r="P206">
        <v>63</v>
      </c>
      <c r="Q206">
        <v>3</v>
      </c>
      <c r="R206">
        <v>4</v>
      </c>
      <c r="S206">
        <v>2.5</v>
      </c>
      <c r="T206">
        <v>3</v>
      </c>
      <c r="U206">
        <v>2</v>
      </c>
      <c r="V206" t="s">
        <v>38</v>
      </c>
    </row>
    <row r="207" spans="1:22" x14ac:dyDescent="0.25">
      <c r="A207" t="s">
        <v>65</v>
      </c>
      <c r="B207">
        <v>3</v>
      </c>
      <c r="C207" t="s">
        <v>66</v>
      </c>
      <c r="D207" t="s">
        <v>67</v>
      </c>
      <c r="E207" t="s">
        <v>68</v>
      </c>
      <c r="F207">
        <v>180</v>
      </c>
      <c r="G207">
        <v>1080</v>
      </c>
      <c r="H207">
        <v>-3</v>
      </c>
      <c r="I207">
        <v>1981</v>
      </c>
      <c r="J207" t="s">
        <v>62</v>
      </c>
      <c r="K207">
        <v>2428</v>
      </c>
      <c r="L207">
        <v>5.16</v>
      </c>
      <c r="M207">
        <v>5.86</v>
      </c>
      <c r="N207" s="4">
        <f t="shared" si="6"/>
        <v>2.0901095999999999E-3</v>
      </c>
      <c r="O207" s="4">
        <f t="shared" si="7"/>
        <v>1.2248042256E-2</v>
      </c>
      <c r="P207">
        <v>75</v>
      </c>
      <c r="Q207">
        <v>4</v>
      </c>
      <c r="R207">
        <v>3</v>
      </c>
      <c r="S207">
        <v>4</v>
      </c>
      <c r="T207">
        <v>4</v>
      </c>
      <c r="U207">
        <v>4</v>
      </c>
      <c r="V207" t="s">
        <v>27</v>
      </c>
    </row>
    <row r="208" spans="1:22" x14ac:dyDescent="0.25">
      <c r="A208" t="s">
        <v>65</v>
      </c>
      <c r="B208">
        <v>3</v>
      </c>
      <c r="C208" t="s">
        <v>66</v>
      </c>
      <c r="D208" t="s">
        <v>67</v>
      </c>
      <c r="E208" t="s">
        <v>68</v>
      </c>
      <c r="F208">
        <v>180</v>
      </c>
      <c r="G208">
        <v>1080</v>
      </c>
      <c r="H208">
        <v>-3</v>
      </c>
      <c r="I208">
        <v>1981</v>
      </c>
      <c r="J208" t="s">
        <v>62</v>
      </c>
      <c r="K208">
        <v>2431</v>
      </c>
      <c r="L208">
        <v>3.35</v>
      </c>
      <c r="M208">
        <v>5.16</v>
      </c>
      <c r="N208" s="4">
        <f t="shared" si="6"/>
        <v>8.8096625000000015E-4</v>
      </c>
      <c r="O208" s="4">
        <f t="shared" si="7"/>
        <v>4.545785850000001E-3</v>
      </c>
      <c r="P208">
        <v>100</v>
      </c>
      <c r="Q208">
        <v>3</v>
      </c>
      <c r="R208">
        <v>3</v>
      </c>
      <c r="S208">
        <v>4.5</v>
      </c>
      <c r="T208">
        <v>4</v>
      </c>
      <c r="U208">
        <v>4</v>
      </c>
      <c r="V208" t="s">
        <v>25</v>
      </c>
    </row>
    <row r="209" spans="1:22" x14ac:dyDescent="0.25">
      <c r="A209" t="s">
        <v>65</v>
      </c>
      <c r="B209">
        <v>3</v>
      </c>
      <c r="C209" t="s">
        <v>66</v>
      </c>
      <c r="D209" t="s">
        <v>67</v>
      </c>
      <c r="E209" t="s">
        <v>68</v>
      </c>
      <c r="F209">
        <v>180</v>
      </c>
      <c r="G209">
        <v>1080</v>
      </c>
      <c r="H209">
        <v>-3</v>
      </c>
      <c r="I209">
        <v>1981</v>
      </c>
      <c r="J209" t="s">
        <v>62</v>
      </c>
      <c r="K209">
        <v>1787</v>
      </c>
      <c r="L209">
        <v>3.77</v>
      </c>
      <c r="M209">
        <v>4.88</v>
      </c>
      <c r="N209" s="4">
        <f t="shared" si="6"/>
        <v>1.1157126499999998E-3</v>
      </c>
      <c r="O209" s="4">
        <f t="shared" si="7"/>
        <v>5.444677731999999E-3</v>
      </c>
      <c r="P209">
        <v>88</v>
      </c>
      <c r="Q209">
        <v>4</v>
      </c>
      <c r="R209">
        <v>3.5</v>
      </c>
      <c r="S209">
        <v>4</v>
      </c>
      <c r="T209">
        <v>4</v>
      </c>
      <c r="U209">
        <v>4</v>
      </c>
      <c r="V209" t="s">
        <v>27</v>
      </c>
    </row>
    <row r="210" spans="1:22" x14ac:dyDescent="0.25">
      <c r="A210" t="s">
        <v>65</v>
      </c>
      <c r="B210">
        <v>3</v>
      </c>
      <c r="C210" t="s">
        <v>66</v>
      </c>
      <c r="D210" t="s">
        <v>67</v>
      </c>
      <c r="E210" t="s">
        <v>68</v>
      </c>
      <c r="F210">
        <v>180</v>
      </c>
      <c r="G210">
        <v>1080</v>
      </c>
      <c r="H210">
        <v>-3</v>
      </c>
      <c r="I210">
        <v>1981</v>
      </c>
      <c r="J210" t="s">
        <v>37</v>
      </c>
      <c r="K210">
        <v>1524</v>
      </c>
      <c r="L210">
        <v>4.49</v>
      </c>
      <c r="M210">
        <v>4.49</v>
      </c>
      <c r="N210" s="4">
        <f t="shared" si="6"/>
        <v>1.5825678500000003E-3</v>
      </c>
      <c r="O210" s="4">
        <f t="shared" si="7"/>
        <v>7.1057296465000018E-3</v>
      </c>
      <c r="P210">
        <v>88</v>
      </c>
      <c r="Q210">
        <v>2.2999999999999998</v>
      </c>
      <c r="R210">
        <v>2</v>
      </c>
      <c r="S210">
        <v>2.5</v>
      </c>
      <c r="T210">
        <v>4</v>
      </c>
      <c r="U210">
        <v>3</v>
      </c>
      <c r="V210" t="s">
        <v>30</v>
      </c>
    </row>
    <row r="211" spans="1:22" x14ac:dyDescent="0.25">
      <c r="A211" t="s">
        <v>65</v>
      </c>
      <c r="B211">
        <v>3</v>
      </c>
      <c r="C211" t="s">
        <v>66</v>
      </c>
      <c r="D211" t="s">
        <v>67</v>
      </c>
      <c r="E211" t="s">
        <v>68</v>
      </c>
      <c r="F211">
        <v>180</v>
      </c>
      <c r="G211">
        <v>1080</v>
      </c>
      <c r="H211">
        <v>-3</v>
      </c>
      <c r="I211">
        <v>1981</v>
      </c>
      <c r="J211" t="s">
        <v>63</v>
      </c>
      <c r="K211">
        <v>1340</v>
      </c>
      <c r="L211">
        <v>6.11</v>
      </c>
      <c r="M211">
        <v>5.74</v>
      </c>
      <c r="N211" s="4">
        <f t="shared" si="6"/>
        <v>2.9305698500000001E-3</v>
      </c>
      <c r="O211" s="4">
        <f t="shared" si="7"/>
        <v>1.6821470939000001E-2</v>
      </c>
      <c r="P211">
        <v>100</v>
      </c>
      <c r="Q211">
        <v>2.5</v>
      </c>
      <c r="R211">
        <v>1.5</v>
      </c>
      <c r="S211">
        <v>1.5</v>
      </c>
      <c r="T211">
        <v>1</v>
      </c>
      <c r="U211">
        <v>1</v>
      </c>
      <c r="V211" t="s">
        <v>30</v>
      </c>
    </row>
    <row r="212" spans="1:22" x14ac:dyDescent="0.25">
      <c r="A212" t="s">
        <v>65</v>
      </c>
      <c r="B212">
        <v>3</v>
      </c>
      <c r="C212" t="s">
        <v>66</v>
      </c>
      <c r="D212" t="s">
        <v>67</v>
      </c>
      <c r="E212" t="s">
        <v>68</v>
      </c>
      <c r="F212">
        <v>180</v>
      </c>
      <c r="G212">
        <v>1080</v>
      </c>
      <c r="H212">
        <v>-3</v>
      </c>
      <c r="I212">
        <v>1981</v>
      </c>
      <c r="J212" t="s">
        <v>69</v>
      </c>
      <c r="K212">
        <v>1780</v>
      </c>
      <c r="L212">
        <v>3.51</v>
      </c>
      <c r="M212">
        <v>4.68</v>
      </c>
      <c r="N212" s="4">
        <f t="shared" si="6"/>
        <v>9.6712784999999999E-4</v>
      </c>
      <c r="O212" s="4">
        <f t="shared" si="7"/>
        <v>4.5261583379999993E-3</v>
      </c>
      <c r="P212">
        <v>25</v>
      </c>
      <c r="Q212">
        <v>1.5</v>
      </c>
      <c r="R212">
        <v>1.5</v>
      </c>
      <c r="S212">
        <v>2</v>
      </c>
      <c r="T212">
        <v>2</v>
      </c>
      <c r="U212">
        <v>3</v>
      </c>
      <c r="V212" t="s">
        <v>30</v>
      </c>
    </row>
    <row r="213" spans="1:22" x14ac:dyDescent="0.25">
      <c r="A213" t="s">
        <v>70</v>
      </c>
      <c r="B213">
        <v>1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12</v>
      </c>
      <c r="M213">
        <v>10.3</v>
      </c>
      <c r="N213" s="4">
        <f t="shared" si="6"/>
        <v>1.1304E-2</v>
      </c>
      <c r="O213" s="4">
        <f t="shared" si="7"/>
        <v>0.11643120000000001</v>
      </c>
      <c r="P213">
        <v>38</v>
      </c>
      <c r="Q213">
        <v>2.8</v>
      </c>
      <c r="R213">
        <v>3.2</v>
      </c>
      <c r="S213">
        <v>2.8</v>
      </c>
      <c r="T213">
        <v>3.2</v>
      </c>
      <c r="U213">
        <v>3</v>
      </c>
      <c r="V213" t="s">
        <v>30</v>
      </c>
    </row>
    <row r="214" spans="1:22" x14ac:dyDescent="0.25">
      <c r="A214" t="s">
        <v>70</v>
      </c>
      <c r="B214">
        <v>1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15</v>
      </c>
      <c r="M214">
        <v>8.4</v>
      </c>
      <c r="N214" s="4">
        <f t="shared" si="6"/>
        <v>1.7662500000000001E-2</v>
      </c>
      <c r="O214" s="4">
        <f t="shared" si="7"/>
        <v>0.14836500000000002</v>
      </c>
      <c r="P214">
        <v>88</v>
      </c>
      <c r="Q214">
        <v>3</v>
      </c>
      <c r="R214">
        <v>3</v>
      </c>
      <c r="S214">
        <v>3</v>
      </c>
      <c r="T214">
        <v>3</v>
      </c>
      <c r="U214">
        <v>2</v>
      </c>
      <c r="V214" t="s">
        <v>38</v>
      </c>
    </row>
    <row r="215" spans="1:22" x14ac:dyDescent="0.25">
      <c r="A215" t="s">
        <v>70</v>
      </c>
      <c r="B215">
        <v>1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13</v>
      </c>
      <c r="M215">
        <v>11.1</v>
      </c>
      <c r="N215" s="4">
        <f t="shared" si="6"/>
        <v>1.3266500000000002E-2</v>
      </c>
      <c r="O215" s="4">
        <f t="shared" si="7"/>
        <v>0.14725815000000003</v>
      </c>
      <c r="P215">
        <v>100</v>
      </c>
      <c r="Q215">
        <v>3</v>
      </c>
      <c r="R215">
        <v>2</v>
      </c>
      <c r="S215">
        <v>3.5</v>
      </c>
      <c r="T215">
        <v>3</v>
      </c>
      <c r="U215">
        <v>3</v>
      </c>
      <c r="V215" t="s">
        <v>38</v>
      </c>
    </row>
    <row r="216" spans="1:22" x14ac:dyDescent="0.25">
      <c r="A216" t="s">
        <v>70</v>
      </c>
      <c r="B216">
        <v>1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8.6</v>
      </c>
      <c r="M216">
        <v>9.5</v>
      </c>
      <c r="N216" s="4">
        <f t="shared" si="6"/>
        <v>5.8058599999999995E-3</v>
      </c>
      <c r="O216" s="4">
        <f t="shared" si="7"/>
        <v>5.5155669999999997E-2</v>
      </c>
      <c r="P216">
        <v>100</v>
      </c>
      <c r="Q216">
        <v>2</v>
      </c>
      <c r="R216">
        <v>1.5</v>
      </c>
      <c r="S216">
        <v>4</v>
      </c>
      <c r="T216">
        <v>4</v>
      </c>
      <c r="U216">
        <v>4</v>
      </c>
      <c r="V216" t="s">
        <v>30</v>
      </c>
    </row>
    <row r="217" spans="1:22" x14ac:dyDescent="0.25">
      <c r="A217" t="s">
        <v>70</v>
      </c>
      <c r="B217">
        <v>1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8.1999999999999993</v>
      </c>
      <c r="M217">
        <v>6.6</v>
      </c>
      <c r="N217" s="4">
        <f t="shared" si="6"/>
        <v>5.2783399999999986E-3</v>
      </c>
      <c r="O217" s="4">
        <f t="shared" si="7"/>
        <v>3.4837043999999991E-2</v>
      </c>
      <c r="P217">
        <v>63</v>
      </c>
      <c r="Q217">
        <v>4</v>
      </c>
      <c r="R217">
        <v>4</v>
      </c>
      <c r="S217">
        <v>3</v>
      </c>
      <c r="T217">
        <v>3</v>
      </c>
      <c r="U217">
        <v>3</v>
      </c>
      <c r="V217" t="s">
        <v>38</v>
      </c>
    </row>
    <row r="218" spans="1:22" x14ac:dyDescent="0.25">
      <c r="A218" t="s">
        <v>70</v>
      </c>
      <c r="B218">
        <v>1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15.7</v>
      </c>
      <c r="M218">
        <v>10</v>
      </c>
      <c r="N218" s="4">
        <f t="shared" si="6"/>
        <v>1.9349465E-2</v>
      </c>
      <c r="O218" s="4">
        <f t="shared" si="7"/>
        <v>0.19349464999999999</v>
      </c>
      <c r="P218">
        <v>100</v>
      </c>
      <c r="Q218">
        <v>4</v>
      </c>
      <c r="R218">
        <v>3</v>
      </c>
      <c r="S218">
        <v>2.5</v>
      </c>
      <c r="T218">
        <v>2.5</v>
      </c>
      <c r="U218">
        <v>2.5</v>
      </c>
      <c r="V218" t="s">
        <v>25</v>
      </c>
    </row>
    <row r="219" spans="1:22" x14ac:dyDescent="0.25">
      <c r="A219" t="s">
        <v>70</v>
      </c>
      <c r="B219">
        <v>1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15.9</v>
      </c>
      <c r="M219">
        <v>8.8000000000000007</v>
      </c>
      <c r="N219" s="4">
        <f t="shared" si="6"/>
        <v>1.9845585000000002E-2</v>
      </c>
      <c r="O219" s="4">
        <f t="shared" si="7"/>
        <v>0.17464114800000002</v>
      </c>
      <c r="P219">
        <v>75</v>
      </c>
      <c r="Q219">
        <v>4</v>
      </c>
      <c r="R219">
        <v>3</v>
      </c>
      <c r="S219">
        <v>3</v>
      </c>
      <c r="T219">
        <v>2</v>
      </c>
      <c r="U219">
        <v>2.5</v>
      </c>
      <c r="V219" t="s">
        <v>25</v>
      </c>
    </row>
    <row r="220" spans="1:22" x14ac:dyDescent="0.25">
      <c r="A220" t="s">
        <v>70</v>
      </c>
      <c r="B220">
        <v>1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13.7</v>
      </c>
      <c r="M220">
        <v>9.9</v>
      </c>
      <c r="N220" s="4">
        <f t="shared" si="6"/>
        <v>1.4733664999999996E-2</v>
      </c>
      <c r="O220" s="4">
        <f t="shared" si="7"/>
        <v>0.14586328349999997</v>
      </c>
      <c r="P220">
        <v>88</v>
      </c>
      <c r="Q220">
        <v>4</v>
      </c>
      <c r="R220">
        <v>3</v>
      </c>
      <c r="S220">
        <v>2.5</v>
      </c>
      <c r="T220">
        <v>2.5</v>
      </c>
      <c r="U220">
        <v>2.5</v>
      </c>
      <c r="V220" t="s">
        <v>38</v>
      </c>
    </row>
    <row r="221" spans="1:22" x14ac:dyDescent="0.25">
      <c r="A221" t="s">
        <v>70</v>
      </c>
      <c r="B221">
        <v>1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11.2</v>
      </c>
      <c r="M221">
        <v>9.1</v>
      </c>
      <c r="N221" s="4">
        <f t="shared" si="6"/>
        <v>9.8470399999999979E-3</v>
      </c>
      <c r="O221" s="4">
        <f t="shared" si="7"/>
        <v>8.9608063999999973E-2</v>
      </c>
      <c r="P221">
        <v>88</v>
      </c>
      <c r="Q221">
        <v>4</v>
      </c>
      <c r="R221">
        <v>3.5</v>
      </c>
      <c r="S221">
        <v>3</v>
      </c>
      <c r="T221">
        <v>3.5</v>
      </c>
      <c r="U221">
        <v>3</v>
      </c>
      <c r="V221" t="s">
        <v>25</v>
      </c>
    </row>
    <row r="222" spans="1:22" x14ac:dyDescent="0.25">
      <c r="A222" t="s">
        <v>70</v>
      </c>
      <c r="B222">
        <v>1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18.899999999999999</v>
      </c>
      <c r="M222">
        <v>11.8</v>
      </c>
      <c r="N222" s="4">
        <f t="shared" si="6"/>
        <v>2.8040984999999994E-2</v>
      </c>
      <c r="O222" s="4">
        <f t="shared" si="7"/>
        <v>0.33088362299999996</v>
      </c>
      <c r="P222">
        <v>75</v>
      </c>
      <c r="Q222">
        <v>5</v>
      </c>
      <c r="R222">
        <v>3</v>
      </c>
      <c r="S222">
        <v>2.5</v>
      </c>
      <c r="T222">
        <v>2.5</v>
      </c>
      <c r="U222">
        <v>2</v>
      </c>
      <c r="V222" t="s">
        <v>38</v>
      </c>
    </row>
    <row r="223" spans="1:22" x14ac:dyDescent="0.25">
      <c r="A223" t="s">
        <v>70</v>
      </c>
      <c r="B223">
        <v>1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11.6</v>
      </c>
      <c r="M223">
        <v>8.9</v>
      </c>
      <c r="N223" s="4">
        <f t="shared" si="6"/>
        <v>1.0562959999999998E-2</v>
      </c>
      <c r="O223" s="4">
        <f t="shared" si="7"/>
        <v>9.4010343999999982E-2</v>
      </c>
      <c r="P223">
        <v>100</v>
      </c>
      <c r="Q223">
        <v>4</v>
      </c>
      <c r="R223">
        <v>3</v>
      </c>
      <c r="S223">
        <v>4</v>
      </c>
      <c r="T223">
        <v>4</v>
      </c>
      <c r="U223">
        <v>4</v>
      </c>
      <c r="V223" t="s">
        <v>27</v>
      </c>
    </row>
    <row r="224" spans="1:22" x14ac:dyDescent="0.25">
      <c r="A224" t="s">
        <v>70</v>
      </c>
      <c r="B224">
        <v>1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8.6</v>
      </c>
      <c r="M224">
        <v>8.9</v>
      </c>
      <c r="N224" s="4">
        <f t="shared" si="6"/>
        <v>5.8058599999999995E-3</v>
      </c>
      <c r="O224" s="4">
        <f t="shared" si="7"/>
        <v>5.1672153999999998E-2</v>
      </c>
      <c r="P224">
        <v>100</v>
      </c>
      <c r="Q224">
        <v>3</v>
      </c>
      <c r="R224">
        <v>2.5</v>
      </c>
      <c r="S224">
        <v>2.8</v>
      </c>
      <c r="T224">
        <v>3</v>
      </c>
      <c r="U224">
        <v>2.8</v>
      </c>
      <c r="V224" t="s">
        <v>30</v>
      </c>
    </row>
    <row r="225" spans="1:22" x14ac:dyDescent="0.25">
      <c r="A225" t="s">
        <v>70</v>
      </c>
      <c r="B225">
        <v>1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13.4</v>
      </c>
      <c r="M225">
        <v>12.3</v>
      </c>
      <c r="N225" s="4">
        <f t="shared" si="6"/>
        <v>1.4095460000000002E-2</v>
      </c>
      <c r="O225" s="4">
        <f t="shared" si="7"/>
        <v>0.17337415800000003</v>
      </c>
      <c r="P225">
        <v>88</v>
      </c>
      <c r="Q225">
        <v>4</v>
      </c>
      <c r="R225">
        <v>3</v>
      </c>
      <c r="S225">
        <v>3.5</v>
      </c>
      <c r="T225">
        <v>3</v>
      </c>
      <c r="U225">
        <v>2.5</v>
      </c>
      <c r="V225" t="s">
        <v>27</v>
      </c>
    </row>
    <row r="226" spans="1:22" x14ac:dyDescent="0.25">
      <c r="A226" t="s">
        <v>70</v>
      </c>
      <c r="B226">
        <v>1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19.600000000000001</v>
      </c>
      <c r="M226">
        <v>11.8</v>
      </c>
      <c r="N226" s="4">
        <f t="shared" si="6"/>
        <v>3.0156560000000006E-2</v>
      </c>
      <c r="O226" s="4">
        <f t="shared" si="7"/>
        <v>0.35584740800000009</v>
      </c>
      <c r="P226">
        <v>63</v>
      </c>
      <c r="Q226">
        <v>5</v>
      </c>
      <c r="R226">
        <v>3</v>
      </c>
      <c r="S226">
        <v>3.5</v>
      </c>
      <c r="T226">
        <v>3</v>
      </c>
      <c r="U226">
        <v>2</v>
      </c>
      <c r="V226" t="s">
        <v>27</v>
      </c>
    </row>
    <row r="227" spans="1:22" x14ac:dyDescent="0.25">
      <c r="A227" t="s">
        <v>70</v>
      </c>
      <c r="B227">
        <v>1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11.1</v>
      </c>
      <c r="M227">
        <v>8.6999999999999993</v>
      </c>
      <c r="N227" s="4">
        <f t="shared" si="6"/>
        <v>9.671985000000001E-3</v>
      </c>
      <c r="O227" s="4">
        <f t="shared" si="7"/>
        <v>8.4146269499999996E-2</v>
      </c>
      <c r="P227">
        <v>88</v>
      </c>
      <c r="Q227">
        <v>3</v>
      </c>
      <c r="R227">
        <v>2</v>
      </c>
      <c r="S227">
        <v>3</v>
      </c>
      <c r="T227">
        <v>4</v>
      </c>
      <c r="U227">
        <v>4</v>
      </c>
      <c r="V227" t="s">
        <v>25</v>
      </c>
    </row>
    <row r="228" spans="1:22" x14ac:dyDescent="0.25">
      <c r="A228" t="s">
        <v>70</v>
      </c>
      <c r="B228">
        <v>1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10.8</v>
      </c>
      <c r="M228">
        <v>10</v>
      </c>
      <c r="N228" s="4">
        <f t="shared" si="6"/>
        <v>9.156240000000003E-3</v>
      </c>
      <c r="O228" s="4">
        <f t="shared" si="7"/>
        <v>9.156240000000003E-2</v>
      </c>
      <c r="P228">
        <v>75</v>
      </c>
      <c r="Q228">
        <v>3</v>
      </c>
      <c r="R228">
        <v>4</v>
      </c>
      <c r="S228">
        <v>3</v>
      </c>
      <c r="T228">
        <v>4</v>
      </c>
      <c r="U228">
        <v>3</v>
      </c>
      <c r="V228" t="s">
        <v>25</v>
      </c>
    </row>
    <row r="229" spans="1:22" x14ac:dyDescent="0.25">
      <c r="A229" t="s">
        <v>70</v>
      </c>
      <c r="B229">
        <v>1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11.2</v>
      </c>
      <c r="M229">
        <v>12.2</v>
      </c>
      <c r="N229" s="4">
        <f t="shared" si="6"/>
        <v>9.8470399999999979E-3</v>
      </c>
      <c r="O229" s="4">
        <f t="shared" si="7"/>
        <v>0.12013388799999997</v>
      </c>
      <c r="P229">
        <v>75</v>
      </c>
      <c r="Q229">
        <v>5</v>
      </c>
      <c r="R229">
        <v>3</v>
      </c>
      <c r="S229">
        <v>4</v>
      </c>
      <c r="T229">
        <v>3.5</v>
      </c>
      <c r="U229">
        <v>3.5</v>
      </c>
      <c r="V229" t="s">
        <v>25</v>
      </c>
    </row>
    <row r="230" spans="1:22" x14ac:dyDescent="0.25">
      <c r="A230" t="s">
        <v>70</v>
      </c>
      <c r="B230">
        <v>1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14</v>
      </c>
      <c r="M230">
        <v>13</v>
      </c>
      <c r="N230" s="4">
        <f t="shared" si="6"/>
        <v>1.5386000000000002E-2</v>
      </c>
      <c r="O230" s="4">
        <f t="shared" si="7"/>
        <v>0.20001800000000003</v>
      </c>
      <c r="P230">
        <v>63</v>
      </c>
      <c r="Q230">
        <v>5</v>
      </c>
      <c r="R230">
        <v>3</v>
      </c>
      <c r="S230">
        <v>3</v>
      </c>
      <c r="T230">
        <v>2</v>
      </c>
      <c r="U230">
        <v>2.5</v>
      </c>
      <c r="V230" t="s">
        <v>25</v>
      </c>
    </row>
    <row r="231" spans="1:22" x14ac:dyDescent="0.25">
      <c r="A231" t="s">
        <v>70</v>
      </c>
      <c r="B231">
        <v>1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9</v>
      </c>
      <c r="M231">
        <v>9.6</v>
      </c>
      <c r="N231" s="4">
        <f t="shared" si="6"/>
        <v>6.3584999999999996E-3</v>
      </c>
      <c r="O231" s="4">
        <f t="shared" si="7"/>
        <v>6.1041599999999994E-2</v>
      </c>
      <c r="P231">
        <v>75</v>
      </c>
      <c r="Q231">
        <v>4</v>
      </c>
      <c r="R231">
        <v>3</v>
      </c>
      <c r="S231">
        <v>4</v>
      </c>
      <c r="T231">
        <v>3</v>
      </c>
      <c r="U231">
        <v>2.5</v>
      </c>
      <c r="V231" t="s">
        <v>25</v>
      </c>
    </row>
    <row r="232" spans="1:22" x14ac:dyDescent="0.25">
      <c r="A232" t="s">
        <v>70</v>
      </c>
      <c r="B232">
        <v>1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14.4</v>
      </c>
      <c r="M232">
        <v>12.9</v>
      </c>
      <c r="N232" s="4">
        <f t="shared" si="6"/>
        <v>1.6277760000000006E-2</v>
      </c>
      <c r="O232" s="4">
        <f t="shared" si="7"/>
        <v>0.20998310400000009</v>
      </c>
      <c r="P232">
        <v>88</v>
      </c>
      <c r="Q232">
        <v>5</v>
      </c>
      <c r="R232">
        <v>3</v>
      </c>
      <c r="S232">
        <v>3</v>
      </c>
      <c r="T232">
        <v>3</v>
      </c>
      <c r="U232">
        <v>2.5</v>
      </c>
      <c r="V232" t="s">
        <v>25</v>
      </c>
    </row>
    <row r="233" spans="1:22" x14ac:dyDescent="0.25">
      <c r="A233" t="s">
        <v>70</v>
      </c>
      <c r="B233">
        <v>1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8.8000000000000007</v>
      </c>
      <c r="M233">
        <v>5.3</v>
      </c>
      <c r="N233" s="4">
        <f t="shared" si="6"/>
        <v>6.0790400000000017E-3</v>
      </c>
      <c r="O233" s="4">
        <f t="shared" si="7"/>
        <v>3.2218912000000009E-2</v>
      </c>
      <c r="P233">
        <v>63</v>
      </c>
      <c r="Q233">
        <v>3</v>
      </c>
      <c r="R233">
        <v>3</v>
      </c>
      <c r="S233">
        <v>3</v>
      </c>
      <c r="T233">
        <v>4</v>
      </c>
      <c r="U233">
        <v>4</v>
      </c>
      <c r="V233" t="s">
        <v>38</v>
      </c>
    </row>
    <row r="234" spans="1:22" x14ac:dyDescent="0.25">
      <c r="A234" t="s">
        <v>70</v>
      </c>
      <c r="B234">
        <v>1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37</v>
      </c>
      <c r="K234">
        <v>1524</v>
      </c>
      <c r="L234">
        <v>6.5</v>
      </c>
      <c r="M234">
        <v>7</v>
      </c>
      <c r="N234" s="4">
        <f t="shared" si="6"/>
        <v>3.3166250000000006E-3</v>
      </c>
      <c r="O234" s="4">
        <f t="shared" si="7"/>
        <v>2.3216375000000004E-2</v>
      </c>
      <c r="P234">
        <v>50</v>
      </c>
      <c r="Q234">
        <v>2.5</v>
      </c>
      <c r="R234">
        <v>2.5</v>
      </c>
      <c r="S234">
        <v>3</v>
      </c>
      <c r="T234">
        <v>3</v>
      </c>
      <c r="U234">
        <v>3</v>
      </c>
      <c r="V234" t="s">
        <v>30</v>
      </c>
    </row>
    <row r="235" spans="1:22" x14ac:dyDescent="0.25">
      <c r="A235" t="s">
        <v>70</v>
      </c>
      <c r="B235">
        <v>1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63</v>
      </c>
      <c r="K235">
        <v>1340</v>
      </c>
      <c r="L235">
        <v>5.7</v>
      </c>
      <c r="M235">
        <v>5.7</v>
      </c>
      <c r="N235" s="4">
        <f t="shared" si="6"/>
        <v>2.550465E-3</v>
      </c>
      <c r="O235" s="4">
        <f t="shared" si="7"/>
        <v>1.4537650500000001E-2</v>
      </c>
      <c r="P235">
        <v>100</v>
      </c>
      <c r="Q235">
        <v>3</v>
      </c>
      <c r="R235">
        <v>2</v>
      </c>
      <c r="S235">
        <v>3</v>
      </c>
      <c r="T235">
        <v>3</v>
      </c>
      <c r="U235">
        <v>3</v>
      </c>
      <c r="V235" t="s">
        <v>30</v>
      </c>
    </row>
    <row r="236" spans="1:22" x14ac:dyDescent="0.25">
      <c r="A236" t="s">
        <v>70</v>
      </c>
      <c r="B236">
        <v>1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60</v>
      </c>
      <c r="K236">
        <v>1595</v>
      </c>
      <c r="L236">
        <v>8</v>
      </c>
      <c r="M236">
        <v>4.9000000000000004</v>
      </c>
      <c r="N236" s="4">
        <f t="shared" si="6"/>
        <v>5.0240000000000007E-3</v>
      </c>
      <c r="O236" s="4">
        <f t="shared" si="7"/>
        <v>2.4617600000000007E-2</v>
      </c>
      <c r="P236">
        <v>88</v>
      </c>
      <c r="Q236">
        <v>3.5</v>
      </c>
      <c r="R236">
        <v>1.5</v>
      </c>
      <c r="S236">
        <v>4</v>
      </c>
      <c r="T236">
        <v>4</v>
      </c>
      <c r="U236">
        <v>4</v>
      </c>
      <c r="V236" t="s">
        <v>38</v>
      </c>
    </row>
    <row r="237" spans="1:22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55</v>
      </c>
      <c r="K237">
        <v>1094</v>
      </c>
      <c r="L237">
        <v>7.3</v>
      </c>
      <c r="M237">
        <v>6.8</v>
      </c>
      <c r="N237" s="4">
        <f t="shared" si="6"/>
        <v>4.1832649999999994E-3</v>
      </c>
      <c r="O237" s="4">
        <f t="shared" si="7"/>
        <v>2.8446201999999993E-2</v>
      </c>
      <c r="P237">
        <v>2.5</v>
      </c>
      <c r="Q237">
        <v>3.5</v>
      </c>
      <c r="R237">
        <v>3.5</v>
      </c>
      <c r="S237">
        <v>3.5</v>
      </c>
      <c r="T237">
        <v>3.5</v>
      </c>
      <c r="U237">
        <v>1.5</v>
      </c>
      <c r="V237" t="s">
        <v>50</v>
      </c>
    </row>
    <row r="238" spans="1:22" x14ac:dyDescent="0.25">
      <c r="A238" t="s">
        <v>70</v>
      </c>
      <c r="B238">
        <v>2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56</v>
      </c>
      <c r="K238">
        <v>1111</v>
      </c>
      <c r="L238">
        <v>6.9</v>
      </c>
      <c r="M238">
        <v>5.6</v>
      </c>
      <c r="N238" s="4">
        <f t="shared" si="6"/>
        <v>3.7373850000000006E-3</v>
      </c>
      <c r="O238" s="4">
        <f t="shared" si="7"/>
        <v>2.0929356000000003E-2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2</v>
      </c>
      <c r="V238" t="s">
        <v>50</v>
      </c>
    </row>
    <row r="239" spans="1:22" x14ac:dyDescent="0.25">
      <c r="A239" t="s">
        <v>70</v>
      </c>
      <c r="B239">
        <v>2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57</v>
      </c>
      <c r="K239">
        <v>1112</v>
      </c>
      <c r="L239">
        <v>7.4</v>
      </c>
      <c r="M239">
        <v>6.6</v>
      </c>
      <c r="N239" s="4">
        <f t="shared" si="6"/>
        <v>4.2986600000000019E-3</v>
      </c>
      <c r="O239" s="4">
        <f t="shared" si="7"/>
        <v>2.8371156000000012E-2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1</v>
      </c>
      <c r="V239" t="s">
        <v>50</v>
      </c>
    </row>
    <row r="240" spans="1:22" x14ac:dyDescent="0.25">
      <c r="A240" t="s">
        <v>70</v>
      </c>
      <c r="B240">
        <v>2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1113</v>
      </c>
      <c r="L240">
        <v>6.6</v>
      </c>
      <c r="M240">
        <v>5.4</v>
      </c>
      <c r="N240" s="4">
        <f t="shared" si="6"/>
        <v>3.4194600000000005E-3</v>
      </c>
      <c r="O240" s="4">
        <f t="shared" si="7"/>
        <v>1.8465084000000003E-2</v>
      </c>
      <c r="P240">
        <v>3</v>
      </c>
      <c r="Q240">
        <v>2</v>
      </c>
      <c r="R240">
        <v>3</v>
      </c>
      <c r="S240">
        <v>3</v>
      </c>
      <c r="T240">
        <v>3.5</v>
      </c>
      <c r="U240">
        <v>1.5</v>
      </c>
      <c r="V240" t="s">
        <v>50</v>
      </c>
    </row>
    <row r="241" spans="1:22" x14ac:dyDescent="0.25">
      <c r="A241" t="s">
        <v>70</v>
      </c>
      <c r="B241">
        <v>2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58</v>
      </c>
      <c r="K241">
        <v>1338</v>
      </c>
      <c r="L241">
        <v>7.3</v>
      </c>
      <c r="M241">
        <v>5.6</v>
      </c>
      <c r="N241" s="4">
        <f t="shared" si="6"/>
        <v>4.1832649999999994E-3</v>
      </c>
      <c r="O241" s="4">
        <f t="shared" si="7"/>
        <v>2.3426283999999995E-2</v>
      </c>
      <c r="P241">
        <v>3.5</v>
      </c>
      <c r="Q241">
        <v>3</v>
      </c>
      <c r="R241">
        <v>2.5</v>
      </c>
      <c r="S241">
        <v>2.5</v>
      </c>
      <c r="T241">
        <v>2.5</v>
      </c>
      <c r="U241">
        <v>1.5</v>
      </c>
      <c r="V241" t="s">
        <v>50</v>
      </c>
    </row>
    <row r="242" spans="1:22" x14ac:dyDescent="0.25">
      <c r="A242" t="s">
        <v>70</v>
      </c>
      <c r="B242">
        <v>2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59</v>
      </c>
      <c r="K242">
        <v>1978</v>
      </c>
      <c r="L242">
        <v>19.600000000000001</v>
      </c>
      <c r="M242">
        <v>10.3</v>
      </c>
      <c r="N242" s="4">
        <f t="shared" si="6"/>
        <v>3.0156560000000006E-2</v>
      </c>
      <c r="O242" s="4">
        <f t="shared" si="7"/>
        <v>0.31061256800000009</v>
      </c>
      <c r="P242">
        <v>3</v>
      </c>
      <c r="Q242">
        <v>3</v>
      </c>
      <c r="R242">
        <v>2.5</v>
      </c>
      <c r="S242">
        <v>2.5</v>
      </c>
      <c r="T242">
        <v>2</v>
      </c>
      <c r="U242">
        <v>2</v>
      </c>
      <c r="V242" t="s">
        <v>50</v>
      </c>
    </row>
    <row r="243" spans="1:22" x14ac:dyDescent="0.25">
      <c r="A243" t="s">
        <v>70</v>
      </c>
      <c r="B243">
        <v>2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1482</v>
      </c>
      <c r="L243">
        <v>15.4</v>
      </c>
      <c r="M243">
        <v>15.8</v>
      </c>
      <c r="N243" s="4">
        <f t="shared" si="6"/>
        <v>1.8617060000000001E-2</v>
      </c>
      <c r="O243" s="4">
        <f t="shared" si="7"/>
        <v>0.29414954800000004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3</v>
      </c>
      <c r="V243" t="s">
        <v>50</v>
      </c>
    </row>
    <row r="244" spans="1:22" x14ac:dyDescent="0.25">
      <c r="A244" t="s">
        <v>70</v>
      </c>
      <c r="B244">
        <v>2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26</v>
      </c>
      <c r="K244">
        <v>1339</v>
      </c>
      <c r="L244">
        <v>15</v>
      </c>
      <c r="M244">
        <v>11.6</v>
      </c>
      <c r="N244" s="4">
        <f t="shared" si="6"/>
        <v>1.7662500000000001E-2</v>
      </c>
      <c r="O244" s="4">
        <f t="shared" si="7"/>
        <v>0.20488500000000001</v>
      </c>
      <c r="P244">
        <v>4</v>
      </c>
      <c r="Q244">
        <v>3</v>
      </c>
      <c r="R244">
        <v>2</v>
      </c>
      <c r="S244">
        <v>2</v>
      </c>
      <c r="T244">
        <v>2</v>
      </c>
      <c r="U244">
        <v>3</v>
      </c>
      <c r="V244" t="s">
        <v>50</v>
      </c>
    </row>
    <row r="245" spans="1:22" x14ac:dyDescent="0.25">
      <c r="A245" t="s">
        <v>70</v>
      </c>
      <c r="B245">
        <v>2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2447</v>
      </c>
      <c r="L245">
        <v>13.9</v>
      </c>
      <c r="M245">
        <v>11.1</v>
      </c>
      <c r="N245" s="4">
        <f t="shared" si="6"/>
        <v>1.5166985000000004E-2</v>
      </c>
      <c r="O245" s="4">
        <f t="shared" si="7"/>
        <v>0.16835353350000004</v>
      </c>
      <c r="P245">
        <v>5</v>
      </c>
      <c r="Q245">
        <v>3</v>
      </c>
      <c r="R245">
        <v>3</v>
      </c>
      <c r="S245">
        <v>2.5</v>
      </c>
      <c r="T245">
        <v>2</v>
      </c>
      <c r="U245">
        <v>3</v>
      </c>
      <c r="V245" t="s">
        <v>50</v>
      </c>
    </row>
    <row r="246" spans="1:22" x14ac:dyDescent="0.25">
      <c r="A246" t="s">
        <v>70</v>
      </c>
      <c r="B246">
        <v>2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1786</v>
      </c>
      <c r="L246">
        <v>15.6</v>
      </c>
      <c r="M246">
        <v>12.1</v>
      </c>
      <c r="N246" s="4">
        <f t="shared" si="6"/>
        <v>1.9103760000000001E-2</v>
      </c>
      <c r="O246" s="4">
        <f t="shared" si="7"/>
        <v>0.23115549600000002</v>
      </c>
      <c r="P246">
        <v>4</v>
      </c>
      <c r="Q246">
        <v>3</v>
      </c>
      <c r="R246">
        <v>3.5</v>
      </c>
      <c r="S246">
        <v>3</v>
      </c>
      <c r="T246">
        <v>2</v>
      </c>
      <c r="U246">
        <v>3</v>
      </c>
      <c r="V246" t="s">
        <v>50</v>
      </c>
    </row>
    <row r="247" spans="1:22" x14ac:dyDescent="0.25">
      <c r="A247" t="s">
        <v>70</v>
      </c>
      <c r="B247">
        <v>2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32</v>
      </c>
      <c r="K247">
        <v>1596</v>
      </c>
      <c r="L247">
        <v>7.9</v>
      </c>
      <c r="M247">
        <v>8.6</v>
      </c>
      <c r="N247" s="4">
        <f t="shared" si="6"/>
        <v>4.8991850000000003E-3</v>
      </c>
      <c r="O247" s="4">
        <f t="shared" si="7"/>
        <v>4.2132991000000002E-2</v>
      </c>
      <c r="P247">
        <v>2.5</v>
      </c>
      <c r="Q247">
        <v>3</v>
      </c>
      <c r="R247">
        <v>2.5</v>
      </c>
      <c r="S247">
        <v>4</v>
      </c>
      <c r="T247">
        <v>3.5</v>
      </c>
      <c r="U247">
        <v>1</v>
      </c>
      <c r="V247" t="s">
        <v>50</v>
      </c>
    </row>
    <row r="248" spans="1:22" x14ac:dyDescent="0.25">
      <c r="A248" t="s">
        <v>70</v>
      </c>
      <c r="B248">
        <v>2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61</v>
      </c>
      <c r="K248">
        <v>1171</v>
      </c>
      <c r="L248">
        <v>6.6</v>
      </c>
      <c r="M248">
        <v>5.8</v>
      </c>
      <c r="N248" s="4">
        <f t="shared" si="6"/>
        <v>3.4194600000000005E-3</v>
      </c>
      <c r="O248" s="4">
        <f t="shared" si="7"/>
        <v>1.9832868000000003E-2</v>
      </c>
      <c r="P248">
        <v>2</v>
      </c>
      <c r="Q248">
        <v>3</v>
      </c>
      <c r="R248">
        <v>2.5</v>
      </c>
      <c r="S248">
        <v>2.5</v>
      </c>
      <c r="T248">
        <v>3</v>
      </c>
      <c r="U248">
        <v>0.5</v>
      </c>
      <c r="V248" t="s">
        <v>50</v>
      </c>
    </row>
    <row r="249" spans="1:22" x14ac:dyDescent="0.25">
      <c r="A249" t="s">
        <v>70</v>
      </c>
      <c r="B249">
        <v>2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34</v>
      </c>
      <c r="K249">
        <v>2469</v>
      </c>
      <c r="L249">
        <v>15.2</v>
      </c>
      <c r="M249">
        <v>12.3</v>
      </c>
      <c r="N249" s="4">
        <f t="shared" si="6"/>
        <v>1.8136639999999999E-2</v>
      </c>
      <c r="O249" s="4">
        <f t="shared" si="7"/>
        <v>0.22308067200000001</v>
      </c>
      <c r="P249">
        <v>5</v>
      </c>
      <c r="Q249">
        <v>3</v>
      </c>
      <c r="R249">
        <v>4</v>
      </c>
      <c r="S249">
        <v>3.5</v>
      </c>
      <c r="T249">
        <v>3</v>
      </c>
      <c r="U249">
        <v>4</v>
      </c>
      <c r="V249" t="s">
        <v>50</v>
      </c>
    </row>
    <row r="250" spans="1:22" x14ac:dyDescent="0.25">
      <c r="A250" t="s">
        <v>70</v>
      </c>
      <c r="B250">
        <v>2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1337</v>
      </c>
      <c r="L250">
        <v>17.100000000000001</v>
      </c>
      <c r="M250">
        <v>12.1</v>
      </c>
      <c r="N250" s="4">
        <f t="shared" si="6"/>
        <v>2.2954185000000002E-2</v>
      </c>
      <c r="O250" s="4">
        <f t="shared" si="7"/>
        <v>0.2777456385</v>
      </c>
      <c r="P250">
        <v>5</v>
      </c>
      <c r="Q250">
        <v>3</v>
      </c>
      <c r="R250">
        <v>3.5</v>
      </c>
      <c r="S250">
        <v>3</v>
      </c>
      <c r="T250">
        <v>3</v>
      </c>
      <c r="U250">
        <v>4</v>
      </c>
      <c r="V250" t="s">
        <v>50</v>
      </c>
    </row>
    <row r="251" spans="1:22" x14ac:dyDescent="0.25">
      <c r="A251" t="s">
        <v>70</v>
      </c>
      <c r="B251">
        <v>2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35</v>
      </c>
      <c r="K251">
        <v>1785</v>
      </c>
      <c r="L251">
        <v>5.5</v>
      </c>
      <c r="M251">
        <v>3.4</v>
      </c>
      <c r="N251" s="4">
        <f t="shared" si="6"/>
        <v>2.374625E-3</v>
      </c>
      <c r="O251" s="4">
        <f t="shared" si="7"/>
        <v>8.0737250000000003E-3</v>
      </c>
      <c r="P251">
        <v>2</v>
      </c>
      <c r="Q251">
        <v>1</v>
      </c>
      <c r="R251">
        <v>3</v>
      </c>
      <c r="S251">
        <v>2.5</v>
      </c>
      <c r="T251">
        <v>3</v>
      </c>
      <c r="U251">
        <v>1</v>
      </c>
      <c r="V251" t="s">
        <v>50</v>
      </c>
    </row>
    <row r="252" spans="1:22" x14ac:dyDescent="0.25">
      <c r="A252" t="s">
        <v>70</v>
      </c>
      <c r="B252">
        <v>2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36</v>
      </c>
      <c r="K252">
        <v>1598</v>
      </c>
      <c r="L252">
        <v>15.3</v>
      </c>
      <c r="M252">
        <v>12.7</v>
      </c>
      <c r="N252" s="4">
        <f t="shared" si="6"/>
        <v>1.8376065E-2</v>
      </c>
      <c r="O252" s="4">
        <f t="shared" si="7"/>
        <v>0.2333760255</v>
      </c>
      <c r="P252">
        <v>3</v>
      </c>
      <c r="Q252">
        <v>4</v>
      </c>
      <c r="R252">
        <v>2.5</v>
      </c>
      <c r="S252">
        <v>3</v>
      </c>
      <c r="T252">
        <v>2</v>
      </c>
      <c r="U252">
        <v>3</v>
      </c>
      <c r="V252" t="s">
        <v>50</v>
      </c>
    </row>
    <row r="253" spans="1:22" x14ac:dyDescent="0.25">
      <c r="A253" t="s">
        <v>70</v>
      </c>
      <c r="B253">
        <v>2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62</v>
      </c>
      <c r="K253">
        <v>2428</v>
      </c>
      <c r="L253">
        <v>10.9</v>
      </c>
      <c r="M253">
        <v>9.8000000000000007</v>
      </c>
      <c r="N253" s="4">
        <f t="shared" si="6"/>
        <v>9.3265850000000001E-3</v>
      </c>
      <c r="O253" s="4">
        <f t="shared" si="7"/>
        <v>9.1400533000000006E-2</v>
      </c>
      <c r="P253">
        <v>4</v>
      </c>
      <c r="Q253">
        <v>3</v>
      </c>
      <c r="R253">
        <v>2.5</v>
      </c>
      <c r="S253">
        <v>2</v>
      </c>
      <c r="T253">
        <v>3</v>
      </c>
      <c r="U253">
        <v>4</v>
      </c>
      <c r="V253" t="s">
        <v>50</v>
      </c>
    </row>
    <row r="254" spans="1:22" x14ac:dyDescent="0.25">
      <c r="A254" t="s">
        <v>70</v>
      </c>
      <c r="B254">
        <v>2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2430</v>
      </c>
      <c r="L254">
        <v>13</v>
      </c>
      <c r="M254">
        <v>10.4</v>
      </c>
      <c r="N254" s="4">
        <f t="shared" si="6"/>
        <v>1.3266500000000002E-2</v>
      </c>
      <c r="O254" s="4">
        <f t="shared" si="7"/>
        <v>0.13797160000000003</v>
      </c>
      <c r="P254">
        <v>4</v>
      </c>
      <c r="Q254">
        <v>3</v>
      </c>
      <c r="R254">
        <v>3.5</v>
      </c>
      <c r="S254">
        <v>2.5</v>
      </c>
      <c r="T254">
        <v>2</v>
      </c>
      <c r="U254">
        <v>4</v>
      </c>
      <c r="V254" t="s">
        <v>50</v>
      </c>
    </row>
    <row r="255" spans="1:22" x14ac:dyDescent="0.25">
      <c r="A255" t="s">
        <v>70</v>
      </c>
      <c r="B255">
        <v>2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2431</v>
      </c>
      <c r="L255">
        <v>10.6</v>
      </c>
      <c r="M255">
        <v>10.199999999999999</v>
      </c>
      <c r="N255" s="4">
        <f t="shared" si="6"/>
        <v>8.8202599999999999E-3</v>
      </c>
      <c r="O255" s="4">
        <f t="shared" si="7"/>
        <v>8.9966651999999994E-2</v>
      </c>
      <c r="P255">
        <v>4</v>
      </c>
      <c r="Q255">
        <v>3</v>
      </c>
      <c r="R255">
        <v>3.5</v>
      </c>
      <c r="S255">
        <v>2.5</v>
      </c>
      <c r="T255">
        <v>3</v>
      </c>
      <c r="U255">
        <v>3</v>
      </c>
      <c r="V255" t="s">
        <v>50</v>
      </c>
    </row>
    <row r="256" spans="1:22" x14ac:dyDescent="0.25">
      <c r="A256" t="s">
        <v>70</v>
      </c>
      <c r="B256">
        <v>2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10.3</v>
      </c>
      <c r="M256">
        <v>10</v>
      </c>
      <c r="N256" s="4">
        <f t="shared" si="6"/>
        <v>8.3280650000000025E-3</v>
      </c>
      <c r="O256" s="4">
        <f t="shared" si="7"/>
        <v>8.3280650000000025E-2</v>
      </c>
      <c r="P256">
        <v>4</v>
      </c>
      <c r="Q256">
        <v>3</v>
      </c>
      <c r="R256">
        <v>4</v>
      </c>
      <c r="S256">
        <v>3</v>
      </c>
      <c r="T256">
        <v>3</v>
      </c>
      <c r="U256">
        <v>3</v>
      </c>
      <c r="V256" t="s">
        <v>50</v>
      </c>
    </row>
    <row r="257" spans="1:22" x14ac:dyDescent="0.25">
      <c r="A257" t="s">
        <v>70</v>
      </c>
      <c r="B257">
        <v>2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3.2</v>
      </c>
      <c r="M257">
        <v>5.9</v>
      </c>
      <c r="N257" s="4">
        <f t="shared" si="6"/>
        <v>8.0384E-4</v>
      </c>
      <c r="O257" s="4">
        <f t="shared" si="7"/>
        <v>4.7426560000000005E-3</v>
      </c>
      <c r="P257">
        <v>1.5</v>
      </c>
      <c r="Q257">
        <v>3</v>
      </c>
      <c r="R257">
        <v>2</v>
      </c>
      <c r="S257">
        <v>2</v>
      </c>
      <c r="T257">
        <v>2</v>
      </c>
      <c r="U257">
        <v>0</v>
      </c>
      <c r="V257" t="s">
        <v>50</v>
      </c>
    </row>
    <row r="258" spans="1:22" x14ac:dyDescent="0.25">
      <c r="A258" t="s">
        <v>70</v>
      </c>
      <c r="B258">
        <v>2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15</v>
      </c>
      <c r="M258">
        <v>13</v>
      </c>
      <c r="N258" s="4">
        <f t="shared" si="6"/>
        <v>1.7662500000000001E-2</v>
      </c>
      <c r="O258" s="4">
        <f t="shared" si="7"/>
        <v>0.22961250000000002</v>
      </c>
      <c r="P258">
        <v>2.5</v>
      </c>
      <c r="Q258">
        <v>3</v>
      </c>
      <c r="R258">
        <v>4</v>
      </c>
      <c r="S258">
        <v>4</v>
      </c>
      <c r="T258">
        <v>4</v>
      </c>
      <c r="U258">
        <v>2</v>
      </c>
      <c r="V258" t="s">
        <v>50</v>
      </c>
    </row>
    <row r="259" spans="1:22" x14ac:dyDescent="0.25">
      <c r="A259" t="s">
        <v>70</v>
      </c>
      <c r="B259">
        <v>2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6.8</v>
      </c>
      <c r="M259">
        <v>5.6</v>
      </c>
      <c r="N259" s="4">
        <f t="shared" ref="N259:N322" si="8">3.14/4*((L259/100)^2)</f>
        <v>3.6298400000000005E-3</v>
      </c>
      <c r="O259" s="4">
        <f t="shared" ref="O259:O322" si="9">3.14/4*((L259/100)^2)*M259</f>
        <v>2.0327104000000002E-2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0</v>
      </c>
      <c r="V259" t="s">
        <v>50</v>
      </c>
    </row>
    <row r="260" spans="1:22" x14ac:dyDescent="0.25">
      <c r="A260" t="s">
        <v>70</v>
      </c>
      <c r="B260">
        <v>2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7.7</v>
      </c>
      <c r="M260">
        <v>6.1</v>
      </c>
      <c r="N260" s="4">
        <f t="shared" si="8"/>
        <v>4.6542650000000003E-3</v>
      </c>
      <c r="O260" s="4">
        <f t="shared" si="9"/>
        <v>2.8391016500000001E-2</v>
      </c>
      <c r="P260">
        <v>2</v>
      </c>
      <c r="Q260">
        <v>2</v>
      </c>
      <c r="R260">
        <v>2</v>
      </c>
      <c r="S260">
        <v>2</v>
      </c>
      <c r="T260">
        <v>3</v>
      </c>
      <c r="U260">
        <v>0.5</v>
      </c>
      <c r="V260" t="s">
        <v>50</v>
      </c>
    </row>
    <row r="261" spans="1:22" x14ac:dyDescent="0.25">
      <c r="A261" t="s">
        <v>70</v>
      </c>
      <c r="B261">
        <v>2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3.1</v>
      </c>
      <c r="M261">
        <v>2.9</v>
      </c>
      <c r="N261" s="4">
        <f t="shared" si="8"/>
        <v>7.5438499999999999E-4</v>
      </c>
      <c r="O261" s="4">
        <f t="shared" si="9"/>
        <v>2.1877164999999999E-3</v>
      </c>
      <c r="P261">
        <v>2</v>
      </c>
      <c r="Q261">
        <v>1.5</v>
      </c>
      <c r="R261">
        <v>3</v>
      </c>
      <c r="S261">
        <v>3</v>
      </c>
      <c r="T261">
        <v>3.5</v>
      </c>
      <c r="U261">
        <v>1</v>
      </c>
      <c r="V261" t="s">
        <v>50</v>
      </c>
    </row>
    <row r="262" spans="1:22" x14ac:dyDescent="0.25">
      <c r="A262" t="s">
        <v>70</v>
      </c>
      <c r="B262">
        <v>3</v>
      </c>
      <c r="C262" t="s">
        <v>71</v>
      </c>
      <c r="D262" t="s">
        <v>72</v>
      </c>
      <c r="E262" t="s">
        <v>73</v>
      </c>
      <c r="F262">
        <v>160</v>
      </c>
      <c r="G262">
        <v>1000</v>
      </c>
      <c r="H262">
        <v>-3</v>
      </c>
      <c r="I262">
        <v>1981</v>
      </c>
      <c r="J262" t="s">
        <v>55</v>
      </c>
      <c r="K262">
        <v>1094</v>
      </c>
      <c r="L262">
        <v>10.5</v>
      </c>
      <c r="M262">
        <v>6</v>
      </c>
      <c r="N262" s="4">
        <f t="shared" si="8"/>
        <v>8.6546249999999991E-3</v>
      </c>
      <c r="O262" s="4">
        <f t="shared" si="9"/>
        <v>5.1927749999999995E-2</v>
      </c>
      <c r="P262">
        <v>25</v>
      </c>
      <c r="Q262">
        <v>3</v>
      </c>
      <c r="R262">
        <v>3</v>
      </c>
      <c r="S262">
        <v>2</v>
      </c>
      <c r="T262">
        <v>3</v>
      </c>
      <c r="U262">
        <v>2.5</v>
      </c>
      <c r="V262" t="s">
        <v>30</v>
      </c>
    </row>
    <row r="263" spans="1:22" x14ac:dyDescent="0.25">
      <c r="A263" t="s">
        <v>70</v>
      </c>
      <c r="B263">
        <v>3</v>
      </c>
      <c r="C263" t="s">
        <v>71</v>
      </c>
      <c r="D263" t="s">
        <v>72</v>
      </c>
      <c r="E263" t="s">
        <v>73</v>
      </c>
      <c r="F263">
        <v>160</v>
      </c>
      <c r="G263">
        <v>1000</v>
      </c>
      <c r="H263">
        <v>-3</v>
      </c>
      <c r="I263">
        <v>1981</v>
      </c>
      <c r="J263" t="s">
        <v>56</v>
      </c>
      <c r="K263">
        <v>1111</v>
      </c>
      <c r="L263">
        <v>1.6</v>
      </c>
      <c r="M263">
        <v>1.8</v>
      </c>
      <c r="N263" s="4">
        <f t="shared" si="8"/>
        <v>2.0096E-4</v>
      </c>
      <c r="O263" s="4">
        <f t="shared" si="9"/>
        <v>3.6172800000000002E-4</v>
      </c>
      <c r="P263">
        <v>88</v>
      </c>
      <c r="Q263">
        <v>1</v>
      </c>
      <c r="R263">
        <v>2</v>
      </c>
      <c r="S263">
        <v>3</v>
      </c>
      <c r="T263">
        <v>3</v>
      </c>
      <c r="U263">
        <v>3</v>
      </c>
      <c r="V263" t="s">
        <v>50</v>
      </c>
    </row>
    <row r="264" spans="1:22" x14ac:dyDescent="0.25">
      <c r="A264" t="s">
        <v>70</v>
      </c>
      <c r="B264">
        <v>3</v>
      </c>
      <c r="C264" t="s">
        <v>71</v>
      </c>
      <c r="D264" t="s">
        <v>72</v>
      </c>
      <c r="E264" t="s">
        <v>73</v>
      </c>
      <c r="F264">
        <v>160</v>
      </c>
      <c r="G264">
        <v>1000</v>
      </c>
      <c r="H264">
        <v>-3</v>
      </c>
      <c r="I264">
        <v>1981</v>
      </c>
      <c r="J264" t="s">
        <v>57</v>
      </c>
      <c r="K264">
        <v>1112</v>
      </c>
      <c r="L264">
        <v>4</v>
      </c>
      <c r="M264">
        <v>3.2</v>
      </c>
      <c r="N264" s="4">
        <f t="shared" si="8"/>
        <v>1.2560000000000002E-3</v>
      </c>
      <c r="O264" s="4">
        <f t="shared" si="9"/>
        <v>4.0192000000000005E-3</v>
      </c>
      <c r="P264">
        <v>63</v>
      </c>
      <c r="Q264">
        <v>2</v>
      </c>
      <c r="R264">
        <v>1.5</v>
      </c>
      <c r="S264">
        <v>3</v>
      </c>
      <c r="T264">
        <v>3</v>
      </c>
      <c r="U264">
        <v>3</v>
      </c>
      <c r="V264" t="s">
        <v>30</v>
      </c>
    </row>
    <row r="265" spans="1:22" x14ac:dyDescent="0.25">
      <c r="A265" t="s">
        <v>70</v>
      </c>
      <c r="B265">
        <v>3</v>
      </c>
      <c r="C265" t="s">
        <v>71</v>
      </c>
      <c r="D265" t="s">
        <v>72</v>
      </c>
      <c r="E265" t="s">
        <v>73</v>
      </c>
      <c r="F265">
        <v>160</v>
      </c>
      <c r="G265">
        <v>1000</v>
      </c>
      <c r="H265">
        <v>-3</v>
      </c>
      <c r="I265">
        <v>1981</v>
      </c>
      <c r="J265" t="s">
        <v>57</v>
      </c>
      <c r="K265">
        <v>1113</v>
      </c>
      <c r="L265">
        <v>3.3</v>
      </c>
      <c r="M265">
        <v>2.7</v>
      </c>
      <c r="N265" s="4">
        <f t="shared" si="8"/>
        <v>8.5486500000000012E-4</v>
      </c>
      <c r="O265" s="4">
        <f t="shared" si="9"/>
        <v>2.3081355000000004E-3</v>
      </c>
      <c r="P265">
        <v>100</v>
      </c>
      <c r="Q265">
        <v>1.5</v>
      </c>
      <c r="R265">
        <v>1</v>
      </c>
      <c r="S265">
        <v>2</v>
      </c>
      <c r="T265">
        <v>3</v>
      </c>
      <c r="U265">
        <v>3</v>
      </c>
      <c r="V265" t="s">
        <v>50</v>
      </c>
    </row>
    <row r="266" spans="1:22" x14ac:dyDescent="0.25">
      <c r="A266" t="s">
        <v>70</v>
      </c>
      <c r="B266">
        <v>3</v>
      </c>
      <c r="C266" t="s">
        <v>71</v>
      </c>
      <c r="D266" t="s">
        <v>72</v>
      </c>
      <c r="E266" t="s">
        <v>73</v>
      </c>
      <c r="F266">
        <v>160</v>
      </c>
      <c r="G266">
        <v>1000</v>
      </c>
      <c r="H266">
        <v>-3</v>
      </c>
      <c r="I266">
        <v>1981</v>
      </c>
      <c r="J266" t="s">
        <v>58</v>
      </c>
      <c r="K266">
        <v>1338</v>
      </c>
      <c r="L266">
        <v>9.4</v>
      </c>
      <c r="M266">
        <v>8.5</v>
      </c>
      <c r="N266" s="4">
        <f t="shared" si="8"/>
        <v>6.9362600000000005E-3</v>
      </c>
      <c r="O266" s="4">
        <f t="shared" si="9"/>
        <v>5.8958210000000004E-2</v>
      </c>
      <c r="P266">
        <v>38</v>
      </c>
      <c r="Q266">
        <v>3</v>
      </c>
      <c r="R266">
        <v>3</v>
      </c>
      <c r="S266">
        <v>2</v>
      </c>
      <c r="T266">
        <v>1.5</v>
      </c>
      <c r="U266">
        <v>1</v>
      </c>
      <c r="V266" t="s">
        <v>30</v>
      </c>
    </row>
    <row r="267" spans="1:22" x14ac:dyDescent="0.25">
      <c r="A267" t="s">
        <v>70</v>
      </c>
      <c r="B267">
        <v>3</v>
      </c>
      <c r="C267" t="s">
        <v>71</v>
      </c>
      <c r="D267" t="s">
        <v>72</v>
      </c>
      <c r="E267" t="s">
        <v>73</v>
      </c>
      <c r="F267">
        <v>160</v>
      </c>
      <c r="G267">
        <v>1000</v>
      </c>
      <c r="H267">
        <v>-3</v>
      </c>
      <c r="I267">
        <v>1981</v>
      </c>
      <c r="J267" t="s">
        <v>59</v>
      </c>
      <c r="K267">
        <v>1978</v>
      </c>
      <c r="L267">
        <v>11</v>
      </c>
      <c r="M267">
        <v>8.1</v>
      </c>
      <c r="N267" s="4">
        <f t="shared" si="8"/>
        <v>9.4985E-3</v>
      </c>
      <c r="O267" s="4">
        <f t="shared" si="9"/>
        <v>7.6937850000000002E-2</v>
      </c>
      <c r="P267">
        <v>100</v>
      </c>
      <c r="Q267">
        <v>4</v>
      </c>
      <c r="R267">
        <v>3</v>
      </c>
      <c r="S267">
        <v>2</v>
      </c>
      <c r="T267">
        <v>2</v>
      </c>
      <c r="U267">
        <v>2</v>
      </c>
      <c r="V267" t="s">
        <v>27</v>
      </c>
    </row>
    <row r="268" spans="1:22" x14ac:dyDescent="0.25">
      <c r="A268" t="s">
        <v>70</v>
      </c>
      <c r="B268">
        <v>3</v>
      </c>
      <c r="C268" t="s">
        <v>71</v>
      </c>
      <c r="D268" t="s">
        <v>72</v>
      </c>
      <c r="E268" t="s">
        <v>73</v>
      </c>
      <c r="F268">
        <v>160</v>
      </c>
      <c r="G268">
        <v>1000</v>
      </c>
      <c r="H268">
        <v>-3</v>
      </c>
      <c r="I268">
        <v>1981</v>
      </c>
      <c r="J268" t="s">
        <v>59</v>
      </c>
      <c r="K268">
        <v>1482</v>
      </c>
      <c r="L268">
        <v>7.8</v>
      </c>
      <c r="M268">
        <v>5.6</v>
      </c>
      <c r="N268" s="4">
        <f t="shared" si="8"/>
        <v>4.7759400000000002E-3</v>
      </c>
      <c r="O268" s="4">
        <f t="shared" si="9"/>
        <v>2.6745264000000001E-2</v>
      </c>
      <c r="P268">
        <v>88</v>
      </c>
      <c r="Q268">
        <v>3</v>
      </c>
      <c r="R268">
        <v>3</v>
      </c>
      <c r="S268">
        <v>2</v>
      </c>
      <c r="T268">
        <v>2</v>
      </c>
      <c r="U268">
        <v>2</v>
      </c>
      <c r="V268" t="s">
        <v>25</v>
      </c>
    </row>
    <row r="269" spans="1:22" x14ac:dyDescent="0.25">
      <c r="A269" t="s">
        <v>70</v>
      </c>
      <c r="B269">
        <v>3</v>
      </c>
      <c r="C269" t="s">
        <v>71</v>
      </c>
      <c r="D269" t="s">
        <v>72</v>
      </c>
      <c r="E269" t="s">
        <v>73</v>
      </c>
      <c r="F269">
        <v>160</v>
      </c>
      <c r="G269">
        <v>1000</v>
      </c>
      <c r="H269">
        <v>-3</v>
      </c>
      <c r="I269">
        <v>1981</v>
      </c>
      <c r="J269" t="s">
        <v>26</v>
      </c>
      <c r="K269">
        <v>1339</v>
      </c>
      <c r="L269">
        <v>10.1</v>
      </c>
      <c r="M269">
        <v>9.5</v>
      </c>
      <c r="N269" s="4">
        <f t="shared" si="8"/>
        <v>8.0077849999999982E-3</v>
      </c>
      <c r="O269" s="4">
        <f t="shared" si="9"/>
        <v>7.6073957499999983E-2</v>
      </c>
      <c r="P269">
        <v>75</v>
      </c>
      <c r="Q269">
        <v>3</v>
      </c>
      <c r="R269">
        <v>3</v>
      </c>
      <c r="S269">
        <v>2</v>
      </c>
      <c r="T269">
        <v>2</v>
      </c>
      <c r="U269">
        <v>2</v>
      </c>
      <c r="V269" t="s">
        <v>38</v>
      </c>
    </row>
    <row r="270" spans="1:22" x14ac:dyDescent="0.25">
      <c r="A270" t="s">
        <v>70</v>
      </c>
      <c r="B270">
        <v>3</v>
      </c>
      <c r="C270" t="s">
        <v>71</v>
      </c>
      <c r="D270" t="s">
        <v>72</v>
      </c>
      <c r="E270" t="s">
        <v>73</v>
      </c>
      <c r="F270">
        <v>160</v>
      </c>
      <c r="G270">
        <v>1000</v>
      </c>
      <c r="H270">
        <v>-3</v>
      </c>
      <c r="I270">
        <v>1981</v>
      </c>
      <c r="J270" t="s">
        <v>26</v>
      </c>
      <c r="K270">
        <v>2447</v>
      </c>
      <c r="L270">
        <v>6.9</v>
      </c>
      <c r="M270">
        <v>7.3</v>
      </c>
      <c r="N270" s="4">
        <f t="shared" si="8"/>
        <v>3.7373850000000006E-3</v>
      </c>
      <c r="O270" s="4">
        <f t="shared" si="9"/>
        <v>2.7282910500000004E-2</v>
      </c>
      <c r="P270">
        <v>88</v>
      </c>
      <c r="Q270">
        <v>3.5</v>
      </c>
      <c r="R270">
        <v>3</v>
      </c>
      <c r="S270">
        <v>3</v>
      </c>
      <c r="T270">
        <v>3.5</v>
      </c>
      <c r="U270">
        <v>3</v>
      </c>
      <c r="V270" t="s">
        <v>25</v>
      </c>
    </row>
    <row r="271" spans="1:22" x14ac:dyDescent="0.25">
      <c r="A271" t="s">
        <v>70</v>
      </c>
      <c r="B271">
        <v>3</v>
      </c>
      <c r="C271" t="s">
        <v>71</v>
      </c>
      <c r="D271" t="s">
        <v>72</v>
      </c>
      <c r="E271" t="s">
        <v>73</v>
      </c>
      <c r="F271">
        <v>160</v>
      </c>
      <c r="G271">
        <v>1000</v>
      </c>
      <c r="H271">
        <v>-3</v>
      </c>
      <c r="I271">
        <v>1981</v>
      </c>
      <c r="J271" t="s">
        <v>26</v>
      </c>
      <c r="K271">
        <v>1786</v>
      </c>
      <c r="L271">
        <v>11.9</v>
      </c>
      <c r="M271">
        <v>9.6</v>
      </c>
      <c r="N271" s="4">
        <f t="shared" si="8"/>
        <v>1.1116385000000001E-2</v>
      </c>
      <c r="O271" s="4">
        <f t="shared" si="9"/>
        <v>0.106717296</v>
      </c>
      <c r="P271">
        <v>88</v>
      </c>
      <c r="Q271">
        <v>4</v>
      </c>
      <c r="R271">
        <v>3</v>
      </c>
      <c r="S271">
        <v>2.5</v>
      </c>
      <c r="T271">
        <v>2.5</v>
      </c>
      <c r="U271">
        <v>2.5</v>
      </c>
      <c r="V271" t="s">
        <v>25</v>
      </c>
    </row>
    <row r="272" spans="1:22" x14ac:dyDescent="0.25">
      <c r="A272" t="s">
        <v>70</v>
      </c>
      <c r="B272">
        <v>3</v>
      </c>
      <c r="C272" t="s">
        <v>71</v>
      </c>
      <c r="D272" t="s">
        <v>72</v>
      </c>
      <c r="E272" t="s">
        <v>73</v>
      </c>
      <c r="F272">
        <v>160</v>
      </c>
      <c r="G272">
        <v>1000</v>
      </c>
      <c r="H272">
        <v>-3</v>
      </c>
      <c r="I272">
        <v>1981</v>
      </c>
      <c r="J272" t="s">
        <v>32</v>
      </c>
      <c r="K272">
        <v>1596</v>
      </c>
      <c r="L272">
        <v>10.4</v>
      </c>
      <c r="M272">
        <v>9.4</v>
      </c>
      <c r="N272" s="4">
        <f t="shared" si="8"/>
        <v>8.4905600000000029E-3</v>
      </c>
      <c r="O272" s="4">
        <f t="shared" si="9"/>
        <v>7.9811264000000035E-2</v>
      </c>
      <c r="P272">
        <v>100</v>
      </c>
      <c r="Q272">
        <v>4</v>
      </c>
      <c r="R272">
        <v>3</v>
      </c>
      <c r="S272">
        <v>2</v>
      </c>
      <c r="T272">
        <v>3.5</v>
      </c>
      <c r="U272">
        <v>3</v>
      </c>
      <c r="V272" t="s">
        <v>27</v>
      </c>
    </row>
    <row r="273" spans="1:22" x14ac:dyDescent="0.25">
      <c r="A273" t="s">
        <v>70</v>
      </c>
      <c r="B273">
        <v>3</v>
      </c>
      <c r="C273" t="s">
        <v>71</v>
      </c>
      <c r="D273" t="s">
        <v>72</v>
      </c>
      <c r="E273" t="s">
        <v>73</v>
      </c>
      <c r="F273">
        <v>160</v>
      </c>
      <c r="G273">
        <v>1000</v>
      </c>
      <c r="H273">
        <v>-3</v>
      </c>
      <c r="I273">
        <v>1981</v>
      </c>
      <c r="J273" t="s">
        <v>61</v>
      </c>
      <c r="K273">
        <v>1171</v>
      </c>
      <c r="L273">
        <v>3.5</v>
      </c>
      <c r="M273">
        <v>2.9</v>
      </c>
      <c r="N273" s="4">
        <f t="shared" si="8"/>
        <v>9.6162500000000013E-4</v>
      </c>
      <c r="O273" s="4">
        <f t="shared" si="9"/>
        <v>2.7887125000000002E-3</v>
      </c>
      <c r="P273">
        <v>75</v>
      </c>
      <c r="Q273">
        <v>1</v>
      </c>
      <c r="R273">
        <v>1</v>
      </c>
      <c r="S273">
        <v>3</v>
      </c>
      <c r="T273">
        <v>3</v>
      </c>
      <c r="U273">
        <v>3</v>
      </c>
      <c r="V273" t="s">
        <v>50</v>
      </c>
    </row>
    <row r="274" spans="1:22" x14ac:dyDescent="0.25">
      <c r="A274" t="s">
        <v>70</v>
      </c>
      <c r="B274">
        <v>3</v>
      </c>
      <c r="C274" t="s">
        <v>71</v>
      </c>
      <c r="D274" t="s">
        <v>72</v>
      </c>
      <c r="E274" t="s">
        <v>73</v>
      </c>
      <c r="F274">
        <v>160</v>
      </c>
      <c r="G274">
        <v>1000</v>
      </c>
      <c r="H274">
        <v>-3</v>
      </c>
      <c r="I274">
        <v>1981</v>
      </c>
      <c r="J274" t="s">
        <v>34</v>
      </c>
      <c r="K274">
        <v>2469</v>
      </c>
      <c r="L274">
        <v>5.7</v>
      </c>
      <c r="M274">
        <v>5.6</v>
      </c>
      <c r="N274" s="4">
        <f t="shared" si="8"/>
        <v>2.550465E-3</v>
      </c>
      <c r="O274" s="4">
        <f t="shared" si="9"/>
        <v>1.4282603999999999E-2</v>
      </c>
      <c r="P274">
        <v>100</v>
      </c>
      <c r="Q274">
        <v>3</v>
      </c>
      <c r="R274">
        <v>2.5</v>
      </c>
      <c r="S274">
        <v>4</v>
      </c>
      <c r="T274">
        <v>5</v>
      </c>
      <c r="U274">
        <v>4</v>
      </c>
      <c r="V274" t="s">
        <v>25</v>
      </c>
    </row>
    <row r="275" spans="1:22" x14ac:dyDescent="0.25">
      <c r="A275" t="s">
        <v>70</v>
      </c>
      <c r="B275">
        <v>3</v>
      </c>
      <c r="C275" t="s">
        <v>71</v>
      </c>
      <c r="D275" t="s">
        <v>72</v>
      </c>
      <c r="E275" t="s">
        <v>73</v>
      </c>
      <c r="F275">
        <v>160</v>
      </c>
      <c r="G275">
        <v>1000</v>
      </c>
      <c r="H275">
        <v>-3</v>
      </c>
      <c r="I275">
        <v>1981</v>
      </c>
      <c r="J275" t="s">
        <v>34</v>
      </c>
      <c r="K275">
        <v>1337</v>
      </c>
      <c r="L275">
        <v>10.5</v>
      </c>
      <c r="M275">
        <v>7.5</v>
      </c>
      <c r="N275" s="4">
        <f t="shared" si="8"/>
        <v>8.6546249999999991E-3</v>
      </c>
      <c r="O275" s="4">
        <f t="shared" si="9"/>
        <v>6.4909687499999993E-2</v>
      </c>
      <c r="P275">
        <v>63</v>
      </c>
      <c r="Q275">
        <v>3.5</v>
      </c>
      <c r="R275">
        <v>2.5</v>
      </c>
      <c r="S275">
        <v>2.5</v>
      </c>
      <c r="T275">
        <v>2</v>
      </c>
      <c r="U275">
        <v>2.5</v>
      </c>
      <c r="V275" t="s">
        <v>25</v>
      </c>
    </row>
    <row r="276" spans="1:22" x14ac:dyDescent="0.25">
      <c r="A276" t="s">
        <v>70</v>
      </c>
      <c r="B276">
        <v>3</v>
      </c>
      <c r="C276" t="s">
        <v>71</v>
      </c>
      <c r="D276" t="s">
        <v>72</v>
      </c>
      <c r="E276" t="s">
        <v>73</v>
      </c>
      <c r="F276">
        <v>160</v>
      </c>
      <c r="G276">
        <v>1000</v>
      </c>
      <c r="H276">
        <v>-3</v>
      </c>
      <c r="I276">
        <v>1981</v>
      </c>
      <c r="J276" t="s">
        <v>35</v>
      </c>
      <c r="K276">
        <v>1785</v>
      </c>
      <c r="L276">
        <v>4.3</v>
      </c>
      <c r="M276">
        <v>3.2</v>
      </c>
      <c r="N276" s="4">
        <f t="shared" si="8"/>
        <v>1.4514649999999999E-3</v>
      </c>
      <c r="O276" s="4">
        <f t="shared" si="9"/>
        <v>4.6446880000000001E-3</v>
      </c>
      <c r="P276">
        <v>100</v>
      </c>
      <c r="Q276">
        <v>1.5</v>
      </c>
      <c r="R276">
        <v>1</v>
      </c>
      <c r="S276">
        <v>2.5</v>
      </c>
      <c r="T276">
        <v>3.5</v>
      </c>
      <c r="U276">
        <v>3</v>
      </c>
      <c r="V276" t="s">
        <v>50</v>
      </c>
    </row>
    <row r="277" spans="1:22" x14ac:dyDescent="0.25">
      <c r="A277" t="s">
        <v>70</v>
      </c>
      <c r="B277">
        <v>3</v>
      </c>
      <c r="C277" t="s">
        <v>71</v>
      </c>
      <c r="D277" t="s">
        <v>72</v>
      </c>
      <c r="E277" t="s">
        <v>73</v>
      </c>
      <c r="F277">
        <v>160</v>
      </c>
      <c r="G277">
        <v>1000</v>
      </c>
      <c r="H277">
        <v>-3</v>
      </c>
      <c r="I277">
        <v>1981</v>
      </c>
      <c r="J277" t="s">
        <v>36</v>
      </c>
      <c r="K277">
        <v>1598</v>
      </c>
      <c r="L277">
        <v>13.6</v>
      </c>
      <c r="M277">
        <v>7.3</v>
      </c>
      <c r="N277" s="4">
        <f t="shared" si="8"/>
        <v>1.4519360000000002E-2</v>
      </c>
      <c r="O277" s="4">
        <f t="shared" si="9"/>
        <v>0.10599132800000001</v>
      </c>
      <c r="P277">
        <v>38</v>
      </c>
      <c r="Q277">
        <v>3</v>
      </c>
      <c r="R277">
        <v>3</v>
      </c>
      <c r="S277">
        <v>2</v>
      </c>
      <c r="T277">
        <v>2.5</v>
      </c>
      <c r="U277">
        <v>2</v>
      </c>
      <c r="V277" t="s">
        <v>38</v>
      </c>
    </row>
    <row r="278" spans="1:22" x14ac:dyDescent="0.25">
      <c r="A278" t="s">
        <v>70</v>
      </c>
      <c r="B278">
        <v>3</v>
      </c>
      <c r="C278" t="s">
        <v>71</v>
      </c>
      <c r="D278" t="s">
        <v>72</v>
      </c>
      <c r="E278" t="s">
        <v>73</v>
      </c>
      <c r="F278">
        <v>160</v>
      </c>
      <c r="G278">
        <v>1000</v>
      </c>
      <c r="H278">
        <v>-3</v>
      </c>
      <c r="I278">
        <v>1981</v>
      </c>
      <c r="J278" t="s">
        <v>62</v>
      </c>
      <c r="K278">
        <v>2428</v>
      </c>
      <c r="L278">
        <v>12.3</v>
      </c>
      <c r="M278">
        <v>8.1999999999999993</v>
      </c>
      <c r="N278" s="4">
        <f t="shared" si="8"/>
        <v>1.1876265000000004E-2</v>
      </c>
      <c r="O278" s="4">
        <f t="shared" si="9"/>
        <v>9.7385373000000025E-2</v>
      </c>
      <c r="P278">
        <v>75</v>
      </c>
      <c r="Q278">
        <v>4</v>
      </c>
      <c r="R278">
        <v>3</v>
      </c>
      <c r="S278">
        <v>3</v>
      </c>
      <c r="T278">
        <v>2</v>
      </c>
      <c r="U278">
        <v>2</v>
      </c>
      <c r="V278" t="s">
        <v>27</v>
      </c>
    </row>
    <row r="279" spans="1:22" x14ac:dyDescent="0.25">
      <c r="A279" t="s">
        <v>70</v>
      </c>
      <c r="B279">
        <v>3</v>
      </c>
      <c r="C279" t="s">
        <v>71</v>
      </c>
      <c r="D279" t="s">
        <v>72</v>
      </c>
      <c r="E279" t="s">
        <v>73</v>
      </c>
      <c r="F279">
        <v>160</v>
      </c>
      <c r="G279">
        <v>1000</v>
      </c>
      <c r="H279">
        <v>-3</v>
      </c>
      <c r="I279">
        <v>1981</v>
      </c>
      <c r="J279" t="s">
        <v>62</v>
      </c>
      <c r="K279">
        <v>2430</v>
      </c>
      <c r="L279">
        <v>9.6999999999999993</v>
      </c>
      <c r="M279">
        <v>7.1</v>
      </c>
      <c r="N279" s="4">
        <f t="shared" si="8"/>
        <v>7.3860649999999981E-3</v>
      </c>
      <c r="O279" s="4">
        <f t="shared" si="9"/>
        <v>5.2441061499999983E-2</v>
      </c>
      <c r="P279">
        <v>100</v>
      </c>
      <c r="Q279">
        <v>4</v>
      </c>
      <c r="R279">
        <v>3</v>
      </c>
      <c r="S279">
        <v>2</v>
      </c>
      <c r="T279">
        <v>2.5</v>
      </c>
      <c r="U279">
        <v>2.5</v>
      </c>
      <c r="V279" t="s">
        <v>27</v>
      </c>
    </row>
    <row r="280" spans="1:22" x14ac:dyDescent="0.25">
      <c r="A280" t="s">
        <v>70</v>
      </c>
      <c r="B280">
        <v>3</v>
      </c>
      <c r="C280" t="s">
        <v>71</v>
      </c>
      <c r="D280" t="s">
        <v>72</v>
      </c>
      <c r="E280" t="s">
        <v>73</v>
      </c>
      <c r="F280">
        <v>160</v>
      </c>
      <c r="G280">
        <v>1000</v>
      </c>
      <c r="H280">
        <v>-3</v>
      </c>
      <c r="I280">
        <v>1981</v>
      </c>
      <c r="J280" t="s">
        <v>62</v>
      </c>
      <c r="K280">
        <v>1787</v>
      </c>
      <c r="L280">
        <v>13</v>
      </c>
      <c r="M280">
        <v>9</v>
      </c>
      <c r="N280" s="4">
        <f t="shared" si="8"/>
        <v>1.3266500000000002E-2</v>
      </c>
      <c r="O280" s="4">
        <f t="shared" si="9"/>
        <v>0.11939850000000002</v>
      </c>
      <c r="P280">
        <v>88</v>
      </c>
      <c r="Q280">
        <v>4</v>
      </c>
      <c r="R280">
        <v>3</v>
      </c>
      <c r="S280">
        <v>3.5</v>
      </c>
      <c r="T280">
        <v>3</v>
      </c>
      <c r="U280">
        <v>3</v>
      </c>
      <c r="V280" t="s">
        <v>27</v>
      </c>
    </row>
    <row r="281" spans="1:22" x14ac:dyDescent="0.25">
      <c r="A281" t="s">
        <v>70</v>
      </c>
      <c r="B281">
        <v>3</v>
      </c>
      <c r="C281" t="s">
        <v>71</v>
      </c>
      <c r="D281" t="s">
        <v>72</v>
      </c>
      <c r="E281" t="s">
        <v>73</v>
      </c>
      <c r="F281">
        <v>160</v>
      </c>
      <c r="G281">
        <v>1000</v>
      </c>
      <c r="H281">
        <v>-3</v>
      </c>
      <c r="I281">
        <v>1981</v>
      </c>
      <c r="J281" t="s">
        <v>69</v>
      </c>
      <c r="K281">
        <v>1780</v>
      </c>
      <c r="L281">
        <v>4.9000000000000004</v>
      </c>
      <c r="M281">
        <v>2.8</v>
      </c>
      <c r="N281" s="4">
        <f t="shared" si="8"/>
        <v>1.8847850000000004E-3</v>
      </c>
      <c r="O281" s="4">
        <f t="shared" si="9"/>
        <v>5.2773980000000009E-3</v>
      </c>
      <c r="P281">
        <v>63</v>
      </c>
      <c r="Q281">
        <v>2</v>
      </c>
      <c r="R281">
        <v>3</v>
      </c>
      <c r="S281">
        <v>3</v>
      </c>
      <c r="T281">
        <v>3.5</v>
      </c>
      <c r="U281">
        <v>3.5</v>
      </c>
      <c r="V281" t="s">
        <v>30</v>
      </c>
    </row>
    <row r="282" spans="1:22" x14ac:dyDescent="0.25">
      <c r="A282" t="s">
        <v>70</v>
      </c>
      <c r="B282">
        <v>3</v>
      </c>
      <c r="C282" t="s">
        <v>71</v>
      </c>
      <c r="D282" t="s">
        <v>72</v>
      </c>
      <c r="E282" t="s">
        <v>73</v>
      </c>
      <c r="F282">
        <v>160</v>
      </c>
      <c r="G282">
        <v>1000</v>
      </c>
      <c r="H282">
        <v>-3</v>
      </c>
      <c r="I282">
        <v>1981</v>
      </c>
      <c r="J282" t="s">
        <v>39</v>
      </c>
      <c r="K282">
        <v>2435</v>
      </c>
      <c r="L282">
        <v>6</v>
      </c>
      <c r="M282">
        <v>7</v>
      </c>
      <c r="N282" s="4">
        <f t="shared" si="8"/>
        <v>2.826E-3</v>
      </c>
      <c r="O282" s="4">
        <f t="shared" si="9"/>
        <v>1.9782000000000001E-2</v>
      </c>
      <c r="P282">
        <v>13</v>
      </c>
      <c r="Q282">
        <v>3</v>
      </c>
      <c r="R282">
        <v>3</v>
      </c>
      <c r="S282">
        <v>4</v>
      </c>
      <c r="T282">
        <v>4</v>
      </c>
      <c r="U282">
        <v>4</v>
      </c>
      <c r="V282" t="s">
        <v>30</v>
      </c>
    </row>
    <row r="283" spans="1:22" x14ac:dyDescent="0.25">
      <c r="A283" t="s">
        <v>70</v>
      </c>
      <c r="B283">
        <v>3</v>
      </c>
      <c r="C283" t="s">
        <v>71</v>
      </c>
      <c r="D283" t="s">
        <v>72</v>
      </c>
      <c r="E283" t="s">
        <v>73</v>
      </c>
      <c r="F283">
        <v>160</v>
      </c>
      <c r="G283">
        <v>1000</v>
      </c>
      <c r="H283">
        <v>-3</v>
      </c>
      <c r="I283">
        <v>1981</v>
      </c>
      <c r="J283" t="s">
        <v>37</v>
      </c>
      <c r="K283">
        <v>1524</v>
      </c>
      <c r="L283">
        <v>11.8</v>
      </c>
      <c r="M283">
        <v>7.4</v>
      </c>
      <c r="N283" s="4">
        <f t="shared" si="8"/>
        <v>1.0930340000000002E-2</v>
      </c>
      <c r="O283" s="4">
        <f t="shared" si="9"/>
        <v>8.0884516000000017E-2</v>
      </c>
      <c r="P283">
        <v>88</v>
      </c>
      <c r="Q283">
        <v>2.5</v>
      </c>
      <c r="R283">
        <v>2</v>
      </c>
      <c r="S283">
        <v>2.5</v>
      </c>
      <c r="T283">
        <v>3</v>
      </c>
      <c r="U283">
        <v>3</v>
      </c>
      <c r="V283" t="s">
        <v>38</v>
      </c>
    </row>
    <row r="284" spans="1:22" x14ac:dyDescent="0.25">
      <c r="A284" t="s">
        <v>70</v>
      </c>
      <c r="B284">
        <v>3</v>
      </c>
      <c r="C284" t="s">
        <v>71</v>
      </c>
      <c r="D284" t="s">
        <v>72</v>
      </c>
      <c r="E284" t="s">
        <v>73</v>
      </c>
      <c r="F284">
        <v>160</v>
      </c>
      <c r="G284">
        <v>1000</v>
      </c>
      <c r="H284">
        <v>-3</v>
      </c>
      <c r="I284">
        <v>1981</v>
      </c>
      <c r="J284" t="s">
        <v>63</v>
      </c>
      <c r="K284">
        <v>1340</v>
      </c>
      <c r="L284">
        <v>6.2</v>
      </c>
      <c r="M284">
        <v>5.3</v>
      </c>
      <c r="N284" s="4">
        <f t="shared" si="8"/>
        <v>3.01754E-3</v>
      </c>
      <c r="O284" s="4">
        <f t="shared" si="9"/>
        <v>1.5992961999999999E-2</v>
      </c>
      <c r="P284">
        <v>100</v>
      </c>
      <c r="Q284">
        <v>2</v>
      </c>
      <c r="R284">
        <v>2</v>
      </c>
      <c r="S284">
        <v>2.5</v>
      </c>
      <c r="T284">
        <v>2.5</v>
      </c>
      <c r="U284">
        <v>3</v>
      </c>
      <c r="V284" t="s">
        <v>30</v>
      </c>
    </row>
    <row r="285" spans="1:22" x14ac:dyDescent="0.25">
      <c r="A285" t="s">
        <v>70</v>
      </c>
      <c r="B285">
        <v>3</v>
      </c>
      <c r="C285" t="s">
        <v>71</v>
      </c>
      <c r="D285" t="s">
        <v>72</v>
      </c>
      <c r="E285" t="s">
        <v>73</v>
      </c>
      <c r="F285">
        <v>160</v>
      </c>
      <c r="G285">
        <v>1000</v>
      </c>
      <c r="H285">
        <v>-3</v>
      </c>
      <c r="I285">
        <v>1981</v>
      </c>
      <c r="J285" t="s">
        <v>60</v>
      </c>
      <c r="K285">
        <v>1595</v>
      </c>
      <c r="L285">
        <v>1.5</v>
      </c>
      <c r="M285">
        <v>1.8</v>
      </c>
      <c r="N285" s="4">
        <f t="shared" si="8"/>
        <v>1.76625E-4</v>
      </c>
      <c r="O285" s="4">
        <f t="shared" si="9"/>
        <v>3.1792499999999999E-4</v>
      </c>
      <c r="P285">
        <v>88</v>
      </c>
      <c r="Q285">
        <v>1.5</v>
      </c>
      <c r="R285">
        <v>1</v>
      </c>
      <c r="S285">
        <v>3</v>
      </c>
      <c r="T285">
        <v>4</v>
      </c>
      <c r="U285">
        <v>3</v>
      </c>
      <c r="V285" t="s">
        <v>30</v>
      </c>
    </row>
    <row r="286" spans="1:22" x14ac:dyDescent="0.25">
      <c r="A286" t="s">
        <v>74</v>
      </c>
      <c r="B286">
        <v>1</v>
      </c>
      <c r="C286" t="s">
        <v>66</v>
      </c>
      <c r="D286" t="s">
        <v>75</v>
      </c>
      <c r="E286" t="s">
        <v>68</v>
      </c>
      <c r="F286">
        <v>180</v>
      </c>
      <c r="G286">
        <v>1080</v>
      </c>
      <c r="H286">
        <v>-3</v>
      </c>
      <c r="I286">
        <v>1982</v>
      </c>
      <c r="J286" t="s">
        <v>56</v>
      </c>
      <c r="K286">
        <v>1111</v>
      </c>
      <c r="L286">
        <v>6.02</v>
      </c>
      <c r="M286">
        <v>3.63</v>
      </c>
      <c r="N286" s="4">
        <f t="shared" si="8"/>
        <v>2.8448713999999998E-3</v>
      </c>
      <c r="O286" s="4">
        <f t="shared" si="9"/>
        <v>1.0326883181999999E-2</v>
      </c>
      <c r="P286">
        <v>38</v>
      </c>
      <c r="Q286">
        <v>2.5</v>
      </c>
      <c r="R286">
        <v>3</v>
      </c>
      <c r="S286">
        <v>3</v>
      </c>
      <c r="T286">
        <v>3</v>
      </c>
      <c r="U286">
        <v>3</v>
      </c>
      <c r="V286" t="s">
        <v>30</v>
      </c>
    </row>
    <row r="287" spans="1:22" x14ac:dyDescent="0.25">
      <c r="A287" t="s">
        <v>74</v>
      </c>
      <c r="B287">
        <v>1</v>
      </c>
      <c r="C287" t="s">
        <v>66</v>
      </c>
      <c r="D287" t="s">
        <v>75</v>
      </c>
      <c r="E287" t="s">
        <v>68</v>
      </c>
      <c r="F287">
        <v>180</v>
      </c>
      <c r="G287">
        <v>1080</v>
      </c>
      <c r="H287">
        <v>-3</v>
      </c>
      <c r="I287">
        <v>1982</v>
      </c>
      <c r="J287" t="s">
        <v>57</v>
      </c>
      <c r="K287">
        <v>2620</v>
      </c>
      <c r="L287">
        <v>2.29</v>
      </c>
      <c r="M287">
        <v>3.2</v>
      </c>
      <c r="N287" s="4">
        <f t="shared" si="8"/>
        <v>4.1166185000000003E-4</v>
      </c>
      <c r="O287" s="4">
        <f t="shared" si="9"/>
        <v>1.3173179200000002E-3</v>
      </c>
      <c r="P287">
        <v>50</v>
      </c>
      <c r="Q287">
        <v>1</v>
      </c>
      <c r="R287">
        <v>1</v>
      </c>
      <c r="S287">
        <v>3</v>
      </c>
      <c r="T287">
        <v>3</v>
      </c>
      <c r="U287">
        <v>3</v>
      </c>
      <c r="V287" t="s">
        <v>50</v>
      </c>
    </row>
    <row r="288" spans="1:22" x14ac:dyDescent="0.25">
      <c r="A288" t="s">
        <v>74</v>
      </c>
      <c r="B288">
        <v>1</v>
      </c>
      <c r="C288" t="s">
        <v>66</v>
      </c>
      <c r="D288" t="s">
        <v>75</v>
      </c>
      <c r="E288" t="s">
        <v>68</v>
      </c>
      <c r="F288">
        <v>180</v>
      </c>
      <c r="G288">
        <v>1080</v>
      </c>
      <c r="H288">
        <v>-3</v>
      </c>
      <c r="I288">
        <v>1982</v>
      </c>
      <c r="J288" t="s">
        <v>57</v>
      </c>
      <c r="K288">
        <v>2621</v>
      </c>
      <c r="L288">
        <v>3.31</v>
      </c>
      <c r="M288">
        <v>4.34</v>
      </c>
      <c r="N288" s="4">
        <f t="shared" si="8"/>
        <v>8.6005384999999991E-4</v>
      </c>
      <c r="O288" s="4">
        <f t="shared" si="9"/>
        <v>3.7326337089999993E-3</v>
      </c>
      <c r="P288">
        <v>50</v>
      </c>
      <c r="Q288">
        <v>3</v>
      </c>
      <c r="R288">
        <v>2.5</v>
      </c>
      <c r="S288">
        <v>3</v>
      </c>
      <c r="T288">
        <v>3</v>
      </c>
      <c r="U288">
        <v>3</v>
      </c>
      <c r="V288" t="s">
        <v>30</v>
      </c>
    </row>
    <row r="289" spans="1:22" x14ac:dyDescent="0.25">
      <c r="A289" t="s">
        <v>74</v>
      </c>
      <c r="B289">
        <v>1</v>
      </c>
      <c r="C289" t="s">
        <v>66</v>
      </c>
      <c r="D289" t="s">
        <v>75</v>
      </c>
      <c r="E289" t="s">
        <v>68</v>
      </c>
      <c r="F289">
        <v>180</v>
      </c>
      <c r="G289">
        <v>1080</v>
      </c>
      <c r="H289">
        <v>-3</v>
      </c>
      <c r="I289">
        <v>1982</v>
      </c>
      <c r="J289" t="s">
        <v>59</v>
      </c>
      <c r="K289">
        <v>2426</v>
      </c>
      <c r="L289">
        <v>53.86</v>
      </c>
      <c r="M289">
        <v>5.01</v>
      </c>
      <c r="N289" s="4">
        <f t="shared" si="8"/>
        <v>0.22772061859999998</v>
      </c>
      <c r="O289" s="4">
        <f t="shared" si="9"/>
        <v>1.1408802991859999</v>
      </c>
      <c r="P289">
        <v>100</v>
      </c>
      <c r="Q289">
        <v>2.5</v>
      </c>
      <c r="R289">
        <v>3.5</v>
      </c>
      <c r="S289">
        <v>3</v>
      </c>
      <c r="T289">
        <v>3</v>
      </c>
      <c r="U289">
        <v>3</v>
      </c>
      <c r="V289" t="s">
        <v>30</v>
      </c>
    </row>
    <row r="290" spans="1:22" x14ac:dyDescent="0.25">
      <c r="A290" t="s">
        <v>74</v>
      </c>
      <c r="B290">
        <v>1</v>
      </c>
      <c r="C290" t="s">
        <v>66</v>
      </c>
      <c r="D290" t="s">
        <v>75</v>
      </c>
      <c r="E290" t="s">
        <v>68</v>
      </c>
      <c r="F290">
        <v>180</v>
      </c>
      <c r="G290">
        <v>1080</v>
      </c>
      <c r="H290">
        <v>-3</v>
      </c>
      <c r="I290">
        <v>1982</v>
      </c>
      <c r="J290" t="s">
        <v>59</v>
      </c>
      <c r="K290">
        <v>1482</v>
      </c>
      <c r="L290">
        <v>19.66</v>
      </c>
      <c r="M290">
        <v>12.21</v>
      </c>
      <c r="N290" s="4">
        <f t="shared" si="8"/>
        <v>3.0341474600000001E-2</v>
      </c>
      <c r="O290" s="4">
        <f t="shared" si="9"/>
        <v>0.37046940486600005</v>
      </c>
      <c r="P290">
        <v>100</v>
      </c>
      <c r="Q290">
        <v>4.5</v>
      </c>
      <c r="R290">
        <v>4</v>
      </c>
      <c r="S290">
        <v>4</v>
      </c>
      <c r="T290">
        <v>3</v>
      </c>
      <c r="U290">
        <v>2.7</v>
      </c>
      <c r="V290" t="s">
        <v>25</v>
      </c>
    </row>
    <row r="291" spans="1:22" x14ac:dyDescent="0.25">
      <c r="A291" t="s">
        <v>74</v>
      </c>
      <c r="B291">
        <v>1</v>
      </c>
      <c r="C291" t="s">
        <v>66</v>
      </c>
      <c r="D291" t="s">
        <v>75</v>
      </c>
      <c r="E291" t="s">
        <v>68</v>
      </c>
      <c r="F291">
        <v>180</v>
      </c>
      <c r="G291">
        <v>1080</v>
      </c>
      <c r="H291">
        <v>-3</v>
      </c>
      <c r="I291">
        <v>1982</v>
      </c>
      <c r="J291" t="s">
        <v>59</v>
      </c>
      <c r="K291">
        <v>2548</v>
      </c>
      <c r="L291">
        <v>22.23</v>
      </c>
      <c r="M291">
        <v>12.82</v>
      </c>
      <c r="N291" s="4">
        <f t="shared" si="8"/>
        <v>3.8792572649999996E-2</v>
      </c>
      <c r="O291" s="4">
        <f t="shared" si="9"/>
        <v>0.49732078137299995</v>
      </c>
      <c r="P291">
        <v>100</v>
      </c>
      <c r="Q291">
        <v>5</v>
      </c>
      <c r="R291">
        <v>4</v>
      </c>
      <c r="S291">
        <v>3</v>
      </c>
      <c r="T291">
        <v>3</v>
      </c>
      <c r="U291">
        <v>2</v>
      </c>
      <c r="V291" t="s">
        <v>25</v>
      </c>
    </row>
    <row r="292" spans="1:22" x14ac:dyDescent="0.25">
      <c r="A292" t="s">
        <v>74</v>
      </c>
      <c r="B292">
        <v>1</v>
      </c>
      <c r="C292" t="s">
        <v>66</v>
      </c>
      <c r="D292" t="s">
        <v>75</v>
      </c>
      <c r="E292" t="s">
        <v>68</v>
      </c>
      <c r="F292">
        <v>180</v>
      </c>
      <c r="G292">
        <v>1080</v>
      </c>
      <c r="H292">
        <v>-3</v>
      </c>
      <c r="I292">
        <v>1982</v>
      </c>
      <c r="J292" t="s">
        <v>26</v>
      </c>
      <c r="K292">
        <v>2552</v>
      </c>
      <c r="L292">
        <v>1.82</v>
      </c>
      <c r="M292">
        <v>2.4300000000000002</v>
      </c>
      <c r="N292" s="4">
        <f t="shared" si="8"/>
        <v>2.6002340000000004E-4</v>
      </c>
      <c r="O292" s="4">
        <f t="shared" si="9"/>
        <v>6.3185686200000011E-4</v>
      </c>
      <c r="P292">
        <v>13</v>
      </c>
      <c r="Q292">
        <v>1</v>
      </c>
      <c r="R292">
        <v>2.5</v>
      </c>
      <c r="S292">
        <v>3</v>
      </c>
      <c r="T292">
        <v>3</v>
      </c>
      <c r="U292">
        <v>3</v>
      </c>
      <c r="V292" t="s">
        <v>50</v>
      </c>
    </row>
    <row r="293" spans="1:22" x14ac:dyDescent="0.25">
      <c r="A293" t="s">
        <v>74</v>
      </c>
      <c r="B293">
        <v>1</v>
      </c>
      <c r="C293" t="s">
        <v>66</v>
      </c>
      <c r="D293" t="s">
        <v>75</v>
      </c>
      <c r="E293" t="s">
        <v>68</v>
      </c>
      <c r="F293">
        <v>180</v>
      </c>
      <c r="G293">
        <v>1080</v>
      </c>
      <c r="H293">
        <v>-3</v>
      </c>
      <c r="I293">
        <v>1982</v>
      </c>
      <c r="J293" t="s">
        <v>61</v>
      </c>
      <c r="K293">
        <v>2631</v>
      </c>
      <c r="L293">
        <v>6.97</v>
      </c>
      <c r="M293">
        <v>5.23</v>
      </c>
      <c r="N293" s="4">
        <f t="shared" si="8"/>
        <v>3.8136006499999999E-3</v>
      </c>
      <c r="O293" s="4">
        <f t="shared" si="9"/>
        <v>1.99451313995E-2</v>
      </c>
      <c r="P293">
        <v>25</v>
      </c>
      <c r="Q293">
        <v>2</v>
      </c>
      <c r="R293">
        <v>3</v>
      </c>
      <c r="S293">
        <v>2.5</v>
      </c>
      <c r="T293">
        <v>2</v>
      </c>
      <c r="U293">
        <v>3</v>
      </c>
      <c r="V293" t="s">
        <v>50</v>
      </c>
    </row>
    <row r="294" spans="1:22" x14ac:dyDescent="0.25">
      <c r="A294" t="s">
        <v>74</v>
      </c>
      <c r="B294">
        <v>1</v>
      </c>
      <c r="C294" t="s">
        <v>66</v>
      </c>
      <c r="D294" t="s">
        <v>75</v>
      </c>
      <c r="E294" t="s">
        <v>68</v>
      </c>
      <c r="F294">
        <v>180</v>
      </c>
      <c r="G294">
        <v>1080</v>
      </c>
      <c r="H294">
        <v>-3</v>
      </c>
      <c r="I294">
        <v>1982</v>
      </c>
      <c r="J294" t="s">
        <v>32</v>
      </c>
      <c r="K294">
        <v>1596</v>
      </c>
      <c r="L294">
        <v>12.21</v>
      </c>
      <c r="M294">
        <v>8.7200000000000006</v>
      </c>
      <c r="N294" s="4">
        <f t="shared" si="8"/>
        <v>1.1703101850000003E-2</v>
      </c>
      <c r="O294" s="4">
        <f t="shared" si="9"/>
        <v>0.10205104813200004</v>
      </c>
      <c r="P294">
        <v>75</v>
      </c>
      <c r="Q294">
        <v>3.3</v>
      </c>
      <c r="R294">
        <v>3.5</v>
      </c>
      <c r="S294">
        <v>3</v>
      </c>
      <c r="T294">
        <v>4</v>
      </c>
      <c r="U294">
        <v>3.5</v>
      </c>
      <c r="V294" t="s">
        <v>25</v>
      </c>
    </row>
    <row r="295" spans="1:22" x14ac:dyDescent="0.25">
      <c r="A295" t="s">
        <v>74</v>
      </c>
      <c r="B295">
        <v>1</v>
      </c>
      <c r="C295" t="s">
        <v>66</v>
      </c>
      <c r="D295" t="s">
        <v>75</v>
      </c>
      <c r="E295" t="s">
        <v>68</v>
      </c>
      <c r="F295">
        <v>180</v>
      </c>
      <c r="G295">
        <v>1080</v>
      </c>
      <c r="H295">
        <v>-3</v>
      </c>
      <c r="I295">
        <v>1982</v>
      </c>
      <c r="J295" t="s">
        <v>32</v>
      </c>
      <c r="K295">
        <v>2634</v>
      </c>
      <c r="L295">
        <v>6.6</v>
      </c>
      <c r="M295">
        <v>8.1</v>
      </c>
      <c r="N295" s="4">
        <f t="shared" si="8"/>
        <v>3.4194600000000005E-3</v>
      </c>
      <c r="O295" s="4">
        <f t="shared" si="9"/>
        <v>2.7697626000000003E-2</v>
      </c>
      <c r="P295">
        <v>50</v>
      </c>
      <c r="Q295">
        <v>2.8</v>
      </c>
      <c r="R295">
        <v>4</v>
      </c>
      <c r="S295">
        <v>3</v>
      </c>
      <c r="T295">
        <v>4</v>
      </c>
      <c r="U295">
        <v>3.5</v>
      </c>
      <c r="V295" t="s">
        <v>38</v>
      </c>
    </row>
    <row r="296" spans="1:22" x14ac:dyDescent="0.25">
      <c r="A296" t="s">
        <v>74</v>
      </c>
      <c r="B296">
        <v>1</v>
      </c>
      <c r="C296" t="s">
        <v>66</v>
      </c>
      <c r="D296" t="s">
        <v>75</v>
      </c>
      <c r="E296" t="s">
        <v>68</v>
      </c>
      <c r="F296">
        <v>180</v>
      </c>
      <c r="G296">
        <v>1080</v>
      </c>
      <c r="H296">
        <v>-3</v>
      </c>
      <c r="I296">
        <v>1982</v>
      </c>
      <c r="J296" t="s">
        <v>32</v>
      </c>
      <c r="K296">
        <v>2635</v>
      </c>
      <c r="L296">
        <v>7.48</v>
      </c>
      <c r="M296">
        <v>3.74</v>
      </c>
      <c r="N296" s="4">
        <f t="shared" si="8"/>
        <v>4.3921064000000008E-3</v>
      </c>
      <c r="O296" s="4">
        <f t="shared" si="9"/>
        <v>1.6426477936000005E-2</v>
      </c>
      <c r="P296">
        <v>25</v>
      </c>
      <c r="Q296">
        <v>3</v>
      </c>
      <c r="R296">
        <v>3.5</v>
      </c>
      <c r="S296">
        <v>3</v>
      </c>
      <c r="T296">
        <v>4</v>
      </c>
      <c r="U296">
        <v>3.5</v>
      </c>
      <c r="V296" t="s">
        <v>30</v>
      </c>
    </row>
    <row r="297" spans="1:22" x14ac:dyDescent="0.25">
      <c r="A297" t="s">
        <v>74</v>
      </c>
      <c r="B297">
        <v>1</v>
      </c>
      <c r="C297" t="s">
        <v>66</v>
      </c>
      <c r="D297" t="s">
        <v>75</v>
      </c>
      <c r="E297" t="s">
        <v>68</v>
      </c>
      <c r="F297">
        <v>180</v>
      </c>
      <c r="G297">
        <v>1080</v>
      </c>
      <c r="H297">
        <v>-3</v>
      </c>
      <c r="I297">
        <v>1982</v>
      </c>
      <c r="J297" t="s">
        <v>35</v>
      </c>
      <c r="K297">
        <v>1259</v>
      </c>
      <c r="L297">
        <v>9.65</v>
      </c>
      <c r="M297">
        <v>8.01</v>
      </c>
      <c r="N297" s="4">
        <f t="shared" si="8"/>
        <v>7.3101162500000009E-3</v>
      </c>
      <c r="O297" s="4">
        <f t="shared" si="9"/>
        <v>5.8554031162500006E-2</v>
      </c>
      <c r="P297">
        <v>100</v>
      </c>
      <c r="Q297">
        <v>3</v>
      </c>
      <c r="R297">
        <v>2</v>
      </c>
      <c r="S297">
        <v>3</v>
      </c>
      <c r="T297">
        <v>3.5</v>
      </c>
      <c r="U297">
        <v>3</v>
      </c>
      <c r="V297" t="s">
        <v>38</v>
      </c>
    </row>
    <row r="298" spans="1:22" x14ac:dyDescent="0.25">
      <c r="A298" t="s">
        <v>74</v>
      </c>
      <c r="B298">
        <v>1</v>
      </c>
      <c r="C298" t="s">
        <v>66</v>
      </c>
      <c r="D298" t="s">
        <v>75</v>
      </c>
      <c r="E298" t="s">
        <v>68</v>
      </c>
      <c r="F298">
        <v>180</v>
      </c>
      <c r="G298">
        <v>1080</v>
      </c>
      <c r="H298">
        <v>-3</v>
      </c>
      <c r="I298">
        <v>1982</v>
      </c>
      <c r="J298" t="s">
        <v>35</v>
      </c>
      <c r="K298">
        <v>1785</v>
      </c>
      <c r="L298">
        <v>3.53</v>
      </c>
      <c r="M298">
        <v>3.3</v>
      </c>
      <c r="N298" s="4">
        <f t="shared" si="8"/>
        <v>9.7818064999999994E-4</v>
      </c>
      <c r="O298" s="4">
        <f t="shared" si="9"/>
        <v>3.2279961449999998E-3</v>
      </c>
      <c r="P298">
        <v>75</v>
      </c>
      <c r="Q298">
        <v>1.8</v>
      </c>
      <c r="R298">
        <v>2</v>
      </c>
      <c r="S298">
        <v>2.5</v>
      </c>
      <c r="T298">
        <v>3</v>
      </c>
      <c r="U298">
        <v>3</v>
      </c>
      <c r="V298" t="s">
        <v>30</v>
      </c>
    </row>
    <row r="299" spans="1:22" x14ac:dyDescent="0.25">
      <c r="A299" t="s">
        <v>74</v>
      </c>
      <c r="B299">
        <v>1</v>
      </c>
      <c r="C299" t="s">
        <v>66</v>
      </c>
      <c r="D299" t="s">
        <v>75</v>
      </c>
      <c r="E299" t="s">
        <v>68</v>
      </c>
      <c r="F299">
        <v>180</v>
      </c>
      <c r="G299">
        <v>1080</v>
      </c>
      <c r="H299">
        <v>-3</v>
      </c>
      <c r="I299">
        <v>1982</v>
      </c>
      <c r="J299" t="s">
        <v>36</v>
      </c>
      <c r="K299">
        <v>2573</v>
      </c>
      <c r="L299">
        <v>15.02</v>
      </c>
      <c r="M299">
        <v>8.0399999999999991</v>
      </c>
      <c r="N299" s="4">
        <f t="shared" si="8"/>
        <v>1.7709631400000002E-2</v>
      </c>
      <c r="O299" s="4">
        <f t="shared" si="9"/>
        <v>0.14238543645599999</v>
      </c>
      <c r="P299">
        <v>75</v>
      </c>
      <c r="Q299">
        <v>3</v>
      </c>
      <c r="R299">
        <v>4</v>
      </c>
      <c r="S299">
        <v>3</v>
      </c>
      <c r="T299">
        <v>3.2</v>
      </c>
      <c r="U299">
        <v>2.5</v>
      </c>
      <c r="V299" t="s">
        <v>38</v>
      </c>
    </row>
    <row r="300" spans="1:22" x14ac:dyDescent="0.25">
      <c r="A300" t="s">
        <v>74</v>
      </c>
      <c r="B300">
        <v>1</v>
      </c>
      <c r="C300" t="s">
        <v>66</v>
      </c>
      <c r="D300" t="s">
        <v>75</v>
      </c>
      <c r="E300" t="s">
        <v>68</v>
      </c>
      <c r="F300">
        <v>180</v>
      </c>
      <c r="G300">
        <v>1080</v>
      </c>
      <c r="H300">
        <v>-3</v>
      </c>
      <c r="I300">
        <v>1982</v>
      </c>
      <c r="J300" t="s">
        <v>62</v>
      </c>
      <c r="K300">
        <v>2550</v>
      </c>
      <c r="L300">
        <v>11.27</v>
      </c>
      <c r="M300">
        <v>7.14</v>
      </c>
      <c r="N300" s="4">
        <f t="shared" si="8"/>
        <v>9.9705126499999991E-3</v>
      </c>
      <c r="O300" s="4">
        <f t="shared" si="9"/>
        <v>7.1189460320999987E-2</v>
      </c>
      <c r="P300">
        <v>75</v>
      </c>
      <c r="Q300">
        <v>2.5</v>
      </c>
      <c r="R300">
        <v>3</v>
      </c>
      <c r="S300">
        <v>3</v>
      </c>
      <c r="T300">
        <v>4</v>
      </c>
      <c r="U300">
        <v>3</v>
      </c>
      <c r="V300" t="s">
        <v>38</v>
      </c>
    </row>
    <row r="301" spans="1:22" x14ac:dyDescent="0.25">
      <c r="A301" t="s">
        <v>74</v>
      </c>
      <c r="B301">
        <v>1</v>
      </c>
      <c r="C301" t="s">
        <v>66</v>
      </c>
      <c r="D301" t="s">
        <v>75</v>
      </c>
      <c r="E301" t="s">
        <v>68</v>
      </c>
      <c r="F301">
        <v>180</v>
      </c>
      <c r="G301">
        <v>1080</v>
      </c>
      <c r="H301">
        <v>-3</v>
      </c>
      <c r="I301">
        <v>1982</v>
      </c>
      <c r="J301" t="s">
        <v>37</v>
      </c>
      <c r="K301">
        <v>2575</v>
      </c>
      <c r="L301">
        <v>2.72</v>
      </c>
      <c r="M301">
        <v>3.43</v>
      </c>
      <c r="N301" s="4">
        <f t="shared" si="8"/>
        <v>5.8077440000000008E-4</v>
      </c>
      <c r="O301" s="4">
        <f t="shared" si="9"/>
        <v>1.9920561920000004E-3</v>
      </c>
      <c r="P301">
        <v>50</v>
      </c>
      <c r="Q301">
        <v>1</v>
      </c>
      <c r="R301">
        <v>1</v>
      </c>
      <c r="S301">
        <v>2</v>
      </c>
      <c r="T301">
        <v>2</v>
      </c>
      <c r="U301">
        <v>3</v>
      </c>
      <c r="V301" t="s">
        <v>50</v>
      </c>
    </row>
    <row r="302" spans="1:22" x14ac:dyDescent="0.25">
      <c r="A302" t="s">
        <v>74</v>
      </c>
      <c r="B302">
        <v>1</v>
      </c>
      <c r="C302" t="s">
        <v>66</v>
      </c>
      <c r="D302" t="s">
        <v>75</v>
      </c>
      <c r="E302" t="s">
        <v>68</v>
      </c>
      <c r="F302">
        <v>180</v>
      </c>
      <c r="G302">
        <v>1080</v>
      </c>
      <c r="H302">
        <v>-3</v>
      </c>
      <c r="I302">
        <v>1982</v>
      </c>
      <c r="J302" t="s">
        <v>63</v>
      </c>
      <c r="K302">
        <v>1340</v>
      </c>
      <c r="L302">
        <v>2.1</v>
      </c>
      <c r="M302">
        <v>3.38</v>
      </c>
      <c r="N302" s="4">
        <f t="shared" si="8"/>
        <v>3.4618500000000005E-4</v>
      </c>
      <c r="O302" s="4">
        <f t="shared" si="9"/>
        <v>1.1701053000000002E-3</v>
      </c>
      <c r="P302">
        <v>50</v>
      </c>
      <c r="Q302">
        <v>1</v>
      </c>
      <c r="R302">
        <v>1</v>
      </c>
      <c r="S302">
        <v>3</v>
      </c>
      <c r="T302">
        <v>3</v>
      </c>
      <c r="U302">
        <v>3</v>
      </c>
      <c r="V302" t="s">
        <v>50</v>
      </c>
    </row>
    <row r="303" spans="1:22" x14ac:dyDescent="0.25">
      <c r="A303" t="s">
        <v>74</v>
      </c>
      <c r="B303">
        <v>2</v>
      </c>
      <c r="C303" t="s">
        <v>66</v>
      </c>
      <c r="D303" t="s">
        <v>75</v>
      </c>
      <c r="E303" t="s">
        <v>68</v>
      </c>
      <c r="F303">
        <v>180</v>
      </c>
      <c r="G303">
        <v>1080</v>
      </c>
      <c r="H303">
        <v>-3</v>
      </c>
      <c r="I303">
        <v>1982</v>
      </c>
      <c r="J303" t="s">
        <v>76</v>
      </c>
      <c r="K303">
        <v>1592</v>
      </c>
      <c r="L303">
        <v>7.5</v>
      </c>
      <c r="M303">
        <v>8.08</v>
      </c>
      <c r="N303" s="4">
        <f t="shared" si="8"/>
        <v>4.4156250000000003E-3</v>
      </c>
      <c r="O303" s="4">
        <f t="shared" si="9"/>
        <v>3.5678250000000002E-2</v>
      </c>
      <c r="P303">
        <v>25</v>
      </c>
      <c r="Q303">
        <v>2</v>
      </c>
      <c r="R303">
        <v>3</v>
      </c>
      <c r="S303">
        <v>3</v>
      </c>
      <c r="T303">
        <v>4</v>
      </c>
      <c r="U303">
        <v>4</v>
      </c>
      <c r="V303" t="s">
        <v>38</v>
      </c>
    </row>
    <row r="304" spans="1:22" x14ac:dyDescent="0.25">
      <c r="A304" t="s">
        <v>74</v>
      </c>
      <c r="B304">
        <v>2</v>
      </c>
      <c r="C304" t="s">
        <v>66</v>
      </c>
      <c r="D304" t="s">
        <v>75</v>
      </c>
      <c r="E304" t="s">
        <v>68</v>
      </c>
      <c r="F304">
        <v>180</v>
      </c>
      <c r="G304">
        <v>1080</v>
      </c>
      <c r="H304">
        <v>-3</v>
      </c>
      <c r="I304">
        <v>1982</v>
      </c>
      <c r="J304" t="s">
        <v>76</v>
      </c>
      <c r="K304">
        <v>2560</v>
      </c>
      <c r="L304">
        <v>4.3899999999999997</v>
      </c>
      <c r="M304">
        <v>5.19</v>
      </c>
      <c r="N304" s="4">
        <f t="shared" si="8"/>
        <v>1.5128598499999997E-3</v>
      </c>
      <c r="O304" s="4">
        <f t="shared" si="9"/>
        <v>7.8517426214999991E-3</v>
      </c>
      <c r="P304">
        <v>50</v>
      </c>
      <c r="Q304">
        <v>2.5</v>
      </c>
      <c r="R304">
        <v>3.5</v>
      </c>
      <c r="S304">
        <v>3</v>
      </c>
      <c r="T304">
        <v>4.5</v>
      </c>
      <c r="U304">
        <v>4</v>
      </c>
      <c r="V304" t="s">
        <v>38</v>
      </c>
    </row>
    <row r="305" spans="1:22" x14ac:dyDescent="0.25">
      <c r="A305" t="s">
        <v>74</v>
      </c>
      <c r="B305">
        <v>2</v>
      </c>
      <c r="C305" t="s">
        <v>66</v>
      </c>
      <c r="D305" t="s">
        <v>75</v>
      </c>
      <c r="E305" t="s">
        <v>68</v>
      </c>
      <c r="F305">
        <v>180</v>
      </c>
      <c r="G305">
        <v>1080</v>
      </c>
      <c r="H305">
        <v>-3</v>
      </c>
      <c r="I305">
        <v>1982</v>
      </c>
      <c r="J305" t="s">
        <v>56</v>
      </c>
      <c r="K305">
        <v>1111</v>
      </c>
      <c r="L305">
        <v>12.26</v>
      </c>
      <c r="M305">
        <v>6.81</v>
      </c>
      <c r="N305" s="4">
        <f t="shared" si="8"/>
        <v>1.1799146600000001E-2</v>
      </c>
      <c r="O305" s="4">
        <f t="shared" si="9"/>
        <v>8.0352188345999997E-2</v>
      </c>
      <c r="P305">
        <v>71</v>
      </c>
      <c r="Q305">
        <v>4.2</v>
      </c>
      <c r="R305">
        <v>3</v>
      </c>
      <c r="S305">
        <v>3</v>
      </c>
      <c r="T305">
        <v>2</v>
      </c>
      <c r="U305">
        <v>2</v>
      </c>
      <c r="V305" t="s">
        <v>38</v>
      </c>
    </row>
    <row r="306" spans="1:22" x14ac:dyDescent="0.25">
      <c r="A306" t="s">
        <v>74</v>
      </c>
      <c r="B306">
        <v>2</v>
      </c>
      <c r="C306" t="s">
        <v>66</v>
      </c>
      <c r="D306" t="s">
        <v>75</v>
      </c>
      <c r="E306" t="s">
        <v>68</v>
      </c>
      <c r="F306">
        <v>180</v>
      </c>
      <c r="G306">
        <v>1080</v>
      </c>
      <c r="H306">
        <v>-3</v>
      </c>
      <c r="I306">
        <v>1982</v>
      </c>
      <c r="J306" t="s">
        <v>57</v>
      </c>
      <c r="K306">
        <v>2620</v>
      </c>
      <c r="L306">
        <v>3.54</v>
      </c>
      <c r="M306">
        <v>3.43</v>
      </c>
      <c r="N306" s="4">
        <f t="shared" si="8"/>
        <v>9.8373060000000014E-4</v>
      </c>
      <c r="O306" s="4">
        <f t="shared" si="9"/>
        <v>3.3741959580000005E-3</v>
      </c>
      <c r="P306">
        <v>100</v>
      </c>
      <c r="Q306">
        <v>2.5</v>
      </c>
      <c r="R306">
        <v>2</v>
      </c>
      <c r="S306">
        <v>3.3</v>
      </c>
      <c r="T306">
        <v>3.3</v>
      </c>
      <c r="U306">
        <v>3.3</v>
      </c>
      <c r="V306" t="s">
        <v>30</v>
      </c>
    </row>
    <row r="307" spans="1:22" x14ac:dyDescent="0.25">
      <c r="A307" t="s">
        <v>74</v>
      </c>
      <c r="B307">
        <v>2</v>
      </c>
      <c r="C307" t="s">
        <v>66</v>
      </c>
      <c r="D307" t="s">
        <v>75</v>
      </c>
      <c r="E307" t="s">
        <v>68</v>
      </c>
      <c r="F307">
        <v>180</v>
      </c>
      <c r="G307">
        <v>1080</v>
      </c>
      <c r="H307">
        <v>-3</v>
      </c>
      <c r="I307">
        <v>1982</v>
      </c>
      <c r="J307" t="s">
        <v>57</v>
      </c>
      <c r="K307">
        <v>2621</v>
      </c>
      <c r="L307">
        <v>3.09</v>
      </c>
      <c r="M307">
        <v>2.63</v>
      </c>
      <c r="N307" s="4">
        <f t="shared" si="8"/>
        <v>7.4952584999999987E-4</v>
      </c>
      <c r="O307" s="4">
        <f t="shared" si="9"/>
        <v>1.9712529854999995E-3</v>
      </c>
      <c r="P307">
        <v>75</v>
      </c>
      <c r="Q307">
        <v>2.5</v>
      </c>
      <c r="R307">
        <v>2</v>
      </c>
      <c r="S307">
        <v>3.3</v>
      </c>
      <c r="T307">
        <v>3.3</v>
      </c>
      <c r="U307">
        <v>3.3</v>
      </c>
      <c r="V307" t="s">
        <v>30</v>
      </c>
    </row>
    <row r="308" spans="1:22" x14ac:dyDescent="0.25">
      <c r="A308" t="s">
        <v>74</v>
      </c>
      <c r="B308">
        <v>2</v>
      </c>
      <c r="C308" t="s">
        <v>66</v>
      </c>
      <c r="D308" t="s">
        <v>75</v>
      </c>
      <c r="E308" t="s">
        <v>68</v>
      </c>
      <c r="F308">
        <v>180</v>
      </c>
      <c r="G308">
        <v>1080</v>
      </c>
      <c r="H308">
        <v>-3</v>
      </c>
      <c r="I308">
        <v>1982</v>
      </c>
      <c r="J308" t="s">
        <v>59</v>
      </c>
      <c r="K308">
        <v>2548</v>
      </c>
      <c r="L308">
        <v>5.5</v>
      </c>
      <c r="M308">
        <v>4.8899999999999997</v>
      </c>
      <c r="N308" s="4">
        <f t="shared" si="8"/>
        <v>2.374625E-3</v>
      </c>
      <c r="O308" s="4">
        <f t="shared" si="9"/>
        <v>1.161191625E-2</v>
      </c>
      <c r="P308">
        <v>25</v>
      </c>
      <c r="Q308">
        <v>1.5</v>
      </c>
      <c r="R308">
        <v>3</v>
      </c>
      <c r="S308">
        <v>3</v>
      </c>
      <c r="T308">
        <v>3</v>
      </c>
      <c r="U308">
        <v>3</v>
      </c>
      <c r="V308" t="s">
        <v>30</v>
      </c>
    </row>
    <row r="309" spans="1:22" x14ac:dyDescent="0.25">
      <c r="A309" t="s">
        <v>74</v>
      </c>
      <c r="B309">
        <v>2</v>
      </c>
      <c r="C309" t="s">
        <v>66</v>
      </c>
      <c r="D309" t="s">
        <v>75</v>
      </c>
      <c r="E309" t="s">
        <v>68</v>
      </c>
      <c r="F309">
        <v>180</v>
      </c>
      <c r="G309">
        <v>1080</v>
      </c>
      <c r="H309">
        <v>-3</v>
      </c>
      <c r="I309">
        <v>1982</v>
      </c>
      <c r="J309" t="s">
        <v>61</v>
      </c>
      <c r="K309">
        <v>1171</v>
      </c>
      <c r="L309">
        <v>6.97</v>
      </c>
      <c r="M309">
        <v>8.9499999999999993</v>
      </c>
      <c r="N309" s="4">
        <f t="shared" si="8"/>
        <v>3.8136006499999999E-3</v>
      </c>
      <c r="O309" s="4">
        <f t="shared" si="9"/>
        <v>3.4131725817499993E-2</v>
      </c>
      <c r="P309">
        <v>75</v>
      </c>
      <c r="Q309">
        <v>2</v>
      </c>
      <c r="R309">
        <v>2</v>
      </c>
      <c r="S309">
        <v>3</v>
      </c>
      <c r="T309">
        <v>3</v>
      </c>
      <c r="U309">
        <v>3</v>
      </c>
      <c r="V309" t="s">
        <v>30</v>
      </c>
    </row>
    <row r="310" spans="1:22" x14ac:dyDescent="0.25">
      <c r="A310" t="s">
        <v>74</v>
      </c>
      <c r="B310">
        <v>2</v>
      </c>
      <c r="C310" t="s">
        <v>66</v>
      </c>
      <c r="D310" t="s">
        <v>75</v>
      </c>
      <c r="E310" t="s">
        <v>68</v>
      </c>
      <c r="F310">
        <v>180</v>
      </c>
      <c r="G310">
        <v>1080</v>
      </c>
      <c r="H310">
        <v>-3</v>
      </c>
      <c r="I310">
        <v>1982</v>
      </c>
      <c r="J310" t="s">
        <v>32</v>
      </c>
      <c r="K310">
        <v>1596</v>
      </c>
      <c r="L310">
        <v>5.73</v>
      </c>
      <c r="M310">
        <v>4.9800000000000004</v>
      </c>
      <c r="N310" s="4">
        <f t="shared" si="8"/>
        <v>2.5773826500000005E-3</v>
      </c>
      <c r="O310" s="4">
        <f t="shared" si="9"/>
        <v>1.2835365597000003E-2</v>
      </c>
      <c r="P310">
        <v>75</v>
      </c>
      <c r="Q310">
        <v>2.7</v>
      </c>
      <c r="R310">
        <v>3</v>
      </c>
      <c r="S310">
        <v>3</v>
      </c>
      <c r="T310">
        <v>4</v>
      </c>
      <c r="U310">
        <v>3</v>
      </c>
      <c r="V310" t="s">
        <v>30</v>
      </c>
    </row>
    <row r="311" spans="1:22" x14ac:dyDescent="0.25">
      <c r="A311" t="s">
        <v>74</v>
      </c>
      <c r="B311">
        <v>2</v>
      </c>
      <c r="C311" t="s">
        <v>66</v>
      </c>
      <c r="D311" t="s">
        <v>75</v>
      </c>
      <c r="E311" t="s">
        <v>68</v>
      </c>
      <c r="F311">
        <v>180</v>
      </c>
      <c r="G311">
        <v>1080</v>
      </c>
      <c r="H311">
        <v>-3</v>
      </c>
      <c r="I311">
        <v>1982</v>
      </c>
      <c r="J311" t="s">
        <v>32</v>
      </c>
      <c r="K311">
        <v>2569</v>
      </c>
      <c r="L311">
        <v>19.440000000000001</v>
      </c>
      <c r="M311">
        <v>15.38</v>
      </c>
      <c r="N311" s="4">
        <f t="shared" si="8"/>
        <v>2.966621760000001E-2</v>
      </c>
      <c r="O311" s="4">
        <f t="shared" si="9"/>
        <v>0.45626642668800016</v>
      </c>
      <c r="P311">
        <v>75</v>
      </c>
      <c r="Q311">
        <v>4.5</v>
      </c>
      <c r="R311">
        <v>3.5</v>
      </c>
      <c r="S311">
        <v>3.5</v>
      </c>
      <c r="T311">
        <v>4</v>
      </c>
      <c r="U311">
        <v>3</v>
      </c>
      <c r="V311" t="s">
        <v>27</v>
      </c>
    </row>
    <row r="312" spans="1:22" x14ac:dyDescent="0.25">
      <c r="A312" t="s">
        <v>74</v>
      </c>
      <c r="B312">
        <v>2</v>
      </c>
      <c r="C312" t="s">
        <v>66</v>
      </c>
      <c r="D312" t="s">
        <v>75</v>
      </c>
      <c r="E312" t="s">
        <v>68</v>
      </c>
      <c r="F312">
        <v>180</v>
      </c>
      <c r="G312">
        <v>1080</v>
      </c>
      <c r="H312">
        <v>-3</v>
      </c>
      <c r="I312">
        <v>1982</v>
      </c>
      <c r="J312" t="s">
        <v>32</v>
      </c>
      <c r="K312">
        <v>2634</v>
      </c>
      <c r="L312">
        <v>10.97</v>
      </c>
      <c r="M312">
        <v>9.9700000000000006</v>
      </c>
      <c r="N312" s="4">
        <f t="shared" si="8"/>
        <v>9.4467606500000002E-3</v>
      </c>
      <c r="O312" s="4">
        <f t="shared" si="9"/>
        <v>9.4184203680500012E-2</v>
      </c>
      <c r="P312">
        <v>75</v>
      </c>
      <c r="Q312">
        <v>3.5</v>
      </c>
      <c r="R312">
        <v>3</v>
      </c>
      <c r="S312">
        <v>3.2</v>
      </c>
      <c r="T312">
        <v>4</v>
      </c>
      <c r="U312">
        <v>3</v>
      </c>
      <c r="V312" t="s">
        <v>25</v>
      </c>
    </row>
    <row r="313" spans="1:22" x14ac:dyDescent="0.25">
      <c r="A313" t="s">
        <v>74</v>
      </c>
      <c r="B313">
        <v>2</v>
      </c>
      <c r="C313" t="s">
        <v>66</v>
      </c>
      <c r="D313" t="s">
        <v>75</v>
      </c>
      <c r="E313" t="s">
        <v>68</v>
      </c>
      <c r="F313">
        <v>180</v>
      </c>
      <c r="G313">
        <v>1080</v>
      </c>
      <c r="H313">
        <v>-3</v>
      </c>
      <c r="I313">
        <v>1982</v>
      </c>
      <c r="J313" t="s">
        <v>32</v>
      </c>
      <c r="K313">
        <v>2635</v>
      </c>
      <c r="L313">
        <v>5.86</v>
      </c>
      <c r="M313">
        <v>4.3600000000000003</v>
      </c>
      <c r="N313" s="4">
        <f t="shared" si="8"/>
        <v>2.6956586000000007E-3</v>
      </c>
      <c r="O313" s="4">
        <f t="shared" si="9"/>
        <v>1.1753071496000004E-2</v>
      </c>
      <c r="P313">
        <v>75</v>
      </c>
      <c r="Q313">
        <v>3</v>
      </c>
      <c r="R313">
        <v>3</v>
      </c>
      <c r="S313">
        <v>3</v>
      </c>
      <c r="T313">
        <v>4</v>
      </c>
      <c r="U313">
        <v>3</v>
      </c>
      <c r="V313" t="s">
        <v>38</v>
      </c>
    </row>
    <row r="314" spans="1:22" x14ac:dyDescent="0.25">
      <c r="A314" t="s">
        <v>74</v>
      </c>
      <c r="B314">
        <v>2</v>
      </c>
      <c r="C314" t="s">
        <v>66</v>
      </c>
      <c r="D314" t="s">
        <v>75</v>
      </c>
      <c r="E314" t="s">
        <v>68</v>
      </c>
      <c r="F314">
        <v>180</v>
      </c>
      <c r="G314">
        <v>1080</v>
      </c>
      <c r="H314">
        <v>-3</v>
      </c>
      <c r="I314">
        <v>1982</v>
      </c>
      <c r="J314" t="s">
        <v>62</v>
      </c>
      <c r="K314">
        <v>2550</v>
      </c>
      <c r="L314">
        <v>17.600000000000001</v>
      </c>
      <c r="M314">
        <v>14.08</v>
      </c>
      <c r="N314" s="4">
        <f t="shared" si="8"/>
        <v>2.4316160000000007E-2</v>
      </c>
      <c r="O314" s="4">
        <f t="shared" si="9"/>
        <v>0.3423715328000001</v>
      </c>
      <c r="P314">
        <v>50</v>
      </c>
      <c r="Q314">
        <v>5</v>
      </c>
      <c r="R314">
        <v>3.5</v>
      </c>
      <c r="S314">
        <v>4</v>
      </c>
      <c r="T314">
        <v>4</v>
      </c>
      <c r="U314">
        <v>3.5</v>
      </c>
      <c r="V314" t="s">
        <v>27</v>
      </c>
    </row>
    <row r="315" spans="1:22" x14ac:dyDescent="0.25">
      <c r="A315" t="s">
        <v>74</v>
      </c>
      <c r="B315">
        <v>2</v>
      </c>
      <c r="C315" t="s">
        <v>66</v>
      </c>
      <c r="D315" t="s">
        <v>75</v>
      </c>
      <c r="E315" t="s">
        <v>68</v>
      </c>
      <c r="F315">
        <v>180</v>
      </c>
      <c r="G315">
        <v>1080</v>
      </c>
      <c r="H315">
        <v>-3</v>
      </c>
      <c r="I315">
        <v>1982</v>
      </c>
      <c r="J315" t="s">
        <v>62</v>
      </c>
      <c r="K315">
        <v>2553</v>
      </c>
      <c r="L315">
        <v>6.34</v>
      </c>
      <c r="M315">
        <v>6.45</v>
      </c>
      <c r="N315" s="4">
        <f t="shared" si="8"/>
        <v>3.1553546000000002E-3</v>
      </c>
      <c r="O315" s="4">
        <f t="shared" si="9"/>
        <v>2.035203717E-2</v>
      </c>
      <c r="P315">
        <v>50</v>
      </c>
      <c r="Q315">
        <v>3</v>
      </c>
      <c r="R315">
        <v>3</v>
      </c>
      <c r="S315">
        <v>4</v>
      </c>
      <c r="T315">
        <v>4</v>
      </c>
      <c r="U315">
        <v>4</v>
      </c>
      <c r="V315" t="s">
        <v>38</v>
      </c>
    </row>
    <row r="316" spans="1:22" x14ac:dyDescent="0.25">
      <c r="A316" t="s">
        <v>74</v>
      </c>
      <c r="B316">
        <v>2</v>
      </c>
      <c r="C316" t="s">
        <v>66</v>
      </c>
      <c r="D316" t="s">
        <v>75</v>
      </c>
      <c r="E316" t="s">
        <v>68</v>
      </c>
      <c r="F316">
        <v>180</v>
      </c>
      <c r="G316">
        <v>1080</v>
      </c>
      <c r="H316">
        <v>-3</v>
      </c>
      <c r="I316">
        <v>1982</v>
      </c>
      <c r="J316" t="s">
        <v>62</v>
      </c>
      <c r="K316">
        <v>2574</v>
      </c>
      <c r="L316">
        <v>1.17</v>
      </c>
      <c r="M316">
        <v>2.34</v>
      </c>
      <c r="N316" s="4">
        <f t="shared" si="8"/>
        <v>1.0745864999999998E-4</v>
      </c>
      <c r="O316" s="4">
        <f t="shared" si="9"/>
        <v>2.5145324099999991E-4</v>
      </c>
      <c r="P316">
        <v>25</v>
      </c>
      <c r="Q316">
        <v>1</v>
      </c>
      <c r="R316">
        <v>3</v>
      </c>
      <c r="S316">
        <v>3</v>
      </c>
      <c r="T316">
        <v>3</v>
      </c>
      <c r="U316">
        <v>3</v>
      </c>
      <c r="V316" t="s">
        <v>50</v>
      </c>
    </row>
    <row r="317" spans="1:22" x14ac:dyDescent="0.25">
      <c r="A317" t="s">
        <v>74</v>
      </c>
      <c r="B317">
        <v>2</v>
      </c>
      <c r="C317" t="s">
        <v>66</v>
      </c>
      <c r="D317" t="s">
        <v>75</v>
      </c>
      <c r="E317" t="s">
        <v>68</v>
      </c>
      <c r="F317">
        <v>180</v>
      </c>
      <c r="G317">
        <v>1080</v>
      </c>
      <c r="H317">
        <v>-3</v>
      </c>
      <c r="I317">
        <v>1982</v>
      </c>
      <c r="J317" t="s">
        <v>37</v>
      </c>
      <c r="K317">
        <v>2575</v>
      </c>
      <c r="L317">
        <v>6.97</v>
      </c>
      <c r="M317">
        <v>5.32</v>
      </c>
      <c r="N317" s="4">
        <f t="shared" si="8"/>
        <v>3.8136006499999999E-3</v>
      </c>
      <c r="O317" s="4">
        <f t="shared" si="9"/>
        <v>2.0288355458E-2</v>
      </c>
      <c r="P317">
        <v>50</v>
      </c>
      <c r="Q317">
        <v>2</v>
      </c>
      <c r="R317">
        <v>3.5</v>
      </c>
      <c r="S317">
        <v>2</v>
      </c>
      <c r="T317">
        <v>3</v>
      </c>
      <c r="U317">
        <v>3</v>
      </c>
      <c r="V317" t="s">
        <v>50</v>
      </c>
    </row>
    <row r="318" spans="1:22" x14ac:dyDescent="0.25">
      <c r="A318" t="s">
        <v>74</v>
      </c>
      <c r="B318">
        <v>2</v>
      </c>
      <c r="C318" t="s">
        <v>66</v>
      </c>
      <c r="D318" t="s">
        <v>75</v>
      </c>
      <c r="E318" t="s">
        <v>68</v>
      </c>
      <c r="F318">
        <v>180</v>
      </c>
      <c r="G318">
        <v>1080</v>
      </c>
      <c r="H318">
        <v>-3</v>
      </c>
      <c r="I318">
        <v>1982</v>
      </c>
      <c r="J318" t="s">
        <v>63</v>
      </c>
      <c r="K318">
        <v>1340</v>
      </c>
      <c r="L318">
        <v>2.1</v>
      </c>
      <c r="M318">
        <v>3.85</v>
      </c>
      <c r="N318" s="4">
        <f t="shared" si="8"/>
        <v>3.4618500000000005E-4</v>
      </c>
      <c r="O318" s="4">
        <f t="shared" si="9"/>
        <v>1.3328122500000001E-3</v>
      </c>
      <c r="P318">
        <v>25</v>
      </c>
      <c r="Q318">
        <v>1</v>
      </c>
      <c r="R318">
        <v>2</v>
      </c>
      <c r="S318">
        <v>3</v>
      </c>
      <c r="T318">
        <v>3</v>
      </c>
      <c r="U318">
        <v>3</v>
      </c>
      <c r="V318" t="s">
        <v>50</v>
      </c>
    </row>
    <row r="319" spans="1:22" x14ac:dyDescent="0.25">
      <c r="A319" t="s">
        <v>74</v>
      </c>
      <c r="B319">
        <v>3</v>
      </c>
      <c r="C319" t="s">
        <v>66</v>
      </c>
      <c r="D319" t="s">
        <v>75</v>
      </c>
      <c r="E319" t="s">
        <v>68</v>
      </c>
      <c r="F319">
        <v>180</v>
      </c>
      <c r="G319">
        <v>1080</v>
      </c>
      <c r="H319">
        <v>-3</v>
      </c>
      <c r="I319">
        <v>1982</v>
      </c>
      <c r="J319" t="s">
        <v>76</v>
      </c>
      <c r="K319">
        <v>1592</v>
      </c>
      <c r="L319">
        <v>11.77</v>
      </c>
      <c r="M319">
        <v>8.08</v>
      </c>
      <c r="N319" s="4">
        <f t="shared" si="8"/>
        <v>1.0874832649999999E-2</v>
      </c>
      <c r="O319" s="4">
        <f t="shared" si="9"/>
        <v>8.7868647811999989E-2</v>
      </c>
      <c r="P319">
        <v>75</v>
      </c>
      <c r="Q319">
        <v>3</v>
      </c>
      <c r="R319">
        <v>4</v>
      </c>
      <c r="S319">
        <v>3</v>
      </c>
      <c r="T319">
        <v>4</v>
      </c>
      <c r="U319">
        <v>3</v>
      </c>
      <c r="V319" t="s">
        <v>27</v>
      </c>
    </row>
    <row r="320" spans="1:22" x14ac:dyDescent="0.25">
      <c r="A320" t="s">
        <v>74</v>
      </c>
      <c r="B320">
        <v>3</v>
      </c>
      <c r="C320" t="s">
        <v>66</v>
      </c>
      <c r="D320" t="s">
        <v>75</v>
      </c>
      <c r="E320" t="s">
        <v>68</v>
      </c>
      <c r="F320">
        <v>180</v>
      </c>
      <c r="G320">
        <v>1080</v>
      </c>
      <c r="H320">
        <v>-3</v>
      </c>
      <c r="I320">
        <v>1982</v>
      </c>
      <c r="J320" t="s">
        <v>56</v>
      </c>
      <c r="K320">
        <v>1111</v>
      </c>
      <c r="L320">
        <v>9.65</v>
      </c>
      <c r="M320">
        <v>6.24</v>
      </c>
      <c r="N320" s="4">
        <f t="shared" si="8"/>
        <v>7.3101162500000009E-3</v>
      </c>
      <c r="O320" s="4">
        <f t="shared" si="9"/>
        <v>4.5615125400000005E-2</v>
      </c>
      <c r="P320">
        <v>25</v>
      </c>
      <c r="Q320">
        <v>2.8</v>
      </c>
      <c r="R320">
        <v>3</v>
      </c>
      <c r="S320">
        <v>3</v>
      </c>
      <c r="T320">
        <v>3</v>
      </c>
      <c r="U320">
        <v>2.5</v>
      </c>
      <c r="V320" t="s">
        <v>30</v>
      </c>
    </row>
    <row r="321" spans="1:22" x14ac:dyDescent="0.25">
      <c r="A321" t="s">
        <v>74</v>
      </c>
      <c r="B321">
        <v>3</v>
      </c>
      <c r="C321" t="s">
        <v>66</v>
      </c>
      <c r="D321" t="s">
        <v>75</v>
      </c>
      <c r="E321" t="s">
        <v>68</v>
      </c>
      <c r="F321">
        <v>180</v>
      </c>
      <c r="G321">
        <v>1080</v>
      </c>
      <c r="H321">
        <v>-3</v>
      </c>
      <c r="I321">
        <v>1982</v>
      </c>
      <c r="J321" t="s">
        <v>58</v>
      </c>
      <c r="K321">
        <v>2638</v>
      </c>
      <c r="L321">
        <v>0.57999999999999996</v>
      </c>
      <c r="M321">
        <v>1.75</v>
      </c>
      <c r="N321" s="4">
        <f t="shared" si="8"/>
        <v>2.6407399999999997E-5</v>
      </c>
      <c r="O321" s="4">
        <f t="shared" si="9"/>
        <v>4.6212949999999996E-5</v>
      </c>
      <c r="P321">
        <v>25</v>
      </c>
      <c r="Q321">
        <v>1.5</v>
      </c>
      <c r="R321">
        <v>3</v>
      </c>
      <c r="S321">
        <v>3</v>
      </c>
      <c r="T321">
        <v>3</v>
      </c>
      <c r="U321">
        <v>3</v>
      </c>
      <c r="V321" t="s">
        <v>50</v>
      </c>
    </row>
    <row r="322" spans="1:22" x14ac:dyDescent="0.25">
      <c r="A322" t="s">
        <v>74</v>
      </c>
      <c r="B322">
        <v>3</v>
      </c>
      <c r="C322" t="s">
        <v>66</v>
      </c>
      <c r="D322" t="s">
        <v>75</v>
      </c>
      <c r="E322" t="s">
        <v>68</v>
      </c>
      <c r="F322">
        <v>180</v>
      </c>
      <c r="G322">
        <v>1080</v>
      </c>
      <c r="H322">
        <v>-3</v>
      </c>
      <c r="I322">
        <v>1982</v>
      </c>
      <c r="J322" t="s">
        <v>61</v>
      </c>
      <c r="K322">
        <v>1171</v>
      </c>
      <c r="L322">
        <v>11.62</v>
      </c>
      <c r="M322">
        <v>11.62</v>
      </c>
      <c r="N322" s="4">
        <f t="shared" si="8"/>
        <v>1.0599415399999999E-2</v>
      </c>
      <c r="O322" s="4">
        <f t="shared" si="9"/>
        <v>0.12316520694799998</v>
      </c>
      <c r="P322">
        <v>2</v>
      </c>
      <c r="Q322">
        <v>2</v>
      </c>
      <c r="R322">
        <v>2</v>
      </c>
      <c r="S322">
        <v>4</v>
      </c>
      <c r="T322">
        <v>3</v>
      </c>
      <c r="U322">
        <v>3</v>
      </c>
      <c r="V322" t="s">
        <v>30</v>
      </c>
    </row>
    <row r="323" spans="1:22" x14ac:dyDescent="0.25">
      <c r="A323" t="s">
        <v>74</v>
      </c>
      <c r="B323">
        <v>3</v>
      </c>
      <c r="C323" t="s">
        <v>66</v>
      </c>
      <c r="D323" t="s">
        <v>75</v>
      </c>
      <c r="E323" t="s">
        <v>68</v>
      </c>
      <c r="F323">
        <v>180</v>
      </c>
      <c r="G323">
        <v>1080</v>
      </c>
      <c r="H323">
        <v>-3</v>
      </c>
      <c r="I323">
        <v>1982</v>
      </c>
      <c r="J323" t="s">
        <v>61</v>
      </c>
      <c r="K323">
        <v>2631</v>
      </c>
      <c r="L323">
        <v>9.06</v>
      </c>
      <c r="M323">
        <v>6.97</v>
      </c>
      <c r="N323" s="4">
        <f t="shared" ref="N323:N386" si="10">3.14/4*((L323/100)^2)</f>
        <v>6.4435626000000001E-3</v>
      </c>
      <c r="O323" s="4">
        <f t="shared" ref="O323:O386" si="11">3.14/4*((L323/100)^2)*M323</f>
        <v>4.4911631321999997E-2</v>
      </c>
      <c r="P323">
        <v>25</v>
      </c>
      <c r="Q323">
        <v>1.3</v>
      </c>
      <c r="R323">
        <v>1</v>
      </c>
      <c r="S323">
        <v>2</v>
      </c>
      <c r="T323">
        <v>2</v>
      </c>
      <c r="U323">
        <v>3</v>
      </c>
      <c r="V323" t="s">
        <v>50</v>
      </c>
    </row>
    <row r="324" spans="1:22" x14ac:dyDescent="0.25">
      <c r="A324" t="s">
        <v>74</v>
      </c>
      <c r="B324">
        <v>3</v>
      </c>
      <c r="C324" t="s">
        <v>66</v>
      </c>
      <c r="D324" t="s">
        <v>75</v>
      </c>
      <c r="E324" t="s">
        <v>68</v>
      </c>
      <c r="F324">
        <v>180</v>
      </c>
      <c r="G324">
        <v>1080</v>
      </c>
      <c r="H324">
        <v>-3</v>
      </c>
      <c r="I324">
        <v>1982</v>
      </c>
      <c r="J324" t="s">
        <v>35</v>
      </c>
      <c r="K324">
        <v>1788</v>
      </c>
      <c r="L324">
        <v>15.31</v>
      </c>
      <c r="M324">
        <v>11.77</v>
      </c>
      <c r="N324" s="4">
        <f t="shared" si="10"/>
        <v>1.8400093850000004E-2</v>
      </c>
      <c r="O324" s="4">
        <f t="shared" si="11"/>
        <v>0.21656910461450005</v>
      </c>
      <c r="P324">
        <v>75</v>
      </c>
      <c r="Q324">
        <v>3</v>
      </c>
      <c r="R324">
        <v>2</v>
      </c>
      <c r="S324">
        <v>4</v>
      </c>
      <c r="T324">
        <v>4</v>
      </c>
      <c r="U324">
        <v>4</v>
      </c>
      <c r="V324" t="s">
        <v>27</v>
      </c>
    </row>
    <row r="325" spans="1:22" x14ac:dyDescent="0.25">
      <c r="A325" t="s">
        <v>74</v>
      </c>
      <c r="B325">
        <v>3</v>
      </c>
      <c r="C325" t="s">
        <v>66</v>
      </c>
      <c r="D325" t="s">
        <v>75</v>
      </c>
      <c r="E325" t="s">
        <v>68</v>
      </c>
      <c r="F325">
        <v>180</v>
      </c>
      <c r="G325">
        <v>1080</v>
      </c>
      <c r="H325">
        <v>-3</v>
      </c>
      <c r="I325">
        <v>1982</v>
      </c>
      <c r="J325" t="s">
        <v>35</v>
      </c>
      <c r="K325">
        <v>1259</v>
      </c>
      <c r="L325">
        <v>7.65</v>
      </c>
      <c r="M325">
        <v>8.24</v>
      </c>
      <c r="N325" s="4">
        <f t="shared" si="10"/>
        <v>4.5940162500000001E-3</v>
      </c>
      <c r="O325" s="4">
        <f t="shared" si="11"/>
        <v>3.78546939E-2</v>
      </c>
      <c r="P325">
        <v>25</v>
      </c>
      <c r="Q325">
        <v>2</v>
      </c>
      <c r="R325">
        <v>2</v>
      </c>
      <c r="S325">
        <v>4</v>
      </c>
      <c r="T325">
        <v>4</v>
      </c>
      <c r="U325">
        <v>4</v>
      </c>
      <c r="V325" t="s">
        <v>38</v>
      </c>
    </row>
    <row r="326" spans="1:22" x14ac:dyDescent="0.25">
      <c r="A326" t="s">
        <v>74</v>
      </c>
      <c r="B326">
        <v>3</v>
      </c>
      <c r="C326" t="s">
        <v>66</v>
      </c>
      <c r="D326" t="s">
        <v>75</v>
      </c>
      <c r="E326" t="s">
        <v>68</v>
      </c>
      <c r="F326">
        <v>180</v>
      </c>
      <c r="G326">
        <v>1080</v>
      </c>
      <c r="H326">
        <v>-3</v>
      </c>
      <c r="I326">
        <v>1982</v>
      </c>
      <c r="J326" t="s">
        <v>35</v>
      </c>
      <c r="K326">
        <v>2571</v>
      </c>
      <c r="L326">
        <v>6.42</v>
      </c>
      <c r="M326">
        <v>8.24</v>
      </c>
      <c r="N326" s="4">
        <f t="shared" si="10"/>
        <v>3.2354873999999997E-3</v>
      </c>
      <c r="O326" s="4">
        <f t="shared" si="11"/>
        <v>2.6660416175999999E-2</v>
      </c>
      <c r="P326">
        <v>25</v>
      </c>
      <c r="Q326">
        <v>3</v>
      </c>
      <c r="R326">
        <v>2</v>
      </c>
      <c r="S326">
        <v>4</v>
      </c>
      <c r="T326">
        <v>4</v>
      </c>
      <c r="U326">
        <v>4</v>
      </c>
      <c r="V326" t="s">
        <v>38</v>
      </c>
    </row>
    <row r="327" spans="1:22" x14ac:dyDescent="0.25">
      <c r="A327" t="s">
        <v>74</v>
      </c>
      <c r="B327">
        <v>3</v>
      </c>
      <c r="C327" t="s">
        <v>66</v>
      </c>
      <c r="D327" t="s">
        <v>75</v>
      </c>
      <c r="E327" t="s">
        <v>68</v>
      </c>
      <c r="F327">
        <v>180</v>
      </c>
      <c r="G327">
        <v>1080</v>
      </c>
      <c r="H327">
        <v>-3</v>
      </c>
      <c r="I327">
        <v>1982</v>
      </c>
      <c r="J327" t="s">
        <v>62</v>
      </c>
      <c r="K327">
        <v>2553</v>
      </c>
      <c r="L327">
        <v>19.13</v>
      </c>
      <c r="M327">
        <v>13.5</v>
      </c>
      <c r="N327" s="4">
        <f t="shared" si="10"/>
        <v>2.8727616650000003E-2</v>
      </c>
      <c r="O327" s="4">
        <f t="shared" si="11"/>
        <v>0.38782282477500002</v>
      </c>
      <c r="P327">
        <v>50</v>
      </c>
      <c r="Q327">
        <v>5</v>
      </c>
      <c r="R327">
        <v>4</v>
      </c>
      <c r="S327">
        <v>4</v>
      </c>
      <c r="T327">
        <v>4</v>
      </c>
      <c r="U327">
        <v>3</v>
      </c>
      <c r="V327" t="s">
        <v>27</v>
      </c>
    </row>
    <row r="328" spans="1:22" x14ac:dyDescent="0.25">
      <c r="A328" t="s">
        <v>74</v>
      </c>
      <c r="B328">
        <v>3</v>
      </c>
      <c r="C328" t="s">
        <v>66</v>
      </c>
      <c r="D328" t="s">
        <v>75</v>
      </c>
      <c r="E328" t="s">
        <v>68</v>
      </c>
      <c r="F328">
        <v>180</v>
      </c>
      <c r="G328">
        <v>1080</v>
      </c>
      <c r="H328">
        <v>-3</v>
      </c>
      <c r="I328">
        <v>1982</v>
      </c>
      <c r="J328" t="s">
        <v>62</v>
      </c>
      <c r="K328">
        <v>2574</v>
      </c>
      <c r="L328">
        <v>15.26</v>
      </c>
      <c r="M328">
        <v>14.08</v>
      </c>
      <c r="N328" s="4">
        <f t="shared" si="10"/>
        <v>1.8280106599999998E-2</v>
      </c>
      <c r="O328" s="4">
        <f t="shared" si="11"/>
        <v>0.25738390092799995</v>
      </c>
      <c r="P328">
        <v>25</v>
      </c>
      <c r="Q328">
        <v>3</v>
      </c>
      <c r="R328">
        <v>4</v>
      </c>
      <c r="S328">
        <v>4</v>
      </c>
      <c r="T328">
        <v>4</v>
      </c>
      <c r="U328">
        <v>3</v>
      </c>
      <c r="V328" t="s">
        <v>27</v>
      </c>
    </row>
    <row r="329" spans="1:22" x14ac:dyDescent="0.25">
      <c r="A329" t="s">
        <v>74</v>
      </c>
      <c r="B329">
        <v>3</v>
      </c>
      <c r="C329" t="s">
        <v>66</v>
      </c>
      <c r="D329" t="s">
        <v>75</v>
      </c>
      <c r="E329" t="s">
        <v>68</v>
      </c>
      <c r="F329">
        <v>180</v>
      </c>
      <c r="G329">
        <v>1080</v>
      </c>
      <c r="H329">
        <v>-3</v>
      </c>
      <c r="I329">
        <v>1982</v>
      </c>
      <c r="J329" t="s">
        <v>37</v>
      </c>
      <c r="K329">
        <v>2575</v>
      </c>
      <c r="L329">
        <v>4.84</v>
      </c>
      <c r="M329">
        <v>4.13</v>
      </c>
      <c r="N329" s="4">
        <f t="shared" si="10"/>
        <v>1.8389096000000001E-3</v>
      </c>
      <c r="O329" s="4">
        <f t="shared" si="11"/>
        <v>7.5946966480000006E-3</v>
      </c>
      <c r="P329">
        <v>50</v>
      </c>
      <c r="Q329">
        <v>2</v>
      </c>
      <c r="R329">
        <v>1.5</v>
      </c>
      <c r="S329">
        <v>3</v>
      </c>
      <c r="T329">
        <v>3</v>
      </c>
      <c r="U329">
        <v>3</v>
      </c>
      <c r="V329" t="s">
        <v>30</v>
      </c>
    </row>
    <row r="330" spans="1:22" x14ac:dyDescent="0.25">
      <c r="A330" t="s">
        <v>74</v>
      </c>
      <c r="B330">
        <v>3</v>
      </c>
      <c r="C330" t="s">
        <v>66</v>
      </c>
      <c r="D330" t="s">
        <v>75</v>
      </c>
      <c r="E330" t="s">
        <v>68</v>
      </c>
      <c r="F330">
        <v>180</v>
      </c>
      <c r="G330">
        <v>1080</v>
      </c>
      <c r="H330">
        <v>-3</v>
      </c>
      <c r="I330">
        <v>1982</v>
      </c>
      <c r="J330" t="s">
        <v>63</v>
      </c>
      <c r="K330">
        <v>1340</v>
      </c>
      <c r="L330">
        <v>7.58</v>
      </c>
      <c r="M330">
        <v>6.06</v>
      </c>
      <c r="N330" s="4">
        <f t="shared" si="10"/>
        <v>4.5103274000000007E-3</v>
      </c>
      <c r="O330" s="4">
        <f t="shared" si="11"/>
        <v>2.7332584044000002E-2</v>
      </c>
      <c r="P330">
        <v>38</v>
      </c>
      <c r="Q330">
        <v>2</v>
      </c>
      <c r="R330">
        <v>2</v>
      </c>
      <c r="S330">
        <v>3</v>
      </c>
      <c r="T330">
        <v>3</v>
      </c>
      <c r="U330">
        <v>3</v>
      </c>
      <c r="V330" t="s">
        <v>30</v>
      </c>
    </row>
    <row r="331" spans="1:22" x14ac:dyDescent="0.25">
      <c r="A331" t="s">
        <v>77</v>
      </c>
      <c r="B331">
        <v>1</v>
      </c>
      <c r="C331" t="s">
        <v>47</v>
      </c>
      <c r="D331" t="s">
        <v>78</v>
      </c>
      <c r="E331" t="s">
        <v>79</v>
      </c>
      <c r="F331">
        <v>150</v>
      </c>
      <c r="G331">
        <v>1250</v>
      </c>
      <c r="H331">
        <v>-3</v>
      </c>
      <c r="I331">
        <v>1983</v>
      </c>
      <c r="J331" t="s">
        <v>76</v>
      </c>
      <c r="K331">
        <v>1592</v>
      </c>
      <c r="L331">
        <v>24.24</v>
      </c>
      <c r="M331">
        <v>17.899999999999999</v>
      </c>
      <c r="N331" s="4">
        <f t="shared" si="10"/>
        <v>4.6124841599999987E-2</v>
      </c>
      <c r="O331" s="4">
        <f t="shared" si="11"/>
        <v>0.82563466463999968</v>
      </c>
      <c r="P331">
        <v>38</v>
      </c>
      <c r="Q331">
        <v>3.5</v>
      </c>
      <c r="R331">
        <v>3.5</v>
      </c>
      <c r="S331">
        <v>3</v>
      </c>
      <c r="T331">
        <v>3.3</v>
      </c>
      <c r="U331">
        <v>2.5</v>
      </c>
      <c r="V331" t="s">
        <v>25</v>
      </c>
    </row>
    <row r="332" spans="1:22" x14ac:dyDescent="0.25">
      <c r="A332" t="s">
        <v>77</v>
      </c>
      <c r="B332">
        <v>1</v>
      </c>
      <c r="C332" t="s">
        <v>47</v>
      </c>
      <c r="D332" t="s">
        <v>78</v>
      </c>
      <c r="E332" t="s">
        <v>79</v>
      </c>
      <c r="F332">
        <v>150</v>
      </c>
      <c r="G332">
        <v>1250</v>
      </c>
      <c r="H332">
        <v>-3</v>
      </c>
      <c r="I332">
        <v>1983</v>
      </c>
      <c r="J332" t="s">
        <v>76</v>
      </c>
      <c r="K332">
        <v>2560</v>
      </c>
      <c r="L332">
        <v>20.239999999999998</v>
      </c>
      <c r="M332">
        <v>14.6</v>
      </c>
      <c r="N332" s="4">
        <f t="shared" si="10"/>
        <v>3.2158121599999999E-2</v>
      </c>
      <c r="O332" s="4">
        <f t="shared" si="11"/>
        <v>0.46950857535999996</v>
      </c>
      <c r="P332">
        <v>63</v>
      </c>
      <c r="Q332">
        <v>3</v>
      </c>
      <c r="R332">
        <v>3.5</v>
      </c>
      <c r="S332">
        <v>3</v>
      </c>
      <c r="T332">
        <v>3.7</v>
      </c>
      <c r="U332">
        <v>2.5</v>
      </c>
      <c r="V332" t="s">
        <v>25</v>
      </c>
    </row>
    <row r="333" spans="1:22" x14ac:dyDescent="0.25">
      <c r="A333" t="s">
        <v>77</v>
      </c>
      <c r="B333">
        <v>1</v>
      </c>
      <c r="C333" t="s">
        <v>47</v>
      </c>
      <c r="D333" t="s">
        <v>78</v>
      </c>
      <c r="E333" t="s">
        <v>79</v>
      </c>
      <c r="F333">
        <v>150</v>
      </c>
      <c r="G333">
        <v>1250</v>
      </c>
      <c r="H333">
        <v>-3</v>
      </c>
      <c r="I333">
        <v>1983</v>
      </c>
      <c r="J333" t="s">
        <v>24</v>
      </c>
      <c r="K333">
        <v>2562</v>
      </c>
      <c r="L333">
        <v>17.399999999999999</v>
      </c>
      <c r="M333">
        <v>14.14</v>
      </c>
      <c r="N333" s="4">
        <f t="shared" si="10"/>
        <v>2.3766659999999998E-2</v>
      </c>
      <c r="O333" s="4">
        <f t="shared" si="11"/>
        <v>0.33606057239999998</v>
      </c>
      <c r="P333">
        <v>63</v>
      </c>
      <c r="Q333">
        <v>3.5</v>
      </c>
      <c r="R333">
        <v>4</v>
      </c>
      <c r="S333">
        <v>3.7</v>
      </c>
      <c r="T333">
        <v>4</v>
      </c>
      <c r="U333">
        <v>3.5</v>
      </c>
      <c r="V333" t="s">
        <v>25</v>
      </c>
    </row>
    <row r="334" spans="1:22" x14ac:dyDescent="0.25">
      <c r="A334" t="s">
        <v>77</v>
      </c>
      <c r="B334">
        <v>1</v>
      </c>
      <c r="C334" t="s">
        <v>47</v>
      </c>
      <c r="D334" t="s">
        <v>78</v>
      </c>
      <c r="E334" t="s">
        <v>79</v>
      </c>
      <c r="F334">
        <v>150</v>
      </c>
      <c r="G334">
        <v>1250</v>
      </c>
      <c r="H334">
        <v>-3</v>
      </c>
      <c r="I334">
        <v>1983</v>
      </c>
      <c r="J334" t="s">
        <v>80</v>
      </c>
      <c r="K334">
        <v>1252</v>
      </c>
      <c r="L334">
        <v>17.36</v>
      </c>
      <c r="M334">
        <v>15.64</v>
      </c>
      <c r="N334" s="4">
        <f t="shared" si="10"/>
        <v>2.3657513600000003E-2</v>
      </c>
      <c r="O334" s="4">
        <f t="shared" si="11"/>
        <v>0.37000351270400006</v>
      </c>
      <c r="P334">
        <v>50</v>
      </c>
      <c r="Q334">
        <v>3.5</v>
      </c>
      <c r="R334">
        <v>3.5</v>
      </c>
      <c r="S334">
        <v>2.5</v>
      </c>
      <c r="T334">
        <v>2.5</v>
      </c>
      <c r="U334">
        <v>2.5</v>
      </c>
      <c r="V334" t="s">
        <v>38</v>
      </c>
    </row>
    <row r="335" spans="1:22" x14ac:dyDescent="0.25">
      <c r="A335" t="s">
        <v>77</v>
      </c>
      <c r="B335">
        <v>1</v>
      </c>
      <c r="C335" t="s">
        <v>47</v>
      </c>
      <c r="D335" t="s">
        <v>78</v>
      </c>
      <c r="E335" t="s">
        <v>79</v>
      </c>
      <c r="F335">
        <v>150</v>
      </c>
      <c r="G335">
        <v>1250</v>
      </c>
      <c r="H335">
        <v>-3</v>
      </c>
      <c r="I335">
        <v>1983</v>
      </c>
      <c r="J335" t="s">
        <v>59</v>
      </c>
      <c r="K335">
        <v>2548</v>
      </c>
      <c r="L335">
        <v>41.04</v>
      </c>
      <c r="M335">
        <v>16.600000000000001</v>
      </c>
      <c r="N335" s="4">
        <f t="shared" si="10"/>
        <v>0.13221610559999999</v>
      </c>
      <c r="O335" s="4">
        <f t="shared" si="11"/>
        <v>2.1947873529600002</v>
      </c>
      <c r="P335">
        <v>50</v>
      </c>
      <c r="Q335">
        <v>3.3</v>
      </c>
      <c r="R335">
        <v>3</v>
      </c>
      <c r="S335">
        <v>2</v>
      </c>
      <c r="T335">
        <v>1.5</v>
      </c>
      <c r="U335">
        <v>1.5</v>
      </c>
      <c r="V335" t="s">
        <v>25</v>
      </c>
    </row>
    <row r="336" spans="1:22" x14ac:dyDescent="0.25">
      <c r="A336" t="s">
        <v>77</v>
      </c>
      <c r="B336">
        <v>1</v>
      </c>
      <c r="C336" t="s">
        <v>47</v>
      </c>
      <c r="D336" t="s">
        <v>78</v>
      </c>
      <c r="E336" t="s">
        <v>79</v>
      </c>
      <c r="F336">
        <v>150</v>
      </c>
      <c r="G336">
        <v>1250</v>
      </c>
      <c r="H336">
        <v>-3</v>
      </c>
      <c r="I336">
        <v>1983</v>
      </c>
      <c r="J336" t="s">
        <v>32</v>
      </c>
      <c r="K336">
        <v>1596</v>
      </c>
      <c r="L336">
        <v>15.02</v>
      </c>
      <c r="M336">
        <v>9.92</v>
      </c>
      <c r="N336" s="4">
        <f t="shared" si="10"/>
        <v>1.7709631400000002E-2</v>
      </c>
      <c r="O336" s="4">
        <f t="shared" si="11"/>
        <v>0.17567954348800002</v>
      </c>
      <c r="P336">
        <v>100</v>
      </c>
      <c r="Q336">
        <v>3.5</v>
      </c>
      <c r="R336">
        <v>4</v>
      </c>
      <c r="S336">
        <v>2.7</v>
      </c>
      <c r="T336">
        <v>4</v>
      </c>
      <c r="U336">
        <v>2.5</v>
      </c>
      <c r="V336" t="s">
        <v>25</v>
      </c>
    </row>
    <row r="337" spans="1:22" x14ac:dyDescent="0.25">
      <c r="A337" t="s">
        <v>77</v>
      </c>
      <c r="B337">
        <v>1</v>
      </c>
      <c r="C337" t="s">
        <v>47</v>
      </c>
      <c r="D337" t="s">
        <v>78</v>
      </c>
      <c r="E337" t="s">
        <v>79</v>
      </c>
      <c r="F337">
        <v>150</v>
      </c>
      <c r="G337">
        <v>1250</v>
      </c>
      <c r="H337">
        <v>-3</v>
      </c>
      <c r="I337">
        <v>1983</v>
      </c>
      <c r="J337" t="s">
        <v>32</v>
      </c>
      <c r="K337">
        <v>2569</v>
      </c>
      <c r="L337">
        <v>17.829999999999998</v>
      </c>
      <c r="M337">
        <v>11.8</v>
      </c>
      <c r="N337" s="4">
        <f t="shared" si="10"/>
        <v>2.4955848649999997E-2</v>
      </c>
      <c r="O337" s="4">
        <f t="shared" si="11"/>
        <v>0.29447901406999999</v>
      </c>
      <c r="P337">
        <v>50</v>
      </c>
      <c r="Q337">
        <v>3</v>
      </c>
      <c r="R337">
        <v>3</v>
      </c>
      <c r="S337">
        <v>3</v>
      </c>
      <c r="T337">
        <v>4</v>
      </c>
      <c r="U337">
        <v>2.5</v>
      </c>
      <c r="V337" t="s">
        <v>25</v>
      </c>
    </row>
    <row r="338" spans="1:22" x14ac:dyDescent="0.25">
      <c r="A338" t="s">
        <v>77</v>
      </c>
      <c r="B338">
        <v>1</v>
      </c>
      <c r="C338" t="s">
        <v>47</v>
      </c>
      <c r="D338" t="s">
        <v>78</v>
      </c>
      <c r="E338" t="s">
        <v>79</v>
      </c>
      <c r="F338">
        <v>150</v>
      </c>
      <c r="G338">
        <v>1250</v>
      </c>
      <c r="H338">
        <v>-3</v>
      </c>
      <c r="I338">
        <v>1983</v>
      </c>
      <c r="J338" t="s">
        <v>33</v>
      </c>
      <c r="K338">
        <v>2547</v>
      </c>
      <c r="L338">
        <v>20.8</v>
      </c>
      <c r="M338">
        <v>10.23</v>
      </c>
      <c r="N338" s="4">
        <f t="shared" si="10"/>
        <v>3.3962240000000012E-2</v>
      </c>
      <c r="O338" s="4">
        <f t="shared" si="11"/>
        <v>0.34743371520000016</v>
      </c>
      <c r="P338">
        <v>13</v>
      </c>
      <c r="Q338">
        <v>3</v>
      </c>
      <c r="R338">
        <v>3</v>
      </c>
      <c r="S338">
        <v>3</v>
      </c>
      <c r="T338">
        <v>2.5</v>
      </c>
      <c r="U338">
        <v>3</v>
      </c>
      <c r="V338" t="s">
        <v>38</v>
      </c>
    </row>
    <row r="339" spans="1:22" x14ac:dyDescent="0.25">
      <c r="A339" t="s">
        <v>77</v>
      </c>
      <c r="B339">
        <v>1</v>
      </c>
      <c r="C339" t="s">
        <v>47</v>
      </c>
      <c r="D339" t="s">
        <v>78</v>
      </c>
      <c r="E339" t="s">
        <v>79</v>
      </c>
      <c r="F339">
        <v>150</v>
      </c>
      <c r="G339">
        <v>1250</v>
      </c>
      <c r="H339">
        <v>-3</v>
      </c>
      <c r="I339">
        <v>1983</v>
      </c>
      <c r="J339" t="s">
        <v>33</v>
      </c>
      <c r="K339">
        <v>2568</v>
      </c>
      <c r="L339">
        <v>24.89</v>
      </c>
      <c r="M339">
        <v>16.71</v>
      </c>
      <c r="N339" s="4">
        <f t="shared" si="10"/>
        <v>4.8631699850000008E-2</v>
      </c>
      <c r="O339" s="4">
        <f t="shared" si="11"/>
        <v>0.8126357044935002</v>
      </c>
      <c r="P339">
        <v>63</v>
      </c>
      <c r="Q339">
        <v>3</v>
      </c>
      <c r="R339">
        <v>2.5</v>
      </c>
      <c r="S339">
        <v>2.7</v>
      </c>
      <c r="T339">
        <v>3</v>
      </c>
      <c r="U339">
        <v>2</v>
      </c>
      <c r="V339" t="s">
        <v>38</v>
      </c>
    </row>
    <row r="340" spans="1:22" x14ac:dyDescent="0.25">
      <c r="A340" t="s">
        <v>77</v>
      </c>
      <c r="B340">
        <v>1</v>
      </c>
      <c r="C340" t="s">
        <v>47</v>
      </c>
      <c r="D340" t="s">
        <v>78</v>
      </c>
      <c r="E340" t="s">
        <v>79</v>
      </c>
      <c r="F340">
        <v>150</v>
      </c>
      <c r="G340">
        <v>1250</v>
      </c>
      <c r="H340">
        <v>-3</v>
      </c>
      <c r="I340">
        <v>1983</v>
      </c>
      <c r="J340" t="s">
        <v>34</v>
      </c>
      <c r="K340">
        <v>1522</v>
      </c>
      <c r="L340">
        <v>19.13</v>
      </c>
      <c r="M340">
        <v>10.66</v>
      </c>
      <c r="N340" s="4">
        <f t="shared" si="10"/>
        <v>2.8727616650000003E-2</v>
      </c>
      <c r="O340" s="4">
        <f t="shared" si="11"/>
        <v>0.30623639348900006</v>
      </c>
      <c r="P340">
        <v>38</v>
      </c>
      <c r="Q340">
        <v>3.5</v>
      </c>
      <c r="R340">
        <v>3</v>
      </c>
      <c r="S340">
        <v>2.5</v>
      </c>
      <c r="T340">
        <v>2.5</v>
      </c>
      <c r="U340">
        <v>2</v>
      </c>
      <c r="V340" t="s">
        <v>25</v>
      </c>
    </row>
    <row r="341" spans="1:22" x14ac:dyDescent="0.25">
      <c r="A341" t="s">
        <v>77</v>
      </c>
      <c r="B341">
        <v>1</v>
      </c>
      <c r="C341" t="s">
        <v>47</v>
      </c>
      <c r="D341" t="s">
        <v>78</v>
      </c>
      <c r="E341" t="s">
        <v>79</v>
      </c>
      <c r="F341">
        <v>150</v>
      </c>
      <c r="G341">
        <v>1250</v>
      </c>
      <c r="H341">
        <v>-3</v>
      </c>
      <c r="I341">
        <v>1983</v>
      </c>
      <c r="J341" t="s">
        <v>34</v>
      </c>
      <c r="K341">
        <v>2570</v>
      </c>
      <c r="L341">
        <v>17.59</v>
      </c>
      <c r="M341">
        <v>12.2</v>
      </c>
      <c r="N341" s="4">
        <f t="shared" si="10"/>
        <v>2.4288535850000001E-2</v>
      </c>
      <c r="O341" s="4">
        <f t="shared" si="11"/>
        <v>0.29632013737000001</v>
      </c>
      <c r="P341">
        <v>50</v>
      </c>
      <c r="Q341">
        <v>3</v>
      </c>
      <c r="R341">
        <v>2.7</v>
      </c>
      <c r="S341">
        <v>3</v>
      </c>
      <c r="T341">
        <v>3.5</v>
      </c>
      <c r="U341">
        <v>2.7</v>
      </c>
      <c r="V341" t="s">
        <v>38</v>
      </c>
    </row>
    <row r="342" spans="1:22" x14ac:dyDescent="0.25">
      <c r="A342" t="s">
        <v>77</v>
      </c>
      <c r="B342">
        <v>1</v>
      </c>
      <c r="C342" t="s">
        <v>47</v>
      </c>
      <c r="D342" t="s">
        <v>78</v>
      </c>
      <c r="E342" t="s">
        <v>79</v>
      </c>
      <c r="F342">
        <v>150</v>
      </c>
      <c r="G342">
        <v>1250</v>
      </c>
      <c r="H342">
        <v>-3</v>
      </c>
      <c r="I342">
        <v>1983</v>
      </c>
      <c r="J342" t="s">
        <v>35</v>
      </c>
      <c r="K342">
        <v>2571</v>
      </c>
      <c r="L342">
        <v>19.350000000000001</v>
      </c>
      <c r="M342">
        <v>17.3</v>
      </c>
      <c r="N342" s="4">
        <f t="shared" si="10"/>
        <v>2.9392166250000004E-2</v>
      </c>
      <c r="O342" s="4">
        <f t="shared" si="11"/>
        <v>0.50848447612500014</v>
      </c>
      <c r="P342">
        <v>50</v>
      </c>
      <c r="Q342">
        <v>2.5</v>
      </c>
      <c r="R342">
        <v>2</v>
      </c>
      <c r="S342">
        <v>3.2</v>
      </c>
      <c r="T342">
        <v>4</v>
      </c>
      <c r="U342">
        <v>4</v>
      </c>
      <c r="V342" t="s">
        <v>38</v>
      </c>
    </row>
    <row r="343" spans="1:22" x14ac:dyDescent="0.25">
      <c r="A343" t="s">
        <v>77</v>
      </c>
      <c r="B343">
        <v>1</v>
      </c>
      <c r="C343" t="s">
        <v>47</v>
      </c>
      <c r="D343" t="s">
        <v>78</v>
      </c>
      <c r="E343" t="s">
        <v>79</v>
      </c>
      <c r="F343">
        <v>150</v>
      </c>
      <c r="G343">
        <v>1250</v>
      </c>
      <c r="H343">
        <v>-3</v>
      </c>
      <c r="I343">
        <v>1983</v>
      </c>
      <c r="J343" t="s">
        <v>36</v>
      </c>
      <c r="K343">
        <v>2573</v>
      </c>
      <c r="L343">
        <v>21.7</v>
      </c>
      <c r="M343">
        <v>17.420000000000002</v>
      </c>
      <c r="N343" s="4">
        <f t="shared" si="10"/>
        <v>3.6964865E-2</v>
      </c>
      <c r="O343" s="4">
        <f t="shared" si="11"/>
        <v>0.64392794830000011</v>
      </c>
      <c r="P343">
        <v>88</v>
      </c>
      <c r="Q343">
        <v>3</v>
      </c>
      <c r="R343">
        <v>3.5</v>
      </c>
      <c r="S343">
        <v>3</v>
      </c>
      <c r="T343">
        <v>3.3</v>
      </c>
      <c r="U343">
        <v>2.2999999999999998</v>
      </c>
      <c r="V343" t="s">
        <v>25</v>
      </c>
    </row>
    <row r="344" spans="1:22" x14ac:dyDescent="0.25">
      <c r="A344" t="s">
        <v>77</v>
      </c>
      <c r="B344">
        <v>1</v>
      </c>
      <c r="C344" t="s">
        <v>47</v>
      </c>
      <c r="D344" t="s">
        <v>78</v>
      </c>
      <c r="E344" t="s">
        <v>79</v>
      </c>
      <c r="F344">
        <v>150</v>
      </c>
      <c r="G344">
        <v>1250</v>
      </c>
      <c r="H344">
        <v>-3</v>
      </c>
      <c r="I344">
        <v>1983</v>
      </c>
      <c r="J344" t="s">
        <v>62</v>
      </c>
      <c r="K344">
        <v>2550</v>
      </c>
      <c r="L344">
        <v>7.84</v>
      </c>
      <c r="M344">
        <v>3.34</v>
      </c>
      <c r="N344" s="4">
        <f t="shared" si="10"/>
        <v>4.8250495999999999E-3</v>
      </c>
      <c r="O344" s="4">
        <f t="shared" si="11"/>
        <v>1.6115665663999999E-2</v>
      </c>
      <c r="P344">
        <v>38</v>
      </c>
      <c r="Q344">
        <v>2</v>
      </c>
      <c r="R344">
        <v>2.2999999999999998</v>
      </c>
      <c r="S344">
        <v>1.5</v>
      </c>
      <c r="T344">
        <v>2</v>
      </c>
      <c r="U344">
        <v>2</v>
      </c>
      <c r="V344" t="s">
        <v>30</v>
      </c>
    </row>
    <row r="345" spans="1:22" x14ac:dyDescent="0.25">
      <c r="A345" t="s">
        <v>77</v>
      </c>
      <c r="B345">
        <v>1</v>
      </c>
      <c r="C345" t="s">
        <v>47</v>
      </c>
      <c r="D345" t="s">
        <v>78</v>
      </c>
      <c r="E345" t="s">
        <v>79</v>
      </c>
      <c r="F345">
        <v>150</v>
      </c>
      <c r="G345">
        <v>1250</v>
      </c>
      <c r="H345">
        <v>-3</v>
      </c>
      <c r="I345">
        <v>1983</v>
      </c>
      <c r="J345" t="s">
        <v>62</v>
      </c>
      <c r="K345">
        <v>2553</v>
      </c>
      <c r="L345">
        <v>25.57</v>
      </c>
      <c r="M345">
        <v>17.43</v>
      </c>
      <c r="N345" s="4">
        <f t="shared" si="10"/>
        <v>5.1325254649999992E-2</v>
      </c>
      <c r="O345" s="4">
        <f t="shared" si="11"/>
        <v>0.89459918854949982</v>
      </c>
      <c r="P345">
        <v>50</v>
      </c>
      <c r="Q345">
        <v>3.7</v>
      </c>
      <c r="R345">
        <v>3</v>
      </c>
      <c r="S345">
        <v>2.7</v>
      </c>
      <c r="T345">
        <v>3</v>
      </c>
      <c r="U345">
        <v>2</v>
      </c>
      <c r="V345" t="s">
        <v>38</v>
      </c>
    </row>
    <row r="346" spans="1:22" x14ac:dyDescent="0.25">
      <c r="A346" t="s">
        <v>77</v>
      </c>
      <c r="B346">
        <v>1</v>
      </c>
      <c r="C346" t="s">
        <v>47</v>
      </c>
      <c r="D346" t="s">
        <v>78</v>
      </c>
      <c r="E346" t="s">
        <v>79</v>
      </c>
      <c r="F346">
        <v>150</v>
      </c>
      <c r="G346">
        <v>1250</v>
      </c>
      <c r="H346">
        <v>-3</v>
      </c>
      <c r="I346">
        <v>1983</v>
      </c>
      <c r="J346" t="s">
        <v>37</v>
      </c>
      <c r="K346">
        <v>2575</v>
      </c>
      <c r="L346">
        <v>6.87</v>
      </c>
      <c r="M346">
        <v>9.4</v>
      </c>
      <c r="N346" s="4">
        <f t="shared" si="10"/>
        <v>3.7049566499999997E-3</v>
      </c>
      <c r="O346" s="4">
        <f t="shared" si="11"/>
        <v>3.4826592509999997E-2</v>
      </c>
      <c r="P346">
        <v>50</v>
      </c>
      <c r="Q346">
        <v>1.5</v>
      </c>
      <c r="R346">
        <v>3</v>
      </c>
      <c r="S346">
        <v>2</v>
      </c>
      <c r="T346">
        <v>2</v>
      </c>
      <c r="U346">
        <v>2</v>
      </c>
      <c r="V346" t="s">
        <v>50</v>
      </c>
    </row>
    <row r="347" spans="1:22" x14ac:dyDescent="0.25">
      <c r="A347" t="s">
        <v>77</v>
      </c>
      <c r="B347">
        <v>1</v>
      </c>
      <c r="C347" t="s">
        <v>47</v>
      </c>
      <c r="D347" t="s">
        <v>78</v>
      </c>
      <c r="E347" t="s">
        <v>79</v>
      </c>
      <c r="F347">
        <v>150</v>
      </c>
      <c r="G347">
        <v>1250</v>
      </c>
      <c r="H347">
        <v>-3</v>
      </c>
      <c r="I347">
        <v>1983</v>
      </c>
      <c r="J347" t="s">
        <v>26</v>
      </c>
      <c r="K347">
        <v>2552</v>
      </c>
      <c r="L347">
        <v>31.87</v>
      </c>
      <c r="M347">
        <v>20.52</v>
      </c>
      <c r="N347" s="4">
        <f t="shared" si="10"/>
        <v>7.9732206649999998E-2</v>
      </c>
      <c r="O347" s="4">
        <f t="shared" si="11"/>
        <v>1.6361048804579998</v>
      </c>
      <c r="P347">
        <v>25</v>
      </c>
      <c r="Q347">
        <v>3.7</v>
      </c>
      <c r="R347">
        <v>3.5</v>
      </c>
      <c r="S347">
        <v>2.5</v>
      </c>
      <c r="T347">
        <v>2.5</v>
      </c>
      <c r="U347">
        <v>1.5</v>
      </c>
      <c r="V347" t="s">
        <v>38</v>
      </c>
    </row>
    <row r="348" spans="1:22" x14ac:dyDescent="0.25">
      <c r="A348" t="s">
        <v>77</v>
      </c>
      <c r="B348">
        <v>1</v>
      </c>
      <c r="C348" t="s">
        <v>47</v>
      </c>
      <c r="D348" t="s">
        <v>78</v>
      </c>
      <c r="E348" t="s">
        <v>79</v>
      </c>
      <c r="F348">
        <v>150</v>
      </c>
      <c r="G348">
        <v>1250</v>
      </c>
      <c r="H348">
        <v>-3</v>
      </c>
      <c r="I348">
        <v>1983</v>
      </c>
      <c r="J348" t="s">
        <v>62</v>
      </c>
      <c r="K348">
        <v>2574</v>
      </c>
      <c r="L348">
        <v>15.11</v>
      </c>
      <c r="M348">
        <v>15.54</v>
      </c>
      <c r="N348" s="4">
        <f t="shared" si="10"/>
        <v>1.7922499849999995E-2</v>
      </c>
      <c r="O348" s="4">
        <f t="shared" si="11"/>
        <v>0.27851564766899989</v>
      </c>
      <c r="P348">
        <v>75</v>
      </c>
      <c r="Q348">
        <v>3.7</v>
      </c>
      <c r="R348">
        <v>3</v>
      </c>
      <c r="S348">
        <v>3.3</v>
      </c>
      <c r="T348">
        <v>3.5</v>
      </c>
      <c r="U348">
        <v>3.5</v>
      </c>
      <c r="V348" t="s">
        <v>25</v>
      </c>
    </row>
    <row r="349" spans="1:22" x14ac:dyDescent="0.25">
      <c r="A349" t="s">
        <v>77</v>
      </c>
      <c r="B349">
        <v>1</v>
      </c>
      <c r="C349" t="s">
        <v>47</v>
      </c>
      <c r="D349" t="s">
        <v>78</v>
      </c>
      <c r="E349" t="s">
        <v>79</v>
      </c>
      <c r="F349">
        <v>150</v>
      </c>
      <c r="G349">
        <v>1250</v>
      </c>
      <c r="H349">
        <v>-3</v>
      </c>
      <c r="I349">
        <v>1983</v>
      </c>
      <c r="J349" t="s">
        <v>32</v>
      </c>
      <c r="K349">
        <v>2634</v>
      </c>
      <c r="L349">
        <v>21.72</v>
      </c>
      <c r="M349">
        <v>14.75</v>
      </c>
      <c r="N349" s="4">
        <f t="shared" si="10"/>
        <v>3.7033034399999991E-2</v>
      </c>
      <c r="O349" s="4">
        <f t="shared" si="11"/>
        <v>0.54623725739999984</v>
      </c>
      <c r="P349">
        <v>38</v>
      </c>
      <c r="Q349">
        <v>3</v>
      </c>
      <c r="R349">
        <v>3</v>
      </c>
      <c r="S349">
        <v>3</v>
      </c>
      <c r="T349">
        <v>4</v>
      </c>
      <c r="U349">
        <v>2.2999999999999998</v>
      </c>
      <c r="V349" t="s">
        <v>25</v>
      </c>
    </row>
    <row r="350" spans="1:22" x14ac:dyDescent="0.25">
      <c r="A350" t="s">
        <v>77</v>
      </c>
      <c r="B350">
        <v>2</v>
      </c>
      <c r="C350" t="s">
        <v>47</v>
      </c>
      <c r="D350" t="s">
        <v>78</v>
      </c>
      <c r="E350" t="s">
        <v>79</v>
      </c>
      <c r="F350">
        <v>150</v>
      </c>
      <c r="G350">
        <v>1250</v>
      </c>
      <c r="H350">
        <v>-3</v>
      </c>
      <c r="I350">
        <v>1983</v>
      </c>
      <c r="J350" t="s">
        <v>76</v>
      </c>
      <c r="K350">
        <v>1592</v>
      </c>
      <c r="L350">
        <v>24.95</v>
      </c>
      <c r="M350">
        <v>19.690000000000001</v>
      </c>
      <c r="N350" s="4">
        <f t="shared" si="10"/>
        <v>4.8866446250000001E-2</v>
      </c>
      <c r="O350" s="4">
        <f t="shared" si="11"/>
        <v>0.96218032666250008</v>
      </c>
      <c r="P350">
        <v>50</v>
      </c>
      <c r="Q350">
        <v>3.5</v>
      </c>
      <c r="R350">
        <v>3</v>
      </c>
      <c r="S350">
        <v>2.7</v>
      </c>
      <c r="T350">
        <v>3</v>
      </c>
      <c r="U350">
        <v>2.7</v>
      </c>
      <c r="V350" t="s">
        <v>25</v>
      </c>
    </row>
    <row r="351" spans="1:22" x14ac:dyDescent="0.25">
      <c r="A351" t="s">
        <v>77</v>
      </c>
      <c r="B351">
        <v>2</v>
      </c>
      <c r="C351" t="s">
        <v>47</v>
      </c>
      <c r="D351" t="s">
        <v>78</v>
      </c>
      <c r="E351" t="s">
        <v>79</v>
      </c>
      <c r="F351">
        <v>150</v>
      </c>
      <c r="G351">
        <v>1250</v>
      </c>
      <c r="H351">
        <v>-3</v>
      </c>
      <c r="I351">
        <v>1983</v>
      </c>
      <c r="J351" t="s">
        <v>76</v>
      </c>
      <c r="K351">
        <v>2560</v>
      </c>
      <c r="L351">
        <v>17.350000000000001</v>
      </c>
      <c r="M351">
        <v>16.11</v>
      </c>
      <c r="N351" s="4">
        <f t="shared" si="10"/>
        <v>2.3630266250000004E-2</v>
      </c>
      <c r="O351" s="4">
        <f t="shared" si="11"/>
        <v>0.38068358928750007</v>
      </c>
      <c r="P351">
        <v>38</v>
      </c>
      <c r="Q351">
        <v>3</v>
      </c>
      <c r="R351">
        <v>3</v>
      </c>
      <c r="S351">
        <v>2.5</v>
      </c>
      <c r="T351">
        <v>3.5</v>
      </c>
      <c r="U351">
        <v>2.5</v>
      </c>
      <c r="V351" t="s">
        <v>25</v>
      </c>
    </row>
    <row r="352" spans="1:22" x14ac:dyDescent="0.25">
      <c r="A352" t="s">
        <v>77</v>
      </c>
      <c r="B352">
        <v>2</v>
      </c>
      <c r="C352" t="s">
        <v>47</v>
      </c>
      <c r="D352" t="s">
        <v>78</v>
      </c>
      <c r="E352" t="s">
        <v>79</v>
      </c>
      <c r="F352">
        <v>150</v>
      </c>
      <c r="G352">
        <v>1250</v>
      </c>
      <c r="H352">
        <v>-3</v>
      </c>
      <c r="I352">
        <v>1983</v>
      </c>
      <c r="J352" t="s">
        <v>24</v>
      </c>
      <c r="K352">
        <v>2562</v>
      </c>
      <c r="L352">
        <v>18.809999999999999</v>
      </c>
      <c r="M352">
        <v>19.09</v>
      </c>
      <c r="N352" s="4">
        <f t="shared" si="10"/>
        <v>2.7774563849999996E-2</v>
      </c>
      <c r="O352" s="4">
        <f t="shared" si="11"/>
        <v>0.53021642389649992</v>
      </c>
      <c r="P352">
        <v>75</v>
      </c>
      <c r="Q352">
        <v>3</v>
      </c>
      <c r="R352">
        <v>3</v>
      </c>
      <c r="S352">
        <v>3.5</v>
      </c>
      <c r="T352">
        <v>4</v>
      </c>
      <c r="U352">
        <v>3</v>
      </c>
      <c r="V352" t="s">
        <v>27</v>
      </c>
    </row>
    <row r="353" spans="1:22" x14ac:dyDescent="0.25">
      <c r="A353" t="s">
        <v>77</v>
      </c>
      <c r="B353">
        <v>2</v>
      </c>
      <c r="C353" t="s">
        <v>47</v>
      </c>
      <c r="D353" t="s">
        <v>78</v>
      </c>
      <c r="E353" t="s">
        <v>79</v>
      </c>
      <c r="F353">
        <v>150</v>
      </c>
      <c r="G353">
        <v>1250</v>
      </c>
      <c r="H353">
        <v>-3</v>
      </c>
      <c r="I353">
        <v>1983</v>
      </c>
      <c r="J353" t="s">
        <v>80</v>
      </c>
      <c r="K353">
        <v>1252</v>
      </c>
      <c r="L353">
        <v>15.35</v>
      </c>
      <c r="M353">
        <v>11.87</v>
      </c>
      <c r="N353" s="4">
        <f t="shared" si="10"/>
        <v>1.849636625E-2</v>
      </c>
      <c r="O353" s="4">
        <f t="shared" si="11"/>
        <v>0.21955186738749999</v>
      </c>
      <c r="P353">
        <v>75</v>
      </c>
      <c r="Q353">
        <v>2.9</v>
      </c>
      <c r="R353">
        <v>2.7</v>
      </c>
      <c r="S353">
        <v>2.5</v>
      </c>
      <c r="T353">
        <v>3</v>
      </c>
      <c r="U353">
        <v>2.5</v>
      </c>
      <c r="V353" t="s">
        <v>38</v>
      </c>
    </row>
    <row r="354" spans="1:22" x14ac:dyDescent="0.25">
      <c r="A354" t="s">
        <v>77</v>
      </c>
      <c r="B354">
        <v>2</v>
      </c>
      <c r="C354" t="s">
        <v>47</v>
      </c>
      <c r="D354" t="s">
        <v>78</v>
      </c>
      <c r="E354" t="s">
        <v>79</v>
      </c>
      <c r="F354">
        <v>150</v>
      </c>
      <c r="G354">
        <v>1250</v>
      </c>
      <c r="H354">
        <v>-3</v>
      </c>
      <c r="I354">
        <v>1983</v>
      </c>
      <c r="J354" t="s">
        <v>59</v>
      </c>
      <c r="K354">
        <v>2548</v>
      </c>
      <c r="L354">
        <v>22.6</v>
      </c>
      <c r="M354">
        <v>12.61</v>
      </c>
      <c r="N354" s="4">
        <f t="shared" si="10"/>
        <v>4.0094660000000004E-2</v>
      </c>
      <c r="O354" s="4">
        <f t="shared" si="11"/>
        <v>0.50559366260000005</v>
      </c>
      <c r="P354">
        <v>63</v>
      </c>
      <c r="Q354">
        <v>3.5</v>
      </c>
      <c r="R354">
        <v>3</v>
      </c>
      <c r="S354">
        <v>2</v>
      </c>
      <c r="T354">
        <v>2</v>
      </c>
      <c r="U354">
        <v>1.5</v>
      </c>
      <c r="V354" t="s">
        <v>38</v>
      </c>
    </row>
    <row r="355" spans="1:22" x14ac:dyDescent="0.25">
      <c r="A355" t="s">
        <v>77</v>
      </c>
      <c r="B355">
        <v>2</v>
      </c>
      <c r="C355" t="s">
        <v>47</v>
      </c>
      <c r="D355" t="s">
        <v>78</v>
      </c>
      <c r="E355" t="s">
        <v>79</v>
      </c>
      <c r="F355">
        <v>150</v>
      </c>
      <c r="G355">
        <v>1250</v>
      </c>
      <c r="H355">
        <v>-3</v>
      </c>
      <c r="I355">
        <v>1983</v>
      </c>
      <c r="J355" t="s">
        <v>32</v>
      </c>
      <c r="K355">
        <v>1596</v>
      </c>
      <c r="L355">
        <v>21.45</v>
      </c>
      <c r="M355">
        <v>16.760000000000002</v>
      </c>
      <c r="N355" s="4">
        <f t="shared" si="10"/>
        <v>3.6118046250000001E-2</v>
      </c>
      <c r="O355" s="4">
        <f t="shared" si="11"/>
        <v>0.60533845515000007</v>
      </c>
      <c r="P355">
        <v>75</v>
      </c>
      <c r="Q355">
        <v>3</v>
      </c>
      <c r="R355">
        <v>3.2</v>
      </c>
      <c r="S355">
        <v>3.3</v>
      </c>
      <c r="T355">
        <v>3.5</v>
      </c>
      <c r="U355">
        <v>3</v>
      </c>
      <c r="V355" t="s">
        <v>25</v>
      </c>
    </row>
    <row r="356" spans="1:22" x14ac:dyDescent="0.25">
      <c r="A356" t="s">
        <v>77</v>
      </c>
      <c r="B356">
        <v>2</v>
      </c>
      <c r="C356" t="s">
        <v>47</v>
      </c>
      <c r="D356" t="s">
        <v>78</v>
      </c>
      <c r="E356" t="s">
        <v>79</v>
      </c>
      <c r="F356">
        <v>150</v>
      </c>
      <c r="G356">
        <v>1250</v>
      </c>
      <c r="H356">
        <v>-3</v>
      </c>
      <c r="I356">
        <v>1983</v>
      </c>
      <c r="J356" t="s">
        <v>32</v>
      </c>
      <c r="K356">
        <v>2569</v>
      </c>
      <c r="L356">
        <v>15.15</v>
      </c>
      <c r="M356">
        <v>15.82</v>
      </c>
      <c r="N356" s="4">
        <f t="shared" si="10"/>
        <v>1.8017516250000001E-2</v>
      </c>
      <c r="O356" s="4">
        <f t="shared" si="11"/>
        <v>0.28503710707500002</v>
      </c>
      <c r="P356">
        <v>75</v>
      </c>
      <c r="Q356">
        <v>3</v>
      </c>
      <c r="R356">
        <v>3</v>
      </c>
      <c r="S356">
        <v>3.1</v>
      </c>
      <c r="T356">
        <v>3.4</v>
      </c>
      <c r="U356">
        <v>3</v>
      </c>
      <c r="V356" t="s">
        <v>25</v>
      </c>
    </row>
    <row r="357" spans="1:22" x14ac:dyDescent="0.25">
      <c r="A357" t="s">
        <v>77</v>
      </c>
      <c r="B357">
        <v>2</v>
      </c>
      <c r="C357" t="s">
        <v>47</v>
      </c>
      <c r="D357" t="s">
        <v>78</v>
      </c>
      <c r="E357" t="s">
        <v>79</v>
      </c>
      <c r="F357">
        <v>150</v>
      </c>
      <c r="G357">
        <v>1250</v>
      </c>
      <c r="H357">
        <v>-3</v>
      </c>
      <c r="I357">
        <v>1983</v>
      </c>
      <c r="J357" t="s">
        <v>33</v>
      </c>
      <c r="K357">
        <v>2568</v>
      </c>
      <c r="L357">
        <v>20.46</v>
      </c>
      <c r="M357">
        <v>19.260000000000002</v>
      </c>
      <c r="N357" s="4">
        <f t="shared" si="10"/>
        <v>3.2861010600000004E-2</v>
      </c>
      <c r="O357" s="4">
        <f t="shared" si="11"/>
        <v>0.63290306415600017</v>
      </c>
      <c r="P357">
        <v>50</v>
      </c>
      <c r="Q357">
        <v>3</v>
      </c>
      <c r="R357">
        <v>2.2000000000000002</v>
      </c>
      <c r="S357">
        <v>3.3</v>
      </c>
      <c r="T357">
        <v>3.3</v>
      </c>
      <c r="U357">
        <v>3</v>
      </c>
      <c r="V357" t="s">
        <v>25</v>
      </c>
    </row>
    <row r="358" spans="1:22" x14ac:dyDescent="0.25">
      <c r="A358" t="s">
        <v>77</v>
      </c>
      <c r="B358">
        <v>2</v>
      </c>
      <c r="C358" t="s">
        <v>47</v>
      </c>
      <c r="D358" t="s">
        <v>78</v>
      </c>
      <c r="E358" t="s">
        <v>79</v>
      </c>
      <c r="F358">
        <v>150</v>
      </c>
      <c r="G358">
        <v>1250</v>
      </c>
      <c r="H358">
        <v>-3</v>
      </c>
      <c r="I358">
        <v>1983</v>
      </c>
      <c r="J358" t="s">
        <v>34</v>
      </c>
      <c r="K358">
        <v>1522</v>
      </c>
      <c r="L358">
        <v>20.8</v>
      </c>
      <c r="M358">
        <v>15.41</v>
      </c>
      <c r="N358" s="4">
        <f t="shared" si="10"/>
        <v>3.3962240000000012E-2</v>
      </c>
      <c r="O358" s="4">
        <f t="shared" si="11"/>
        <v>0.52335811840000024</v>
      </c>
      <c r="P358">
        <v>25</v>
      </c>
      <c r="Q358">
        <v>3.5</v>
      </c>
      <c r="R358">
        <v>2.8</v>
      </c>
      <c r="S358">
        <v>3.3</v>
      </c>
      <c r="T358">
        <v>3.2</v>
      </c>
      <c r="U358">
        <v>3.5</v>
      </c>
      <c r="V358" t="s">
        <v>25</v>
      </c>
    </row>
    <row r="359" spans="1:22" x14ac:dyDescent="0.25">
      <c r="A359" t="s">
        <v>77</v>
      </c>
      <c r="B359">
        <v>2</v>
      </c>
      <c r="C359" t="s">
        <v>47</v>
      </c>
      <c r="D359" t="s">
        <v>78</v>
      </c>
      <c r="E359" t="s">
        <v>79</v>
      </c>
      <c r="F359">
        <v>150</v>
      </c>
      <c r="G359">
        <v>1250</v>
      </c>
      <c r="H359">
        <v>-3</v>
      </c>
      <c r="I359">
        <v>1983</v>
      </c>
      <c r="J359" t="s">
        <v>34</v>
      </c>
      <c r="K359">
        <v>2570</v>
      </c>
      <c r="L359">
        <v>22.98</v>
      </c>
      <c r="M359">
        <v>19.899999999999999</v>
      </c>
      <c r="N359" s="4">
        <f t="shared" si="10"/>
        <v>4.1454311399999999E-2</v>
      </c>
      <c r="O359" s="4">
        <f t="shared" si="11"/>
        <v>0.82494079685999988</v>
      </c>
      <c r="P359">
        <v>50</v>
      </c>
      <c r="Q359">
        <v>4</v>
      </c>
      <c r="R359">
        <v>2.7</v>
      </c>
      <c r="S359">
        <v>3.5</v>
      </c>
      <c r="T359">
        <v>3.3</v>
      </c>
      <c r="U359">
        <v>3.5</v>
      </c>
      <c r="V359" t="s">
        <v>27</v>
      </c>
    </row>
    <row r="360" spans="1:22" x14ac:dyDescent="0.25">
      <c r="A360" t="s">
        <v>77</v>
      </c>
      <c r="B360">
        <v>2</v>
      </c>
      <c r="C360" t="s">
        <v>47</v>
      </c>
      <c r="D360" t="s">
        <v>78</v>
      </c>
      <c r="E360" t="s">
        <v>79</v>
      </c>
      <c r="F360">
        <v>150</v>
      </c>
      <c r="G360">
        <v>1250</v>
      </c>
      <c r="H360">
        <v>-3</v>
      </c>
      <c r="I360">
        <v>1983</v>
      </c>
      <c r="J360" t="s">
        <v>35</v>
      </c>
      <c r="K360">
        <v>1788</v>
      </c>
      <c r="L360">
        <v>16.989999999999998</v>
      </c>
      <c r="M360">
        <v>16.52</v>
      </c>
      <c r="N360" s="4">
        <f t="shared" si="10"/>
        <v>2.265981785E-2</v>
      </c>
      <c r="O360" s="4">
        <f t="shared" si="11"/>
        <v>0.37434019088199999</v>
      </c>
      <c r="P360">
        <v>25</v>
      </c>
      <c r="Q360">
        <v>3</v>
      </c>
      <c r="R360">
        <v>2.7</v>
      </c>
      <c r="S360">
        <v>3.2</v>
      </c>
      <c r="T360">
        <v>3.7</v>
      </c>
      <c r="U360">
        <v>3.2</v>
      </c>
      <c r="V360" t="s">
        <v>38</v>
      </c>
    </row>
    <row r="361" spans="1:22" x14ac:dyDescent="0.25">
      <c r="A361" t="s">
        <v>77</v>
      </c>
      <c r="B361">
        <v>2</v>
      </c>
      <c r="C361" t="s">
        <v>47</v>
      </c>
      <c r="D361" t="s">
        <v>78</v>
      </c>
      <c r="E361" t="s">
        <v>79</v>
      </c>
      <c r="F361">
        <v>150</v>
      </c>
      <c r="G361">
        <v>1250</v>
      </c>
      <c r="H361">
        <v>-3</v>
      </c>
      <c r="I361">
        <v>1983</v>
      </c>
      <c r="J361" t="s">
        <v>35</v>
      </c>
      <c r="K361">
        <v>2571</v>
      </c>
      <c r="L361">
        <v>19.670000000000002</v>
      </c>
      <c r="M361">
        <v>20.14</v>
      </c>
      <c r="N361" s="4">
        <f t="shared" si="10"/>
        <v>3.0372348650000006E-2</v>
      </c>
      <c r="O361" s="4">
        <f t="shared" si="11"/>
        <v>0.61169910181100018</v>
      </c>
      <c r="P361">
        <v>50</v>
      </c>
      <c r="Q361">
        <v>3</v>
      </c>
      <c r="R361">
        <v>2</v>
      </c>
      <c r="S361">
        <v>3.3</v>
      </c>
      <c r="T361">
        <v>3.7</v>
      </c>
      <c r="U361">
        <v>4</v>
      </c>
      <c r="V361" t="s">
        <v>25</v>
      </c>
    </row>
    <row r="362" spans="1:22" x14ac:dyDescent="0.25">
      <c r="A362" t="s">
        <v>77</v>
      </c>
      <c r="B362">
        <v>2</v>
      </c>
      <c r="C362" t="s">
        <v>47</v>
      </c>
      <c r="D362" t="s">
        <v>78</v>
      </c>
      <c r="E362" t="s">
        <v>79</v>
      </c>
      <c r="F362">
        <v>150</v>
      </c>
      <c r="G362">
        <v>1250</v>
      </c>
      <c r="H362">
        <v>-3</v>
      </c>
      <c r="I362">
        <v>1983</v>
      </c>
      <c r="J362" t="s">
        <v>81</v>
      </c>
      <c r="K362">
        <v>2750</v>
      </c>
      <c r="L362">
        <v>29.47</v>
      </c>
      <c r="M362">
        <v>14.67</v>
      </c>
      <c r="N362" s="4">
        <f t="shared" si="10"/>
        <v>6.8175750649999978E-2</v>
      </c>
      <c r="O362" s="4">
        <f t="shared" si="11"/>
        <v>1.0001382620354997</v>
      </c>
      <c r="P362">
        <v>88</v>
      </c>
      <c r="Q362">
        <v>4</v>
      </c>
      <c r="R362">
        <v>4</v>
      </c>
      <c r="S362">
        <v>3</v>
      </c>
      <c r="T362">
        <v>3</v>
      </c>
      <c r="U362">
        <v>1.7</v>
      </c>
      <c r="V362" t="s">
        <v>27</v>
      </c>
    </row>
    <row r="363" spans="1:22" x14ac:dyDescent="0.25">
      <c r="A363" t="s">
        <v>77</v>
      </c>
      <c r="B363">
        <v>2</v>
      </c>
      <c r="C363" t="s">
        <v>47</v>
      </c>
      <c r="D363" t="s">
        <v>78</v>
      </c>
      <c r="E363" t="s">
        <v>79</v>
      </c>
      <c r="F363">
        <v>150</v>
      </c>
      <c r="G363">
        <v>1250</v>
      </c>
      <c r="H363">
        <v>-3</v>
      </c>
      <c r="I363">
        <v>1983</v>
      </c>
      <c r="J363" t="s">
        <v>36</v>
      </c>
      <c r="K363">
        <v>2573</v>
      </c>
      <c r="L363">
        <v>23.29</v>
      </c>
      <c r="M363">
        <v>17.739999999999998</v>
      </c>
      <c r="N363" s="4">
        <f t="shared" si="10"/>
        <v>4.258029185E-2</v>
      </c>
      <c r="O363" s="4">
        <f t="shared" si="11"/>
        <v>0.75537437741899993</v>
      </c>
      <c r="P363">
        <v>75</v>
      </c>
      <c r="Q363">
        <v>3</v>
      </c>
      <c r="R363">
        <v>3</v>
      </c>
      <c r="S363">
        <v>3</v>
      </c>
      <c r="T363">
        <v>3.5</v>
      </c>
      <c r="U363">
        <v>2.5</v>
      </c>
      <c r="V363" t="s">
        <v>27</v>
      </c>
    </row>
    <row r="364" spans="1:22" x14ac:dyDescent="0.25">
      <c r="A364" t="s">
        <v>77</v>
      </c>
      <c r="B364">
        <v>2</v>
      </c>
      <c r="C364" t="s">
        <v>47</v>
      </c>
      <c r="D364" t="s">
        <v>78</v>
      </c>
      <c r="E364" t="s">
        <v>79</v>
      </c>
      <c r="F364">
        <v>150</v>
      </c>
      <c r="G364">
        <v>1250</v>
      </c>
      <c r="H364">
        <v>-3</v>
      </c>
      <c r="I364">
        <v>1983</v>
      </c>
      <c r="J364" t="s">
        <v>62</v>
      </c>
      <c r="K364">
        <v>2550</v>
      </c>
      <c r="L364">
        <v>24.55</v>
      </c>
      <c r="M364">
        <v>15.98</v>
      </c>
      <c r="N364" s="4">
        <f t="shared" si="10"/>
        <v>4.7312146249999999E-2</v>
      </c>
      <c r="O364" s="4">
        <f t="shared" si="11"/>
        <v>0.75604809707499998</v>
      </c>
      <c r="P364">
        <v>13</v>
      </c>
      <c r="Q364">
        <v>3</v>
      </c>
      <c r="R364">
        <v>2.7</v>
      </c>
      <c r="S364">
        <v>4</v>
      </c>
      <c r="T364">
        <v>3.3</v>
      </c>
      <c r="U364">
        <v>3</v>
      </c>
      <c r="V364" t="s">
        <v>38</v>
      </c>
    </row>
    <row r="365" spans="1:22" x14ac:dyDescent="0.25">
      <c r="A365" t="s">
        <v>77</v>
      </c>
      <c r="B365">
        <v>2</v>
      </c>
      <c r="C365" t="s">
        <v>47</v>
      </c>
      <c r="D365" t="s">
        <v>78</v>
      </c>
      <c r="E365" t="s">
        <v>79</v>
      </c>
      <c r="F365">
        <v>150</v>
      </c>
      <c r="G365">
        <v>1250</v>
      </c>
      <c r="H365">
        <v>-3</v>
      </c>
      <c r="I365">
        <v>1983</v>
      </c>
      <c r="J365" t="s">
        <v>62</v>
      </c>
      <c r="K365">
        <v>2553</v>
      </c>
      <c r="L365">
        <v>23.53</v>
      </c>
      <c r="M365">
        <v>21.06</v>
      </c>
      <c r="N365" s="4">
        <f t="shared" si="10"/>
        <v>4.3462380650000007E-2</v>
      </c>
      <c r="O365" s="4">
        <f t="shared" si="11"/>
        <v>0.91531773648900006</v>
      </c>
      <c r="P365">
        <v>50</v>
      </c>
      <c r="Q365">
        <v>4.5</v>
      </c>
      <c r="R365">
        <v>3.5</v>
      </c>
      <c r="S365">
        <v>3.3</v>
      </c>
      <c r="T365">
        <v>3.2</v>
      </c>
      <c r="U365">
        <v>2.8</v>
      </c>
      <c r="V365" t="s">
        <v>25</v>
      </c>
    </row>
    <row r="366" spans="1:22" x14ac:dyDescent="0.25">
      <c r="A366" t="s">
        <v>77</v>
      </c>
      <c r="B366">
        <v>2</v>
      </c>
      <c r="C366" t="s">
        <v>47</v>
      </c>
      <c r="D366" t="s">
        <v>78</v>
      </c>
      <c r="E366" t="s">
        <v>79</v>
      </c>
      <c r="F366">
        <v>150</v>
      </c>
      <c r="G366">
        <v>1250</v>
      </c>
      <c r="H366">
        <v>-3</v>
      </c>
      <c r="I366">
        <v>1983</v>
      </c>
      <c r="J366" t="s">
        <v>37</v>
      </c>
      <c r="K366">
        <v>2575</v>
      </c>
      <c r="L366">
        <v>3.62</v>
      </c>
      <c r="M366">
        <v>6.03</v>
      </c>
      <c r="N366" s="4">
        <f t="shared" si="10"/>
        <v>1.0286954000000002E-3</v>
      </c>
      <c r="O366" s="4">
        <f t="shared" si="11"/>
        <v>6.2030332620000017E-3</v>
      </c>
      <c r="P366">
        <v>25</v>
      </c>
      <c r="Q366">
        <v>1</v>
      </c>
      <c r="R366">
        <v>3</v>
      </c>
      <c r="S366">
        <v>2.5</v>
      </c>
      <c r="T366">
        <v>2.5</v>
      </c>
      <c r="U366">
        <v>3</v>
      </c>
      <c r="V366" t="s">
        <v>50</v>
      </c>
    </row>
    <row r="367" spans="1:22" x14ac:dyDescent="0.25">
      <c r="A367" t="s">
        <v>77</v>
      </c>
      <c r="B367">
        <v>2</v>
      </c>
      <c r="C367" t="s">
        <v>47</v>
      </c>
      <c r="D367" t="s">
        <v>78</v>
      </c>
      <c r="E367" t="s">
        <v>79</v>
      </c>
      <c r="F367">
        <v>150</v>
      </c>
      <c r="G367">
        <v>1250</v>
      </c>
      <c r="H367">
        <v>-3</v>
      </c>
      <c r="I367">
        <v>1983</v>
      </c>
      <c r="J367" t="s">
        <v>26</v>
      </c>
      <c r="K367">
        <v>2552</v>
      </c>
      <c r="L367">
        <v>31.73</v>
      </c>
      <c r="M367">
        <v>18.88</v>
      </c>
      <c r="N367" s="4">
        <f t="shared" si="10"/>
        <v>7.9033242650000016E-2</v>
      </c>
      <c r="O367" s="4">
        <f t="shared" si="11"/>
        <v>1.4921476212320002</v>
      </c>
      <c r="P367">
        <v>63</v>
      </c>
      <c r="Q367">
        <v>3.8</v>
      </c>
      <c r="R367">
        <v>3.2</v>
      </c>
      <c r="S367">
        <v>3</v>
      </c>
      <c r="T367">
        <v>3</v>
      </c>
      <c r="U367">
        <v>2</v>
      </c>
      <c r="V367" t="s">
        <v>25</v>
      </c>
    </row>
    <row r="368" spans="1:22" x14ac:dyDescent="0.25">
      <c r="A368" t="s">
        <v>77</v>
      </c>
      <c r="B368">
        <v>2</v>
      </c>
      <c r="C368" t="s">
        <v>47</v>
      </c>
      <c r="D368" t="s">
        <v>78</v>
      </c>
      <c r="E368" t="s">
        <v>79</v>
      </c>
      <c r="F368">
        <v>150</v>
      </c>
      <c r="G368">
        <v>1250</v>
      </c>
      <c r="H368">
        <v>-3</v>
      </c>
      <c r="I368">
        <v>1983</v>
      </c>
      <c r="J368" t="s">
        <v>34</v>
      </c>
      <c r="K368">
        <v>2458</v>
      </c>
      <c r="L368">
        <v>18.88</v>
      </c>
      <c r="M368">
        <v>10.53</v>
      </c>
      <c r="N368" s="4">
        <f t="shared" si="10"/>
        <v>2.7981670400000002E-2</v>
      </c>
      <c r="O368" s="4">
        <f t="shared" si="11"/>
        <v>0.29464698931200001</v>
      </c>
      <c r="P368">
        <v>63</v>
      </c>
      <c r="Q368">
        <v>3.5</v>
      </c>
      <c r="R368">
        <v>3</v>
      </c>
      <c r="S368">
        <v>2</v>
      </c>
      <c r="T368">
        <v>2</v>
      </c>
      <c r="U368">
        <v>1.5</v>
      </c>
      <c r="V368" t="s">
        <v>38</v>
      </c>
    </row>
    <row r="369" spans="1:22" x14ac:dyDescent="0.25">
      <c r="A369" t="s">
        <v>77</v>
      </c>
      <c r="B369">
        <v>2</v>
      </c>
      <c r="C369" t="s">
        <v>47</v>
      </c>
      <c r="D369" t="s">
        <v>78</v>
      </c>
      <c r="E369" t="s">
        <v>79</v>
      </c>
      <c r="F369">
        <v>150</v>
      </c>
      <c r="G369">
        <v>1250</v>
      </c>
      <c r="H369">
        <v>-3</v>
      </c>
      <c r="I369">
        <v>1983</v>
      </c>
      <c r="J369" t="s">
        <v>62</v>
      </c>
      <c r="K369">
        <v>2574</v>
      </c>
      <c r="L369">
        <v>24.4</v>
      </c>
      <c r="M369">
        <v>20.329999999999998</v>
      </c>
      <c r="N369" s="4">
        <f t="shared" si="10"/>
        <v>4.6735760000000001E-2</v>
      </c>
      <c r="O369" s="4">
        <f t="shared" si="11"/>
        <v>0.95013800079999999</v>
      </c>
      <c r="P369">
        <v>75</v>
      </c>
      <c r="Q369">
        <v>4.5</v>
      </c>
      <c r="R369">
        <v>3.5</v>
      </c>
      <c r="S369">
        <v>3.3</v>
      </c>
      <c r="T369">
        <v>3.2</v>
      </c>
      <c r="U369">
        <v>2.8</v>
      </c>
      <c r="V369" t="s">
        <v>25</v>
      </c>
    </row>
    <row r="370" spans="1:22" x14ac:dyDescent="0.25">
      <c r="A370" t="s">
        <v>77</v>
      </c>
      <c r="B370">
        <v>3</v>
      </c>
      <c r="C370" t="s">
        <v>47</v>
      </c>
      <c r="D370" t="s">
        <v>78</v>
      </c>
      <c r="E370" t="s">
        <v>79</v>
      </c>
      <c r="F370">
        <v>150</v>
      </c>
      <c r="G370">
        <v>1250</v>
      </c>
      <c r="H370">
        <v>-3</v>
      </c>
      <c r="I370">
        <v>1983</v>
      </c>
      <c r="J370" t="s">
        <v>76</v>
      </c>
      <c r="K370">
        <v>1592</v>
      </c>
      <c r="L370">
        <v>18.399999999999999</v>
      </c>
      <c r="M370">
        <v>14.18</v>
      </c>
      <c r="N370" s="4">
        <f t="shared" si="10"/>
        <v>2.657696E-2</v>
      </c>
      <c r="O370" s="4">
        <f t="shared" si="11"/>
        <v>0.37686129279999997</v>
      </c>
      <c r="P370">
        <v>50</v>
      </c>
      <c r="Q370">
        <v>3.5</v>
      </c>
      <c r="R370">
        <v>3.2</v>
      </c>
      <c r="S370">
        <v>2</v>
      </c>
      <c r="T370">
        <v>2.5</v>
      </c>
      <c r="U370">
        <v>1.5</v>
      </c>
      <c r="V370" t="s">
        <v>25</v>
      </c>
    </row>
    <row r="371" spans="1:22" x14ac:dyDescent="0.25">
      <c r="A371" t="s">
        <v>77</v>
      </c>
      <c r="B371">
        <v>3</v>
      </c>
      <c r="C371" t="s">
        <v>47</v>
      </c>
      <c r="D371" t="s">
        <v>78</v>
      </c>
      <c r="E371" t="s">
        <v>79</v>
      </c>
      <c r="F371">
        <v>150</v>
      </c>
      <c r="G371">
        <v>1250</v>
      </c>
      <c r="H371">
        <v>-3</v>
      </c>
      <c r="I371">
        <v>1983</v>
      </c>
      <c r="J371" t="s">
        <v>76</v>
      </c>
      <c r="K371">
        <v>2560</v>
      </c>
      <c r="L371">
        <v>18.59</v>
      </c>
      <c r="M371">
        <v>8.26</v>
      </c>
      <c r="N371" s="4">
        <f t="shared" si="10"/>
        <v>2.7128665850000004E-2</v>
      </c>
      <c r="O371" s="4">
        <f t="shared" si="11"/>
        <v>0.22408277992100004</v>
      </c>
      <c r="P371">
        <v>13</v>
      </c>
      <c r="Q371">
        <v>2.5</v>
      </c>
      <c r="R371">
        <v>3.5</v>
      </c>
      <c r="S371">
        <v>2</v>
      </c>
      <c r="T371">
        <v>2</v>
      </c>
      <c r="U371">
        <v>2</v>
      </c>
      <c r="V371" t="s">
        <v>38</v>
      </c>
    </row>
    <row r="372" spans="1:22" x14ac:dyDescent="0.25">
      <c r="A372" t="s">
        <v>77</v>
      </c>
      <c r="B372">
        <v>3</v>
      </c>
      <c r="C372" t="s">
        <v>47</v>
      </c>
      <c r="D372" t="s">
        <v>78</v>
      </c>
      <c r="E372" t="s">
        <v>79</v>
      </c>
      <c r="F372">
        <v>150</v>
      </c>
      <c r="G372">
        <v>1250</v>
      </c>
      <c r="H372">
        <v>-3</v>
      </c>
      <c r="I372">
        <v>1983</v>
      </c>
      <c r="J372" t="s">
        <v>24</v>
      </c>
      <c r="K372">
        <v>2562</v>
      </c>
      <c r="L372">
        <v>14.87</v>
      </c>
      <c r="M372">
        <v>15.56</v>
      </c>
      <c r="N372" s="4">
        <f t="shared" si="10"/>
        <v>1.7357676650000001E-2</v>
      </c>
      <c r="O372" s="4">
        <f t="shared" si="11"/>
        <v>0.27008544867400003</v>
      </c>
      <c r="P372">
        <v>38</v>
      </c>
      <c r="Q372">
        <v>3.5</v>
      </c>
      <c r="R372">
        <v>3.5</v>
      </c>
      <c r="S372">
        <v>3.3</v>
      </c>
      <c r="T372">
        <v>3.3</v>
      </c>
      <c r="U372">
        <v>3</v>
      </c>
      <c r="V372" t="s">
        <v>25</v>
      </c>
    </row>
    <row r="373" spans="1:22" x14ac:dyDescent="0.25">
      <c r="A373" t="s">
        <v>77</v>
      </c>
      <c r="B373">
        <v>3</v>
      </c>
      <c r="C373" t="s">
        <v>47</v>
      </c>
      <c r="D373" t="s">
        <v>78</v>
      </c>
      <c r="E373" t="s">
        <v>79</v>
      </c>
      <c r="F373">
        <v>150</v>
      </c>
      <c r="G373">
        <v>1250</v>
      </c>
      <c r="H373">
        <v>-3</v>
      </c>
      <c r="I373">
        <v>1983</v>
      </c>
      <c r="J373" t="s">
        <v>59</v>
      </c>
      <c r="K373">
        <v>2548</v>
      </c>
      <c r="L373">
        <v>41.51</v>
      </c>
      <c r="M373">
        <v>14.6</v>
      </c>
      <c r="N373" s="4">
        <f t="shared" si="10"/>
        <v>0.13526178784999998</v>
      </c>
      <c r="O373" s="4">
        <f t="shared" si="11"/>
        <v>1.9748221026099997</v>
      </c>
      <c r="P373">
        <v>25</v>
      </c>
      <c r="Q373">
        <v>3</v>
      </c>
      <c r="R373">
        <v>3</v>
      </c>
      <c r="S373">
        <v>1.5</v>
      </c>
      <c r="T373">
        <v>1.5</v>
      </c>
      <c r="U373">
        <v>1</v>
      </c>
      <c r="V373" t="s">
        <v>38</v>
      </c>
    </row>
    <row r="374" spans="1:22" x14ac:dyDescent="0.25">
      <c r="A374" t="s">
        <v>77</v>
      </c>
      <c r="B374">
        <v>3</v>
      </c>
      <c r="C374" t="s">
        <v>47</v>
      </c>
      <c r="D374" t="s">
        <v>78</v>
      </c>
      <c r="E374" t="s">
        <v>79</v>
      </c>
      <c r="F374">
        <v>150</v>
      </c>
      <c r="G374">
        <v>1250</v>
      </c>
      <c r="H374">
        <v>-3</v>
      </c>
      <c r="I374">
        <v>1983</v>
      </c>
      <c r="J374" t="s">
        <v>32</v>
      </c>
      <c r="K374">
        <v>1596</v>
      </c>
      <c r="L374">
        <v>19.04</v>
      </c>
      <c r="M374">
        <v>14.75</v>
      </c>
      <c r="N374" s="4">
        <f t="shared" si="10"/>
        <v>2.8457945599999996E-2</v>
      </c>
      <c r="O374" s="4">
        <f t="shared" si="11"/>
        <v>0.41975469759999995</v>
      </c>
      <c r="P374">
        <v>50</v>
      </c>
      <c r="Q374">
        <v>3.5</v>
      </c>
      <c r="R374">
        <v>4</v>
      </c>
      <c r="S374">
        <v>2.5</v>
      </c>
      <c r="T374">
        <v>2.5</v>
      </c>
      <c r="U374">
        <v>2</v>
      </c>
      <c r="V374" t="s">
        <v>25</v>
      </c>
    </row>
    <row r="375" spans="1:22" x14ac:dyDescent="0.25">
      <c r="A375" t="s">
        <v>77</v>
      </c>
      <c r="B375">
        <v>3</v>
      </c>
      <c r="C375" t="s">
        <v>47</v>
      </c>
      <c r="D375" t="s">
        <v>78</v>
      </c>
      <c r="E375" t="s">
        <v>79</v>
      </c>
      <c r="F375">
        <v>150</v>
      </c>
      <c r="G375">
        <v>1250</v>
      </c>
      <c r="H375">
        <v>-3</v>
      </c>
      <c r="I375">
        <v>1983</v>
      </c>
      <c r="J375" t="s">
        <v>32</v>
      </c>
      <c r="K375">
        <v>2569</v>
      </c>
      <c r="L375">
        <v>15.55</v>
      </c>
      <c r="M375">
        <v>12.87</v>
      </c>
      <c r="N375" s="4">
        <f t="shared" si="10"/>
        <v>1.898149625E-2</v>
      </c>
      <c r="O375" s="4">
        <f t="shared" si="11"/>
        <v>0.24429185673749998</v>
      </c>
      <c r="P375">
        <v>63</v>
      </c>
      <c r="Q375">
        <v>3</v>
      </c>
      <c r="R375">
        <v>3</v>
      </c>
      <c r="S375">
        <v>2.5</v>
      </c>
      <c r="T375">
        <v>3</v>
      </c>
      <c r="U375">
        <v>2</v>
      </c>
      <c r="V375" t="s">
        <v>25</v>
      </c>
    </row>
    <row r="376" spans="1:22" x14ac:dyDescent="0.25">
      <c r="A376" t="s">
        <v>77</v>
      </c>
      <c r="B376">
        <v>3</v>
      </c>
      <c r="C376" t="s">
        <v>47</v>
      </c>
      <c r="D376" t="s">
        <v>78</v>
      </c>
      <c r="E376" t="s">
        <v>79</v>
      </c>
      <c r="F376">
        <v>150</v>
      </c>
      <c r="G376">
        <v>1250</v>
      </c>
      <c r="H376">
        <v>-3</v>
      </c>
      <c r="I376">
        <v>1983</v>
      </c>
      <c r="J376" t="s">
        <v>33</v>
      </c>
      <c r="K376">
        <v>2547</v>
      </c>
      <c r="L376">
        <v>25.4</v>
      </c>
      <c r="M376">
        <v>18.75</v>
      </c>
      <c r="N376" s="4">
        <f t="shared" si="10"/>
        <v>5.0645060000000006E-2</v>
      </c>
      <c r="O376" s="4">
        <f t="shared" si="11"/>
        <v>0.94959487500000006</v>
      </c>
      <c r="P376">
        <v>13</v>
      </c>
      <c r="Q376">
        <v>3.7</v>
      </c>
      <c r="R376">
        <v>2.7</v>
      </c>
      <c r="S376">
        <v>2</v>
      </c>
      <c r="T376">
        <v>2.5</v>
      </c>
      <c r="U376">
        <v>2.2999999999999998</v>
      </c>
      <c r="V376" t="s">
        <v>38</v>
      </c>
    </row>
    <row r="377" spans="1:22" x14ac:dyDescent="0.25">
      <c r="A377" t="s">
        <v>77</v>
      </c>
      <c r="B377">
        <v>3</v>
      </c>
      <c r="C377" t="s">
        <v>47</v>
      </c>
      <c r="D377" t="s">
        <v>78</v>
      </c>
      <c r="E377" t="s">
        <v>79</v>
      </c>
      <c r="F377">
        <v>150</v>
      </c>
      <c r="G377">
        <v>1250</v>
      </c>
      <c r="H377">
        <v>-3</v>
      </c>
      <c r="I377">
        <v>1983</v>
      </c>
      <c r="J377" t="s">
        <v>33</v>
      </c>
      <c r="K377">
        <v>2568</v>
      </c>
      <c r="L377">
        <v>47.73</v>
      </c>
      <c r="M377">
        <v>18.55</v>
      </c>
      <c r="N377" s="4">
        <f t="shared" si="10"/>
        <v>0.17883500264999996</v>
      </c>
      <c r="O377" s="4">
        <f t="shared" si="11"/>
        <v>3.3173892991574996</v>
      </c>
      <c r="P377">
        <v>13</v>
      </c>
      <c r="Q377">
        <v>3.5</v>
      </c>
      <c r="R377">
        <v>2.7</v>
      </c>
      <c r="S377">
        <v>2</v>
      </c>
      <c r="T377">
        <v>2</v>
      </c>
      <c r="U377">
        <v>2</v>
      </c>
      <c r="V377" t="s">
        <v>25</v>
      </c>
    </row>
    <row r="378" spans="1:22" x14ac:dyDescent="0.25">
      <c r="A378" t="s">
        <v>77</v>
      </c>
      <c r="B378">
        <v>3</v>
      </c>
      <c r="C378" t="s">
        <v>47</v>
      </c>
      <c r="D378" t="s">
        <v>78</v>
      </c>
      <c r="E378" t="s">
        <v>79</v>
      </c>
      <c r="F378">
        <v>150</v>
      </c>
      <c r="G378">
        <v>1250</v>
      </c>
      <c r="H378">
        <v>-3</v>
      </c>
      <c r="I378">
        <v>1983</v>
      </c>
      <c r="J378" t="s">
        <v>34</v>
      </c>
      <c r="K378">
        <v>1522</v>
      </c>
      <c r="L378">
        <v>21.7</v>
      </c>
      <c r="M378">
        <v>17.329999999999998</v>
      </c>
      <c r="N378" s="4">
        <f t="shared" si="10"/>
        <v>3.6964865E-2</v>
      </c>
      <c r="O378" s="4">
        <f t="shared" si="11"/>
        <v>0.6406011104499999</v>
      </c>
      <c r="P378">
        <v>25</v>
      </c>
      <c r="Q378">
        <v>3.3</v>
      </c>
      <c r="R378">
        <v>3</v>
      </c>
      <c r="S378">
        <v>3</v>
      </c>
      <c r="T378">
        <v>3</v>
      </c>
      <c r="U378">
        <v>3</v>
      </c>
      <c r="V378" t="s">
        <v>25</v>
      </c>
    </row>
    <row r="379" spans="1:22" x14ac:dyDescent="0.25">
      <c r="A379" t="s">
        <v>77</v>
      </c>
      <c r="B379">
        <v>3</v>
      </c>
      <c r="C379" t="s">
        <v>47</v>
      </c>
      <c r="D379" t="s">
        <v>78</v>
      </c>
      <c r="E379" t="s">
        <v>79</v>
      </c>
      <c r="F379">
        <v>150</v>
      </c>
      <c r="G379">
        <v>1250</v>
      </c>
      <c r="H379">
        <v>-3</v>
      </c>
      <c r="I379">
        <v>1983</v>
      </c>
      <c r="J379" t="s">
        <v>34</v>
      </c>
      <c r="K379">
        <v>2570</v>
      </c>
      <c r="L379">
        <v>34.67</v>
      </c>
      <c r="M379">
        <v>15.41</v>
      </c>
      <c r="N379" s="4">
        <f t="shared" si="10"/>
        <v>9.4357698650000002E-2</v>
      </c>
      <c r="O379" s="4">
        <f t="shared" si="11"/>
        <v>1.4540521361965</v>
      </c>
      <c r="P379">
        <v>13</v>
      </c>
      <c r="Q379">
        <v>4</v>
      </c>
      <c r="R379">
        <v>3</v>
      </c>
      <c r="S379">
        <v>2.5</v>
      </c>
      <c r="T379">
        <v>2.5</v>
      </c>
      <c r="U379">
        <v>2</v>
      </c>
      <c r="V379" t="s">
        <v>38</v>
      </c>
    </row>
    <row r="380" spans="1:22" x14ac:dyDescent="0.25">
      <c r="A380" t="s">
        <v>77</v>
      </c>
      <c r="B380">
        <v>3</v>
      </c>
      <c r="C380" t="s">
        <v>47</v>
      </c>
      <c r="D380" t="s">
        <v>78</v>
      </c>
      <c r="E380" t="s">
        <v>79</v>
      </c>
      <c r="F380">
        <v>150</v>
      </c>
      <c r="G380">
        <v>1250</v>
      </c>
      <c r="H380">
        <v>-3</v>
      </c>
      <c r="I380">
        <v>1983</v>
      </c>
      <c r="J380" t="s">
        <v>35</v>
      </c>
      <c r="K380">
        <v>1788</v>
      </c>
      <c r="L380">
        <v>7.4</v>
      </c>
      <c r="M380">
        <v>13.38</v>
      </c>
      <c r="N380" s="4">
        <f t="shared" si="10"/>
        <v>4.2986600000000019E-3</v>
      </c>
      <c r="O380" s="4">
        <f t="shared" si="11"/>
        <v>5.7516070800000027E-2</v>
      </c>
      <c r="P380">
        <v>25</v>
      </c>
      <c r="Q380">
        <v>1</v>
      </c>
      <c r="R380">
        <v>2</v>
      </c>
      <c r="S380">
        <v>3.2</v>
      </c>
      <c r="T380">
        <v>3</v>
      </c>
      <c r="U380">
        <v>3</v>
      </c>
      <c r="V380" t="s">
        <v>50</v>
      </c>
    </row>
    <row r="381" spans="1:22" x14ac:dyDescent="0.25">
      <c r="A381" t="s">
        <v>77</v>
      </c>
      <c r="B381">
        <v>3</v>
      </c>
      <c r="C381" t="s">
        <v>47</v>
      </c>
      <c r="D381" t="s">
        <v>78</v>
      </c>
      <c r="E381" t="s">
        <v>79</v>
      </c>
      <c r="F381">
        <v>150</v>
      </c>
      <c r="G381">
        <v>1250</v>
      </c>
      <c r="H381">
        <v>-3</v>
      </c>
      <c r="I381">
        <v>1983</v>
      </c>
      <c r="J381" t="s">
        <v>35</v>
      </c>
      <c r="K381">
        <v>2571</v>
      </c>
      <c r="L381">
        <v>22.03</v>
      </c>
      <c r="M381">
        <v>19.34</v>
      </c>
      <c r="N381" s="4">
        <f t="shared" si="10"/>
        <v>3.8097690650000016E-2</v>
      </c>
      <c r="O381" s="4">
        <f t="shared" si="11"/>
        <v>0.73680933717100028</v>
      </c>
      <c r="P381">
        <v>50</v>
      </c>
      <c r="Q381">
        <v>4</v>
      </c>
      <c r="R381">
        <v>2.5</v>
      </c>
      <c r="S381">
        <v>3.3</v>
      </c>
      <c r="T381">
        <v>3.3</v>
      </c>
      <c r="U381">
        <v>3</v>
      </c>
      <c r="V381" t="s">
        <v>27</v>
      </c>
    </row>
    <row r="382" spans="1:22" x14ac:dyDescent="0.25">
      <c r="A382" t="s">
        <v>77</v>
      </c>
      <c r="B382">
        <v>3</v>
      </c>
      <c r="C382" t="s">
        <v>47</v>
      </c>
      <c r="D382" t="s">
        <v>78</v>
      </c>
      <c r="E382" t="s">
        <v>79</v>
      </c>
      <c r="F382">
        <v>150</v>
      </c>
      <c r="G382">
        <v>1250</v>
      </c>
      <c r="H382">
        <v>-3</v>
      </c>
      <c r="I382">
        <v>1983</v>
      </c>
      <c r="J382" t="s">
        <v>81</v>
      </c>
      <c r="K382">
        <v>2750</v>
      </c>
      <c r="L382">
        <v>32.75</v>
      </c>
      <c r="M382">
        <v>16.37</v>
      </c>
      <c r="N382" s="4">
        <f t="shared" si="10"/>
        <v>8.4196156250000015E-2</v>
      </c>
      <c r="O382" s="4">
        <f t="shared" si="11"/>
        <v>1.3782910778125004</v>
      </c>
      <c r="P382">
        <v>50</v>
      </c>
      <c r="Q382">
        <v>4</v>
      </c>
      <c r="R382">
        <v>4</v>
      </c>
      <c r="S382">
        <v>2</v>
      </c>
      <c r="T382">
        <v>2</v>
      </c>
      <c r="U382">
        <v>2</v>
      </c>
      <c r="V382" t="s">
        <v>27</v>
      </c>
    </row>
    <row r="383" spans="1:22" x14ac:dyDescent="0.25">
      <c r="A383" t="s">
        <v>77</v>
      </c>
      <c r="B383">
        <v>3</v>
      </c>
      <c r="C383" t="s">
        <v>47</v>
      </c>
      <c r="D383" t="s">
        <v>78</v>
      </c>
      <c r="E383" t="s">
        <v>79</v>
      </c>
      <c r="F383">
        <v>150</v>
      </c>
      <c r="G383">
        <v>1250</v>
      </c>
      <c r="H383">
        <v>-3</v>
      </c>
      <c r="I383">
        <v>1983</v>
      </c>
      <c r="J383" t="s">
        <v>36</v>
      </c>
      <c r="K383">
        <v>2573</v>
      </c>
      <c r="L383">
        <v>27.4</v>
      </c>
      <c r="M383">
        <v>17.899999999999999</v>
      </c>
      <c r="N383" s="4">
        <f t="shared" si="10"/>
        <v>5.8934659999999986E-2</v>
      </c>
      <c r="O383" s="4">
        <f t="shared" si="11"/>
        <v>1.0549304139999998</v>
      </c>
      <c r="P383">
        <v>38</v>
      </c>
      <c r="Q383">
        <v>3</v>
      </c>
      <c r="R383">
        <v>3.3</v>
      </c>
      <c r="S383">
        <v>2.5</v>
      </c>
      <c r="T383">
        <v>3</v>
      </c>
      <c r="U383">
        <v>2</v>
      </c>
      <c r="V383" t="s">
        <v>25</v>
      </c>
    </row>
    <row r="384" spans="1:22" x14ac:dyDescent="0.25">
      <c r="A384" t="s">
        <v>77</v>
      </c>
      <c r="B384">
        <v>3</v>
      </c>
      <c r="C384" t="s">
        <v>47</v>
      </c>
      <c r="D384" t="s">
        <v>78</v>
      </c>
      <c r="E384" t="s">
        <v>79</v>
      </c>
      <c r="F384">
        <v>150</v>
      </c>
      <c r="G384">
        <v>1250</v>
      </c>
      <c r="H384">
        <v>-3</v>
      </c>
      <c r="I384">
        <v>1983</v>
      </c>
      <c r="J384" t="s">
        <v>62</v>
      </c>
      <c r="K384">
        <v>2550</v>
      </c>
      <c r="L384">
        <v>23.1</v>
      </c>
      <c r="M384">
        <v>18.59</v>
      </c>
      <c r="N384" s="4">
        <f t="shared" si="10"/>
        <v>4.1888385000000007E-2</v>
      </c>
      <c r="O384" s="4">
        <f t="shared" si="11"/>
        <v>0.77870507715000015</v>
      </c>
      <c r="P384">
        <v>63</v>
      </c>
      <c r="Q384">
        <v>4</v>
      </c>
      <c r="R384">
        <v>3.5</v>
      </c>
      <c r="S384">
        <v>3.3</v>
      </c>
      <c r="T384">
        <v>3.3</v>
      </c>
      <c r="U384">
        <v>3</v>
      </c>
      <c r="V384" t="s">
        <v>25</v>
      </c>
    </row>
    <row r="385" spans="1:22" x14ac:dyDescent="0.25">
      <c r="A385" t="s">
        <v>77</v>
      </c>
      <c r="B385">
        <v>3</v>
      </c>
      <c r="C385" t="s">
        <v>47</v>
      </c>
      <c r="D385" t="s">
        <v>78</v>
      </c>
      <c r="E385" t="s">
        <v>79</v>
      </c>
      <c r="F385">
        <v>150</v>
      </c>
      <c r="G385">
        <v>1250</v>
      </c>
      <c r="H385">
        <v>-3</v>
      </c>
      <c r="I385">
        <v>1983</v>
      </c>
      <c r="J385" t="s">
        <v>62</v>
      </c>
      <c r="K385">
        <v>2553</v>
      </c>
      <c r="L385">
        <v>20.34</v>
      </c>
      <c r="M385">
        <v>18.45</v>
      </c>
      <c r="N385" s="4">
        <f t="shared" si="10"/>
        <v>3.2476674600000005E-2</v>
      </c>
      <c r="O385" s="4">
        <f t="shared" si="11"/>
        <v>0.59919464637000008</v>
      </c>
      <c r="P385">
        <v>75</v>
      </c>
      <c r="Q385">
        <v>3.5</v>
      </c>
      <c r="R385">
        <v>3</v>
      </c>
      <c r="S385">
        <v>3.3</v>
      </c>
      <c r="T385">
        <v>3.3</v>
      </c>
      <c r="U385">
        <v>3</v>
      </c>
      <c r="V385" t="s">
        <v>25</v>
      </c>
    </row>
    <row r="386" spans="1:22" x14ac:dyDescent="0.25">
      <c r="A386" t="s">
        <v>77</v>
      </c>
      <c r="B386">
        <v>3</v>
      </c>
      <c r="C386" t="s">
        <v>47</v>
      </c>
      <c r="D386" t="s">
        <v>78</v>
      </c>
      <c r="E386" t="s">
        <v>79</v>
      </c>
      <c r="F386">
        <v>150</v>
      </c>
      <c r="G386">
        <v>1250</v>
      </c>
      <c r="H386">
        <v>-3</v>
      </c>
      <c r="I386">
        <v>1983</v>
      </c>
      <c r="J386" t="s">
        <v>37</v>
      </c>
      <c r="K386">
        <v>2575</v>
      </c>
      <c r="L386">
        <v>5.18</v>
      </c>
      <c r="M386">
        <v>4.82</v>
      </c>
      <c r="N386" s="4">
        <f t="shared" si="10"/>
        <v>2.1063434000000002E-3</v>
      </c>
      <c r="O386" s="4">
        <f t="shared" si="11"/>
        <v>1.0152575188000001E-2</v>
      </c>
      <c r="P386">
        <v>38</v>
      </c>
      <c r="Q386">
        <v>1</v>
      </c>
      <c r="R386">
        <v>2</v>
      </c>
      <c r="S386">
        <v>2</v>
      </c>
      <c r="T386">
        <v>2</v>
      </c>
      <c r="U386">
        <v>2</v>
      </c>
      <c r="V386" t="s">
        <v>50</v>
      </c>
    </row>
    <row r="387" spans="1:22" x14ac:dyDescent="0.25">
      <c r="A387" t="s">
        <v>77</v>
      </c>
      <c r="B387">
        <v>3</v>
      </c>
      <c r="C387" t="s">
        <v>47</v>
      </c>
      <c r="D387" t="s">
        <v>78</v>
      </c>
      <c r="E387" t="s">
        <v>79</v>
      </c>
      <c r="F387">
        <v>150</v>
      </c>
      <c r="G387">
        <v>1250</v>
      </c>
      <c r="H387">
        <v>-3</v>
      </c>
      <c r="I387">
        <v>1983</v>
      </c>
      <c r="J387" t="s">
        <v>26</v>
      </c>
      <c r="K387">
        <v>2552</v>
      </c>
      <c r="L387">
        <v>15.05</v>
      </c>
      <c r="M387">
        <v>9.0500000000000007</v>
      </c>
      <c r="N387" s="4">
        <f t="shared" ref="N387:N450" si="12">3.14/4*((L387/100)^2)</f>
        <v>1.7780446249999998E-2</v>
      </c>
      <c r="O387" s="4">
        <f t="shared" ref="O387:O450" si="13">3.14/4*((L387/100)^2)*M387</f>
        <v>0.1609130385625</v>
      </c>
      <c r="P387">
        <v>25</v>
      </c>
      <c r="Q387">
        <v>4</v>
      </c>
      <c r="R387">
        <v>4</v>
      </c>
      <c r="S387">
        <v>2</v>
      </c>
      <c r="T387">
        <v>1.5</v>
      </c>
      <c r="U387">
        <v>1</v>
      </c>
      <c r="V387" t="s">
        <v>38</v>
      </c>
    </row>
    <row r="388" spans="1:22" x14ac:dyDescent="0.25">
      <c r="A388" t="s">
        <v>77</v>
      </c>
      <c r="B388">
        <v>3</v>
      </c>
      <c r="C388" t="s">
        <v>47</v>
      </c>
      <c r="D388" t="s">
        <v>78</v>
      </c>
      <c r="E388" t="s">
        <v>79</v>
      </c>
      <c r="F388">
        <v>150</v>
      </c>
      <c r="G388">
        <v>1250</v>
      </c>
      <c r="H388">
        <v>-3</v>
      </c>
      <c r="I388">
        <v>1983</v>
      </c>
      <c r="J388" t="s">
        <v>62</v>
      </c>
      <c r="K388">
        <v>2574</v>
      </c>
      <c r="L388">
        <v>22.08</v>
      </c>
      <c r="M388">
        <v>21.79</v>
      </c>
      <c r="N388" s="4">
        <f t="shared" si="12"/>
        <v>3.8270822400000001E-2</v>
      </c>
      <c r="O388" s="4">
        <f t="shared" si="13"/>
        <v>0.833921220096</v>
      </c>
      <c r="P388">
        <v>50</v>
      </c>
      <c r="Q388">
        <v>3.5</v>
      </c>
      <c r="R388">
        <v>3</v>
      </c>
      <c r="S388">
        <v>3.3</v>
      </c>
      <c r="T388">
        <v>3.3</v>
      </c>
      <c r="U388">
        <v>3</v>
      </c>
      <c r="V388" t="s">
        <v>25</v>
      </c>
    </row>
    <row r="389" spans="1:22" x14ac:dyDescent="0.25">
      <c r="A389" t="s">
        <v>77</v>
      </c>
      <c r="B389">
        <v>3</v>
      </c>
      <c r="C389" t="s">
        <v>47</v>
      </c>
      <c r="D389" t="s">
        <v>78</v>
      </c>
      <c r="E389" t="s">
        <v>79</v>
      </c>
      <c r="F389">
        <v>150</v>
      </c>
      <c r="G389">
        <v>1250</v>
      </c>
      <c r="H389">
        <v>-3</v>
      </c>
      <c r="I389">
        <v>1983</v>
      </c>
      <c r="J389" t="s">
        <v>32</v>
      </c>
      <c r="K389">
        <v>2634</v>
      </c>
      <c r="L389">
        <v>26.28</v>
      </c>
      <c r="M389">
        <v>20.11</v>
      </c>
      <c r="N389" s="4">
        <f t="shared" si="12"/>
        <v>5.4215114400000014E-2</v>
      </c>
      <c r="O389" s="4">
        <f t="shared" si="13"/>
        <v>1.0902659505840002</v>
      </c>
      <c r="P389">
        <v>25</v>
      </c>
      <c r="Q389">
        <v>3.1</v>
      </c>
      <c r="R389">
        <v>3</v>
      </c>
      <c r="S389">
        <v>3</v>
      </c>
      <c r="T389">
        <v>3</v>
      </c>
      <c r="U389">
        <v>2</v>
      </c>
      <c r="V389" t="s">
        <v>25</v>
      </c>
    </row>
    <row r="390" spans="1:22" x14ac:dyDescent="0.25">
      <c r="A390" t="s">
        <v>82</v>
      </c>
      <c r="B390">
        <v>1</v>
      </c>
      <c r="C390" t="s">
        <v>66</v>
      </c>
      <c r="D390" t="s">
        <v>67</v>
      </c>
      <c r="E390" t="s">
        <v>68</v>
      </c>
      <c r="F390">
        <v>180</v>
      </c>
      <c r="G390">
        <v>1080</v>
      </c>
      <c r="H390">
        <v>-3</v>
      </c>
      <c r="I390">
        <v>1983</v>
      </c>
      <c r="J390" t="s">
        <v>24</v>
      </c>
      <c r="K390">
        <v>2562</v>
      </c>
      <c r="L390">
        <v>17.41</v>
      </c>
      <c r="M390">
        <v>12.44</v>
      </c>
      <c r="N390" s="4">
        <f t="shared" si="12"/>
        <v>2.3793985850000001E-2</v>
      </c>
      <c r="O390" s="4">
        <f t="shared" si="13"/>
        <v>0.29599718397399999</v>
      </c>
      <c r="P390">
        <v>50</v>
      </c>
      <c r="Q390">
        <v>3.5</v>
      </c>
      <c r="R390">
        <v>3.3</v>
      </c>
      <c r="S390">
        <v>3</v>
      </c>
      <c r="T390">
        <v>3.5</v>
      </c>
      <c r="U390">
        <v>3</v>
      </c>
      <c r="V390" t="s">
        <v>25</v>
      </c>
    </row>
    <row r="391" spans="1:22" x14ac:dyDescent="0.25">
      <c r="A391" t="s">
        <v>82</v>
      </c>
      <c r="B391">
        <v>1</v>
      </c>
      <c r="C391" t="s">
        <v>66</v>
      </c>
      <c r="D391" t="s">
        <v>67</v>
      </c>
      <c r="E391" t="s">
        <v>68</v>
      </c>
      <c r="F391">
        <v>180</v>
      </c>
      <c r="G391">
        <v>1080</v>
      </c>
      <c r="H391">
        <v>-3</v>
      </c>
      <c r="I391">
        <v>1983</v>
      </c>
      <c r="J391" t="s">
        <v>80</v>
      </c>
      <c r="K391">
        <v>1252</v>
      </c>
      <c r="L391">
        <v>12.96</v>
      </c>
      <c r="M391">
        <v>11.21</v>
      </c>
      <c r="N391" s="4">
        <f t="shared" si="12"/>
        <v>1.3184985600000004E-2</v>
      </c>
      <c r="O391" s="4">
        <f t="shared" si="13"/>
        <v>0.14780368857600007</v>
      </c>
      <c r="P391">
        <v>88</v>
      </c>
      <c r="Q391">
        <v>4</v>
      </c>
      <c r="R391">
        <v>4</v>
      </c>
      <c r="S391">
        <v>2.5</v>
      </c>
      <c r="T391">
        <v>2</v>
      </c>
      <c r="U391">
        <v>2</v>
      </c>
      <c r="V391" t="s">
        <v>38</v>
      </c>
    </row>
    <row r="392" spans="1:22" x14ac:dyDescent="0.25">
      <c r="A392" t="s">
        <v>82</v>
      </c>
      <c r="B392">
        <v>1</v>
      </c>
      <c r="C392" t="s">
        <v>66</v>
      </c>
      <c r="D392" t="s">
        <v>67</v>
      </c>
      <c r="E392" t="s">
        <v>68</v>
      </c>
      <c r="F392">
        <v>180</v>
      </c>
      <c r="G392">
        <v>1080</v>
      </c>
      <c r="H392">
        <v>-3</v>
      </c>
      <c r="I392">
        <v>1983</v>
      </c>
      <c r="J392" t="s">
        <v>24</v>
      </c>
      <c r="K392">
        <v>1</v>
      </c>
      <c r="L392">
        <v>6.77</v>
      </c>
      <c r="M392">
        <v>7.19</v>
      </c>
      <c r="N392" s="4">
        <f t="shared" si="12"/>
        <v>3.5978826499999997E-3</v>
      </c>
      <c r="O392" s="4">
        <f t="shared" si="13"/>
        <v>2.5868776253499998E-2</v>
      </c>
      <c r="P392">
        <v>75</v>
      </c>
      <c r="Q392">
        <v>3</v>
      </c>
      <c r="R392">
        <v>3</v>
      </c>
      <c r="S392">
        <v>2.7</v>
      </c>
      <c r="T392">
        <v>3</v>
      </c>
      <c r="U392">
        <v>3</v>
      </c>
      <c r="V392" t="s">
        <v>38</v>
      </c>
    </row>
    <row r="393" spans="1:22" x14ac:dyDescent="0.25">
      <c r="A393" t="s">
        <v>82</v>
      </c>
      <c r="B393">
        <v>1</v>
      </c>
      <c r="C393" t="s">
        <v>66</v>
      </c>
      <c r="D393" t="s">
        <v>67</v>
      </c>
      <c r="E393" t="s">
        <v>68</v>
      </c>
      <c r="F393">
        <v>180</v>
      </c>
      <c r="G393">
        <v>1080</v>
      </c>
      <c r="H393">
        <v>-3</v>
      </c>
      <c r="I393">
        <v>1983</v>
      </c>
      <c r="J393" t="s">
        <v>59</v>
      </c>
      <c r="K393">
        <v>2548</v>
      </c>
      <c r="L393">
        <v>2.95</v>
      </c>
      <c r="M393">
        <v>4.43</v>
      </c>
      <c r="N393" s="4">
        <f t="shared" si="12"/>
        <v>6.8314625000000012E-4</v>
      </c>
      <c r="O393" s="4">
        <f t="shared" si="13"/>
        <v>3.0263378875000002E-3</v>
      </c>
      <c r="P393">
        <v>13</v>
      </c>
      <c r="Q393">
        <v>1</v>
      </c>
      <c r="R393">
        <v>2</v>
      </c>
      <c r="S393">
        <v>3</v>
      </c>
      <c r="T393">
        <v>3</v>
      </c>
      <c r="U393">
        <v>3</v>
      </c>
      <c r="V393" t="s">
        <v>50</v>
      </c>
    </row>
    <row r="394" spans="1:22" x14ac:dyDescent="0.25">
      <c r="A394" t="s">
        <v>82</v>
      </c>
      <c r="B394">
        <v>1</v>
      </c>
      <c r="C394" t="s">
        <v>66</v>
      </c>
      <c r="D394" t="s">
        <v>67</v>
      </c>
      <c r="E394" t="s">
        <v>68</v>
      </c>
      <c r="F394">
        <v>180</v>
      </c>
      <c r="G394">
        <v>1080</v>
      </c>
      <c r="H394">
        <v>-3</v>
      </c>
      <c r="I394">
        <v>1983</v>
      </c>
      <c r="J394" t="s">
        <v>32</v>
      </c>
      <c r="K394">
        <v>1596</v>
      </c>
      <c r="L394">
        <v>7.68</v>
      </c>
      <c r="M394">
        <v>6.56</v>
      </c>
      <c r="N394" s="4">
        <f t="shared" si="12"/>
        <v>4.6301183999999992E-3</v>
      </c>
      <c r="O394" s="4">
        <f t="shared" si="13"/>
        <v>3.0373576703999993E-2</v>
      </c>
      <c r="P394">
        <v>50</v>
      </c>
      <c r="Q394">
        <v>3</v>
      </c>
      <c r="R394">
        <v>3.5</v>
      </c>
      <c r="S394">
        <v>3.5</v>
      </c>
      <c r="T394">
        <v>4</v>
      </c>
      <c r="U394">
        <v>4</v>
      </c>
      <c r="V394" t="s">
        <v>38</v>
      </c>
    </row>
    <row r="395" spans="1:22" x14ac:dyDescent="0.25">
      <c r="A395" t="s">
        <v>82</v>
      </c>
      <c r="B395">
        <v>1</v>
      </c>
      <c r="C395" t="s">
        <v>66</v>
      </c>
      <c r="D395" t="s">
        <v>67</v>
      </c>
      <c r="E395" t="s">
        <v>68</v>
      </c>
      <c r="F395">
        <v>180</v>
      </c>
      <c r="G395">
        <v>1080</v>
      </c>
      <c r="H395">
        <v>-3</v>
      </c>
      <c r="I395">
        <v>1983</v>
      </c>
      <c r="J395" t="s">
        <v>32</v>
      </c>
      <c r="K395">
        <v>2569</v>
      </c>
      <c r="L395">
        <v>16.690000000000001</v>
      </c>
      <c r="M395">
        <v>11.67</v>
      </c>
      <c r="N395" s="4">
        <f t="shared" si="12"/>
        <v>2.1866653850000004E-2</v>
      </c>
      <c r="O395" s="4">
        <f t="shared" si="13"/>
        <v>0.25518385042950004</v>
      </c>
      <c r="P395">
        <v>75</v>
      </c>
      <c r="Q395">
        <v>3</v>
      </c>
      <c r="R395">
        <v>3.8</v>
      </c>
      <c r="S395">
        <v>3.4</v>
      </c>
      <c r="T395">
        <v>4</v>
      </c>
      <c r="U395">
        <v>3.5</v>
      </c>
      <c r="V395" t="s">
        <v>38</v>
      </c>
    </row>
    <row r="396" spans="1:22" x14ac:dyDescent="0.25">
      <c r="A396" t="s">
        <v>82</v>
      </c>
      <c r="B396">
        <v>1</v>
      </c>
      <c r="C396" t="s">
        <v>66</v>
      </c>
      <c r="D396" t="s">
        <v>67</v>
      </c>
      <c r="E396" t="s">
        <v>68</v>
      </c>
      <c r="F396">
        <v>180</v>
      </c>
      <c r="G396">
        <v>1080</v>
      </c>
      <c r="H396">
        <v>-3</v>
      </c>
      <c r="I396">
        <v>1983</v>
      </c>
      <c r="J396" t="s">
        <v>34</v>
      </c>
      <c r="K396">
        <v>2458</v>
      </c>
      <c r="L396">
        <v>8.4600000000000009</v>
      </c>
      <c r="M396">
        <v>7.05</v>
      </c>
      <c r="N396" s="4">
        <f t="shared" si="12"/>
        <v>5.6183706000000021E-3</v>
      </c>
      <c r="O396" s="4">
        <f t="shared" si="13"/>
        <v>3.9609512730000011E-2</v>
      </c>
      <c r="P396">
        <v>13</v>
      </c>
      <c r="Q396">
        <v>2</v>
      </c>
      <c r="R396">
        <v>3</v>
      </c>
      <c r="S396">
        <v>3</v>
      </c>
      <c r="T396">
        <v>3</v>
      </c>
      <c r="U396">
        <v>3</v>
      </c>
      <c r="V396" t="s">
        <v>30</v>
      </c>
    </row>
    <row r="397" spans="1:22" x14ac:dyDescent="0.25">
      <c r="A397" t="s">
        <v>82</v>
      </c>
      <c r="B397">
        <v>1</v>
      </c>
      <c r="C397" t="s">
        <v>66</v>
      </c>
      <c r="D397" t="s">
        <v>67</v>
      </c>
      <c r="E397" t="s">
        <v>68</v>
      </c>
      <c r="F397">
        <v>180</v>
      </c>
      <c r="G397">
        <v>1080</v>
      </c>
      <c r="H397">
        <v>-3</v>
      </c>
      <c r="I397">
        <v>1983</v>
      </c>
      <c r="J397" t="s">
        <v>35</v>
      </c>
      <c r="K397">
        <v>1788</v>
      </c>
      <c r="L397">
        <v>5.35</v>
      </c>
      <c r="M397">
        <v>5.9</v>
      </c>
      <c r="N397" s="4">
        <f t="shared" si="12"/>
        <v>2.24686625E-3</v>
      </c>
      <c r="O397" s="4">
        <f t="shared" si="13"/>
        <v>1.3256510875E-2</v>
      </c>
      <c r="P397">
        <v>25</v>
      </c>
      <c r="Q397">
        <v>2</v>
      </c>
      <c r="R397">
        <v>1.8</v>
      </c>
      <c r="S397">
        <v>2</v>
      </c>
      <c r="T397">
        <v>2.5</v>
      </c>
      <c r="U397">
        <v>3</v>
      </c>
      <c r="V397" t="s">
        <v>30</v>
      </c>
    </row>
    <row r="398" spans="1:22" x14ac:dyDescent="0.25">
      <c r="A398" t="s">
        <v>82</v>
      </c>
      <c r="B398">
        <v>1</v>
      </c>
      <c r="C398" t="s">
        <v>66</v>
      </c>
      <c r="D398" t="s">
        <v>67</v>
      </c>
      <c r="E398" t="s">
        <v>68</v>
      </c>
      <c r="F398">
        <v>180</v>
      </c>
      <c r="G398">
        <v>1080</v>
      </c>
      <c r="H398">
        <v>-3</v>
      </c>
      <c r="I398">
        <v>1983</v>
      </c>
      <c r="J398" t="s">
        <v>35</v>
      </c>
      <c r="K398">
        <v>2571</v>
      </c>
      <c r="L398">
        <v>14.82</v>
      </c>
      <c r="M398">
        <v>14.23</v>
      </c>
      <c r="N398" s="4">
        <f t="shared" si="12"/>
        <v>1.7241143399999999E-2</v>
      </c>
      <c r="O398" s="4">
        <f t="shared" si="13"/>
        <v>0.24534147058199998</v>
      </c>
      <c r="P398">
        <v>50</v>
      </c>
      <c r="Q398">
        <v>3</v>
      </c>
      <c r="R398">
        <v>1.7</v>
      </c>
      <c r="S398">
        <v>4</v>
      </c>
      <c r="T398">
        <v>4</v>
      </c>
      <c r="U398">
        <v>3.5</v>
      </c>
      <c r="V398" t="s">
        <v>25</v>
      </c>
    </row>
    <row r="399" spans="1:22" x14ac:dyDescent="0.25">
      <c r="A399" t="s">
        <v>82</v>
      </c>
      <c r="B399">
        <v>1</v>
      </c>
      <c r="C399" t="s">
        <v>66</v>
      </c>
      <c r="D399" t="s">
        <v>67</v>
      </c>
      <c r="E399" t="s">
        <v>68</v>
      </c>
      <c r="F399">
        <v>180</v>
      </c>
      <c r="G399">
        <v>1080</v>
      </c>
      <c r="H399">
        <v>-3</v>
      </c>
      <c r="I399">
        <v>1983</v>
      </c>
      <c r="J399" t="s">
        <v>81</v>
      </c>
      <c r="K399">
        <v>2750</v>
      </c>
      <c r="L399">
        <v>9.19</v>
      </c>
      <c r="M399">
        <v>7.81</v>
      </c>
      <c r="N399" s="4">
        <f t="shared" si="12"/>
        <v>6.6298038499999993E-3</v>
      </c>
      <c r="O399" s="4">
        <f t="shared" si="13"/>
        <v>5.1778768068499993E-2</v>
      </c>
      <c r="P399">
        <v>50</v>
      </c>
      <c r="Q399">
        <v>2.8</v>
      </c>
      <c r="R399">
        <v>3</v>
      </c>
      <c r="S399">
        <v>3</v>
      </c>
      <c r="T399">
        <v>4</v>
      </c>
      <c r="U399">
        <v>3</v>
      </c>
      <c r="V399" t="s">
        <v>50</v>
      </c>
    </row>
    <row r="400" spans="1:22" x14ac:dyDescent="0.25">
      <c r="A400" t="s">
        <v>82</v>
      </c>
      <c r="B400">
        <v>1</v>
      </c>
      <c r="C400" t="s">
        <v>66</v>
      </c>
      <c r="D400" t="s">
        <v>67</v>
      </c>
      <c r="E400" t="s">
        <v>68</v>
      </c>
      <c r="F400">
        <v>180</v>
      </c>
      <c r="G400">
        <v>1080</v>
      </c>
      <c r="H400">
        <v>-3</v>
      </c>
      <c r="I400">
        <v>1983</v>
      </c>
      <c r="J400" t="s">
        <v>36</v>
      </c>
      <c r="K400">
        <v>2573</v>
      </c>
      <c r="L400">
        <v>5.19</v>
      </c>
      <c r="M400">
        <v>4.4400000000000004</v>
      </c>
      <c r="N400" s="4">
        <f t="shared" si="12"/>
        <v>2.1144838500000004E-3</v>
      </c>
      <c r="O400" s="4">
        <f t="shared" si="13"/>
        <v>9.3883082940000029E-3</v>
      </c>
      <c r="P400">
        <v>13</v>
      </c>
      <c r="Q400">
        <v>1.5</v>
      </c>
      <c r="R400">
        <v>2.5</v>
      </c>
      <c r="S400">
        <v>3</v>
      </c>
      <c r="T400">
        <v>3</v>
      </c>
      <c r="U400">
        <v>3</v>
      </c>
      <c r="V400" t="s">
        <v>50</v>
      </c>
    </row>
    <row r="401" spans="1:22" x14ac:dyDescent="0.25">
      <c r="A401" t="s">
        <v>82</v>
      </c>
      <c r="B401">
        <v>1</v>
      </c>
      <c r="C401" t="s">
        <v>66</v>
      </c>
      <c r="D401" t="s">
        <v>67</v>
      </c>
      <c r="E401" t="s">
        <v>68</v>
      </c>
      <c r="F401">
        <v>180</v>
      </c>
      <c r="G401">
        <v>1080</v>
      </c>
      <c r="H401">
        <v>-3</v>
      </c>
      <c r="I401">
        <v>1983</v>
      </c>
      <c r="J401" t="s">
        <v>62</v>
      </c>
      <c r="K401">
        <v>2553</v>
      </c>
      <c r="L401">
        <v>9.73</v>
      </c>
      <c r="M401">
        <v>11.04</v>
      </c>
      <c r="N401" s="4">
        <f t="shared" si="12"/>
        <v>7.4318226500000003E-3</v>
      </c>
      <c r="O401" s="4">
        <f t="shared" si="13"/>
        <v>8.2047322056000002E-2</v>
      </c>
      <c r="P401">
        <v>75</v>
      </c>
      <c r="Q401">
        <v>3</v>
      </c>
      <c r="R401">
        <v>3</v>
      </c>
      <c r="S401">
        <v>3.5</v>
      </c>
      <c r="T401">
        <v>4</v>
      </c>
      <c r="U401">
        <v>3.5</v>
      </c>
      <c r="V401" t="s">
        <v>25</v>
      </c>
    </row>
    <row r="402" spans="1:22" x14ac:dyDescent="0.25">
      <c r="A402" t="s">
        <v>82</v>
      </c>
      <c r="B402">
        <v>1</v>
      </c>
      <c r="C402" t="s">
        <v>66</v>
      </c>
      <c r="D402" t="s">
        <v>67</v>
      </c>
      <c r="E402" t="s">
        <v>68</v>
      </c>
      <c r="F402">
        <v>180</v>
      </c>
      <c r="G402">
        <v>1080</v>
      </c>
      <c r="H402">
        <v>-3</v>
      </c>
      <c r="I402">
        <v>1983</v>
      </c>
      <c r="J402" t="s">
        <v>37</v>
      </c>
      <c r="K402">
        <v>2575</v>
      </c>
      <c r="L402">
        <v>13.54</v>
      </c>
      <c r="M402">
        <v>8.81</v>
      </c>
      <c r="N402" s="4">
        <f t="shared" si="12"/>
        <v>1.4391530599999999E-2</v>
      </c>
      <c r="O402" s="4">
        <f t="shared" si="13"/>
        <v>0.126789384586</v>
      </c>
      <c r="P402">
        <v>88</v>
      </c>
      <c r="Q402">
        <v>2.7</v>
      </c>
      <c r="R402">
        <v>2</v>
      </c>
      <c r="S402">
        <v>2.5</v>
      </c>
      <c r="T402">
        <v>3</v>
      </c>
      <c r="U402">
        <v>3</v>
      </c>
      <c r="V402" t="s">
        <v>38</v>
      </c>
    </row>
    <row r="403" spans="1:22" x14ac:dyDescent="0.25">
      <c r="A403" t="s">
        <v>82</v>
      </c>
      <c r="B403">
        <v>1</v>
      </c>
      <c r="C403" t="s">
        <v>66</v>
      </c>
      <c r="D403" t="s">
        <v>67</v>
      </c>
      <c r="E403" t="s">
        <v>68</v>
      </c>
      <c r="F403">
        <v>180</v>
      </c>
      <c r="G403">
        <v>1080</v>
      </c>
      <c r="H403">
        <v>-3</v>
      </c>
      <c r="I403">
        <v>1983</v>
      </c>
      <c r="J403" t="s">
        <v>26</v>
      </c>
      <c r="K403">
        <v>2552</v>
      </c>
      <c r="L403">
        <v>5.78</v>
      </c>
      <c r="M403">
        <v>7.21</v>
      </c>
      <c r="N403" s="4">
        <f t="shared" si="12"/>
        <v>2.6225594000000001E-3</v>
      </c>
      <c r="O403" s="4">
        <f t="shared" si="13"/>
        <v>1.8908653274000001E-2</v>
      </c>
      <c r="P403">
        <v>13</v>
      </c>
      <c r="Q403">
        <v>1.5</v>
      </c>
      <c r="R403">
        <v>3</v>
      </c>
      <c r="S403">
        <v>4</v>
      </c>
      <c r="T403">
        <v>4</v>
      </c>
      <c r="U403">
        <v>4</v>
      </c>
      <c r="V403" t="s">
        <v>50</v>
      </c>
    </row>
    <row r="404" spans="1:22" x14ac:dyDescent="0.25">
      <c r="A404" t="s">
        <v>82</v>
      </c>
      <c r="B404">
        <v>2</v>
      </c>
      <c r="C404" t="s">
        <v>66</v>
      </c>
      <c r="D404" t="s">
        <v>67</v>
      </c>
      <c r="E404" t="s">
        <v>68</v>
      </c>
      <c r="F404">
        <v>180</v>
      </c>
      <c r="G404">
        <v>1080</v>
      </c>
      <c r="H404">
        <v>-3</v>
      </c>
      <c r="I404">
        <v>1983</v>
      </c>
      <c r="J404" t="s">
        <v>80</v>
      </c>
      <c r="K404">
        <v>1252</v>
      </c>
      <c r="L404">
        <v>5.36</v>
      </c>
      <c r="M404">
        <v>4.6100000000000003</v>
      </c>
      <c r="N404" s="4">
        <f t="shared" si="12"/>
        <v>2.2552736000000006E-3</v>
      </c>
      <c r="O404" s="4">
        <f t="shared" si="13"/>
        <v>1.0396811296000003E-2</v>
      </c>
      <c r="P404">
        <v>63</v>
      </c>
      <c r="Q404">
        <v>3</v>
      </c>
      <c r="R404">
        <v>3</v>
      </c>
      <c r="S404">
        <v>2</v>
      </c>
      <c r="T404">
        <v>2</v>
      </c>
      <c r="U404">
        <v>3</v>
      </c>
      <c r="V404" t="s">
        <v>30</v>
      </c>
    </row>
    <row r="405" spans="1:22" x14ac:dyDescent="0.25">
      <c r="A405" t="s">
        <v>82</v>
      </c>
      <c r="B405">
        <v>2</v>
      </c>
      <c r="C405" t="s">
        <v>66</v>
      </c>
      <c r="D405" t="s">
        <v>67</v>
      </c>
      <c r="E405" t="s">
        <v>68</v>
      </c>
      <c r="F405">
        <v>180</v>
      </c>
      <c r="G405">
        <v>1080</v>
      </c>
      <c r="H405">
        <v>-3</v>
      </c>
      <c r="I405">
        <v>1983</v>
      </c>
      <c r="J405" t="s">
        <v>24</v>
      </c>
      <c r="K405">
        <v>1</v>
      </c>
      <c r="L405">
        <v>11.88</v>
      </c>
      <c r="M405">
        <v>9.81</v>
      </c>
      <c r="N405" s="4">
        <f t="shared" si="12"/>
        <v>1.1079050400000002E-2</v>
      </c>
      <c r="O405" s="4">
        <f t="shared" si="13"/>
        <v>0.10868548442400003</v>
      </c>
      <c r="P405">
        <v>63</v>
      </c>
      <c r="Q405">
        <v>3</v>
      </c>
      <c r="R405">
        <v>4</v>
      </c>
      <c r="S405">
        <v>2.5</v>
      </c>
      <c r="T405">
        <v>2.5</v>
      </c>
      <c r="U405">
        <v>2.5</v>
      </c>
      <c r="V405" t="s">
        <v>38</v>
      </c>
    </row>
    <row r="406" spans="1:22" x14ac:dyDescent="0.25">
      <c r="A406" t="s">
        <v>82</v>
      </c>
      <c r="B406">
        <v>2</v>
      </c>
      <c r="C406" t="s">
        <v>66</v>
      </c>
      <c r="D406" t="s">
        <v>67</v>
      </c>
      <c r="E406" t="s">
        <v>68</v>
      </c>
      <c r="F406">
        <v>180</v>
      </c>
      <c r="G406">
        <v>1080</v>
      </c>
      <c r="H406">
        <v>-3</v>
      </c>
      <c r="I406">
        <v>1983</v>
      </c>
      <c r="J406" t="s">
        <v>59</v>
      </c>
      <c r="K406">
        <v>1482</v>
      </c>
      <c r="L406">
        <v>14.03</v>
      </c>
      <c r="M406">
        <v>9.9</v>
      </c>
      <c r="N406" s="4">
        <f t="shared" si="12"/>
        <v>1.5452010649999997E-2</v>
      </c>
      <c r="O406" s="4">
        <f t="shared" si="13"/>
        <v>0.15297490543499997</v>
      </c>
      <c r="P406">
        <v>63</v>
      </c>
      <c r="Q406">
        <v>3.5</v>
      </c>
      <c r="R406">
        <v>4</v>
      </c>
      <c r="S406">
        <v>3.5</v>
      </c>
      <c r="T406">
        <v>3</v>
      </c>
      <c r="U406">
        <v>3</v>
      </c>
      <c r="V406" t="s">
        <v>25</v>
      </c>
    </row>
    <row r="407" spans="1:22" x14ac:dyDescent="0.25">
      <c r="A407" t="s">
        <v>82</v>
      </c>
      <c r="B407">
        <v>2</v>
      </c>
      <c r="C407" t="s">
        <v>66</v>
      </c>
      <c r="D407" t="s">
        <v>67</v>
      </c>
      <c r="E407" t="s">
        <v>68</v>
      </c>
      <c r="F407">
        <v>180</v>
      </c>
      <c r="G407">
        <v>1080</v>
      </c>
      <c r="H407">
        <v>-3</v>
      </c>
      <c r="I407">
        <v>1983</v>
      </c>
      <c r="J407" t="s">
        <v>59</v>
      </c>
      <c r="K407">
        <v>2548</v>
      </c>
      <c r="L407">
        <v>23.63</v>
      </c>
      <c r="M407">
        <v>11.82</v>
      </c>
      <c r="N407" s="4">
        <f t="shared" si="12"/>
        <v>4.3832586649999991E-2</v>
      </c>
      <c r="O407" s="4">
        <f t="shared" si="13"/>
        <v>0.51810117420299995</v>
      </c>
      <c r="P407">
        <v>88</v>
      </c>
      <c r="Q407">
        <v>4.5</v>
      </c>
      <c r="R407">
        <v>4</v>
      </c>
      <c r="S407">
        <v>3</v>
      </c>
      <c r="T407">
        <v>2.5</v>
      </c>
      <c r="U407">
        <v>2</v>
      </c>
      <c r="V407" t="s">
        <v>25</v>
      </c>
    </row>
    <row r="408" spans="1:22" x14ac:dyDescent="0.25">
      <c r="A408" t="s">
        <v>82</v>
      </c>
      <c r="B408">
        <v>2</v>
      </c>
      <c r="C408" t="s">
        <v>66</v>
      </c>
      <c r="D408" t="s">
        <v>67</v>
      </c>
      <c r="E408" t="s">
        <v>68</v>
      </c>
      <c r="F408">
        <v>180</v>
      </c>
      <c r="G408">
        <v>1080</v>
      </c>
      <c r="H408">
        <v>-3</v>
      </c>
      <c r="I408">
        <v>1983</v>
      </c>
      <c r="J408" t="s">
        <v>26</v>
      </c>
      <c r="K408">
        <v>2552</v>
      </c>
      <c r="L408">
        <v>10.39</v>
      </c>
      <c r="M408">
        <v>8.66</v>
      </c>
      <c r="N408" s="4">
        <f t="shared" si="12"/>
        <v>8.4742398500000007E-3</v>
      </c>
      <c r="O408" s="4">
        <f t="shared" si="13"/>
        <v>7.338691710100001E-2</v>
      </c>
      <c r="P408">
        <v>38</v>
      </c>
      <c r="Q408">
        <v>3</v>
      </c>
      <c r="R408">
        <v>3.5</v>
      </c>
      <c r="S408">
        <v>3</v>
      </c>
      <c r="T408">
        <v>4</v>
      </c>
      <c r="U408">
        <v>3</v>
      </c>
      <c r="V408" t="s">
        <v>38</v>
      </c>
    </row>
    <row r="409" spans="1:22" x14ac:dyDescent="0.25">
      <c r="A409" t="s">
        <v>82</v>
      </c>
      <c r="B409">
        <v>2</v>
      </c>
      <c r="C409" t="s">
        <v>66</v>
      </c>
      <c r="D409" t="s">
        <v>67</v>
      </c>
      <c r="E409" t="s">
        <v>68</v>
      </c>
      <c r="F409">
        <v>180</v>
      </c>
      <c r="G409">
        <v>1080</v>
      </c>
      <c r="H409">
        <v>-3</v>
      </c>
      <c r="I409">
        <v>1983</v>
      </c>
      <c r="J409" t="s">
        <v>32</v>
      </c>
      <c r="K409">
        <v>1596</v>
      </c>
      <c r="L409">
        <v>7.83</v>
      </c>
      <c r="M409">
        <v>6.79</v>
      </c>
      <c r="N409" s="4">
        <f t="shared" si="12"/>
        <v>4.8127486499999995E-3</v>
      </c>
      <c r="O409" s="4">
        <f t="shared" si="13"/>
        <v>3.2678563333499999E-2</v>
      </c>
      <c r="P409">
        <v>100</v>
      </c>
      <c r="Q409">
        <v>3</v>
      </c>
      <c r="R409">
        <v>3</v>
      </c>
      <c r="S409">
        <v>3.5</v>
      </c>
      <c r="T409">
        <v>4.5</v>
      </c>
      <c r="U409">
        <v>3.5</v>
      </c>
      <c r="V409" t="s">
        <v>25</v>
      </c>
    </row>
    <row r="410" spans="1:22" x14ac:dyDescent="0.25">
      <c r="A410" t="s">
        <v>82</v>
      </c>
      <c r="B410">
        <v>2</v>
      </c>
      <c r="C410" t="s">
        <v>66</v>
      </c>
      <c r="D410" t="s">
        <v>67</v>
      </c>
      <c r="E410" t="s">
        <v>68</v>
      </c>
      <c r="F410">
        <v>180</v>
      </c>
      <c r="G410">
        <v>1080</v>
      </c>
      <c r="H410">
        <v>-3</v>
      </c>
      <c r="I410">
        <v>1983</v>
      </c>
      <c r="J410" t="s">
        <v>32</v>
      </c>
      <c r="K410">
        <v>2569</v>
      </c>
      <c r="L410">
        <v>11.23</v>
      </c>
      <c r="M410">
        <v>10.34</v>
      </c>
      <c r="N410" s="4">
        <f t="shared" si="12"/>
        <v>9.8998626500000023E-3</v>
      </c>
      <c r="O410" s="4">
        <f t="shared" si="13"/>
        <v>0.10236457980100003</v>
      </c>
      <c r="P410">
        <v>50</v>
      </c>
      <c r="Q410">
        <v>3</v>
      </c>
      <c r="R410">
        <v>3.5</v>
      </c>
      <c r="S410">
        <v>3.3</v>
      </c>
      <c r="T410">
        <v>4</v>
      </c>
      <c r="U410">
        <v>3.5</v>
      </c>
      <c r="V410" t="s">
        <v>25</v>
      </c>
    </row>
    <row r="411" spans="1:22" x14ac:dyDescent="0.25">
      <c r="A411" t="s">
        <v>82</v>
      </c>
      <c r="B411">
        <v>2</v>
      </c>
      <c r="C411" t="s">
        <v>66</v>
      </c>
      <c r="D411" t="s">
        <v>67</v>
      </c>
      <c r="E411" t="s">
        <v>68</v>
      </c>
      <c r="F411">
        <v>180</v>
      </c>
      <c r="G411">
        <v>1080</v>
      </c>
      <c r="H411">
        <v>-3</v>
      </c>
      <c r="I411">
        <v>1983</v>
      </c>
      <c r="J411" t="s">
        <v>33</v>
      </c>
      <c r="K411">
        <v>2547</v>
      </c>
      <c r="L411">
        <v>9.1300000000000008</v>
      </c>
      <c r="M411">
        <v>8.01</v>
      </c>
      <c r="N411" s="4">
        <f t="shared" si="12"/>
        <v>6.5435166500000018E-3</v>
      </c>
      <c r="O411" s="4">
        <f t="shared" si="13"/>
        <v>5.2413568366500012E-2</v>
      </c>
      <c r="P411">
        <v>75</v>
      </c>
      <c r="Q411">
        <v>2.8</v>
      </c>
      <c r="R411">
        <v>2</v>
      </c>
      <c r="S411">
        <v>3.3</v>
      </c>
      <c r="T411">
        <v>3.3</v>
      </c>
      <c r="U411">
        <v>3</v>
      </c>
      <c r="V411" t="s">
        <v>38</v>
      </c>
    </row>
    <row r="412" spans="1:22" x14ac:dyDescent="0.25">
      <c r="A412" t="s">
        <v>82</v>
      </c>
      <c r="B412">
        <v>2</v>
      </c>
      <c r="C412" t="s">
        <v>66</v>
      </c>
      <c r="D412" t="s">
        <v>67</v>
      </c>
      <c r="E412" t="s">
        <v>68</v>
      </c>
      <c r="F412">
        <v>180</v>
      </c>
      <c r="G412">
        <v>1080</v>
      </c>
      <c r="H412">
        <v>-3</v>
      </c>
      <c r="I412">
        <v>1983</v>
      </c>
      <c r="J412" t="s">
        <v>33</v>
      </c>
      <c r="K412">
        <v>2568</v>
      </c>
      <c r="L412">
        <v>11.66</v>
      </c>
      <c r="M412">
        <v>8.57</v>
      </c>
      <c r="N412" s="4">
        <f t="shared" si="12"/>
        <v>1.06725146E-2</v>
      </c>
      <c r="O412" s="4">
        <f t="shared" si="13"/>
        <v>9.1463450122000009E-2</v>
      </c>
      <c r="P412">
        <v>75</v>
      </c>
      <c r="Q412">
        <v>3</v>
      </c>
      <c r="R412">
        <v>2.5</v>
      </c>
      <c r="S412">
        <v>2.5</v>
      </c>
      <c r="T412">
        <v>2.5</v>
      </c>
      <c r="U412">
        <v>2.5</v>
      </c>
      <c r="V412" t="s">
        <v>30</v>
      </c>
    </row>
    <row r="413" spans="1:22" x14ac:dyDescent="0.25">
      <c r="A413" t="s">
        <v>82</v>
      </c>
      <c r="B413">
        <v>2</v>
      </c>
      <c r="C413" t="s">
        <v>66</v>
      </c>
      <c r="D413" t="s">
        <v>67</v>
      </c>
      <c r="E413" t="s">
        <v>68</v>
      </c>
      <c r="F413">
        <v>180</v>
      </c>
      <c r="G413">
        <v>1080</v>
      </c>
      <c r="H413">
        <v>-3</v>
      </c>
      <c r="I413">
        <v>1983</v>
      </c>
      <c r="J413" t="s">
        <v>34</v>
      </c>
      <c r="K413">
        <v>2570</v>
      </c>
      <c r="L413">
        <v>3.81</v>
      </c>
      <c r="M413">
        <v>4.93</v>
      </c>
      <c r="N413" s="4">
        <f t="shared" si="12"/>
        <v>1.1395138500000001E-3</v>
      </c>
      <c r="O413" s="4">
        <f t="shared" si="13"/>
        <v>5.6178032805000002E-3</v>
      </c>
      <c r="P413">
        <v>13</v>
      </c>
      <c r="Q413">
        <v>2</v>
      </c>
      <c r="R413">
        <v>2.5</v>
      </c>
      <c r="S413">
        <v>3</v>
      </c>
      <c r="T413">
        <v>4</v>
      </c>
      <c r="U413">
        <v>3</v>
      </c>
      <c r="V413" t="s">
        <v>50</v>
      </c>
    </row>
    <row r="414" spans="1:22" x14ac:dyDescent="0.25">
      <c r="A414" t="s">
        <v>82</v>
      </c>
      <c r="B414">
        <v>2</v>
      </c>
      <c r="C414" t="s">
        <v>66</v>
      </c>
      <c r="D414" t="s">
        <v>67</v>
      </c>
      <c r="E414" t="s">
        <v>68</v>
      </c>
      <c r="F414">
        <v>180</v>
      </c>
      <c r="G414">
        <v>1080</v>
      </c>
      <c r="H414">
        <v>-3</v>
      </c>
      <c r="I414">
        <v>1983</v>
      </c>
      <c r="J414" t="s">
        <v>35</v>
      </c>
      <c r="K414">
        <v>1788</v>
      </c>
      <c r="L414">
        <v>16.16</v>
      </c>
      <c r="M414">
        <v>10.98</v>
      </c>
      <c r="N414" s="4">
        <f t="shared" si="12"/>
        <v>2.0499929600000001E-2</v>
      </c>
      <c r="O414" s="4">
        <f t="shared" si="13"/>
        <v>0.22508922700800002</v>
      </c>
      <c r="P414">
        <v>13</v>
      </c>
      <c r="Q414">
        <v>3.5</v>
      </c>
      <c r="R414">
        <v>2.5</v>
      </c>
      <c r="S414">
        <v>3</v>
      </c>
      <c r="T414">
        <v>4</v>
      </c>
      <c r="U414">
        <v>3</v>
      </c>
      <c r="V414" t="s">
        <v>25</v>
      </c>
    </row>
    <row r="415" spans="1:22" x14ac:dyDescent="0.25">
      <c r="A415" t="s">
        <v>82</v>
      </c>
      <c r="B415">
        <v>2</v>
      </c>
      <c r="C415" t="s">
        <v>66</v>
      </c>
      <c r="D415" t="s">
        <v>67</v>
      </c>
      <c r="E415" t="s">
        <v>68</v>
      </c>
      <c r="F415">
        <v>180</v>
      </c>
      <c r="G415">
        <v>1080</v>
      </c>
      <c r="H415">
        <v>-3</v>
      </c>
      <c r="I415">
        <v>1983</v>
      </c>
      <c r="J415" t="s">
        <v>35</v>
      </c>
      <c r="K415">
        <v>2571</v>
      </c>
      <c r="L415">
        <v>8.83</v>
      </c>
      <c r="M415">
        <v>7.91</v>
      </c>
      <c r="N415" s="4">
        <f t="shared" si="12"/>
        <v>6.1205586500000008E-3</v>
      </c>
      <c r="O415" s="4">
        <f t="shared" si="13"/>
        <v>4.8413618921500007E-2</v>
      </c>
      <c r="P415">
        <v>63</v>
      </c>
      <c r="Q415">
        <v>3.5</v>
      </c>
      <c r="R415">
        <v>2.5</v>
      </c>
      <c r="S415">
        <v>3.5</v>
      </c>
      <c r="T415">
        <v>4</v>
      </c>
      <c r="U415">
        <v>4</v>
      </c>
      <c r="V415" t="s">
        <v>25</v>
      </c>
    </row>
    <row r="416" spans="1:22" x14ac:dyDescent="0.25">
      <c r="A416" t="s">
        <v>82</v>
      </c>
      <c r="B416">
        <v>2</v>
      </c>
      <c r="C416" t="s">
        <v>66</v>
      </c>
      <c r="D416" t="s">
        <v>67</v>
      </c>
      <c r="E416" t="s">
        <v>68</v>
      </c>
      <c r="F416">
        <v>180</v>
      </c>
      <c r="G416">
        <v>1080</v>
      </c>
      <c r="H416">
        <v>-3</v>
      </c>
      <c r="I416">
        <v>1983</v>
      </c>
      <c r="J416" t="s">
        <v>81</v>
      </c>
      <c r="K416">
        <v>2750</v>
      </c>
      <c r="L416">
        <v>1.38</v>
      </c>
      <c r="M416">
        <v>1.53</v>
      </c>
      <c r="N416" s="4">
        <f t="shared" si="12"/>
        <v>1.4949540000000001E-4</v>
      </c>
      <c r="O416" s="4">
        <f t="shared" si="13"/>
        <v>2.28727962E-4</v>
      </c>
      <c r="P416">
        <v>13</v>
      </c>
      <c r="Q416">
        <v>1</v>
      </c>
      <c r="R416">
        <v>1</v>
      </c>
      <c r="S416">
        <v>3</v>
      </c>
      <c r="T416">
        <v>3</v>
      </c>
      <c r="U416">
        <v>3</v>
      </c>
      <c r="V416" t="s">
        <v>50</v>
      </c>
    </row>
    <row r="417" spans="1:22" x14ac:dyDescent="0.25">
      <c r="A417" t="s">
        <v>82</v>
      </c>
      <c r="B417">
        <v>2</v>
      </c>
      <c r="C417" t="s">
        <v>66</v>
      </c>
      <c r="D417" t="s">
        <v>67</v>
      </c>
      <c r="E417" t="s">
        <v>68</v>
      </c>
      <c r="F417">
        <v>180</v>
      </c>
      <c r="G417">
        <v>1080</v>
      </c>
      <c r="H417">
        <v>-3</v>
      </c>
      <c r="I417">
        <v>1983</v>
      </c>
      <c r="J417" t="s">
        <v>36</v>
      </c>
      <c r="K417">
        <v>2573</v>
      </c>
      <c r="L417">
        <v>1.48</v>
      </c>
      <c r="M417">
        <v>2.96</v>
      </c>
      <c r="N417" s="4">
        <f t="shared" si="12"/>
        <v>1.7194640000000002E-4</v>
      </c>
      <c r="O417" s="4">
        <f t="shared" si="13"/>
        <v>5.0896134400000008E-4</v>
      </c>
      <c r="P417">
        <v>13</v>
      </c>
      <c r="Q417">
        <v>1</v>
      </c>
      <c r="R417">
        <v>3</v>
      </c>
      <c r="S417">
        <v>3</v>
      </c>
      <c r="T417">
        <v>3</v>
      </c>
      <c r="U417">
        <v>3</v>
      </c>
      <c r="V417" t="s">
        <v>50</v>
      </c>
    </row>
    <row r="418" spans="1:22" x14ac:dyDescent="0.25">
      <c r="A418" t="s">
        <v>82</v>
      </c>
      <c r="B418">
        <v>2</v>
      </c>
      <c r="C418" t="s">
        <v>66</v>
      </c>
      <c r="D418" t="s">
        <v>67</v>
      </c>
      <c r="E418" t="s">
        <v>68</v>
      </c>
      <c r="F418">
        <v>180</v>
      </c>
      <c r="G418">
        <v>1080</v>
      </c>
      <c r="H418">
        <v>-3</v>
      </c>
      <c r="I418">
        <v>1983</v>
      </c>
      <c r="J418" t="s">
        <v>62</v>
      </c>
      <c r="K418">
        <v>2550</v>
      </c>
      <c r="L418">
        <v>9.15</v>
      </c>
      <c r="M418">
        <v>8.42</v>
      </c>
      <c r="N418" s="4">
        <f t="shared" si="12"/>
        <v>6.5722162499999995E-3</v>
      </c>
      <c r="O418" s="4">
        <f t="shared" si="13"/>
        <v>5.5338060824999993E-2</v>
      </c>
      <c r="P418">
        <v>25</v>
      </c>
      <c r="Q418">
        <v>3</v>
      </c>
      <c r="R418">
        <v>3.5</v>
      </c>
      <c r="S418">
        <v>3.5</v>
      </c>
      <c r="T418">
        <v>4</v>
      </c>
      <c r="U418">
        <v>4</v>
      </c>
      <c r="V418" t="s">
        <v>38</v>
      </c>
    </row>
    <row r="419" spans="1:22" x14ac:dyDescent="0.25">
      <c r="A419" t="s">
        <v>82</v>
      </c>
      <c r="B419">
        <v>2</v>
      </c>
      <c r="C419" t="s">
        <v>66</v>
      </c>
      <c r="D419" t="s">
        <v>67</v>
      </c>
      <c r="E419" t="s">
        <v>68</v>
      </c>
      <c r="F419">
        <v>180</v>
      </c>
      <c r="G419">
        <v>1080</v>
      </c>
      <c r="H419">
        <v>-3</v>
      </c>
      <c r="I419">
        <v>1983</v>
      </c>
      <c r="J419" t="s">
        <v>62</v>
      </c>
      <c r="K419">
        <v>2553</v>
      </c>
      <c r="L419">
        <v>4.79</v>
      </c>
      <c r="M419">
        <v>4.3600000000000003</v>
      </c>
      <c r="N419" s="4">
        <f t="shared" si="12"/>
        <v>1.8011118499999998E-3</v>
      </c>
      <c r="O419" s="4">
        <f t="shared" si="13"/>
        <v>7.8528476659999995E-3</v>
      </c>
      <c r="P419">
        <v>38</v>
      </c>
      <c r="Q419">
        <v>2</v>
      </c>
      <c r="R419">
        <v>3.5</v>
      </c>
      <c r="S419">
        <v>3.5</v>
      </c>
      <c r="T419">
        <v>4</v>
      </c>
      <c r="U419">
        <v>3.5</v>
      </c>
      <c r="V419" t="s">
        <v>30</v>
      </c>
    </row>
    <row r="420" spans="1:22" x14ac:dyDescent="0.25">
      <c r="A420" t="s">
        <v>82</v>
      </c>
      <c r="B420">
        <v>2</v>
      </c>
      <c r="C420" t="s">
        <v>66</v>
      </c>
      <c r="D420" t="s">
        <v>67</v>
      </c>
      <c r="E420" t="s">
        <v>68</v>
      </c>
      <c r="F420">
        <v>180</v>
      </c>
      <c r="G420">
        <v>1080</v>
      </c>
      <c r="H420">
        <v>-3</v>
      </c>
      <c r="I420">
        <v>1983</v>
      </c>
      <c r="J420" t="s">
        <v>37</v>
      </c>
      <c r="K420">
        <v>2575</v>
      </c>
      <c r="L420">
        <v>6.7</v>
      </c>
      <c r="M420">
        <v>6.83</v>
      </c>
      <c r="N420" s="4">
        <f t="shared" si="12"/>
        <v>3.5238650000000006E-3</v>
      </c>
      <c r="O420" s="4">
        <f t="shared" si="13"/>
        <v>2.4067997950000003E-2</v>
      </c>
      <c r="P420">
        <v>75</v>
      </c>
      <c r="Q420">
        <v>2.7</v>
      </c>
      <c r="R420">
        <v>2.7</v>
      </c>
      <c r="S420">
        <v>3</v>
      </c>
      <c r="T420">
        <v>3.5</v>
      </c>
      <c r="U420">
        <v>3.5</v>
      </c>
      <c r="V420" t="s">
        <v>30</v>
      </c>
    </row>
    <row r="421" spans="1:22" x14ac:dyDescent="0.25">
      <c r="A421" t="s">
        <v>82</v>
      </c>
      <c r="B421">
        <v>3</v>
      </c>
      <c r="C421" t="s">
        <v>66</v>
      </c>
      <c r="D421" t="s">
        <v>67</v>
      </c>
      <c r="E421" t="s">
        <v>68</v>
      </c>
      <c r="F421">
        <v>180</v>
      </c>
      <c r="G421">
        <v>1080</v>
      </c>
      <c r="H421">
        <v>-3</v>
      </c>
      <c r="I421">
        <v>1983</v>
      </c>
      <c r="J421" t="s">
        <v>76</v>
      </c>
      <c r="K421">
        <v>1592</v>
      </c>
      <c r="L421">
        <v>15.73</v>
      </c>
      <c r="M421">
        <v>10.67</v>
      </c>
      <c r="N421" s="4">
        <f t="shared" si="12"/>
        <v>1.9423482650000001E-2</v>
      </c>
      <c r="O421" s="4">
        <f t="shared" si="13"/>
        <v>0.2072485598755</v>
      </c>
      <c r="P421">
        <v>75</v>
      </c>
      <c r="Q421">
        <v>3</v>
      </c>
      <c r="R421">
        <v>4</v>
      </c>
      <c r="S421">
        <v>3</v>
      </c>
      <c r="T421">
        <v>4</v>
      </c>
      <c r="U421">
        <v>3</v>
      </c>
      <c r="V421" t="s">
        <v>27</v>
      </c>
    </row>
    <row r="422" spans="1:22" x14ac:dyDescent="0.25">
      <c r="A422" t="s">
        <v>82</v>
      </c>
      <c r="B422">
        <v>3</v>
      </c>
      <c r="C422" t="s">
        <v>66</v>
      </c>
      <c r="D422" t="s">
        <v>67</v>
      </c>
      <c r="E422" t="s">
        <v>68</v>
      </c>
      <c r="F422">
        <v>180</v>
      </c>
      <c r="G422">
        <v>1080</v>
      </c>
      <c r="H422">
        <v>-3</v>
      </c>
      <c r="I422">
        <v>1983</v>
      </c>
      <c r="J422" t="s">
        <v>76</v>
      </c>
      <c r="K422">
        <v>2560</v>
      </c>
      <c r="L422">
        <v>13.13</v>
      </c>
      <c r="M422">
        <v>11.49</v>
      </c>
      <c r="N422" s="4">
        <f t="shared" si="12"/>
        <v>1.3533156649999999E-2</v>
      </c>
      <c r="O422" s="4">
        <f t="shared" si="13"/>
        <v>0.15549596990849998</v>
      </c>
      <c r="P422">
        <v>88</v>
      </c>
      <c r="Q422">
        <v>3</v>
      </c>
      <c r="R422">
        <v>4</v>
      </c>
      <c r="S422">
        <v>3</v>
      </c>
      <c r="T422">
        <v>4</v>
      </c>
      <c r="U422">
        <v>4</v>
      </c>
      <c r="V422" t="s">
        <v>27</v>
      </c>
    </row>
    <row r="423" spans="1:22" x14ac:dyDescent="0.25">
      <c r="A423" t="s">
        <v>82</v>
      </c>
      <c r="B423">
        <v>3</v>
      </c>
      <c r="C423" t="s">
        <v>66</v>
      </c>
      <c r="D423" t="s">
        <v>67</v>
      </c>
      <c r="E423" t="s">
        <v>68</v>
      </c>
      <c r="F423">
        <v>180</v>
      </c>
      <c r="G423">
        <v>1080</v>
      </c>
      <c r="H423">
        <v>-3</v>
      </c>
      <c r="I423">
        <v>1983</v>
      </c>
      <c r="J423" t="s">
        <v>24</v>
      </c>
      <c r="K423">
        <v>2562</v>
      </c>
      <c r="L423">
        <v>9.94</v>
      </c>
      <c r="M423">
        <v>7.46</v>
      </c>
      <c r="N423" s="4">
        <f t="shared" si="12"/>
        <v>7.7560825999999986E-3</v>
      </c>
      <c r="O423" s="4">
        <f t="shared" si="13"/>
        <v>5.7860376195999992E-2</v>
      </c>
      <c r="P423">
        <v>50</v>
      </c>
      <c r="Q423">
        <v>3</v>
      </c>
      <c r="R423">
        <v>4</v>
      </c>
      <c r="S423">
        <v>3</v>
      </c>
      <c r="T423">
        <v>4</v>
      </c>
      <c r="U423">
        <v>3</v>
      </c>
      <c r="V423" t="s">
        <v>38</v>
      </c>
    </row>
    <row r="424" spans="1:22" x14ac:dyDescent="0.25">
      <c r="A424" t="s">
        <v>82</v>
      </c>
      <c r="B424">
        <v>3</v>
      </c>
      <c r="C424" t="s">
        <v>66</v>
      </c>
      <c r="D424" t="s">
        <v>67</v>
      </c>
      <c r="E424" t="s">
        <v>68</v>
      </c>
      <c r="F424">
        <v>180</v>
      </c>
      <c r="G424">
        <v>1080</v>
      </c>
      <c r="H424">
        <v>-3</v>
      </c>
      <c r="I424">
        <v>1983</v>
      </c>
      <c r="J424" t="s">
        <v>80</v>
      </c>
      <c r="K424">
        <v>1252</v>
      </c>
      <c r="L424">
        <v>5.86</v>
      </c>
      <c r="M424">
        <v>5.61</v>
      </c>
      <c r="N424" s="4">
        <f t="shared" si="12"/>
        <v>2.6956586000000007E-3</v>
      </c>
      <c r="O424" s="4">
        <f t="shared" si="13"/>
        <v>1.5122644746000004E-2</v>
      </c>
      <c r="P424">
        <v>50</v>
      </c>
      <c r="Q424">
        <v>3</v>
      </c>
      <c r="R424">
        <v>4</v>
      </c>
      <c r="S424">
        <v>2.5</v>
      </c>
      <c r="T424">
        <v>2.5</v>
      </c>
      <c r="U424">
        <v>3</v>
      </c>
      <c r="V424" t="s">
        <v>30</v>
      </c>
    </row>
    <row r="425" spans="1:22" x14ac:dyDescent="0.25">
      <c r="A425" t="s">
        <v>82</v>
      </c>
      <c r="B425">
        <v>3</v>
      </c>
      <c r="C425" t="s">
        <v>66</v>
      </c>
      <c r="D425" t="s">
        <v>67</v>
      </c>
      <c r="E425" t="s">
        <v>68</v>
      </c>
      <c r="F425">
        <v>180</v>
      </c>
      <c r="G425">
        <v>1080</v>
      </c>
      <c r="H425">
        <v>-3</v>
      </c>
      <c r="I425">
        <v>1983</v>
      </c>
      <c r="J425" t="s">
        <v>24</v>
      </c>
      <c r="K425">
        <v>1</v>
      </c>
      <c r="L425">
        <v>9.1199999999999992</v>
      </c>
      <c r="M425">
        <v>9.67</v>
      </c>
      <c r="N425" s="4">
        <f t="shared" si="12"/>
        <v>6.5291903999999991E-3</v>
      </c>
      <c r="O425" s="4">
        <f t="shared" si="13"/>
        <v>6.3137271167999998E-2</v>
      </c>
      <c r="P425">
        <v>50</v>
      </c>
      <c r="Q425">
        <v>3</v>
      </c>
      <c r="R425">
        <v>4</v>
      </c>
      <c r="S425">
        <v>3</v>
      </c>
      <c r="T425">
        <v>3</v>
      </c>
      <c r="U425">
        <v>3</v>
      </c>
      <c r="V425" t="s">
        <v>38</v>
      </c>
    </row>
    <row r="426" spans="1:22" x14ac:dyDescent="0.25">
      <c r="A426" t="s">
        <v>82</v>
      </c>
      <c r="B426">
        <v>3</v>
      </c>
      <c r="C426" t="s">
        <v>66</v>
      </c>
      <c r="D426" t="s">
        <v>67</v>
      </c>
      <c r="E426" t="s">
        <v>68</v>
      </c>
      <c r="F426">
        <v>180</v>
      </c>
      <c r="G426">
        <v>1080</v>
      </c>
      <c r="H426">
        <v>-3</v>
      </c>
      <c r="I426">
        <v>1983</v>
      </c>
      <c r="J426" t="s">
        <v>59</v>
      </c>
      <c r="K426">
        <v>1482</v>
      </c>
      <c r="L426">
        <v>6.94</v>
      </c>
      <c r="M426">
        <v>5.17</v>
      </c>
      <c r="N426" s="4">
        <f t="shared" si="12"/>
        <v>3.7808426000000006E-3</v>
      </c>
      <c r="O426" s="4">
        <f t="shared" si="13"/>
        <v>1.9546956242000004E-2</v>
      </c>
      <c r="P426">
        <v>38</v>
      </c>
      <c r="Q426">
        <v>2.5</v>
      </c>
      <c r="R426">
        <v>3</v>
      </c>
      <c r="S426">
        <v>3</v>
      </c>
      <c r="T426">
        <v>4</v>
      </c>
      <c r="U426">
        <v>3.5</v>
      </c>
      <c r="V426" t="s">
        <v>30</v>
      </c>
    </row>
    <row r="427" spans="1:22" x14ac:dyDescent="0.25">
      <c r="A427" t="s">
        <v>82</v>
      </c>
      <c r="B427">
        <v>3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59</v>
      </c>
      <c r="K427">
        <v>2548</v>
      </c>
      <c r="L427">
        <v>16.25</v>
      </c>
      <c r="M427">
        <v>13.29</v>
      </c>
      <c r="N427" s="4">
        <f t="shared" si="12"/>
        <v>2.0728906250000002E-2</v>
      </c>
      <c r="O427" s="4">
        <f t="shared" si="13"/>
        <v>0.27548716406250001</v>
      </c>
      <c r="P427">
        <v>13</v>
      </c>
      <c r="Q427">
        <v>3</v>
      </c>
      <c r="R427">
        <v>4</v>
      </c>
      <c r="S427">
        <v>4</v>
      </c>
      <c r="T427">
        <v>3.5</v>
      </c>
      <c r="U427">
        <v>3</v>
      </c>
      <c r="V427" t="s">
        <v>38</v>
      </c>
    </row>
    <row r="428" spans="1:22" x14ac:dyDescent="0.25">
      <c r="A428" t="s">
        <v>82</v>
      </c>
      <c r="B428">
        <v>3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26</v>
      </c>
      <c r="K428">
        <v>2552</v>
      </c>
      <c r="L428">
        <v>1.59</v>
      </c>
      <c r="M428">
        <v>2.89</v>
      </c>
      <c r="N428" s="4">
        <f t="shared" si="12"/>
        <v>1.9845585000000002E-4</v>
      </c>
      <c r="O428" s="4">
        <f t="shared" si="13"/>
        <v>5.7353740650000005E-4</v>
      </c>
      <c r="P428">
        <v>38</v>
      </c>
      <c r="Q428">
        <v>2.5</v>
      </c>
      <c r="R428">
        <v>3</v>
      </c>
      <c r="S428">
        <v>3</v>
      </c>
      <c r="T428">
        <v>3</v>
      </c>
      <c r="U428">
        <v>3</v>
      </c>
      <c r="V428" t="s">
        <v>30</v>
      </c>
    </row>
    <row r="429" spans="1:22" x14ac:dyDescent="0.25">
      <c r="A429" t="s">
        <v>82</v>
      </c>
      <c r="B429">
        <v>3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32</v>
      </c>
      <c r="K429">
        <v>2569</v>
      </c>
      <c r="L429">
        <v>5.32</v>
      </c>
      <c r="M429">
        <v>5.91</v>
      </c>
      <c r="N429" s="4">
        <f t="shared" si="12"/>
        <v>2.2217384000000006E-3</v>
      </c>
      <c r="O429" s="4">
        <f t="shared" si="13"/>
        <v>1.3130473944000003E-2</v>
      </c>
      <c r="P429">
        <v>50</v>
      </c>
      <c r="Q429">
        <v>3</v>
      </c>
      <c r="R429">
        <v>4</v>
      </c>
      <c r="S429">
        <v>3.5</v>
      </c>
      <c r="T429">
        <v>4</v>
      </c>
      <c r="U429">
        <v>3.5</v>
      </c>
      <c r="V429" t="s">
        <v>38</v>
      </c>
    </row>
    <row r="430" spans="1:22" x14ac:dyDescent="0.25">
      <c r="A430" t="s">
        <v>82</v>
      </c>
      <c r="B430">
        <v>3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33</v>
      </c>
      <c r="K430">
        <v>2547</v>
      </c>
      <c r="L430">
        <v>24.73</v>
      </c>
      <c r="M430">
        <v>14.19</v>
      </c>
      <c r="N430" s="4">
        <f t="shared" si="12"/>
        <v>4.8008472650000002E-2</v>
      </c>
      <c r="O430" s="4">
        <f t="shared" si="13"/>
        <v>0.68124022690349995</v>
      </c>
      <c r="P430">
        <v>88</v>
      </c>
      <c r="Q430">
        <v>4.5</v>
      </c>
      <c r="R430">
        <v>3</v>
      </c>
      <c r="S430">
        <v>3</v>
      </c>
      <c r="T430">
        <v>3</v>
      </c>
      <c r="U430">
        <v>2.8</v>
      </c>
      <c r="V430" t="s">
        <v>27</v>
      </c>
    </row>
    <row r="431" spans="1:22" x14ac:dyDescent="0.25">
      <c r="A431" t="s">
        <v>82</v>
      </c>
      <c r="B431">
        <v>3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33</v>
      </c>
      <c r="K431">
        <v>2568</v>
      </c>
      <c r="L431">
        <v>9.1300000000000008</v>
      </c>
      <c r="M431">
        <v>7.02</v>
      </c>
      <c r="N431" s="4">
        <f t="shared" si="12"/>
        <v>6.5435166500000018E-3</v>
      </c>
      <c r="O431" s="4">
        <f t="shared" si="13"/>
        <v>4.5935486883000011E-2</v>
      </c>
      <c r="P431">
        <v>13</v>
      </c>
      <c r="Q431">
        <v>2.8</v>
      </c>
      <c r="R431">
        <v>2.5</v>
      </c>
      <c r="S431">
        <v>3</v>
      </c>
      <c r="T431">
        <v>3</v>
      </c>
      <c r="U431">
        <v>2.5</v>
      </c>
      <c r="V431" t="s">
        <v>30</v>
      </c>
    </row>
    <row r="432" spans="1:22" x14ac:dyDescent="0.25">
      <c r="A432" t="s">
        <v>82</v>
      </c>
      <c r="B432">
        <v>3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34</v>
      </c>
      <c r="K432">
        <v>1522</v>
      </c>
      <c r="L432">
        <v>1.41</v>
      </c>
      <c r="M432">
        <v>2.82</v>
      </c>
      <c r="N432" s="4">
        <f t="shared" si="12"/>
        <v>1.5606585000000001E-4</v>
      </c>
      <c r="O432" s="4">
        <f t="shared" si="13"/>
        <v>4.4010569700000002E-4</v>
      </c>
      <c r="P432">
        <v>13</v>
      </c>
      <c r="Q432">
        <v>1</v>
      </c>
      <c r="R432">
        <v>3</v>
      </c>
      <c r="S432">
        <v>3</v>
      </c>
      <c r="T432">
        <v>3</v>
      </c>
      <c r="U432">
        <v>3</v>
      </c>
      <c r="V432" t="s">
        <v>50</v>
      </c>
    </row>
    <row r="433" spans="1:22" x14ac:dyDescent="0.25">
      <c r="A433" t="s">
        <v>82</v>
      </c>
      <c r="B433">
        <v>3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2.11</v>
      </c>
      <c r="M433">
        <v>3.1</v>
      </c>
      <c r="N433" s="4">
        <f t="shared" si="12"/>
        <v>3.4948984999999988E-4</v>
      </c>
      <c r="O433" s="4">
        <f t="shared" si="13"/>
        <v>1.0834185349999997E-3</v>
      </c>
      <c r="P433">
        <v>38</v>
      </c>
      <c r="Q433">
        <v>1.3</v>
      </c>
      <c r="R433">
        <v>3</v>
      </c>
      <c r="S433">
        <v>3</v>
      </c>
      <c r="T433">
        <v>3</v>
      </c>
      <c r="U433">
        <v>3</v>
      </c>
      <c r="V433" t="s">
        <v>50</v>
      </c>
    </row>
    <row r="434" spans="1:22" x14ac:dyDescent="0.25">
      <c r="A434" t="s">
        <v>82</v>
      </c>
      <c r="B434">
        <v>3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34</v>
      </c>
      <c r="K434">
        <v>2570</v>
      </c>
      <c r="L434">
        <v>21.43</v>
      </c>
      <c r="M434">
        <v>14.1</v>
      </c>
      <c r="N434" s="4">
        <f t="shared" si="12"/>
        <v>3.6050724649999998E-2</v>
      </c>
      <c r="O434" s="4">
        <f t="shared" si="13"/>
        <v>0.50831521756499998</v>
      </c>
      <c r="P434">
        <v>38</v>
      </c>
      <c r="Q434">
        <v>4</v>
      </c>
      <c r="R434">
        <v>3.5</v>
      </c>
      <c r="S434">
        <v>3</v>
      </c>
      <c r="T434">
        <v>3.5</v>
      </c>
      <c r="U434">
        <v>3</v>
      </c>
      <c r="V434" t="s">
        <v>25</v>
      </c>
    </row>
    <row r="435" spans="1:22" x14ac:dyDescent="0.25">
      <c r="A435" t="s">
        <v>82</v>
      </c>
      <c r="B435">
        <v>3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8.75</v>
      </c>
      <c r="M435">
        <v>7.27</v>
      </c>
      <c r="N435" s="4">
        <f t="shared" si="12"/>
        <v>6.0101562499999999E-3</v>
      </c>
      <c r="O435" s="4">
        <f t="shared" si="13"/>
        <v>4.3693835937499995E-2</v>
      </c>
      <c r="P435">
        <v>38</v>
      </c>
      <c r="Q435">
        <v>3.5</v>
      </c>
      <c r="R435">
        <v>2.5</v>
      </c>
      <c r="S435">
        <v>3</v>
      </c>
      <c r="T435">
        <v>4</v>
      </c>
      <c r="U435">
        <v>3.3</v>
      </c>
      <c r="V435" t="s">
        <v>30</v>
      </c>
    </row>
    <row r="436" spans="1:22" x14ac:dyDescent="0.25">
      <c r="A436" t="s">
        <v>82</v>
      </c>
      <c r="B436">
        <v>3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3.37</v>
      </c>
      <c r="M436">
        <v>3.68</v>
      </c>
      <c r="N436" s="4">
        <f t="shared" si="12"/>
        <v>8.9151664999999997E-4</v>
      </c>
      <c r="O436" s="4">
        <f t="shared" si="13"/>
        <v>3.2807812720000002E-3</v>
      </c>
      <c r="P436">
        <v>50</v>
      </c>
      <c r="Q436">
        <v>2</v>
      </c>
      <c r="R436">
        <v>2.5</v>
      </c>
      <c r="S436">
        <v>3</v>
      </c>
      <c r="T436">
        <v>4</v>
      </c>
      <c r="U436">
        <v>3</v>
      </c>
      <c r="V436" t="s">
        <v>30</v>
      </c>
    </row>
    <row r="437" spans="1:22" x14ac:dyDescent="0.25">
      <c r="A437" t="s">
        <v>82</v>
      </c>
      <c r="B437">
        <v>3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62</v>
      </c>
      <c r="K437">
        <v>2553</v>
      </c>
      <c r="L437">
        <v>8.1300000000000008</v>
      </c>
      <c r="M437">
        <v>7.99</v>
      </c>
      <c r="N437" s="4">
        <f t="shared" si="12"/>
        <v>5.188606650000001E-3</v>
      </c>
      <c r="O437" s="4">
        <f t="shared" si="13"/>
        <v>4.1456967133500007E-2</v>
      </c>
      <c r="P437">
        <v>88</v>
      </c>
      <c r="Q437">
        <v>3</v>
      </c>
      <c r="R437">
        <v>3</v>
      </c>
      <c r="S437">
        <v>3.5</v>
      </c>
      <c r="T437">
        <v>4</v>
      </c>
      <c r="U437">
        <v>4</v>
      </c>
      <c r="V437" t="s">
        <v>38</v>
      </c>
    </row>
    <row r="438" spans="1:22" x14ac:dyDescent="0.25">
      <c r="A438" t="s">
        <v>82</v>
      </c>
      <c r="B438">
        <v>3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37</v>
      </c>
      <c r="K438">
        <v>2575</v>
      </c>
      <c r="L438">
        <v>2.63</v>
      </c>
      <c r="M438">
        <v>4.5999999999999996</v>
      </c>
      <c r="N438" s="4">
        <f t="shared" si="12"/>
        <v>5.4297665000000003E-4</v>
      </c>
      <c r="O438" s="4">
        <f t="shared" si="13"/>
        <v>2.49769259E-3</v>
      </c>
      <c r="P438">
        <v>38</v>
      </c>
      <c r="Q438">
        <v>2</v>
      </c>
      <c r="R438">
        <v>1.5</v>
      </c>
      <c r="S438">
        <v>3</v>
      </c>
      <c r="T438">
        <v>3</v>
      </c>
      <c r="U438">
        <v>3</v>
      </c>
      <c r="V438" t="s">
        <v>50</v>
      </c>
    </row>
    <row r="439" spans="1:22" x14ac:dyDescent="0.25">
      <c r="A439" t="s">
        <v>83</v>
      </c>
      <c r="B439">
        <v>1</v>
      </c>
      <c r="C439" t="s">
        <v>71</v>
      </c>
      <c r="D439" t="s">
        <v>84</v>
      </c>
      <c r="E439" t="s">
        <v>85</v>
      </c>
      <c r="F439">
        <v>220</v>
      </c>
      <c r="G439">
        <v>1050</v>
      </c>
      <c r="H439">
        <v>-2</v>
      </c>
      <c r="I439">
        <v>1983</v>
      </c>
      <c r="J439" t="s">
        <v>76</v>
      </c>
      <c r="K439">
        <v>1592</v>
      </c>
      <c r="L439">
        <v>23.59</v>
      </c>
      <c r="M439">
        <v>9.8699999999999992</v>
      </c>
      <c r="N439" s="4">
        <f t="shared" si="12"/>
        <v>4.3684315850000002E-2</v>
      </c>
      <c r="O439" s="4">
        <f t="shared" si="13"/>
        <v>0.43116419743949996</v>
      </c>
      <c r="P439">
        <v>75</v>
      </c>
      <c r="Q439">
        <v>3</v>
      </c>
      <c r="R439">
        <v>4</v>
      </c>
      <c r="S439">
        <v>3</v>
      </c>
      <c r="T439">
        <v>4</v>
      </c>
      <c r="U439">
        <v>3</v>
      </c>
      <c r="V439" t="s">
        <v>25</v>
      </c>
    </row>
    <row r="440" spans="1:22" x14ac:dyDescent="0.25">
      <c r="A440" t="s">
        <v>83</v>
      </c>
      <c r="B440">
        <v>1</v>
      </c>
      <c r="C440" t="s">
        <v>71</v>
      </c>
      <c r="D440" t="s">
        <v>84</v>
      </c>
      <c r="E440" t="s">
        <v>85</v>
      </c>
      <c r="F440">
        <v>220</v>
      </c>
      <c r="G440">
        <v>1050</v>
      </c>
      <c r="H440">
        <v>-2</v>
      </c>
      <c r="I440">
        <v>1983</v>
      </c>
      <c r="J440" t="s">
        <v>76</v>
      </c>
      <c r="K440">
        <v>2560</v>
      </c>
      <c r="L440">
        <v>20.72</v>
      </c>
      <c r="M440">
        <v>8.67</v>
      </c>
      <c r="N440" s="4">
        <f t="shared" si="12"/>
        <v>3.3701494400000004E-2</v>
      </c>
      <c r="O440" s="4">
        <f t="shared" si="13"/>
        <v>0.29219195644800006</v>
      </c>
      <c r="P440">
        <v>100</v>
      </c>
      <c r="Q440">
        <v>3.5</v>
      </c>
      <c r="R440">
        <v>3.5</v>
      </c>
      <c r="S440">
        <v>2.5</v>
      </c>
      <c r="T440">
        <v>4</v>
      </c>
      <c r="U440">
        <v>4</v>
      </c>
      <c r="V440" t="s">
        <v>27</v>
      </c>
    </row>
    <row r="441" spans="1:22" x14ac:dyDescent="0.25">
      <c r="A441" t="s">
        <v>83</v>
      </c>
      <c r="B441">
        <v>1</v>
      </c>
      <c r="C441" t="s">
        <v>71</v>
      </c>
      <c r="D441" t="s">
        <v>84</v>
      </c>
      <c r="E441" t="s">
        <v>85</v>
      </c>
      <c r="F441">
        <v>220</v>
      </c>
      <c r="G441">
        <v>1050</v>
      </c>
      <c r="H441">
        <v>-2</v>
      </c>
      <c r="I441">
        <v>1983</v>
      </c>
      <c r="J441" t="s">
        <v>24</v>
      </c>
      <c r="K441">
        <v>2562</v>
      </c>
      <c r="L441">
        <v>19.64</v>
      </c>
      <c r="M441">
        <v>11.02</v>
      </c>
      <c r="N441" s="4">
        <f t="shared" si="12"/>
        <v>3.0279773600000011E-2</v>
      </c>
      <c r="O441" s="4">
        <f t="shared" si="13"/>
        <v>0.33368310507200011</v>
      </c>
      <c r="P441">
        <v>100</v>
      </c>
      <c r="Q441">
        <v>4</v>
      </c>
      <c r="R441">
        <v>3</v>
      </c>
      <c r="S441">
        <v>3</v>
      </c>
      <c r="T441">
        <v>3</v>
      </c>
      <c r="U441">
        <v>3</v>
      </c>
      <c r="V441" t="s">
        <v>25</v>
      </c>
    </row>
    <row r="442" spans="1:22" x14ac:dyDescent="0.25">
      <c r="A442" t="s">
        <v>83</v>
      </c>
      <c r="B442">
        <v>1</v>
      </c>
      <c r="C442" t="s">
        <v>71</v>
      </c>
      <c r="D442" t="s">
        <v>84</v>
      </c>
      <c r="E442" t="s">
        <v>85</v>
      </c>
      <c r="F442">
        <v>220</v>
      </c>
      <c r="G442">
        <v>1050</v>
      </c>
      <c r="H442">
        <v>-2</v>
      </c>
      <c r="I442">
        <v>1983</v>
      </c>
      <c r="J442" t="s">
        <v>80</v>
      </c>
      <c r="K442">
        <v>1252</v>
      </c>
      <c r="L442">
        <v>14.13</v>
      </c>
      <c r="M442">
        <v>8.85</v>
      </c>
      <c r="N442" s="4">
        <f t="shared" si="12"/>
        <v>1.5673066650000001E-2</v>
      </c>
      <c r="O442" s="4">
        <f t="shared" si="13"/>
        <v>0.13870663985250001</v>
      </c>
      <c r="P442">
        <v>100</v>
      </c>
      <c r="Q442">
        <v>3</v>
      </c>
      <c r="R442">
        <v>2.5</v>
      </c>
      <c r="S442">
        <v>1.5</v>
      </c>
      <c r="T442">
        <v>2</v>
      </c>
      <c r="U442">
        <v>2</v>
      </c>
      <c r="V442" t="s">
        <v>30</v>
      </c>
    </row>
    <row r="443" spans="1:22" x14ac:dyDescent="0.25">
      <c r="A443" t="s">
        <v>83</v>
      </c>
      <c r="B443">
        <v>1</v>
      </c>
      <c r="C443" t="s">
        <v>71</v>
      </c>
      <c r="D443" t="s">
        <v>84</v>
      </c>
      <c r="E443" t="s">
        <v>85</v>
      </c>
      <c r="F443">
        <v>220</v>
      </c>
      <c r="G443">
        <v>1050</v>
      </c>
      <c r="H443">
        <v>-2</v>
      </c>
      <c r="I443">
        <v>1983</v>
      </c>
      <c r="J443" t="s">
        <v>59</v>
      </c>
      <c r="K443">
        <v>1482</v>
      </c>
      <c r="L443">
        <v>22.62</v>
      </c>
      <c r="M443">
        <v>8.83</v>
      </c>
      <c r="N443" s="4">
        <f t="shared" si="12"/>
        <v>4.0165655400000007E-2</v>
      </c>
      <c r="O443" s="4">
        <f t="shared" si="13"/>
        <v>0.35466273718200009</v>
      </c>
      <c r="P443">
        <v>88</v>
      </c>
      <c r="Q443">
        <v>2</v>
      </c>
      <c r="R443">
        <v>3</v>
      </c>
      <c r="S443">
        <v>3</v>
      </c>
      <c r="T443">
        <v>3</v>
      </c>
      <c r="U443">
        <v>3</v>
      </c>
      <c r="V443" t="s">
        <v>30</v>
      </c>
    </row>
    <row r="444" spans="1:22" x14ac:dyDescent="0.25">
      <c r="A444" t="s">
        <v>83</v>
      </c>
      <c r="B444">
        <v>1</v>
      </c>
      <c r="C444" t="s">
        <v>71</v>
      </c>
      <c r="D444" t="s">
        <v>84</v>
      </c>
      <c r="E444" t="s">
        <v>85</v>
      </c>
      <c r="F444">
        <v>220</v>
      </c>
      <c r="G444">
        <v>1050</v>
      </c>
      <c r="H444">
        <v>-2</v>
      </c>
      <c r="I444">
        <v>1983</v>
      </c>
      <c r="J444" t="s">
        <v>59</v>
      </c>
      <c r="K444">
        <v>2548</v>
      </c>
      <c r="L444">
        <v>15.98</v>
      </c>
      <c r="M444">
        <v>6.24</v>
      </c>
      <c r="N444" s="4">
        <f t="shared" si="12"/>
        <v>2.0045791399999999E-2</v>
      </c>
      <c r="O444" s="4">
        <f t="shared" si="13"/>
        <v>0.12508573833600001</v>
      </c>
      <c r="P444">
        <v>63</v>
      </c>
      <c r="Q444">
        <v>3.5</v>
      </c>
      <c r="R444">
        <v>4</v>
      </c>
      <c r="S444">
        <v>2.8</v>
      </c>
      <c r="T444">
        <v>2.8</v>
      </c>
      <c r="U444">
        <v>2.5</v>
      </c>
      <c r="V444" t="s">
        <v>38</v>
      </c>
    </row>
    <row r="445" spans="1:22" x14ac:dyDescent="0.25">
      <c r="A445" t="s">
        <v>83</v>
      </c>
      <c r="B445">
        <v>1</v>
      </c>
      <c r="C445" t="s">
        <v>71</v>
      </c>
      <c r="D445" t="s">
        <v>84</v>
      </c>
      <c r="E445" t="s">
        <v>85</v>
      </c>
      <c r="F445">
        <v>220</v>
      </c>
      <c r="G445">
        <v>1050</v>
      </c>
      <c r="H445">
        <v>-2</v>
      </c>
      <c r="I445">
        <v>1983</v>
      </c>
      <c r="J445" t="s">
        <v>32</v>
      </c>
      <c r="K445">
        <v>1596</v>
      </c>
      <c r="L445">
        <v>16.18</v>
      </c>
      <c r="M445">
        <v>7.67</v>
      </c>
      <c r="N445" s="4">
        <f t="shared" si="12"/>
        <v>2.0550703400000002E-2</v>
      </c>
      <c r="O445" s="4">
        <f t="shared" si="13"/>
        <v>0.15762389507800001</v>
      </c>
      <c r="P445">
        <v>88</v>
      </c>
      <c r="Q445">
        <v>3.5</v>
      </c>
      <c r="R445">
        <v>3</v>
      </c>
      <c r="S445">
        <v>2.5</v>
      </c>
      <c r="T445">
        <v>4</v>
      </c>
      <c r="U445">
        <v>3</v>
      </c>
      <c r="V445" t="s">
        <v>27</v>
      </c>
    </row>
    <row r="446" spans="1:22" x14ac:dyDescent="0.25">
      <c r="A446" t="s">
        <v>83</v>
      </c>
      <c r="B446">
        <v>1</v>
      </c>
      <c r="C446" t="s">
        <v>71</v>
      </c>
      <c r="D446" t="s">
        <v>84</v>
      </c>
      <c r="E446" t="s">
        <v>85</v>
      </c>
      <c r="F446">
        <v>220</v>
      </c>
      <c r="G446">
        <v>1050</v>
      </c>
      <c r="H446">
        <v>-2</v>
      </c>
      <c r="I446">
        <v>1983</v>
      </c>
      <c r="J446" t="s">
        <v>32</v>
      </c>
      <c r="K446">
        <v>2569</v>
      </c>
      <c r="L446">
        <v>18.440000000000001</v>
      </c>
      <c r="M446">
        <v>8.74</v>
      </c>
      <c r="N446" s="4">
        <f t="shared" si="12"/>
        <v>2.6692637600000003E-2</v>
      </c>
      <c r="O446" s="4">
        <f t="shared" si="13"/>
        <v>0.23329365262400004</v>
      </c>
      <c r="P446">
        <v>100</v>
      </c>
      <c r="Q446">
        <v>3.5</v>
      </c>
      <c r="R446">
        <v>3.5</v>
      </c>
      <c r="S446">
        <v>2.8</v>
      </c>
      <c r="T446">
        <v>4</v>
      </c>
      <c r="U446">
        <v>2.8</v>
      </c>
      <c r="V446" t="s">
        <v>25</v>
      </c>
    </row>
    <row r="447" spans="1:22" x14ac:dyDescent="0.25">
      <c r="A447" t="s">
        <v>83</v>
      </c>
      <c r="B447">
        <v>1</v>
      </c>
      <c r="C447" t="s">
        <v>71</v>
      </c>
      <c r="D447" t="s">
        <v>84</v>
      </c>
      <c r="E447" t="s">
        <v>85</v>
      </c>
      <c r="F447">
        <v>220</v>
      </c>
      <c r="G447">
        <v>1050</v>
      </c>
      <c r="H447">
        <v>-2</v>
      </c>
      <c r="I447">
        <v>1983</v>
      </c>
      <c r="J447" t="s">
        <v>33</v>
      </c>
      <c r="K447">
        <v>2547</v>
      </c>
      <c r="L447">
        <v>21.25</v>
      </c>
      <c r="M447">
        <v>9.6199999999999992</v>
      </c>
      <c r="N447" s="4">
        <f t="shared" si="12"/>
        <v>3.5447656250000001E-2</v>
      </c>
      <c r="O447" s="4">
        <f t="shared" si="13"/>
        <v>0.341006453125</v>
      </c>
      <c r="P447">
        <v>100</v>
      </c>
      <c r="Q447">
        <v>3.5</v>
      </c>
      <c r="R447">
        <v>2.5</v>
      </c>
      <c r="S447">
        <v>3</v>
      </c>
      <c r="T447">
        <v>3</v>
      </c>
      <c r="U447">
        <v>2</v>
      </c>
      <c r="V447" t="s">
        <v>25</v>
      </c>
    </row>
    <row r="448" spans="1:22" x14ac:dyDescent="0.25">
      <c r="A448" t="s">
        <v>83</v>
      </c>
      <c r="B448">
        <v>1</v>
      </c>
      <c r="C448" t="s">
        <v>71</v>
      </c>
      <c r="D448" t="s">
        <v>84</v>
      </c>
      <c r="E448" t="s">
        <v>85</v>
      </c>
      <c r="F448">
        <v>220</v>
      </c>
      <c r="G448">
        <v>1050</v>
      </c>
      <c r="H448">
        <v>-2</v>
      </c>
      <c r="I448">
        <v>1983</v>
      </c>
      <c r="J448" t="s">
        <v>33</v>
      </c>
      <c r="K448">
        <v>2568</v>
      </c>
      <c r="L448">
        <v>16.7</v>
      </c>
      <c r="M448">
        <v>7.64</v>
      </c>
      <c r="N448" s="4">
        <f t="shared" si="12"/>
        <v>2.1892864999999997E-2</v>
      </c>
      <c r="O448" s="4">
        <f t="shared" si="13"/>
        <v>0.16726148859999998</v>
      </c>
      <c r="P448">
        <v>100</v>
      </c>
      <c r="Q448">
        <v>3.5</v>
      </c>
      <c r="R448">
        <v>2.8</v>
      </c>
      <c r="S448">
        <v>3</v>
      </c>
      <c r="T448">
        <v>3</v>
      </c>
      <c r="U448">
        <v>2</v>
      </c>
      <c r="V448" t="s">
        <v>25</v>
      </c>
    </row>
    <row r="449" spans="1:22" x14ac:dyDescent="0.25">
      <c r="A449" t="s">
        <v>83</v>
      </c>
      <c r="B449">
        <v>1</v>
      </c>
      <c r="C449" t="s">
        <v>71</v>
      </c>
      <c r="D449" t="s">
        <v>84</v>
      </c>
      <c r="E449" t="s">
        <v>85</v>
      </c>
      <c r="F449">
        <v>220</v>
      </c>
      <c r="G449">
        <v>1050</v>
      </c>
      <c r="H449">
        <v>-2</v>
      </c>
      <c r="I449">
        <v>1983</v>
      </c>
      <c r="J449" t="s">
        <v>34</v>
      </c>
      <c r="K449">
        <v>1522</v>
      </c>
      <c r="L449">
        <v>15.73</v>
      </c>
      <c r="M449">
        <v>7.8</v>
      </c>
      <c r="N449" s="4">
        <f t="shared" si="12"/>
        <v>1.9423482650000001E-2</v>
      </c>
      <c r="O449" s="4">
        <f t="shared" si="13"/>
        <v>0.15150316467</v>
      </c>
      <c r="P449">
        <v>88</v>
      </c>
      <c r="Q449">
        <v>3.5</v>
      </c>
      <c r="R449">
        <v>2.8</v>
      </c>
      <c r="S449">
        <v>3</v>
      </c>
      <c r="T449">
        <v>3.5</v>
      </c>
      <c r="U449">
        <v>3.5</v>
      </c>
      <c r="V449" t="s">
        <v>27</v>
      </c>
    </row>
    <row r="450" spans="1:22" x14ac:dyDescent="0.25">
      <c r="A450" t="s">
        <v>83</v>
      </c>
      <c r="B450">
        <v>1</v>
      </c>
      <c r="C450" t="s">
        <v>71</v>
      </c>
      <c r="D450" t="s">
        <v>84</v>
      </c>
      <c r="E450" t="s">
        <v>85</v>
      </c>
      <c r="F450">
        <v>220</v>
      </c>
      <c r="G450">
        <v>1050</v>
      </c>
      <c r="H450">
        <v>-2</v>
      </c>
      <c r="I450">
        <v>1983</v>
      </c>
      <c r="J450" t="s">
        <v>34</v>
      </c>
      <c r="K450">
        <v>2570</v>
      </c>
      <c r="L450">
        <v>16.55</v>
      </c>
      <c r="M450">
        <v>8.2100000000000009</v>
      </c>
      <c r="N450" s="4">
        <f t="shared" si="12"/>
        <v>2.1501346250000001E-2</v>
      </c>
      <c r="O450" s="4">
        <f t="shared" si="13"/>
        <v>0.17652605271250002</v>
      </c>
      <c r="P450">
        <v>100</v>
      </c>
      <c r="Q450">
        <v>3.5</v>
      </c>
      <c r="R450">
        <v>3</v>
      </c>
      <c r="S450">
        <v>3.5</v>
      </c>
      <c r="T450">
        <v>3.3</v>
      </c>
      <c r="U450">
        <v>3</v>
      </c>
      <c r="V450" t="s">
        <v>25</v>
      </c>
    </row>
    <row r="451" spans="1:22" x14ac:dyDescent="0.25">
      <c r="A451" t="s">
        <v>83</v>
      </c>
      <c r="B451">
        <v>1</v>
      </c>
      <c r="C451" t="s">
        <v>71</v>
      </c>
      <c r="D451" t="s">
        <v>84</v>
      </c>
      <c r="E451" t="s">
        <v>85</v>
      </c>
      <c r="F451">
        <v>220</v>
      </c>
      <c r="G451">
        <v>1050</v>
      </c>
      <c r="H451">
        <v>-2</v>
      </c>
      <c r="I451">
        <v>1983</v>
      </c>
      <c r="J451" t="s">
        <v>35</v>
      </c>
      <c r="K451">
        <v>2571</v>
      </c>
      <c r="L451">
        <v>13.67</v>
      </c>
      <c r="M451">
        <v>5.24</v>
      </c>
      <c r="N451" s="4">
        <f t="shared" ref="N451:N514" si="14">3.14/4*((L451/100)^2)</f>
        <v>1.466920865E-2</v>
      </c>
      <c r="O451" s="4">
        <f t="shared" ref="O451:O514" si="15">3.14/4*((L451/100)^2)*M451</f>
        <v>7.6866653325999998E-2</v>
      </c>
      <c r="P451">
        <v>63</v>
      </c>
      <c r="Q451">
        <v>2.5</v>
      </c>
      <c r="R451">
        <v>2</v>
      </c>
      <c r="S451">
        <v>2.5</v>
      </c>
      <c r="T451">
        <v>3.3</v>
      </c>
      <c r="U451">
        <v>3</v>
      </c>
      <c r="V451" t="s">
        <v>25</v>
      </c>
    </row>
    <row r="452" spans="1:22" x14ac:dyDescent="0.25">
      <c r="A452" t="s">
        <v>83</v>
      </c>
      <c r="B452">
        <v>1</v>
      </c>
      <c r="C452" t="s">
        <v>71</v>
      </c>
      <c r="D452" t="s">
        <v>84</v>
      </c>
      <c r="E452" t="s">
        <v>85</v>
      </c>
      <c r="F452">
        <v>220</v>
      </c>
      <c r="G452">
        <v>1050</v>
      </c>
      <c r="H452">
        <v>-2</v>
      </c>
      <c r="I452">
        <v>1983</v>
      </c>
      <c r="J452" t="s">
        <v>81</v>
      </c>
      <c r="K452">
        <v>2750</v>
      </c>
      <c r="L452">
        <v>12.8</v>
      </c>
      <c r="M452">
        <v>7.25</v>
      </c>
      <c r="N452" s="4">
        <f t="shared" si="14"/>
        <v>1.286144E-2</v>
      </c>
      <c r="O452" s="4">
        <f t="shared" si="15"/>
        <v>9.3245439999999999E-2</v>
      </c>
      <c r="P452">
        <v>50</v>
      </c>
      <c r="Q452">
        <v>2.2999999999999998</v>
      </c>
      <c r="R452">
        <v>4.5</v>
      </c>
      <c r="S452">
        <v>2.5</v>
      </c>
      <c r="T452">
        <v>3</v>
      </c>
      <c r="U452">
        <v>3</v>
      </c>
      <c r="V452" t="s">
        <v>38</v>
      </c>
    </row>
    <row r="453" spans="1:22" x14ac:dyDescent="0.25">
      <c r="A453" t="s">
        <v>83</v>
      </c>
      <c r="B453">
        <v>1</v>
      </c>
      <c r="C453" t="s">
        <v>71</v>
      </c>
      <c r="D453" t="s">
        <v>84</v>
      </c>
      <c r="E453" t="s">
        <v>85</v>
      </c>
      <c r="F453">
        <v>220</v>
      </c>
      <c r="G453">
        <v>1050</v>
      </c>
      <c r="H453">
        <v>-2</v>
      </c>
      <c r="I453">
        <v>1983</v>
      </c>
      <c r="J453" t="s">
        <v>62</v>
      </c>
      <c r="K453">
        <v>2553</v>
      </c>
      <c r="L453">
        <v>20.82</v>
      </c>
      <c r="M453">
        <v>11.37</v>
      </c>
      <c r="N453" s="4">
        <f t="shared" si="14"/>
        <v>3.4027583399999999E-2</v>
      </c>
      <c r="O453" s="4">
        <f t="shared" si="15"/>
        <v>0.38689362325799997</v>
      </c>
      <c r="P453">
        <v>88</v>
      </c>
      <c r="Q453">
        <v>2.5</v>
      </c>
      <c r="R453">
        <v>3.3</v>
      </c>
      <c r="S453">
        <v>3.3</v>
      </c>
      <c r="T453">
        <v>3</v>
      </c>
      <c r="U453">
        <v>2.2999999999999998</v>
      </c>
      <c r="V453" t="s">
        <v>38</v>
      </c>
    </row>
    <row r="454" spans="1:22" x14ac:dyDescent="0.25">
      <c r="A454" t="s">
        <v>83</v>
      </c>
      <c r="B454">
        <v>1</v>
      </c>
      <c r="C454" t="s">
        <v>71</v>
      </c>
      <c r="D454" t="s">
        <v>84</v>
      </c>
      <c r="E454" t="s">
        <v>85</v>
      </c>
      <c r="F454">
        <v>220</v>
      </c>
      <c r="G454">
        <v>1050</v>
      </c>
      <c r="H454">
        <v>-2</v>
      </c>
      <c r="I454">
        <v>1983</v>
      </c>
      <c r="J454" t="s">
        <v>37</v>
      </c>
      <c r="K454">
        <v>2575</v>
      </c>
      <c r="L454">
        <v>6.65</v>
      </c>
      <c r="M454">
        <v>5.08</v>
      </c>
      <c r="N454" s="4">
        <f t="shared" si="14"/>
        <v>3.4714662500000006E-3</v>
      </c>
      <c r="O454" s="4">
        <f t="shared" si="15"/>
        <v>1.7635048550000004E-2</v>
      </c>
      <c r="P454">
        <v>88</v>
      </c>
      <c r="Q454">
        <v>2.5</v>
      </c>
      <c r="R454">
        <v>2.5</v>
      </c>
      <c r="S454">
        <v>2.5</v>
      </c>
      <c r="T454">
        <v>3</v>
      </c>
      <c r="U454">
        <v>3</v>
      </c>
      <c r="V454" t="s">
        <v>38</v>
      </c>
    </row>
    <row r="455" spans="1:22" x14ac:dyDescent="0.25">
      <c r="A455" t="s">
        <v>83</v>
      </c>
      <c r="B455">
        <v>1</v>
      </c>
      <c r="C455" t="s">
        <v>71</v>
      </c>
      <c r="D455" t="s">
        <v>84</v>
      </c>
      <c r="E455" t="s">
        <v>85</v>
      </c>
      <c r="F455">
        <v>220</v>
      </c>
      <c r="G455">
        <v>1050</v>
      </c>
      <c r="H455">
        <v>-2</v>
      </c>
      <c r="I455">
        <v>1983</v>
      </c>
      <c r="J455" t="s">
        <v>26</v>
      </c>
      <c r="K455">
        <v>2552</v>
      </c>
      <c r="L455">
        <v>18.88</v>
      </c>
      <c r="M455">
        <v>9.59</v>
      </c>
      <c r="N455" s="4">
        <f t="shared" si="14"/>
        <v>2.7981670400000002E-2</v>
      </c>
      <c r="O455" s="4">
        <f t="shared" si="15"/>
        <v>0.26834421913600004</v>
      </c>
      <c r="P455">
        <v>75</v>
      </c>
      <c r="Q455">
        <v>3</v>
      </c>
      <c r="R455">
        <v>3</v>
      </c>
      <c r="S455">
        <v>3</v>
      </c>
      <c r="T455">
        <v>3.3</v>
      </c>
      <c r="U455">
        <v>3</v>
      </c>
      <c r="V455" t="s">
        <v>25</v>
      </c>
    </row>
    <row r="456" spans="1:22" x14ac:dyDescent="0.25">
      <c r="A456" t="s">
        <v>83</v>
      </c>
      <c r="B456">
        <v>2</v>
      </c>
      <c r="C456" t="s">
        <v>71</v>
      </c>
      <c r="D456" t="s">
        <v>84</v>
      </c>
      <c r="E456" t="s">
        <v>85</v>
      </c>
      <c r="F456">
        <v>220</v>
      </c>
      <c r="G456">
        <v>1050</v>
      </c>
      <c r="H456">
        <v>-2</v>
      </c>
      <c r="I456">
        <v>1983</v>
      </c>
      <c r="J456" t="s">
        <v>76</v>
      </c>
      <c r="K456">
        <v>1592</v>
      </c>
      <c r="L456">
        <v>24.3</v>
      </c>
      <c r="M456">
        <v>10.49</v>
      </c>
      <c r="N456" s="4">
        <f t="shared" si="14"/>
        <v>4.6353464999999996E-2</v>
      </c>
      <c r="O456" s="4">
        <f t="shared" si="15"/>
        <v>0.48624784784999997</v>
      </c>
      <c r="P456">
        <v>50</v>
      </c>
      <c r="Q456">
        <v>3.5</v>
      </c>
      <c r="R456">
        <v>3</v>
      </c>
      <c r="S456">
        <v>3</v>
      </c>
      <c r="T456">
        <v>4</v>
      </c>
      <c r="U456">
        <v>2.5</v>
      </c>
      <c r="V456" t="s">
        <v>25</v>
      </c>
    </row>
    <row r="457" spans="1:22" x14ac:dyDescent="0.25">
      <c r="A457" t="s">
        <v>83</v>
      </c>
      <c r="B457">
        <v>2</v>
      </c>
      <c r="C457" t="s">
        <v>71</v>
      </c>
      <c r="D457" t="s">
        <v>84</v>
      </c>
      <c r="E457" t="s">
        <v>85</v>
      </c>
      <c r="F457">
        <v>220</v>
      </c>
      <c r="G457">
        <v>1050</v>
      </c>
      <c r="H457">
        <v>-2</v>
      </c>
      <c r="I457">
        <v>1983</v>
      </c>
      <c r="J457" t="s">
        <v>76</v>
      </c>
      <c r="K457">
        <v>2560</v>
      </c>
      <c r="L457">
        <v>16.5</v>
      </c>
      <c r="M457">
        <v>7.08</v>
      </c>
      <c r="N457" s="4">
        <f t="shared" si="14"/>
        <v>2.1371625000000002E-2</v>
      </c>
      <c r="O457" s="4">
        <f t="shared" si="15"/>
        <v>0.151311105</v>
      </c>
      <c r="P457">
        <v>75</v>
      </c>
      <c r="Q457">
        <v>3</v>
      </c>
      <c r="R457">
        <v>3.5</v>
      </c>
      <c r="S457">
        <v>2.5</v>
      </c>
      <c r="T457">
        <v>4</v>
      </c>
      <c r="U457">
        <v>3</v>
      </c>
      <c r="V457" t="s">
        <v>25</v>
      </c>
    </row>
    <row r="458" spans="1:22" x14ac:dyDescent="0.25">
      <c r="A458" t="s">
        <v>83</v>
      </c>
      <c r="B458">
        <v>2</v>
      </c>
      <c r="C458" t="s">
        <v>71</v>
      </c>
      <c r="D458" t="s">
        <v>84</v>
      </c>
      <c r="E458" t="s">
        <v>85</v>
      </c>
      <c r="F458">
        <v>220</v>
      </c>
      <c r="G458">
        <v>1050</v>
      </c>
      <c r="H458">
        <v>-2</v>
      </c>
      <c r="I458">
        <v>1983</v>
      </c>
      <c r="J458" t="s">
        <v>24</v>
      </c>
      <c r="K458">
        <v>2562</v>
      </c>
      <c r="L458">
        <v>17.62</v>
      </c>
      <c r="M458">
        <v>9.9</v>
      </c>
      <c r="N458" s="4">
        <f t="shared" si="14"/>
        <v>2.4371455400000009E-2</v>
      </c>
      <c r="O458" s="4">
        <f t="shared" si="15"/>
        <v>0.24127740846000009</v>
      </c>
      <c r="P458">
        <v>88</v>
      </c>
      <c r="Q458">
        <v>3.3</v>
      </c>
      <c r="R458">
        <v>3.3</v>
      </c>
      <c r="S458">
        <v>3</v>
      </c>
      <c r="T458">
        <v>3.5</v>
      </c>
      <c r="U458">
        <v>3.3</v>
      </c>
      <c r="V458" t="s">
        <v>25</v>
      </c>
    </row>
    <row r="459" spans="1:22" x14ac:dyDescent="0.25">
      <c r="A459" t="s">
        <v>83</v>
      </c>
      <c r="B459">
        <v>2</v>
      </c>
      <c r="C459" t="s">
        <v>71</v>
      </c>
      <c r="D459" t="s">
        <v>84</v>
      </c>
      <c r="E459" t="s">
        <v>85</v>
      </c>
      <c r="F459">
        <v>220</v>
      </c>
      <c r="G459">
        <v>1050</v>
      </c>
      <c r="H459">
        <v>-2</v>
      </c>
      <c r="I459">
        <v>1983</v>
      </c>
      <c r="J459" t="s">
        <v>80</v>
      </c>
      <c r="K459">
        <v>1252</v>
      </c>
      <c r="L459">
        <v>12.52</v>
      </c>
      <c r="M459">
        <v>9.23</v>
      </c>
      <c r="N459" s="4">
        <f t="shared" si="14"/>
        <v>1.2304906400000001E-2</v>
      </c>
      <c r="O459" s="4">
        <f t="shared" si="15"/>
        <v>0.11357428607200001</v>
      </c>
      <c r="P459">
        <v>100</v>
      </c>
      <c r="Q459">
        <v>3</v>
      </c>
      <c r="R459">
        <v>2.8</v>
      </c>
      <c r="S459">
        <v>2</v>
      </c>
      <c r="T459">
        <v>2.8</v>
      </c>
      <c r="U459">
        <v>2</v>
      </c>
      <c r="V459" t="s">
        <v>30</v>
      </c>
    </row>
    <row r="460" spans="1:22" x14ac:dyDescent="0.25">
      <c r="A460" t="s">
        <v>83</v>
      </c>
      <c r="B460">
        <v>2</v>
      </c>
      <c r="C460" t="s">
        <v>71</v>
      </c>
      <c r="D460" t="s">
        <v>84</v>
      </c>
      <c r="E460" t="s">
        <v>85</v>
      </c>
      <c r="F460">
        <v>220</v>
      </c>
      <c r="G460">
        <v>1050</v>
      </c>
      <c r="H460">
        <v>-2</v>
      </c>
      <c r="I460">
        <v>1983</v>
      </c>
      <c r="J460" t="s">
        <v>59</v>
      </c>
      <c r="K460">
        <v>1482</v>
      </c>
      <c r="L460">
        <v>21.8</v>
      </c>
      <c r="M460">
        <v>8.52</v>
      </c>
      <c r="N460" s="4">
        <f t="shared" si="14"/>
        <v>3.730634E-2</v>
      </c>
      <c r="O460" s="4">
        <f t="shared" si="15"/>
        <v>0.31785001679999997</v>
      </c>
      <c r="P460">
        <v>100</v>
      </c>
      <c r="Q460">
        <v>2</v>
      </c>
      <c r="R460">
        <v>3</v>
      </c>
      <c r="S460">
        <v>3</v>
      </c>
      <c r="T460">
        <v>3</v>
      </c>
      <c r="U460">
        <v>3</v>
      </c>
      <c r="V460" t="s">
        <v>50</v>
      </c>
    </row>
    <row r="461" spans="1:22" x14ac:dyDescent="0.25">
      <c r="A461" t="s">
        <v>83</v>
      </c>
      <c r="B461">
        <v>2</v>
      </c>
      <c r="C461" t="s">
        <v>71</v>
      </c>
      <c r="D461" t="s">
        <v>84</v>
      </c>
      <c r="E461" t="s">
        <v>85</v>
      </c>
      <c r="F461">
        <v>220</v>
      </c>
      <c r="G461">
        <v>1050</v>
      </c>
      <c r="H461">
        <v>-2</v>
      </c>
      <c r="I461">
        <v>1983</v>
      </c>
      <c r="J461" t="s">
        <v>59</v>
      </c>
      <c r="K461">
        <v>2548</v>
      </c>
      <c r="L461">
        <v>13.7</v>
      </c>
      <c r="M461">
        <v>5.35</v>
      </c>
      <c r="N461" s="4">
        <f t="shared" si="14"/>
        <v>1.4733664999999996E-2</v>
      </c>
      <c r="O461" s="4">
        <f t="shared" si="15"/>
        <v>7.882510774999997E-2</v>
      </c>
      <c r="P461">
        <v>88</v>
      </c>
      <c r="Q461">
        <v>4</v>
      </c>
      <c r="R461">
        <v>3</v>
      </c>
      <c r="S461">
        <v>2</v>
      </c>
      <c r="T461">
        <v>3</v>
      </c>
      <c r="U461">
        <v>1.5</v>
      </c>
      <c r="V461" t="s">
        <v>25</v>
      </c>
    </row>
    <row r="462" spans="1:22" x14ac:dyDescent="0.25">
      <c r="A462" t="s">
        <v>83</v>
      </c>
      <c r="B462">
        <v>2</v>
      </c>
      <c r="C462" t="s">
        <v>71</v>
      </c>
      <c r="D462" t="s">
        <v>84</v>
      </c>
      <c r="E462" t="s">
        <v>85</v>
      </c>
      <c r="F462">
        <v>220</v>
      </c>
      <c r="G462">
        <v>1050</v>
      </c>
      <c r="H462">
        <v>-2</v>
      </c>
      <c r="I462">
        <v>1983</v>
      </c>
      <c r="J462" t="s">
        <v>32</v>
      </c>
      <c r="K462">
        <v>1596</v>
      </c>
      <c r="L462">
        <v>10.97</v>
      </c>
      <c r="M462">
        <v>5.2</v>
      </c>
      <c r="N462" s="4">
        <f t="shared" si="14"/>
        <v>9.4467606500000002E-3</v>
      </c>
      <c r="O462" s="4">
        <f t="shared" si="15"/>
        <v>4.9123155380000005E-2</v>
      </c>
      <c r="P462">
        <v>50</v>
      </c>
      <c r="Q462">
        <v>3.3</v>
      </c>
      <c r="R462">
        <v>3</v>
      </c>
      <c r="S462">
        <v>3.3</v>
      </c>
      <c r="T462">
        <v>4</v>
      </c>
      <c r="U462">
        <v>3.5</v>
      </c>
      <c r="V462" t="s">
        <v>25</v>
      </c>
    </row>
    <row r="463" spans="1:22" x14ac:dyDescent="0.25">
      <c r="A463" t="s">
        <v>83</v>
      </c>
      <c r="B463">
        <v>2</v>
      </c>
      <c r="C463" t="s">
        <v>71</v>
      </c>
      <c r="D463" t="s">
        <v>84</v>
      </c>
      <c r="E463" t="s">
        <v>85</v>
      </c>
      <c r="F463">
        <v>220</v>
      </c>
      <c r="G463">
        <v>1050</v>
      </c>
      <c r="H463">
        <v>-2</v>
      </c>
      <c r="I463">
        <v>1983</v>
      </c>
      <c r="J463" t="s">
        <v>32</v>
      </c>
      <c r="K463">
        <v>2569</v>
      </c>
      <c r="L463">
        <v>20.86</v>
      </c>
      <c r="M463">
        <v>9.89</v>
      </c>
      <c r="N463" s="4">
        <f t="shared" si="14"/>
        <v>3.4158458600000004E-2</v>
      </c>
      <c r="O463" s="4">
        <f t="shared" si="15"/>
        <v>0.33782715555400006</v>
      </c>
      <c r="P463">
        <v>25</v>
      </c>
      <c r="Q463">
        <v>1.5</v>
      </c>
      <c r="R463">
        <v>3</v>
      </c>
      <c r="S463">
        <v>3</v>
      </c>
      <c r="T463">
        <v>3</v>
      </c>
      <c r="U463">
        <v>3</v>
      </c>
      <c r="V463" t="s">
        <v>50</v>
      </c>
    </row>
    <row r="464" spans="1:22" x14ac:dyDescent="0.25">
      <c r="A464" t="s">
        <v>83</v>
      </c>
      <c r="B464">
        <v>2</v>
      </c>
      <c r="C464" t="s">
        <v>71</v>
      </c>
      <c r="D464" t="s">
        <v>84</v>
      </c>
      <c r="E464" t="s">
        <v>85</v>
      </c>
      <c r="F464">
        <v>220</v>
      </c>
      <c r="G464">
        <v>1050</v>
      </c>
      <c r="H464">
        <v>-2</v>
      </c>
      <c r="I464">
        <v>1983</v>
      </c>
      <c r="J464" t="s">
        <v>33</v>
      </c>
      <c r="K464">
        <v>2547</v>
      </c>
      <c r="L464">
        <v>20.309999999999999</v>
      </c>
      <c r="M464">
        <v>9.27</v>
      </c>
      <c r="N464" s="4">
        <f t="shared" si="14"/>
        <v>3.2380943849999996E-2</v>
      </c>
      <c r="O464" s="4">
        <f t="shared" si="15"/>
        <v>0.30017134948949997</v>
      </c>
      <c r="P464">
        <v>100</v>
      </c>
      <c r="Q464">
        <v>4</v>
      </c>
      <c r="R464">
        <v>2.5</v>
      </c>
      <c r="S464">
        <v>2.8</v>
      </c>
      <c r="T464">
        <v>2.5</v>
      </c>
      <c r="U464">
        <v>2.5</v>
      </c>
      <c r="V464" t="s">
        <v>25</v>
      </c>
    </row>
    <row r="465" spans="1:22" x14ac:dyDescent="0.25">
      <c r="A465" t="s">
        <v>83</v>
      </c>
      <c r="B465">
        <v>2</v>
      </c>
      <c r="C465" t="s">
        <v>71</v>
      </c>
      <c r="D465" t="s">
        <v>84</v>
      </c>
      <c r="E465" t="s">
        <v>85</v>
      </c>
      <c r="F465">
        <v>220</v>
      </c>
      <c r="G465">
        <v>1050</v>
      </c>
      <c r="H465">
        <v>-2</v>
      </c>
      <c r="I465">
        <v>1983</v>
      </c>
      <c r="J465" t="s">
        <v>33</v>
      </c>
      <c r="K465">
        <v>2568</v>
      </c>
      <c r="L465">
        <v>20.29</v>
      </c>
      <c r="M465">
        <v>9.27</v>
      </c>
      <c r="N465" s="4">
        <f t="shared" si="14"/>
        <v>3.2317201849999998E-2</v>
      </c>
      <c r="O465" s="4">
        <f t="shared" si="15"/>
        <v>0.29958046114949999</v>
      </c>
      <c r="P465">
        <v>88</v>
      </c>
      <c r="Q465">
        <v>2</v>
      </c>
      <c r="R465">
        <v>2.5</v>
      </c>
      <c r="S465">
        <v>3</v>
      </c>
      <c r="T465">
        <v>3</v>
      </c>
      <c r="U465">
        <v>2</v>
      </c>
      <c r="V465" t="s">
        <v>30</v>
      </c>
    </row>
    <row r="466" spans="1:22" x14ac:dyDescent="0.25">
      <c r="A466" t="s">
        <v>83</v>
      </c>
      <c r="B466">
        <v>2</v>
      </c>
      <c r="C466" t="s">
        <v>71</v>
      </c>
      <c r="D466" t="s">
        <v>84</v>
      </c>
      <c r="E466" t="s">
        <v>85</v>
      </c>
      <c r="F466">
        <v>220</v>
      </c>
      <c r="G466">
        <v>1050</v>
      </c>
      <c r="H466">
        <v>-2</v>
      </c>
      <c r="I466">
        <v>1983</v>
      </c>
      <c r="J466" t="s">
        <v>34</v>
      </c>
      <c r="K466">
        <v>1522</v>
      </c>
      <c r="L466">
        <v>7.6</v>
      </c>
      <c r="M466">
        <v>3.76</v>
      </c>
      <c r="N466" s="4">
        <f t="shared" si="14"/>
        <v>4.5341599999999998E-3</v>
      </c>
      <c r="O466" s="4">
        <f t="shared" si="15"/>
        <v>1.7048441599999999E-2</v>
      </c>
      <c r="P466">
        <v>63</v>
      </c>
      <c r="Q466">
        <v>2</v>
      </c>
      <c r="R466">
        <v>3</v>
      </c>
      <c r="S466">
        <v>3</v>
      </c>
      <c r="T466">
        <v>3</v>
      </c>
      <c r="U466">
        <v>3</v>
      </c>
      <c r="V466" t="s">
        <v>50</v>
      </c>
    </row>
    <row r="467" spans="1:22" x14ac:dyDescent="0.25">
      <c r="A467" t="s">
        <v>83</v>
      </c>
      <c r="B467">
        <v>2</v>
      </c>
      <c r="C467" t="s">
        <v>71</v>
      </c>
      <c r="D467" t="s">
        <v>84</v>
      </c>
      <c r="E467" t="s">
        <v>85</v>
      </c>
      <c r="F467">
        <v>220</v>
      </c>
      <c r="G467">
        <v>1050</v>
      </c>
      <c r="H467">
        <v>-2</v>
      </c>
      <c r="I467">
        <v>1983</v>
      </c>
      <c r="J467" t="s">
        <v>34</v>
      </c>
      <c r="K467">
        <v>2570</v>
      </c>
      <c r="L467">
        <v>19.010000000000002</v>
      </c>
      <c r="M467">
        <v>9.41</v>
      </c>
      <c r="N467" s="4">
        <f t="shared" si="14"/>
        <v>2.8368337850000005E-2</v>
      </c>
      <c r="O467" s="4">
        <f t="shared" si="15"/>
        <v>0.26694605916850006</v>
      </c>
      <c r="P467">
        <v>75</v>
      </c>
      <c r="Q467">
        <v>3.5</v>
      </c>
      <c r="R467">
        <v>3</v>
      </c>
      <c r="S467">
        <v>3.5</v>
      </c>
      <c r="T467">
        <v>3.5</v>
      </c>
      <c r="U467">
        <v>3.5</v>
      </c>
      <c r="V467" t="s">
        <v>25</v>
      </c>
    </row>
    <row r="468" spans="1:22" x14ac:dyDescent="0.25">
      <c r="A468" t="s">
        <v>83</v>
      </c>
      <c r="B468">
        <v>2</v>
      </c>
      <c r="C468" t="s">
        <v>71</v>
      </c>
      <c r="D468" t="s">
        <v>84</v>
      </c>
      <c r="E468" t="s">
        <v>85</v>
      </c>
      <c r="F468">
        <v>220</v>
      </c>
      <c r="G468">
        <v>1050</v>
      </c>
      <c r="H468">
        <v>-2</v>
      </c>
      <c r="I468">
        <v>1983</v>
      </c>
      <c r="J468" t="s">
        <v>35</v>
      </c>
      <c r="K468">
        <v>2571</v>
      </c>
      <c r="L468">
        <v>16.149999999999999</v>
      </c>
      <c r="M468">
        <v>6.19</v>
      </c>
      <c r="N468" s="4">
        <f t="shared" si="14"/>
        <v>2.0474566249999993E-2</v>
      </c>
      <c r="O468" s="4">
        <f t="shared" si="15"/>
        <v>0.12673756508749995</v>
      </c>
      <c r="P468">
        <v>100</v>
      </c>
      <c r="Q468">
        <v>3</v>
      </c>
      <c r="R468">
        <v>2.2999999999999998</v>
      </c>
      <c r="S468">
        <v>3</v>
      </c>
      <c r="T468">
        <v>4</v>
      </c>
      <c r="U468">
        <v>4</v>
      </c>
      <c r="V468" t="s">
        <v>25</v>
      </c>
    </row>
    <row r="469" spans="1:22" x14ac:dyDescent="0.25">
      <c r="A469" t="s">
        <v>83</v>
      </c>
      <c r="B469">
        <v>2</v>
      </c>
      <c r="C469" t="s">
        <v>71</v>
      </c>
      <c r="D469" t="s">
        <v>84</v>
      </c>
      <c r="E469" t="s">
        <v>85</v>
      </c>
      <c r="F469">
        <v>220</v>
      </c>
      <c r="G469">
        <v>1050</v>
      </c>
      <c r="H469">
        <v>-2</v>
      </c>
      <c r="I469">
        <v>1983</v>
      </c>
      <c r="J469" t="s">
        <v>81</v>
      </c>
      <c r="K469">
        <v>2750</v>
      </c>
      <c r="L469">
        <v>14.5</v>
      </c>
      <c r="M469">
        <v>8.17</v>
      </c>
      <c r="N469" s="4">
        <f t="shared" si="14"/>
        <v>1.6504624999999998E-2</v>
      </c>
      <c r="O469" s="4">
        <f t="shared" si="15"/>
        <v>0.13484278624999999</v>
      </c>
      <c r="P469">
        <v>88</v>
      </c>
      <c r="Q469">
        <v>1</v>
      </c>
      <c r="R469">
        <v>3</v>
      </c>
      <c r="S469">
        <v>3</v>
      </c>
      <c r="T469">
        <v>3</v>
      </c>
      <c r="U469">
        <v>3</v>
      </c>
      <c r="V469" t="s">
        <v>50</v>
      </c>
    </row>
    <row r="470" spans="1:22" x14ac:dyDescent="0.25">
      <c r="A470" t="s">
        <v>83</v>
      </c>
      <c r="B470">
        <v>2</v>
      </c>
      <c r="C470" t="s">
        <v>71</v>
      </c>
      <c r="D470" t="s">
        <v>84</v>
      </c>
      <c r="E470" t="s">
        <v>85</v>
      </c>
      <c r="F470">
        <v>220</v>
      </c>
      <c r="G470">
        <v>1050</v>
      </c>
      <c r="H470">
        <v>-2</v>
      </c>
      <c r="I470">
        <v>1983</v>
      </c>
      <c r="J470" t="s">
        <v>62</v>
      </c>
      <c r="K470">
        <v>2553</v>
      </c>
      <c r="L470">
        <v>11.28</v>
      </c>
      <c r="M470">
        <v>6.41</v>
      </c>
      <c r="N470" s="4">
        <f t="shared" si="14"/>
        <v>9.9882144000000006E-3</v>
      </c>
      <c r="O470" s="4">
        <f t="shared" si="15"/>
        <v>6.4024454304E-2</v>
      </c>
      <c r="P470">
        <v>50</v>
      </c>
      <c r="Q470">
        <v>4</v>
      </c>
      <c r="R470">
        <v>3.5</v>
      </c>
      <c r="S470">
        <v>3.5</v>
      </c>
      <c r="T470">
        <v>3.5</v>
      </c>
      <c r="U470">
        <v>3</v>
      </c>
      <c r="V470" t="s">
        <v>25</v>
      </c>
    </row>
    <row r="471" spans="1:22" x14ac:dyDescent="0.25">
      <c r="A471" t="s">
        <v>83</v>
      </c>
      <c r="B471">
        <v>2</v>
      </c>
      <c r="C471" t="s">
        <v>71</v>
      </c>
      <c r="D471" t="s">
        <v>84</v>
      </c>
      <c r="E471" t="s">
        <v>85</v>
      </c>
      <c r="F471">
        <v>220</v>
      </c>
      <c r="G471">
        <v>1050</v>
      </c>
      <c r="H471">
        <v>-2</v>
      </c>
      <c r="I471">
        <v>1983</v>
      </c>
      <c r="J471" t="s">
        <v>37</v>
      </c>
      <c r="K471">
        <v>2575</v>
      </c>
      <c r="L471">
        <v>13.31</v>
      </c>
      <c r="M471">
        <v>8.75</v>
      </c>
      <c r="N471" s="4">
        <f t="shared" si="14"/>
        <v>1.390675385E-2</v>
      </c>
      <c r="O471" s="4">
        <f t="shared" si="15"/>
        <v>0.12168409618750001</v>
      </c>
      <c r="P471">
        <v>75</v>
      </c>
      <c r="Q471">
        <v>2.8</v>
      </c>
      <c r="R471">
        <v>3</v>
      </c>
      <c r="S471">
        <v>2.5</v>
      </c>
      <c r="T471">
        <v>3</v>
      </c>
      <c r="U471">
        <v>2.5</v>
      </c>
      <c r="V471" t="s">
        <v>30</v>
      </c>
    </row>
    <row r="472" spans="1:22" x14ac:dyDescent="0.25">
      <c r="A472" t="s">
        <v>83</v>
      </c>
      <c r="B472">
        <v>2</v>
      </c>
      <c r="C472" t="s">
        <v>71</v>
      </c>
      <c r="D472" t="s">
        <v>84</v>
      </c>
      <c r="E472" t="s">
        <v>85</v>
      </c>
      <c r="F472">
        <v>220</v>
      </c>
      <c r="G472">
        <v>1050</v>
      </c>
      <c r="H472">
        <v>-2</v>
      </c>
      <c r="I472">
        <v>1983</v>
      </c>
      <c r="J472" t="s">
        <v>26</v>
      </c>
      <c r="K472">
        <v>2552</v>
      </c>
      <c r="L472">
        <v>14.89</v>
      </c>
      <c r="M472">
        <v>7.56</v>
      </c>
      <c r="N472" s="4">
        <f t="shared" si="14"/>
        <v>1.7404399850000002E-2</v>
      </c>
      <c r="O472" s="4">
        <f t="shared" si="15"/>
        <v>0.13157726286599999</v>
      </c>
      <c r="P472">
        <v>50</v>
      </c>
      <c r="Q472">
        <v>4</v>
      </c>
      <c r="R472">
        <v>4</v>
      </c>
      <c r="S472">
        <v>2</v>
      </c>
      <c r="T472">
        <v>3</v>
      </c>
      <c r="U472">
        <v>2</v>
      </c>
      <c r="V472" t="s">
        <v>25</v>
      </c>
    </row>
    <row r="473" spans="1:22" x14ac:dyDescent="0.25">
      <c r="A473" t="s">
        <v>83</v>
      </c>
      <c r="B473">
        <v>3</v>
      </c>
      <c r="C473" t="s">
        <v>71</v>
      </c>
      <c r="D473" t="s">
        <v>84</v>
      </c>
      <c r="E473" t="s">
        <v>85</v>
      </c>
      <c r="F473">
        <v>220</v>
      </c>
      <c r="G473">
        <v>1050</v>
      </c>
      <c r="H473">
        <v>-2</v>
      </c>
      <c r="I473">
        <v>1983</v>
      </c>
      <c r="J473" t="s">
        <v>76</v>
      </c>
      <c r="K473">
        <v>1592</v>
      </c>
      <c r="L473">
        <v>19.34</v>
      </c>
      <c r="M473">
        <v>8.3000000000000007</v>
      </c>
      <c r="N473" s="4">
        <f t="shared" si="14"/>
        <v>2.9361794599999998E-2</v>
      </c>
      <c r="O473" s="4">
        <f t="shared" si="15"/>
        <v>0.24370289517999999</v>
      </c>
      <c r="P473">
        <v>100</v>
      </c>
      <c r="Q473">
        <v>3.5</v>
      </c>
      <c r="R473">
        <v>3.5</v>
      </c>
      <c r="S473">
        <v>2.5</v>
      </c>
      <c r="T473">
        <v>3.5</v>
      </c>
      <c r="U473">
        <v>2.5</v>
      </c>
      <c r="V473" t="s">
        <v>25</v>
      </c>
    </row>
    <row r="474" spans="1:22" x14ac:dyDescent="0.25">
      <c r="A474" t="s">
        <v>83</v>
      </c>
      <c r="B474">
        <v>3</v>
      </c>
      <c r="C474" t="s">
        <v>71</v>
      </c>
      <c r="D474" t="s">
        <v>84</v>
      </c>
      <c r="E474" t="s">
        <v>85</v>
      </c>
      <c r="F474">
        <v>220</v>
      </c>
      <c r="G474">
        <v>1050</v>
      </c>
      <c r="H474">
        <v>-2</v>
      </c>
      <c r="I474">
        <v>1983</v>
      </c>
      <c r="J474" t="s">
        <v>76</v>
      </c>
      <c r="K474">
        <v>2560</v>
      </c>
      <c r="L474">
        <v>21.27</v>
      </c>
      <c r="M474">
        <v>9.1300000000000008</v>
      </c>
      <c r="N474" s="4">
        <f t="shared" si="14"/>
        <v>3.5514412650000007E-2</v>
      </c>
      <c r="O474" s="4">
        <f t="shared" si="15"/>
        <v>0.32424658749450008</v>
      </c>
      <c r="P474">
        <v>88</v>
      </c>
      <c r="Q474">
        <v>3.3</v>
      </c>
      <c r="R474">
        <v>3.5</v>
      </c>
      <c r="S474">
        <v>2.5</v>
      </c>
      <c r="T474">
        <v>3.3</v>
      </c>
      <c r="U474">
        <v>3</v>
      </c>
      <c r="V474" t="s">
        <v>25</v>
      </c>
    </row>
    <row r="475" spans="1:22" x14ac:dyDescent="0.25">
      <c r="A475" t="s">
        <v>83</v>
      </c>
      <c r="B475">
        <v>3</v>
      </c>
      <c r="C475" t="s">
        <v>71</v>
      </c>
      <c r="D475" t="s">
        <v>84</v>
      </c>
      <c r="E475" t="s">
        <v>85</v>
      </c>
      <c r="F475">
        <v>220</v>
      </c>
      <c r="G475">
        <v>1050</v>
      </c>
      <c r="H475">
        <v>-2</v>
      </c>
      <c r="I475">
        <v>1983</v>
      </c>
      <c r="J475" t="s">
        <v>24</v>
      </c>
      <c r="K475">
        <v>2562</v>
      </c>
      <c r="L475">
        <v>17.62</v>
      </c>
      <c r="M475">
        <v>9.9</v>
      </c>
      <c r="N475" s="4">
        <f t="shared" si="14"/>
        <v>2.4371455400000009E-2</v>
      </c>
      <c r="O475" s="4">
        <f t="shared" si="15"/>
        <v>0.24127740846000009</v>
      </c>
      <c r="P475">
        <v>100</v>
      </c>
      <c r="Q475">
        <v>3.5</v>
      </c>
      <c r="R475">
        <v>3</v>
      </c>
      <c r="S475">
        <v>3</v>
      </c>
      <c r="T475">
        <v>3.3</v>
      </c>
      <c r="U475">
        <v>3.3</v>
      </c>
      <c r="V475" t="s">
        <v>25</v>
      </c>
    </row>
    <row r="476" spans="1:22" x14ac:dyDescent="0.25">
      <c r="A476" t="s">
        <v>83</v>
      </c>
      <c r="B476">
        <v>3</v>
      </c>
      <c r="C476" t="s">
        <v>71</v>
      </c>
      <c r="D476" t="s">
        <v>84</v>
      </c>
      <c r="E476" t="s">
        <v>85</v>
      </c>
      <c r="F476">
        <v>220</v>
      </c>
      <c r="G476">
        <v>1050</v>
      </c>
      <c r="H476">
        <v>-2</v>
      </c>
      <c r="I476">
        <v>1983</v>
      </c>
      <c r="J476" t="s">
        <v>80</v>
      </c>
      <c r="K476">
        <v>1252</v>
      </c>
      <c r="L476">
        <v>10.36</v>
      </c>
      <c r="M476">
        <v>7.54</v>
      </c>
      <c r="N476" s="4">
        <f t="shared" si="14"/>
        <v>8.425373600000001E-3</v>
      </c>
      <c r="O476" s="4">
        <f t="shared" si="15"/>
        <v>6.3527316944000004E-2</v>
      </c>
      <c r="P476">
        <v>100</v>
      </c>
      <c r="Q476">
        <v>2.7</v>
      </c>
      <c r="R476">
        <v>3</v>
      </c>
      <c r="S476">
        <v>2</v>
      </c>
      <c r="T476">
        <v>2</v>
      </c>
      <c r="U476">
        <v>2</v>
      </c>
      <c r="V476" t="s">
        <v>30</v>
      </c>
    </row>
    <row r="477" spans="1:22" x14ac:dyDescent="0.25">
      <c r="A477" t="s">
        <v>83</v>
      </c>
      <c r="B477">
        <v>3</v>
      </c>
      <c r="C477" t="s">
        <v>71</v>
      </c>
      <c r="D477" t="s">
        <v>84</v>
      </c>
      <c r="E477" t="s">
        <v>85</v>
      </c>
      <c r="F477">
        <v>220</v>
      </c>
      <c r="G477">
        <v>1050</v>
      </c>
      <c r="H477">
        <v>-2</v>
      </c>
      <c r="I477">
        <v>1983</v>
      </c>
      <c r="J477" t="s">
        <v>59</v>
      </c>
      <c r="K477">
        <v>1482</v>
      </c>
      <c r="L477">
        <v>22.38</v>
      </c>
      <c r="M477">
        <v>8.74</v>
      </c>
      <c r="N477" s="4">
        <f t="shared" si="14"/>
        <v>3.9317855400000004E-2</v>
      </c>
      <c r="O477" s="4">
        <f t="shared" si="15"/>
        <v>0.34363805619600002</v>
      </c>
      <c r="P477">
        <v>100</v>
      </c>
      <c r="Q477">
        <v>3.7</v>
      </c>
      <c r="R477">
        <v>3</v>
      </c>
      <c r="S477">
        <v>3.2</v>
      </c>
      <c r="T477">
        <v>3.3</v>
      </c>
      <c r="U477">
        <v>2.6</v>
      </c>
      <c r="V477" t="s">
        <v>25</v>
      </c>
    </row>
    <row r="478" spans="1:22" x14ac:dyDescent="0.25">
      <c r="A478" t="s">
        <v>83</v>
      </c>
      <c r="B478">
        <v>3</v>
      </c>
      <c r="C478" t="s">
        <v>71</v>
      </c>
      <c r="D478" t="s">
        <v>84</v>
      </c>
      <c r="E478" t="s">
        <v>85</v>
      </c>
      <c r="F478">
        <v>220</v>
      </c>
      <c r="G478">
        <v>1050</v>
      </c>
      <c r="H478">
        <v>-2</v>
      </c>
      <c r="I478">
        <v>1983</v>
      </c>
      <c r="J478" t="s">
        <v>59</v>
      </c>
      <c r="K478">
        <v>2548</v>
      </c>
      <c r="L478">
        <v>6.34</v>
      </c>
      <c r="M478">
        <v>3.65</v>
      </c>
      <c r="N478" s="4">
        <f t="shared" si="14"/>
        <v>3.1553546000000002E-3</v>
      </c>
      <c r="O478" s="4">
        <f t="shared" si="15"/>
        <v>1.151704429E-2</v>
      </c>
      <c r="P478">
        <v>100</v>
      </c>
      <c r="Q478">
        <v>3</v>
      </c>
      <c r="R478">
        <v>3</v>
      </c>
      <c r="S478">
        <v>2</v>
      </c>
      <c r="T478">
        <v>2.5</v>
      </c>
      <c r="U478">
        <v>2.5</v>
      </c>
      <c r="V478" t="s">
        <v>30</v>
      </c>
    </row>
    <row r="479" spans="1:22" x14ac:dyDescent="0.25">
      <c r="A479" t="s">
        <v>83</v>
      </c>
      <c r="B479">
        <v>3</v>
      </c>
      <c r="C479" t="s">
        <v>71</v>
      </c>
      <c r="D479" t="s">
        <v>84</v>
      </c>
      <c r="E479" t="s">
        <v>85</v>
      </c>
      <c r="F479">
        <v>220</v>
      </c>
      <c r="G479">
        <v>1050</v>
      </c>
      <c r="H479">
        <v>-2</v>
      </c>
      <c r="I479">
        <v>1983</v>
      </c>
      <c r="J479" t="s">
        <v>32</v>
      </c>
      <c r="K479">
        <v>1596</v>
      </c>
      <c r="L479">
        <v>14.77</v>
      </c>
      <c r="M479">
        <v>7</v>
      </c>
      <c r="N479" s="4">
        <f t="shared" si="14"/>
        <v>1.7125002650000002E-2</v>
      </c>
      <c r="O479" s="4">
        <f t="shared" si="15"/>
        <v>0.11987501855000002</v>
      </c>
      <c r="P479">
        <v>100</v>
      </c>
      <c r="Q479">
        <v>3</v>
      </c>
      <c r="R479">
        <v>4</v>
      </c>
      <c r="S479">
        <v>2</v>
      </c>
      <c r="T479">
        <v>3.5</v>
      </c>
      <c r="U479">
        <v>3</v>
      </c>
      <c r="V479" t="s">
        <v>25</v>
      </c>
    </row>
    <row r="480" spans="1:22" x14ac:dyDescent="0.25">
      <c r="A480" t="s">
        <v>83</v>
      </c>
      <c r="B480">
        <v>3</v>
      </c>
      <c r="C480" t="s">
        <v>71</v>
      </c>
      <c r="D480" t="s">
        <v>84</v>
      </c>
      <c r="E480" t="s">
        <v>85</v>
      </c>
      <c r="F480">
        <v>220</v>
      </c>
      <c r="G480">
        <v>1050</v>
      </c>
      <c r="H480">
        <v>-2</v>
      </c>
      <c r="I480">
        <v>1983</v>
      </c>
      <c r="J480" t="s">
        <v>32</v>
      </c>
      <c r="K480">
        <v>2569</v>
      </c>
      <c r="L480">
        <v>10.11</v>
      </c>
      <c r="M480">
        <v>4.79</v>
      </c>
      <c r="N480" s="4">
        <f t="shared" si="14"/>
        <v>8.02364985E-3</v>
      </c>
      <c r="O480" s="4">
        <f t="shared" si="15"/>
        <v>3.8433282781500003E-2</v>
      </c>
      <c r="P480">
        <v>100</v>
      </c>
      <c r="Q480">
        <v>2.7</v>
      </c>
      <c r="R480">
        <v>3.5</v>
      </c>
      <c r="S480">
        <v>2.8</v>
      </c>
      <c r="T480">
        <v>4</v>
      </c>
      <c r="U480">
        <v>4</v>
      </c>
      <c r="V480" t="s">
        <v>25</v>
      </c>
    </row>
    <row r="481" spans="1:22" x14ac:dyDescent="0.25">
      <c r="A481" t="s">
        <v>83</v>
      </c>
      <c r="B481">
        <v>3</v>
      </c>
      <c r="C481" t="s">
        <v>71</v>
      </c>
      <c r="D481" t="s">
        <v>84</v>
      </c>
      <c r="E481" t="s">
        <v>85</v>
      </c>
      <c r="F481">
        <v>220</v>
      </c>
      <c r="G481">
        <v>1050</v>
      </c>
      <c r="H481">
        <v>-2</v>
      </c>
      <c r="I481">
        <v>1983</v>
      </c>
      <c r="J481" t="s">
        <v>33</v>
      </c>
      <c r="K481">
        <v>2547</v>
      </c>
      <c r="L481">
        <v>18.16</v>
      </c>
      <c r="M481">
        <v>8.2899999999999991</v>
      </c>
      <c r="N481" s="4">
        <f t="shared" si="14"/>
        <v>2.5888169600000004E-2</v>
      </c>
      <c r="O481" s="4">
        <f t="shared" si="15"/>
        <v>0.214612925984</v>
      </c>
      <c r="P481">
        <v>75</v>
      </c>
      <c r="Q481">
        <v>4</v>
      </c>
      <c r="R481">
        <v>2.2999999999999998</v>
      </c>
      <c r="S481">
        <v>3.3</v>
      </c>
      <c r="T481">
        <v>3.3</v>
      </c>
      <c r="U481">
        <v>3</v>
      </c>
      <c r="V481" t="s">
        <v>25</v>
      </c>
    </row>
    <row r="482" spans="1:22" x14ac:dyDescent="0.25">
      <c r="A482" t="s">
        <v>83</v>
      </c>
      <c r="B482">
        <v>3</v>
      </c>
      <c r="C482" t="s">
        <v>71</v>
      </c>
      <c r="D482" t="s">
        <v>84</v>
      </c>
      <c r="E482" t="s">
        <v>85</v>
      </c>
      <c r="F482">
        <v>220</v>
      </c>
      <c r="G482">
        <v>1050</v>
      </c>
      <c r="H482">
        <v>-2</v>
      </c>
      <c r="I482">
        <v>1983</v>
      </c>
      <c r="J482" t="s">
        <v>33</v>
      </c>
      <c r="K482">
        <v>2568</v>
      </c>
      <c r="L482">
        <v>21.09</v>
      </c>
      <c r="M482">
        <v>9.6300000000000008</v>
      </c>
      <c r="N482" s="4">
        <f t="shared" si="14"/>
        <v>3.4915865850000005E-2</v>
      </c>
      <c r="O482" s="4">
        <f t="shared" si="15"/>
        <v>0.3362397881355001</v>
      </c>
      <c r="P482">
        <v>63</v>
      </c>
      <c r="Q482">
        <v>4</v>
      </c>
      <c r="R482">
        <v>3</v>
      </c>
      <c r="S482">
        <v>4</v>
      </c>
      <c r="T482">
        <v>3.3</v>
      </c>
      <c r="U482">
        <v>3</v>
      </c>
      <c r="V482" t="s">
        <v>25</v>
      </c>
    </row>
    <row r="483" spans="1:22" x14ac:dyDescent="0.25">
      <c r="A483" t="s">
        <v>83</v>
      </c>
      <c r="B483">
        <v>3</v>
      </c>
      <c r="C483" t="s">
        <v>71</v>
      </c>
      <c r="D483" t="s">
        <v>84</v>
      </c>
      <c r="E483" t="s">
        <v>85</v>
      </c>
      <c r="F483">
        <v>220</v>
      </c>
      <c r="G483">
        <v>1050</v>
      </c>
      <c r="H483">
        <v>-2</v>
      </c>
      <c r="I483">
        <v>1983</v>
      </c>
      <c r="J483" t="s">
        <v>34</v>
      </c>
      <c r="K483">
        <v>1522</v>
      </c>
      <c r="L483">
        <v>17.84</v>
      </c>
      <c r="M483">
        <v>8.83</v>
      </c>
      <c r="N483" s="4">
        <f t="shared" si="14"/>
        <v>2.4983849600000003E-2</v>
      </c>
      <c r="O483" s="4">
        <f t="shared" si="15"/>
        <v>0.22060739196800003</v>
      </c>
      <c r="P483">
        <v>88</v>
      </c>
      <c r="Q483">
        <v>3.5</v>
      </c>
      <c r="R483">
        <v>3</v>
      </c>
      <c r="S483">
        <v>3</v>
      </c>
      <c r="T483">
        <v>3</v>
      </c>
      <c r="U483">
        <v>2.7</v>
      </c>
      <c r="V483" t="s">
        <v>25</v>
      </c>
    </row>
    <row r="484" spans="1:22" x14ac:dyDescent="0.25">
      <c r="A484" t="s">
        <v>83</v>
      </c>
      <c r="B484">
        <v>3</v>
      </c>
      <c r="C484" t="s">
        <v>71</v>
      </c>
      <c r="D484" t="s">
        <v>84</v>
      </c>
      <c r="E484" t="s">
        <v>85</v>
      </c>
      <c r="F484">
        <v>220</v>
      </c>
      <c r="G484">
        <v>1050</v>
      </c>
      <c r="H484">
        <v>-2</v>
      </c>
      <c r="I484">
        <v>1983</v>
      </c>
      <c r="J484" t="s">
        <v>34</v>
      </c>
      <c r="K484">
        <v>2570</v>
      </c>
      <c r="L484">
        <v>18.3</v>
      </c>
      <c r="M484">
        <v>9.06</v>
      </c>
      <c r="N484" s="4">
        <f t="shared" si="14"/>
        <v>2.6288864999999998E-2</v>
      </c>
      <c r="O484" s="4">
        <f t="shared" si="15"/>
        <v>0.23817711689999999</v>
      </c>
      <c r="P484">
        <v>50</v>
      </c>
      <c r="Q484">
        <v>3.5</v>
      </c>
      <c r="R484">
        <v>3</v>
      </c>
      <c r="S484">
        <v>2.5</v>
      </c>
      <c r="T484">
        <v>3</v>
      </c>
      <c r="U484">
        <v>2.5</v>
      </c>
      <c r="V484" t="s">
        <v>38</v>
      </c>
    </row>
    <row r="485" spans="1:22" x14ac:dyDescent="0.25">
      <c r="A485" t="s">
        <v>83</v>
      </c>
      <c r="B485">
        <v>3</v>
      </c>
      <c r="C485" t="s">
        <v>71</v>
      </c>
      <c r="D485" t="s">
        <v>84</v>
      </c>
      <c r="E485" t="s">
        <v>85</v>
      </c>
      <c r="F485">
        <v>220</v>
      </c>
      <c r="G485">
        <v>1050</v>
      </c>
      <c r="H485">
        <v>-2</v>
      </c>
      <c r="I485">
        <v>1983</v>
      </c>
      <c r="J485" t="s">
        <v>35</v>
      </c>
      <c r="K485">
        <v>2571</v>
      </c>
      <c r="L485">
        <v>14.53</v>
      </c>
      <c r="M485">
        <v>5.57</v>
      </c>
      <c r="N485" s="4">
        <f t="shared" si="14"/>
        <v>1.6572990649999998E-2</v>
      </c>
      <c r="O485" s="4">
        <f t="shared" si="15"/>
        <v>9.2311557920499984E-2</v>
      </c>
      <c r="P485">
        <v>100</v>
      </c>
      <c r="Q485">
        <v>3</v>
      </c>
      <c r="R485">
        <v>2</v>
      </c>
      <c r="S485">
        <v>3</v>
      </c>
      <c r="T485">
        <v>4</v>
      </c>
      <c r="U485">
        <v>3.5</v>
      </c>
      <c r="V485" t="s">
        <v>38</v>
      </c>
    </row>
    <row r="486" spans="1:22" x14ac:dyDescent="0.25">
      <c r="A486" t="s">
        <v>83</v>
      </c>
      <c r="B486">
        <v>3</v>
      </c>
      <c r="C486" t="s">
        <v>71</v>
      </c>
      <c r="D486" t="s">
        <v>84</v>
      </c>
      <c r="E486" t="s">
        <v>85</v>
      </c>
      <c r="F486">
        <v>220</v>
      </c>
      <c r="G486">
        <v>1050</v>
      </c>
      <c r="H486">
        <v>-2</v>
      </c>
      <c r="I486">
        <v>1983</v>
      </c>
      <c r="J486" t="s">
        <v>81</v>
      </c>
      <c r="K486">
        <v>2750</v>
      </c>
      <c r="L486">
        <v>13.26</v>
      </c>
      <c r="M486">
        <v>8.94</v>
      </c>
      <c r="N486" s="4">
        <f t="shared" si="14"/>
        <v>1.38024666E-2</v>
      </c>
      <c r="O486" s="4">
        <f t="shared" si="15"/>
        <v>0.12339405140399999</v>
      </c>
      <c r="P486">
        <v>100</v>
      </c>
      <c r="Q486">
        <v>4</v>
      </c>
      <c r="R486">
        <v>4</v>
      </c>
      <c r="S486">
        <v>3</v>
      </c>
      <c r="T486">
        <v>3.5</v>
      </c>
      <c r="U486">
        <v>3.5</v>
      </c>
      <c r="V486" t="s">
        <v>25</v>
      </c>
    </row>
    <row r="487" spans="1:22" x14ac:dyDescent="0.25">
      <c r="A487" t="s">
        <v>83</v>
      </c>
      <c r="B487">
        <v>3</v>
      </c>
      <c r="C487" t="s">
        <v>71</v>
      </c>
      <c r="D487" t="s">
        <v>84</v>
      </c>
      <c r="E487" t="s">
        <v>85</v>
      </c>
      <c r="F487">
        <v>220</v>
      </c>
      <c r="G487">
        <v>1050</v>
      </c>
      <c r="H487">
        <v>-2</v>
      </c>
      <c r="I487">
        <v>1983</v>
      </c>
      <c r="J487" t="s">
        <v>62</v>
      </c>
      <c r="K487">
        <v>2553</v>
      </c>
      <c r="L487">
        <v>11.55</v>
      </c>
      <c r="M487">
        <v>6.56</v>
      </c>
      <c r="N487" s="4">
        <f t="shared" si="14"/>
        <v>1.0472096250000002E-2</v>
      </c>
      <c r="O487" s="4">
        <f t="shared" si="15"/>
        <v>6.8696951400000011E-2</v>
      </c>
      <c r="P487">
        <v>100</v>
      </c>
      <c r="Q487">
        <v>3</v>
      </c>
      <c r="R487">
        <v>2.7</v>
      </c>
      <c r="S487">
        <v>3.3</v>
      </c>
      <c r="T487">
        <v>4</v>
      </c>
      <c r="U487">
        <v>4</v>
      </c>
      <c r="V487" t="s">
        <v>25</v>
      </c>
    </row>
    <row r="488" spans="1:22" x14ac:dyDescent="0.25">
      <c r="A488" t="s">
        <v>83</v>
      </c>
      <c r="B488">
        <v>3</v>
      </c>
      <c r="C488" t="s">
        <v>71</v>
      </c>
      <c r="D488" t="s">
        <v>84</v>
      </c>
      <c r="E488" t="s">
        <v>85</v>
      </c>
      <c r="F488">
        <v>220</v>
      </c>
      <c r="G488">
        <v>1050</v>
      </c>
      <c r="H488">
        <v>-2</v>
      </c>
      <c r="I488">
        <v>1983</v>
      </c>
      <c r="J488" t="s">
        <v>37</v>
      </c>
      <c r="K488">
        <v>2575</v>
      </c>
      <c r="L488">
        <v>15.93</v>
      </c>
      <c r="M488">
        <v>9.1</v>
      </c>
      <c r="N488" s="4">
        <f t="shared" si="14"/>
        <v>1.992054465E-2</v>
      </c>
      <c r="O488" s="4">
        <f t="shared" si="15"/>
        <v>0.18127695631499999</v>
      </c>
      <c r="P488">
        <v>88</v>
      </c>
      <c r="Q488">
        <v>3</v>
      </c>
      <c r="R488">
        <v>3</v>
      </c>
      <c r="S488">
        <v>2</v>
      </c>
      <c r="T488">
        <v>2.5</v>
      </c>
      <c r="U488">
        <v>2.5</v>
      </c>
      <c r="V488" t="s">
        <v>30</v>
      </c>
    </row>
    <row r="489" spans="1:22" x14ac:dyDescent="0.25">
      <c r="A489" t="s">
        <v>83</v>
      </c>
      <c r="B489">
        <v>3</v>
      </c>
      <c r="C489" t="s">
        <v>71</v>
      </c>
      <c r="D489" t="s">
        <v>84</v>
      </c>
      <c r="E489" t="s">
        <v>85</v>
      </c>
      <c r="F489">
        <v>220</v>
      </c>
      <c r="G489">
        <v>1050</v>
      </c>
      <c r="H489">
        <v>-2</v>
      </c>
      <c r="I489">
        <v>1983</v>
      </c>
      <c r="J489" t="s">
        <v>26</v>
      </c>
      <c r="K489">
        <v>2552</v>
      </c>
      <c r="L489">
        <v>14.25</v>
      </c>
      <c r="M489">
        <v>7.23</v>
      </c>
      <c r="N489" s="4">
        <f t="shared" si="14"/>
        <v>1.5940406250000001E-2</v>
      </c>
      <c r="O489" s="4">
        <f t="shared" si="15"/>
        <v>0.11524913718750002</v>
      </c>
      <c r="P489">
        <v>63</v>
      </c>
      <c r="Q489">
        <v>4</v>
      </c>
      <c r="R489">
        <v>3</v>
      </c>
      <c r="S489">
        <v>3</v>
      </c>
      <c r="T489">
        <v>2.8</v>
      </c>
      <c r="U489">
        <v>2</v>
      </c>
      <c r="V489" t="s">
        <v>38</v>
      </c>
    </row>
    <row r="490" spans="1:22" x14ac:dyDescent="0.25">
      <c r="A490" t="s">
        <v>83</v>
      </c>
      <c r="B490">
        <v>3</v>
      </c>
      <c r="C490" t="s">
        <v>71</v>
      </c>
      <c r="D490" t="s">
        <v>84</v>
      </c>
      <c r="E490" t="s">
        <v>85</v>
      </c>
      <c r="F490">
        <v>220</v>
      </c>
      <c r="G490">
        <v>1050</v>
      </c>
      <c r="H490">
        <v>-2</v>
      </c>
      <c r="I490">
        <v>1983</v>
      </c>
      <c r="J490" t="s">
        <v>26</v>
      </c>
      <c r="K490">
        <v>2751</v>
      </c>
      <c r="L490">
        <v>12.35</v>
      </c>
      <c r="M490">
        <v>6.27</v>
      </c>
      <c r="N490" s="4">
        <f t="shared" si="14"/>
        <v>1.1973016250000001E-2</v>
      </c>
      <c r="O490" s="4">
        <f t="shared" si="15"/>
        <v>7.5070811887500005E-2</v>
      </c>
      <c r="P490">
        <v>71</v>
      </c>
      <c r="Q490">
        <v>4</v>
      </c>
      <c r="R490">
        <v>4</v>
      </c>
      <c r="S490">
        <v>2.5</v>
      </c>
      <c r="T490">
        <v>3.5</v>
      </c>
      <c r="U490">
        <v>2.5</v>
      </c>
      <c r="V490" t="s">
        <v>25</v>
      </c>
    </row>
    <row r="491" spans="1:22" x14ac:dyDescent="0.25">
      <c r="A491" t="s">
        <v>83</v>
      </c>
      <c r="B491">
        <v>3</v>
      </c>
      <c r="C491" t="s">
        <v>71</v>
      </c>
      <c r="D491" t="s">
        <v>84</v>
      </c>
      <c r="E491" t="s">
        <v>85</v>
      </c>
      <c r="F491">
        <v>220</v>
      </c>
      <c r="G491">
        <v>1050</v>
      </c>
      <c r="H491">
        <v>-2</v>
      </c>
      <c r="I491">
        <v>1983</v>
      </c>
      <c r="J491" t="s">
        <v>62</v>
      </c>
      <c r="K491">
        <v>2574</v>
      </c>
      <c r="L491">
        <v>7.22</v>
      </c>
      <c r="M491">
        <v>4.0999999999999996</v>
      </c>
      <c r="N491" s="4">
        <f t="shared" si="14"/>
        <v>4.0920794000000003E-3</v>
      </c>
      <c r="O491" s="4">
        <f t="shared" si="15"/>
        <v>1.6777525540000001E-2</v>
      </c>
      <c r="P491">
        <v>57</v>
      </c>
      <c r="Q491">
        <v>3</v>
      </c>
      <c r="R491">
        <v>3</v>
      </c>
      <c r="S491">
        <v>2</v>
      </c>
      <c r="T491">
        <v>3</v>
      </c>
      <c r="U491">
        <v>2</v>
      </c>
      <c r="V491" t="s">
        <v>38</v>
      </c>
    </row>
    <row r="492" spans="1:22" x14ac:dyDescent="0.25">
      <c r="A492" t="s">
        <v>86</v>
      </c>
      <c r="B492">
        <v>1</v>
      </c>
      <c r="C492" t="s">
        <v>71</v>
      </c>
      <c r="D492" t="s">
        <v>87</v>
      </c>
      <c r="E492" t="s">
        <v>88</v>
      </c>
      <c r="F492">
        <v>300</v>
      </c>
      <c r="G492">
        <v>1200</v>
      </c>
      <c r="H492">
        <v>-3</v>
      </c>
      <c r="I492">
        <v>1982</v>
      </c>
      <c r="J492" t="s">
        <v>76</v>
      </c>
      <c r="K492">
        <v>1592</v>
      </c>
      <c r="L492">
        <v>10.4</v>
      </c>
      <c r="M492">
        <v>5.77</v>
      </c>
      <c r="N492" s="4">
        <f t="shared" si="14"/>
        <v>8.4905600000000029E-3</v>
      </c>
      <c r="O492" s="4">
        <f t="shared" si="15"/>
        <v>4.8990531200000013E-2</v>
      </c>
      <c r="P492">
        <v>75</v>
      </c>
      <c r="Q492">
        <v>3</v>
      </c>
      <c r="R492">
        <v>3</v>
      </c>
      <c r="S492">
        <v>2</v>
      </c>
      <c r="T492">
        <v>3</v>
      </c>
      <c r="U492">
        <v>2</v>
      </c>
      <c r="V492" t="s">
        <v>38</v>
      </c>
    </row>
    <row r="493" spans="1:22" x14ac:dyDescent="0.25">
      <c r="A493" t="s">
        <v>86</v>
      </c>
      <c r="B493">
        <v>1</v>
      </c>
      <c r="C493" t="s">
        <v>71</v>
      </c>
      <c r="D493" t="s">
        <v>87</v>
      </c>
      <c r="E493" t="s">
        <v>88</v>
      </c>
      <c r="F493">
        <v>300</v>
      </c>
      <c r="G493">
        <v>1200</v>
      </c>
      <c r="H493">
        <v>-3</v>
      </c>
      <c r="I493">
        <v>1982</v>
      </c>
      <c r="J493" t="s">
        <v>76</v>
      </c>
      <c r="K493">
        <v>2560</v>
      </c>
      <c r="L493">
        <v>11.66</v>
      </c>
      <c r="M493">
        <v>7.27</v>
      </c>
      <c r="N493" s="4">
        <f t="shared" si="14"/>
        <v>1.06725146E-2</v>
      </c>
      <c r="O493" s="4">
        <f t="shared" si="15"/>
        <v>7.7589181142000002E-2</v>
      </c>
      <c r="P493">
        <v>100</v>
      </c>
      <c r="Q493">
        <v>3</v>
      </c>
      <c r="R493">
        <v>3</v>
      </c>
      <c r="S493">
        <v>2</v>
      </c>
      <c r="T493">
        <v>3</v>
      </c>
      <c r="U493">
        <v>2</v>
      </c>
      <c r="V493" t="s">
        <v>38</v>
      </c>
    </row>
    <row r="494" spans="1:22" x14ac:dyDescent="0.25">
      <c r="A494" t="s">
        <v>86</v>
      </c>
      <c r="B494">
        <v>1</v>
      </c>
      <c r="C494" t="s">
        <v>71</v>
      </c>
      <c r="D494" t="s">
        <v>87</v>
      </c>
      <c r="E494" t="s">
        <v>88</v>
      </c>
      <c r="F494">
        <v>300</v>
      </c>
      <c r="G494">
        <v>1200</v>
      </c>
      <c r="H494">
        <v>-3</v>
      </c>
      <c r="I494">
        <v>1982</v>
      </c>
      <c r="J494" t="s">
        <v>56</v>
      </c>
      <c r="K494">
        <v>1111</v>
      </c>
      <c r="L494">
        <v>10.99</v>
      </c>
      <c r="M494">
        <v>7.2</v>
      </c>
      <c r="N494" s="4">
        <f t="shared" si="14"/>
        <v>9.4812378500000009E-3</v>
      </c>
      <c r="O494" s="4">
        <f t="shared" si="15"/>
        <v>6.8264912520000012E-2</v>
      </c>
      <c r="P494">
        <v>100</v>
      </c>
      <c r="Q494">
        <v>2</v>
      </c>
      <c r="R494">
        <v>3</v>
      </c>
      <c r="S494">
        <v>3</v>
      </c>
      <c r="T494">
        <v>3</v>
      </c>
      <c r="U494">
        <v>3</v>
      </c>
      <c r="V494" t="s">
        <v>38</v>
      </c>
    </row>
    <row r="495" spans="1:22" x14ac:dyDescent="0.25">
      <c r="A495" t="s">
        <v>86</v>
      </c>
      <c r="B495">
        <v>1</v>
      </c>
      <c r="C495" t="s">
        <v>71</v>
      </c>
      <c r="D495" t="s">
        <v>87</v>
      </c>
      <c r="E495" t="s">
        <v>88</v>
      </c>
      <c r="F495">
        <v>300</v>
      </c>
      <c r="G495">
        <v>1200</v>
      </c>
      <c r="H495">
        <v>-3</v>
      </c>
      <c r="I495">
        <v>1982</v>
      </c>
      <c r="J495" t="s">
        <v>57</v>
      </c>
      <c r="K495">
        <v>2620</v>
      </c>
      <c r="L495">
        <v>7.87</v>
      </c>
      <c r="M495">
        <v>6.25</v>
      </c>
      <c r="N495" s="4">
        <f t="shared" si="14"/>
        <v>4.8620466500000009E-3</v>
      </c>
      <c r="O495" s="4">
        <f t="shared" si="15"/>
        <v>3.0387791562500006E-2</v>
      </c>
      <c r="P495">
        <v>100</v>
      </c>
      <c r="Q495">
        <v>3.5</v>
      </c>
      <c r="R495">
        <v>1.5</v>
      </c>
      <c r="S495">
        <v>2</v>
      </c>
      <c r="T495">
        <v>2</v>
      </c>
      <c r="U495">
        <v>2</v>
      </c>
      <c r="V495" t="s">
        <v>30</v>
      </c>
    </row>
    <row r="496" spans="1:22" x14ac:dyDescent="0.25">
      <c r="A496" t="s">
        <v>86</v>
      </c>
      <c r="B496">
        <v>1</v>
      </c>
      <c r="C496" t="s">
        <v>71</v>
      </c>
      <c r="D496" t="s">
        <v>87</v>
      </c>
      <c r="E496" t="s">
        <v>88</v>
      </c>
      <c r="F496">
        <v>300</v>
      </c>
      <c r="G496">
        <v>1200</v>
      </c>
      <c r="H496">
        <v>-3</v>
      </c>
      <c r="I496">
        <v>1982</v>
      </c>
      <c r="J496" t="s">
        <v>57</v>
      </c>
      <c r="K496">
        <v>2621</v>
      </c>
      <c r="L496">
        <v>7.64</v>
      </c>
      <c r="M496">
        <v>6.72</v>
      </c>
      <c r="N496" s="4">
        <f t="shared" si="14"/>
        <v>4.5820135999999996E-3</v>
      </c>
      <c r="O496" s="4">
        <f t="shared" si="15"/>
        <v>3.0791131391999994E-2</v>
      </c>
      <c r="P496">
        <v>100</v>
      </c>
      <c r="Q496">
        <v>3.5</v>
      </c>
      <c r="R496">
        <v>2</v>
      </c>
      <c r="S496">
        <v>2</v>
      </c>
      <c r="T496">
        <v>2</v>
      </c>
      <c r="U496">
        <v>2</v>
      </c>
      <c r="V496" t="s">
        <v>30</v>
      </c>
    </row>
    <row r="497" spans="1:22" x14ac:dyDescent="0.25">
      <c r="A497" t="s">
        <v>86</v>
      </c>
      <c r="B497">
        <v>1</v>
      </c>
      <c r="C497" t="s">
        <v>71</v>
      </c>
      <c r="D497" t="s">
        <v>87</v>
      </c>
      <c r="E497" t="s">
        <v>88</v>
      </c>
      <c r="F497">
        <v>300</v>
      </c>
      <c r="G497">
        <v>1200</v>
      </c>
      <c r="H497">
        <v>-3</v>
      </c>
      <c r="I497">
        <v>1982</v>
      </c>
      <c r="J497" t="s">
        <v>58</v>
      </c>
      <c r="K497">
        <v>2638</v>
      </c>
      <c r="L497">
        <v>1.27</v>
      </c>
      <c r="M497">
        <v>1.74</v>
      </c>
      <c r="N497" s="4">
        <f t="shared" si="14"/>
        <v>1.2661264999999999E-4</v>
      </c>
      <c r="O497" s="4">
        <f t="shared" si="15"/>
        <v>2.2030601099999998E-4</v>
      </c>
      <c r="P497">
        <v>50</v>
      </c>
      <c r="Q497">
        <v>1</v>
      </c>
      <c r="R497">
        <v>3</v>
      </c>
      <c r="S497">
        <v>2</v>
      </c>
      <c r="T497">
        <v>3</v>
      </c>
      <c r="U497">
        <v>3</v>
      </c>
      <c r="V497" t="s">
        <v>50</v>
      </c>
    </row>
    <row r="498" spans="1:22" x14ac:dyDescent="0.25">
      <c r="A498" t="s">
        <v>86</v>
      </c>
      <c r="B498">
        <v>1</v>
      </c>
      <c r="C498" t="s">
        <v>71</v>
      </c>
      <c r="D498" t="s">
        <v>87</v>
      </c>
      <c r="E498" t="s">
        <v>88</v>
      </c>
      <c r="F498">
        <v>300</v>
      </c>
      <c r="G498">
        <v>1200</v>
      </c>
      <c r="H498">
        <v>-3</v>
      </c>
      <c r="I498">
        <v>1982</v>
      </c>
      <c r="J498" t="s">
        <v>59</v>
      </c>
      <c r="K498">
        <v>2426</v>
      </c>
      <c r="L498">
        <v>11.85</v>
      </c>
      <c r="M498">
        <v>7.47</v>
      </c>
      <c r="N498" s="4">
        <f t="shared" si="14"/>
        <v>1.1023166249999999E-2</v>
      </c>
      <c r="O498" s="4">
        <f t="shared" si="15"/>
        <v>8.2343051887499991E-2</v>
      </c>
      <c r="P498">
        <v>50</v>
      </c>
      <c r="Q498">
        <v>3</v>
      </c>
      <c r="R498">
        <v>3</v>
      </c>
      <c r="S498">
        <v>4</v>
      </c>
      <c r="T498">
        <v>3</v>
      </c>
      <c r="U498">
        <v>3</v>
      </c>
      <c r="V498" t="s">
        <v>38</v>
      </c>
    </row>
    <row r="499" spans="1:22" x14ac:dyDescent="0.25">
      <c r="A499" t="s">
        <v>86</v>
      </c>
      <c r="B499">
        <v>1</v>
      </c>
      <c r="C499" t="s">
        <v>71</v>
      </c>
      <c r="D499" t="s">
        <v>87</v>
      </c>
      <c r="E499" t="s">
        <v>88</v>
      </c>
      <c r="F499">
        <v>300</v>
      </c>
      <c r="G499">
        <v>1200</v>
      </c>
      <c r="H499">
        <v>-3</v>
      </c>
      <c r="I499">
        <v>1982</v>
      </c>
      <c r="J499" t="s">
        <v>59</v>
      </c>
      <c r="K499">
        <v>1482</v>
      </c>
      <c r="L499">
        <v>6.52</v>
      </c>
      <c r="M499">
        <v>5.81</v>
      </c>
      <c r="N499" s="4">
        <f t="shared" si="14"/>
        <v>3.3370663999999998E-3</v>
      </c>
      <c r="O499" s="4">
        <f t="shared" si="15"/>
        <v>1.9388355783999996E-2</v>
      </c>
      <c r="P499">
        <v>100</v>
      </c>
      <c r="Q499">
        <v>3</v>
      </c>
      <c r="R499">
        <v>3</v>
      </c>
      <c r="S499">
        <v>3</v>
      </c>
      <c r="T499">
        <v>3</v>
      </c>
      <c r="U499">
        <v>3</v>
      </c>
      <c r="V499" t="s">
        <v>25</v>
      </c>
    </row>
    <row r="500" spans="1:22" x14ac:dyDescent="0.25">
      <c r="A500" t="s">
        <v>86</v>
      </c>
      <c r="B500">
        <v>1</v>
      </c>
      <c r="C500" t="s">
        <v>71</v>
      </c>
      <c r="D500" t="s">
        <v>87</v>
      </c>
      <c r="E500" t="s">
        <v>88</v>
      </c>
      <c r="F500">
        <v>300</v>
      </c>
      <c r="G500">
        <v>1200</v>
      </c>
      <c r="H500">
        <v>-3</v>
      </c>
      <c r="I500">
        <v>1982</v>
      </c>
      <c r="J500" t="s">
        <v>59</v>
      </c>
      <c r="K500">
        <v>2548</v>
      </c>
      <c r="L500">
        <v>7.7</v>
      </c>
      <c r="M500">
        <v>5.69</v>
      </c>
      <c r="N500" s="4">
        <f t="shared" si="14"/>
        <v>4.6542650000000003E-3</v>
      </c>
      <c r="O500" s="4">
        <f t="shared" si="15"/>
        <v>2.6482767850000005E-2</v>
      </c>
      <c r="P500">
        <v>100</v>
      </c>
      <c r="Q500">
        <v>3</v>
      </c>
      <c r="R500">
        <v>3</v>
      </c>
      <c r="S500">
        <v>4</v>
      </c>
      <c r="T500">
        <v>4</v>
      </c>
      <c r="U500">
        <v>4</v>
      </c>
      <c r="V500" t="s">
        <v>38</v>
      </c>
    </row>
    <row r="501" spans="1:22" x14ac:dyDescent="0.25">
      <c r="A501" t="s">
        <v>86</v>
      </c>
      <c r="B501">
        <v>1</v>
      </c>
      <c r="C501" t="s">
        <v>71</v>
      </c>
      <c r="D501" t="s">
        <v>87</v>
      </c>
      <c r="E501" t="s">
        <v>88</v>
      </c>
      <c r="F501">
        <v>300</v>
      </c>
      <c r="G501">
        <v>1200</v>
      </c>
      <c r="H501">
        <v>-3</v>
      </c>
      <c r="I501">
        <v>1982</v>
      </c>
      <c r="J501" t="s">
        <v>61</v>
      </c>
      <c r="K501">
        <v>1171</v>
      </c>
      <c r="L501">
        <v>10.81</v>
      </c>
      <c r="M501">
        <v>3.45</v>
      </c>
      <c r="N501" s="4">
        <f t="shared" si="14"/>
        <v>9.1732038500000005E-3</v>
      </c>
      <c r="O501" s="4">
        <f t="shared" si="15"/>
        <v>3.1647553282500004E-2</v>
      </c>
      <c r="P501">
        <v>100</v>
      </c>
      <c r="Q501">
        <v>3</v>
      </c>
      <c r="R501">
        <v>2</v>
      </c>
      <c r="S501">
        <v>1</v>
      </c>
      <c r="T501">
        <v>1</v>
      </c>
      <c r="U501">
        <v>1</v>
      </c>
      <c r="V501" t="s">
        <v>50</v>
      </c>
    </row>
    <row r="502" spans="1:22" x14ac:dyDescent="0.25">
      <c r="A502" t="s">
        <v>86</v>
      </c>
      <c r="B502">
        <v>1</v>
      </c>
      <c r="C502" t="s">
        <v>71</v>
      </c>
      <c r="D502" t="s">
        <v>87</v>
      </c>
      <c r="E502" t="s">
        <v>88</v>
      </c>
      <c r="F502">
        <v>300</v>
      </c>
      <c r="G502">
        <v>1200</v>
      </c>
      <c r="H502">
        <v>-3</v>
      </c>
      <c r="I502">
        <v>1982</v>
      </c>
      <c r="J502" t="s">
        <v>61</v>
      </c>
      <c r="K502">
        <v>2631</v>
      </c>
      <c r="L502">
        <v>17.829999999999998</v>
      </c>
      <c r="M502">
        <v>6.56</v>
      </c>
      <c r="N502" s="4">
        <f t="shared" si="14"/>
        <v>2.4955848649999997E-2</v>
      </c>
      <c r="O502" s="4">
        <f t="shared" si="15"/>
        <v>0.16371036714399997</v>
      </c>
      <c r="P502">
        <v>75</v>
      </c>
      <c r="Q502">
        <v>4</v>
      </c>
      <c r="R502">
        <v>2</v>
      </c>
      <c r="S502">
        <v>1</v>
      </c>
      <c r="T502">
        <v>1</v>
      </c>
      <c r="U502">
        <v>1</v>
      </c>
      <c r="V502" t="s">
        <v>30</v>
      </c>
    </row>
    <row r="503" spans="1:22" x14ac:dyDescent="0.25">
      <c r="A503" t="s">
        <v>86</v>
      </c>
      <c r="B503">
        <v>1</v>
      </c>
      <c r="C503" t="s">
        <v>71</v>
      </c>
      <c r="D503" t="s">
        <v>87</v>
      </c>
      <c r="E503" t="s">
        <v>88</v>
      </c>
      <c r="F503">
        <v>300</v>
      </c>
      <c r="G503">
        <v>1200</v>
      </c>
      <c r="H503">
        <v>-3</v>
      </c>
      <c r="I503">
        <v>1982</v>
      </c>
      <c r="J503" t="s">
        <v>32</v>
      </c>
      <c r="K503">
        <v>2569</v>
      </c>
      <c r="L503">
        <v>12.5</v>
      </c>
      <c r="M503">
        <v>6.62</v>
      </c>
      <c r="N503" s="4">
        <f t="shared" si="14"/>
        <v>1.2265625E-2</v>
      </c>
      <c r="O503" s="4">
        <f t="shared" si="15"/>
        <v>8.1198437499999998E-2</v>
      </c>
      <c r="P503">
        <v>100</v>
      </c>
      <c r="Q503">
        <v>3</v>
      </c>
      <c r="R503">
        <v>3</v>
      </c>
      <c r="S503">
        <v>3</v>
      </c>
      <c r="T503">
        <v>3</v>
      </c>
      <c r="U503">
        <v>3</v>
      </c>
      <c r="V503" t="s">
        <v>25</v>
      </c>
    </row>
    <row r="504" spans="1:22" x14ac:dyDescent="0.25">
      <c r="A504" t="s">
        <v>86</v>
      </c>
      <c r="B504">
        <v>1</v>
      </c>
      <c r="C504" t="s">
        <v>71</v>
      </c>
      <c r="D504" t="s">
        <v>87</v>
      </c>
      <c r="E504" t="s">
        <v>88</v>
      </c>
      <c r="F504">
        <v>300</v>
      </c>
      <c r="G504">
        <v>1200</v>
      </c>
      <c r="H504">
        <v>-3</v>
      </c>
      <c r="I504">
        <v>1982</v>
      </c>
      <c r="J504" t="s">
        <v>32</v>
      </c>
      <c r="K504">
        <v>2634</v>
      </c>
      <c r="L504">
        <v>7.97</v>
      </c>
      <c r="M504">
        <v>5.88</v>
      </c>
      <c r="N504" s="4">
        <f t="shared" si="14"/>
        <v>4.9863906499999994E-3</v>
      </c>
      <c r="O504" s="4">
        <f t="shared" si="15"/>
        <v>2.9319977021999996E-2</v>
      </c>
      <c r="P504">
        <v>75</v>
      </c>
      <c r="Q504">
        <v>2.5</v>
      </c>
      <c r="R504">
        <v>3</v>
      </c>
      <c r="S504">
        <v>3</v>
      </c>
      <c r="T504">
        <v>3</v>
      </c>
      <c r="U504">
        <v>3.5</v>
      </c>
      <c r="V504" t="s">
        <v>38</v>
      </c>
    </row>
    <row r="505" spans="1:22" x14ac:dyDescent="0.25">
      <c r="A505" t="s">
        <v>86</v>
      </c>
      <c r="B505">
        <v>1</v>
      </c>
      <c r="C505" t="s">
        <v>71</v>
      </c>
      <c r="D505" t="s">
        <v>87</v>
      </c>
      <c r="E505" t="s">
        <v>88</v>
      </c>
      <c r="F505">
        <v>300</v>
      </c>
      <c r="G505">
        <v>1200</v>
      </c>
      <c r="H505">
        <v>-3</v>
      </c>
      <c r="I505">
        <v>1982</v>
      </c>
      <c r="J505" t="s">
        <v>32</v>
      </c>
      <c r="K505">
        <v>2635</v>
      </c>
      <c r="L505">
        <v>8.58</v>
      </c>
      <c r="M505">
        <v>7.48</v>
      </c>
      <c r="N505" s="4">
        <f t="shared" si="14"/>
        <v>5.7788874E-3</v>
      </c>
      <c r="O505" s="4">
        <f t="shared" si="15"/>
        <v>4.3226077752000006E-2</v>
      </c>
      <c r="P505">
        <v>100</v>
      </c>
      <c r="Q505">
        <v>3.5</v>
      </c>
      <c r="R505">
        <v>3</v>
      </c>
      <c r="S505">
        <v>2.5</v>
      </c>
      <c r="T505">
        <v>3.5</v>
      </c>
      <c r="U505">
        <v>3</v>
      </c>
      <c r="V505" t="s">
        <v>25</v>
      </c>
    </row>
    <row r="506" spans="1:22" x14ac:dyDescent="0.25">
      <c r="A506" t="s">
        <v>86</v>
      </c>
      <c r="B506">
        <v>1</v>
      </c>
      <c r="C506" t="s">
        <v>71</v>
      </c>
      <c r="D506" t="s">
        <v>87</v>
      </c>
      <c r="E506" t="s">
        <v>88</v>
      </c>
      <c r="F506">
        <v>300</v>
      </c>
      <c r="G506">
        <v>1200</v>
      </c>
      <c r="H506">
        <v>-3</v>
      </c>
      <c r="I506">
        <v>1982</v>
      </c>
      <c r="J506" t="s">
        <v>34</v>
      </c>
      <c r="K506">
        <v>2570</v>
      </c>
      <c r="L506">
        <v>6.05</v>
      </c>
      <c r="M506">
        <v>5.44</v>
      </c>
      <c r="N506" s="4">
        <f t="shared" si="14"/>
        <v>2.8732962499999999E-3</v>
      </c>
      <c r="O506" s="4">
        <f t="shared" si="15"/>
        <v>1.5630731599999999E-2</v>
      </c>
      <c r="P506">
        <v>100</v>
      </c>
      <c r="Q506">
        <v>3</v>
      </c>
      <c r="R506">
        <v>2.5</v>
      </c>
      <c r="S506">
        <v>3.5</v>
      </c>
      <c r="T506">
        <v>3.5</v>
      </c>
      <c r="U506">
        <v>3</v>
      </c>
      <c r="V506" t="s">
        <v>38</v>
      </c>
    </row>
    <row r="507" spans="1:22" x14ac:dyDescent="0.25">
      <c r="A507" t="s">
        <v>86</v>
      </c>
      <c r="B507">
        <v>1</v>
      </c>
      <c r="C507" t="s">
        <v>71</v>
      </c>
      <c r="D507" t="s">
        <v>87</v>
      </c>
      <c r="E507" t="s">
        <v>88</v>
      </c>
      <c r="F507">
        <v>300</v>
      </c>
      <c r="G507">
        <v>1200</v>
      </c>
      <c r="H507">
        <v>-3</v>
      </c>
      <c r="I507">
        <v>1982</v>
      </c>
      <c r="J507" t="s">
        <v>35</v>
      </c>
      <c r="K507">
        <v>1788</v>
      </c>
      <c r="L507">
        <v>6.76</v>
      </c>
      <c r="M507">
        <v>6.76</v>
      </c>
      <c r="N507" s="4">
        <f t="shared" si="14"/>
        <v>3.5872615999999993E-3</v>
      </c>
      <c r="O507" s="4">
        <f t="shared" si="15"/>
        <v>2.4249888415999996E-2</v>
      </c>
      <c r="P507">
        <v>75</v>
      </c>
      <c r="Q507">
        <v>1</v>
      </c>
      <c r="R507">
        <v>1</v>
      </c>
      <c r="S507">
        <v>3</v>
      </c>
      <c r="T507">
        <v>3</v>
      </c>
      <c r="U507">
        <v>3</v>
      </c>
      <c r="V507" t="s">
        <v>50</v>
      </c>
    </row>
    <row r="508" spans="1:22" x14ac:dyDescent="0.25">
      <c r="A508" t="s">
        <v>86</v>
      </c>
      <c r="B508">
        <v>1</v>
      </c>
      <c r="C508" t="s">
        <v>71</v>
      </c>
      <c r="D508" t="s">
        <v>87</v>
      </c>
      <c r="E508" t="s">
        <v>88</v>
      </c>
      <c r="F508">
        <v>300</v>
      </c>
      <c r="G508">
        <v>1200</v>
      </c>
      <c r="H508">
        <v>-3</v>
      </c>
      <c r="I508">
        <v>1982</v>
      </c>
      <c r="J508" t="s">
        <v>35</v>
      </c>
      <c r="K508">
        <v>1259</v>
      </c>
      <c r="L508">
        <v>13.99</v>
      </c>
      <c r="M508">
        <v>9.09</v>
      </c>
      <c r="N508" s="4">
        <f t="shared" si="14"/>
        <v>1.5364027849999998E-2</v>
      </c>
      <c r="O508" s="4">
        <f t="shared" si="15"/>
        <v>0.13965901315649998</v>
      </c>
      <c r="P508">
        <v>100</v>
      </c>
      <c r="Q508">
        <v>4</v>
      </c>
      <c r="R508">
        <v>2</v>
      </c>
      <c r="S508">
        <v>2</v>
      </c>
      <c r="T508">
        <v>2</v>
      </c>
      <c r="U508">
        <v>2</v>
      </c>
      <c r="V508" t="s">
        <v>38</v>
      </c>
    </row>
    <row r="509" spans="1:22" x14ac:dyDescent="0.25">
      <c r="A509" t="s">
        <v>86</v>
      </c>
      <c r="B509">
        <v>1</v>
      </c>
      <c r="C509" t="s">
        <v>71</v>
      </c>
      <c r="D509" t="s">
        <v>87</v>
      </c>
      <c r="E509" t="s">
        <v>88</v>
      </c>
      <c r="F509">
        <v>300</v>
      </c>
      <c r="G509">
        <v>1200</v>
      </c>
      <c r="H509">
        <v>-3</v>
      </c>
      <c r="I509">
        <v>1982</v>
      </c>
      <c r="J509" t="s">
        <v>35</v>
      </c>
      <c r="K509">
        <v>1785</v>
      </c>
      <c r="L509">
        <v>8.65</v>
      </c>
      <c r="M509">
        <v>5.95</v>
      </c>
      <c r="N509" s="4">
        <f t="shared" si="14"/>
        <v>5.8735662500000009E-3</v>
      </c>
      <c r="O509" s="4">
        <f t="shared" si="15"/>
        <v>3.4947719187500004E-2</v>
      </c>
      <c r="P509">
        <v>100</v>
      </c>
      <c r="Q509">
        <v>1.5</v>
      </c>
      <c r="R509">
        <v>1</v>
      </c>
      <c r="S509">
        <v>3</v>
      </c>
      <c r="T509">
        <v>3</v>
      </c>
      <c r="U509">
        <v>3</v>
      </c>
      <c r="V509" t="s">
        <v>50</v>
      </c>
    </row>
    <row r="510" spans="1:22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35</v>
      </c>
      <c r="K510">
        <v>2571</v>
      </c>
      <c r="L510">
        <v>16.79</v>
      </c>
      <c r="M510">
        <v>13.17</v>
      </c>
      <c r="N510" s="4">
        <f t="shared" si="14"/>
        <v>2.2129471849999999E-2</v>
      </c>
      <c r="O510" s="4">
        <f t="shared" si="15"/>
        <v>0.29144514426449997</v>
      </c>
      <c r="P510">
        <v>100</v>
      </c>
      <c r="Q510">
        <v>4</v>
      </c>
      <c r="R510">
        <v>2</v>
      </c>
      <c r="S510">
        <v>3</v>
      </c>
      <c r="T510">
        <v>3</v>
      </c>
      <c r="U510">
        <v>2.5</v>
      </c>
      <c r="V510" t="s">
        <v>25</v>
      </c>
    </row>
    <row r="511" spans="1:22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36</v>
      </c>
      <c r="K511">
        <v>2573</v>
      </c>
      <c r="L511">
        <v>2.4500000000000002</v>
      </c>
      <c r="M511">
        <v>3.06</v>
      </c>
      <c r="N511" s="4">
        <f t="shared" si="14"/>
        <v>4.7119625000000009E-4</v>
      </c>
      <c r="O511" s="4">
        <f t="shared" si="15"/>
        <v>1.4418605250000004E-3</v>
      </c>
      <c r="P511">
        <v>50</v>
      </c>
      <c r="Q511">
        <v>1.5</v>
      </c>
      <c r="R511">
        <v>4</v>
      </c>
      <c r="S511">
        <v>1</v>
      </c>
      <c r="T511">
        <v>2</v>
      </c>
      <c r="U511">
        <v>3</v>
      </c>
      <c r="V511" t="s">
        <v>50</v>
      </c>
    </row>
    <row r="512" spans="1:22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62</v>
      </c>
      <c r="K512">
        <v>2550</v>
      </c>
      <c r="L512">
        <v>9.84</v>
      </c>
      <c r="M512">
        <v>8.68</v>
      </c>
      <c r="N512" s="4">
        <f t="shared" si="14"/>
        <v>7.6008096000000002E-3</v>
      </c>
      <c r="O512" s="4">
        <f t="shared" si="15"/>
        <v>6.5975027327999994E-2</v>
      </c>
      <c r="P512">
        <v>75</v>
      </c>
      <c r="Q512">
        <v>2</v>
      </c>
      <c r="R512">
        <v>2</v>
      </c>
      <c r="S512">
        <v>4</v>
      </c>
      <c r="T512">
        <v>4</v>
      </c>
      <c r="U512">
        <v>4</v>
      </c>
      <c r="V512" t="s">
        <v>38</v>
      </c>
    </row>
    <row r="513" spans="1:22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62</v>
      </c>
      <c r="K513">
        <v>1352</v>
      </c>
      <c r="L513">
        <v>4.9800000000000004</v>
      </c>
      <c r="M513">
        <v>4.05</v>
      </c>
      <c r="N513" s="4">
        <f t="shared" si="14"/>
        <v>1.9468314000000001E-3</v>
      </c>
      <c r="O513" s="4">
        <f t="shared" si="15"/>
        <v>7.8846671699999999E-3</v>
      </c>
      <c r="P513">
        <v>75</v>
      </c>
      <c r="Q513">
        <v>2</v>
      </c>
      <c r="R513">
        <v>2.5</v>
      </c>
      <c r="S513">
        <v>3</v>
      </c>
      <c r="T513">
        <v>3</v>
      </c>
      <c r="U513">
        <v>3</v>
      </c>
      <c r="V513" t="s">
        <v>30</v>
      </c>
    </row>
    <row r="514" spans="1:22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62</v>
      </c>
      <c r="K514">
        <v>2432</v>
      </c>
      <c r="L514">
        <v>8.92</v>
      </c>
      <c r="M514">
        <v>6.14</v>
      </c>
      <c r="N514" s="4">
        <f t="shared" si="14"/>
        <v>6.2459624000000009E-3</v>
      </c>
      <c r="O514" s="4">
        <f t="shared" si="15"/>
        <v>3.8350209136000006E-2</v>
      </c>
      <c r="P514">
        <v>75</v>
      </c>
      <c r="Q514">
        <v>2.5</v>
      </c>
      <c r="R514">
        <v>3</v>
      </c>
      <c r="S514">
        <v>4</v>
      </c>
      <c r="T514">
        <v>4</v>
      </c>
      <c r="U514">
        <v>3.5</v>
      </c>
      <c r="V514" t="s">
        <v>38</v>
      </c>
    </row>
    <row r="515" spans="1:22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62</v>
      </c>
      <c r="K515">
        <v>2553</v>
      </c>
      <c r="L515">
        <v>13.39</v>
      </c>
      <c r="M515">
        <v>6.6</v>
      </c>
      <c r="N515" s="4">
        <f t="shared" ref="N515:N578" si="16">3.14/4*((L515/100)^2)</f>
        <v>1.4074429850000004E-2</v>
      </c>
      <c r="O515" s="4">
        <f t="shared" ref="O515:O578" si="17">3.14/4*((L515/100)^2)*M515</f>
        <v>9.2891237010000016E-2</v>
      </c>
      <c r="P515">
        <v>75</v>
      </c>
      <c r="Q515">
        <v>3</v>
      </c>
      <c r="R515">
        <v>2.5</v>
      </c>
      <c r="S515">
        <v>3</v>
      </c>
      <c r="T515">
        <v>3</v>
      </c>
      <c r="U515">
        <v>2.5</v>
      </c>
      <c r="V515" t="s">
        <v>38</v>
      </c>
    </row>
    <row r="516" spans="1:22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62</v>
      </c>
      <c r="K516">
        <v>2574</v>
      </c>
      <c r="L516">
        <v>13.43</v>
      </c>
      <c r="M516">
        <v>9.0299999999999994</v>
      </c>
      <c r="N516" s="4">
        <f t="shared" si="16"/>
        <v>1.4158644650000001E-2</v>
      </c>
      <c r="O516" s="4">
        <f t="shared" si="17"/>
        <v>0.1278525611895</v>
      </c>
      <c r="P516">
        <v>100</v>
      </c>
      <c r="Q516">
        <v>4</v>
      </c>
      <c r="R516">
        <v>2</v>
      </c>
      <c r="S516">
        <v>4</v>
      </c>
      <c r="T516">
        <v>3</v>
      </c>
      <c r="U516">
        <v>2.5</v>
      </c>
      <c r="V516" t="s">
        <v>25</v>
      </c>
    </row>
    <row r="517" spans="1:22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37</v>
      </c>
      <c r="K517">
        <v>2575</v>
      </c>
      <c r="L517">
        <v>9.84</v>
      </c>
      <c r="M517">
        <v>5.67</v>
      </c>
      <c r="N517" s="4">
        <f t="shared" si="16"/>
        <v>7.6008096000000002E-3</v>
      </c>
      <c r="O517" s="4">
        <f t="shared" si="17"/>
        <v>4.3096590432000002E-2</v>
      </c>
      <c r="P517">
        <v>100</v>
      </c>
      <c r="Q517">
        <v>1.5</v>
      </c>
      <c r="R517">
        <v>1.5</v>
      </c>
      <c r="S517">
        <v>2</v>
      </c>
      <c r="T517">
        <v>2</v>
      </c>
      <c r="U517">
        <v>2</v>
      </c>
      <c r="V517" t="s">
        <v>50</v>
      </c>
    </row>
    <row r="518" spans="1:22" x14ac:dyDescent="0.25">
      <c r="A518" t="s">
        <v>86</v>
      </c>
      <c r="B518">
        <v>2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76</v>
      </c>
      <c r="K518">
        <v>1592</v>
      </c>
      <c r="L518">
        <v>4.7300000000000004</v>
      </c>
      <c r="M518">
        <v>5.31</v>
      </c>
      <c r="N518" s="4">
        <f t="shared" si="16"/>
        <v>1.7562726500000003E-3</v>
      </c>
      <c r="O518" s="4">
        <f t="shared" si="17"/>
        <v>9.3258077715000012E-3</v>
      </c>
      <c r="P518">
        <v>100</v>
      </c>
      <c r="Q518">
        <v>2</v>
      </c>
      <c r="R518">
        <v>3</v>
      </c>
      <c r="S518">
        <v>3</v>
      </c>
      <c r="T518">
        <v>4</v>
      </c>
      <c r="U518">
        <v>4</v>
      </c>
      <c r="V518" t="s">
        <v>25</v>
      </c>
    </row>
    <row r="519" spans="1:22" x14ac:dyDescent="0.25">
      <c r="A519" t="s">
        <v>86</v>
      </c>
      <c r="B519">
        <v>2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76</v>
      </c>
      <c r="K519">
        <v>2560</v>
      </c>
      <c r="L519">
        <v>6.35</v>
      </c>
      <c r="M519">
        <v>4.62</v>
      </c>
      <c r="N519" s="4">
        <f t="shared" si="16"/>
        <v>3.1653162500000004E-3</v>
      </c>
      <c r="O519" s="4">
        <f t="shared" si="17"/>
        <v>1.4623761075000002E-2</v>
      </c>
      <c r="P519">
        <v>100</v>
      </c>
      <c r="Q519">
        <v>3</v>
      </c>
      <c r="R519">
        <v>4</v>
      </c>
      <c r="S519">
        <v>2</v>
      </c>
      <c r="T519">
        <v>3</v>
      </c>
      <c r="U519">
        <v>4</v>
      </c>
      <c r="V519" t="s">
        <v>38</v>
      </c>
    </row>
    <row r="520" spans="1:22" x14ac:dyDescent="0.25">
      <c r="A520" t="s">
        <v>86</v>
      </c>
      <c r="B520">
        <v>2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56</v>
      </c>
      <c r="K520">
        <v>1111</v>
      </c>
      <c r="L520">
        <v>18.989999999999998</v>
      </c>
      <c r="M520">
        <v>10.73</v>
      </c>
      <c r="N520" s="4">
        <f t="shared" si="16"/>
        <v>2.8308677849999995E-2</v>
      </c>
      <c r="O520" s="4">
        <f t="shared" si="17"/>
        <v>0.30375211333049995</v>
      </c>
      <c r="P520">
        <v>75</v>
      </c>
      <c r="Q520">
        <v>3</v>
      </c>
      <c r="R520">
        <v>3</v>
      </c>
      <c r="S520">
        <v>3.5</v>
      </c>
      <c r="T520">
        <v>3</v>
      </c>
      <c r="U520">
        <v>3</v>
      </c>
      <c r="V520" t="s">
        <v>25</v>
      </c>
    </row>
    <row r="521" spans="1:22" x14ac:dyDescent="0.25">
      <c r="A521" t="s">
        <v>86</v>
      </c>
      <c r="B521">
        <v>2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57</v>
      </c>
      <c r="K521">
        <v>2620</v>
      </c>
      <c r="L521">
        <v>7.3</v>
      </c>
      <c r="M521">
        <v>5.91</v>
      </c>
      <c r="N521" s="4">
        <f t="shared" si="16"/>
        <v>4.1832649999999994E-3</v>
      </c>
      <c r="O521" s="4">
        <f t="shared" si="17"/>
        <v>2.4723096149999998E-2</v>
      </c>
      <c r="P521">
        <v>100</v>
      </c>
      <c r="Q521">
        <v>2</v>
      </c>
      <c r="R521">
        <v>2</v>
      </c>
      <c r="S521">
        <v>3</v>
      </c>
      <c r="T521">
        <v>4</v>
      </c>
      <c r="U521">
        <v>4</v>
      </c>
      <c r="V521" t="s">
        <v>30</v>
      </c>
    </row>
    <row r="522" spans="1:22" x14ac:dyDescent="0.25">
      <c r="A522" t="s">
        <v>86</v>
      </c>
      <c r="B522">
        <v>2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57</v>
      </c>
      <c r="K522">
        <v>2621</v>
      </c>
      <c r="L522">
        <v>8.11</v>
      </c>
      <c r="M522">
        <v>4.9800000000000004</v>
      </c>
      <c r="N522" s="4">
        <f t="shared" si="16"/>
        <v>5.1631098499999991E-3</v>
      </c>
      <c r="O522" s="4">
        <f t="shared" si="17"/>
        <v>2.5712287052999997E-2</v>
      </c>
      <c r="P522">
        <v>100</v>
      </c>
      <c r="Q522">
        <v>3</v>
      </c>
      <c r="R522">
        <v>1</v>
      </c>
      <c r="S522">
        <v>4</v>
      </c>
      <c r="T522">
        <v>4</v>
      </c>
      <c r="U522">
        <v>4</v>
      </c>
      <c r="V522" t="s">
        <v>38</v>
      </c>
    </row>
    <row r="523" spans="1:22" x14ac:dyDescent="0.25">
      <c r="A523" t="s">
        <v>86</v>
      </c>
      <c r="B523">
        <v>2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58</v>
      </c>
      <c r="K523">
        <v>2638</v>
      </c>
      <c r="L523">
        <v>5.25</v>
      </c>
      <c r="M523">
        <v>3.5</v>
      </c>
      <c r="N523" s="4">
        <f t="shared" si="16"/>
        <v>2.1636562499999998E-3</v>
      </c>
      <c r="O523" s="4">
        <f t="shared" si="17"/>
        <v>7.5727968749999992E-3</v>
      </c>
      <c r="P523">
        <v>50</v>
      </c>
      <c r="Q523">
        <v>2</v>
      </c>
      <c r="R523">
        <v>3</v>
      </c>
      <c r="S523">
        <v>3</v>
      </c>
      <c r="T523">
        <v>3</v>
      </c>
      <c r="U523">
        <v>4</v>
      </c>
      <c r="V523" t="s">
        <v>30</v>
      </c>
    </row>
    <row r="524" spans="1:22" x14ac:dyDescent="0.25">
      <c r="A524" t="s">
        <v>86</v>
      </c>
      <c r="B524">
        <v>2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59</v>
      </c>
      <c r="K524">
        <v>2426</v>
      </c>
      <c r="L524">
        <v>16.690000000000001</v>
      </c>
      <c r="M524">
        <v>9.48</v>
      </c>
      <c r="N524" s="4">
        <f t="shared" si="16"/>
        <v>2.1866653850000004E-2</v>
      </c>
      <c r="O524" s="4">
        <f t="shared" si="17"/>
        <v>0.20729587849800005</v>
      </c>
      <c r="P524">
        <v>50</v>
      </c>
      <c r="Q524">
        <v>4</v>
      </c>
      <c r="R524">
        <v>3</v>
      </c>
      <c r="S524">
        <v>4</v>
      </c>
      <c r="T524">
        <v>4</v>
      </c>
      <c r="U524">
        <v>3</v>
      </c>
      <c r="V524" t="s">
        <v>27</v>
      </c>
    </row>
    <row r="525" spans="1:22" x14ac:dyDescent="0.25">
      <c r="A525" t="s">
        <v>86</v>
      </c>
      <c r="B525">
        <v>2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59</v>
      </c>
      <c r="K525">
        <v>1482</v>
      </c>
      <c r="L525">
        <v>2.37</v>
      </c>
      <c r="M525">
        <v>2.73</v>
      </c>
      <c r="N525" s="4">
        <f t="shared" si="16"/>
        <v>4.4092665000000013E-4</v>
      </c>
      <c r="O525" s="4">
        <f t="shared" si="17"/>
        <v>1.2037297545000004E-3</v>
      </c>
      <c r="P525">
        <v>50</v>
      </c>
      <c r="Q525">
        <v>1</v>
      </c>
      <c r="R525">
        <v>3</v>
      </c>
      <c r="S525">
        <v>3</v>
      </c>
      <c r="T525">
        <v>3</v>
      </c>
      <c r="U525">
        <v>3</v>
      </c>
      <c r="V525" t="s">
        <v>50</v>
      </c>
    </row>
    <row r="526" spans="1:22" x14ac:dyDescent="0.25">
      <c r="A526" t="s">
        <v>86</v>
      </c>
      <c r="B526">
        <v>2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59</v>
      </c>
      <c r="K526">
        <v>2548</v>
      </c>
      <c r="L526">
        <v>10.08</v>
      </c>
      <c r="M526">
        <v>6.52</v>
      </c>
      <c r="N526" s="4">
        <f t="shared" si="16"/>
        <v>7.9761024000000007E-3</v>
      </c>
      <c r="O526" s="4">
        <f t="shared" si="17"/>
        <v>5.2004187648000001E-2</v>
      </c>
      <c r="P526">
        <v>50</v>
      </c>
      <c r="Q526">
        <v>3</v>
      </c>
      <c r="R526">
        <v>3</v>
      </c>
      <c r="S526">
        <v>4</v>
      </c>
      <c r="T526">
        <v>4</v>
      </c>
      <c r="U526">
        <v>4</v>
      </c>
      <c r="V526" t="s">
        <v>38</v>
      </c>
    </row>
    <row r="527" spans="1:22" x14ac:dyDescent="0.25">
      <c r="A527" t="s">
        <v>86</v>
      </c>
      <c r="B527">
        <v>2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26</v>
      </c>
      <c r="K527">
        <v>2552</v>
      </c>
      <c r="L527">
        <v>17.190000000000001</v>
      </c>
      <c r="M527">
        <v>12.45</v>
      </c>
      <c r="N527" s="4">
        <f t="shared" si="16"/>
        <v>2.3196443850000005E-2</v>
      </c>
      <c r="O527" s="4">
        <f t="shared" si="17"/>
        <v>0.28879572593250002</v>
      </c>
      <c r="P527">
        <v>50</v>
      </c>
      <c r="Q527">
        <v>4</v>
      </c>
      <c r="R527">
        <v>4</v>
      </c>
      <c r="S527">
        <v>4</v>
      </c>
      <c r="T527">
        <v>4</v>
      </c>
      <c r="U527">
        <v>4</v>
      </c>
      <c r="V527" t="s">
        <v>25</v>
      </c>
    </row>
    <row r="528" spans="1:22" x14ac:dyDescent="0.25">
      <c r="A528" t="s">
        <v>86</v>
      </c>
      <c r="B528">
        <v>2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61</v>
      </c>
      <c r="K528">
        <v>1171</v>
      </c>
      <c r="L528">
        <v>1.27</v>
      </c>
      <c r="M528">
        <v>1.1200000000000001</v>
      </c>
      <c r="N528" s="4">
        <f t="shared" si="16"/>
        <v>1.2661264999999999E-4</v>
      </c>
      <c r="O528" s="4">
        <f t="shared" si="17"/>
        <v>1.41806168E-4</v>
      </c>
      <c r="P528">
        <v>25</v>
      </c>
      <c r="Q528">
        <v>1.5</v>
      </c>
      <c r="R528">
        <v>3</v>
      </c>
      <c r="S528">
        <v>0</v>
      </c>
      <c r="T528">
        <v>2</v>
      </c>
      <c r="U528">
        <v>3</v>
      </c>
      <c r="V528" t="s">
        <v>50</v>
      </c>
    </row>
    <row r="529" spans="1:22" x14ac:dyDescent="0.25">
      <c r="A529" t="s">
        <v>86</v>
      </c>
      <c r="B529">
        <v>2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61</v>
      </c>
      <c r="K529">
        <v>2631</v>
      </c>
      <c r="L529">
        <v>5.75</v>
      </c>
      <c r="M529">
        <v>4.5999999999999996</v>
      </c>
      <c r="N529" s="4">
        <f t="shared" si="16"/>
        <v>2.5954062500000001E-3</v>
      </c>
      <c r="O529" s="4">
        <f t="shared" si="17"/>
        <v>1.193886875E-2</v>
      </c>
      <c r="P529">
        <v>25</v>
      </c>
      <c r="Q529">
        <v>2</v>
      </c>
      <c r="R529">
        <v>2</v>
      </c>
      <c r="S529">
        <v>3</v>
      </c>
      <c r="T529">
        <v>3</v>
      </c>
      <c r="U529">
        <v>3</v>
      </c>
      <c r="V529" t="s">
        <v>50</v>
      </c>
    </row>
    <row r="530" spans="1:22" x14ac:dyDescent="0.25">
      <c r="A530" t="s">
        <v>86</v>
      </c>
      <c r="B530">
        <v>2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32</v>
      </c>
      <c r="K530">
        <v>1595</v>
      </c>
      <c r="L530">
        <v>15.69</v>
      </c>
      <c r="M530">
        <v>8.9499999999999993</v>
      </c>
      <c r="N530" s="4">
        <f t="shared" si="16"/>
        <v>1.9324823849999995E-2</v>
      </c>
      <c r="O530" s="4">
        <f t="shared" si="17"/>
        <v>0.17295717345749995</v>
      </c>
      <c r="P530">
        <v>100</v>
      </c>
      <c r="Q530">
        <v>3</v>
      </c>
      <c r="R530">
        <v>3</v>
      </c>
      <c r="S530">
        <v>4</v>
      </c>
      <c r="T530">
        <v>4</v>
      </c>
      <c r="U530">
        <v>3</v>
      </c>
      <c r="V530" t="s">
        <v>25</v>
      </c>
    </row>
    <row r="531" spans="1:22" x14ac:dyDescent="0.25">
      <c r="A531" t="s">
        <v>86</v>
      </c>
      <c r="B531">
        <v>2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32</v>
      </c>
      <c r="K531">
        <v>2569</v>
      </c>
      <c r="L531">
        <v>17.03</v>
      </c>
      <c r="M531">
        <v>10.42</v>
      </c>
      <c r="N531" s="4">
        <f t="shared" si="16"/>
        <v>2.2766640650000003E-2</v>
      </c>
      <c r="O531" s="4">
        <f t="shared" si="17"/>
        <v>0.23722839557300002</v>
      </c>
      <c r="P531">
        <v>100</v>
      </c>
      <c r="Q531">
        <v>3</v>
      </c>
      <c r="R531">
        <v>3</v>
      </c>
      <c r="S531">
        <v>4</v>
      </c>
      <c r="T531">
        <v>4</v>
      </c>
      <c r="U531">
        <v>3</v>
      </c>
      <c r="V531" t="s">
        <v>25</v>
      </c>
    </row>
    <row r="532" spans="1:22" x14ac:dyDescent="0.25">
      <c r="A532" t="s">
        <v>86</v>
      </c>
      <c r="B532">
        <v>2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32</v>
      </c>
      <c r="K532">
        <v>2634</v>
      </c>
      <c r="L532">
        <v>17.77</v>
      </c>
      <c r="M532">
        <v>10.42</v>
      </c>
      <c r="N532" s="4">
        <f t="shared" si="16"/>
        <v>2.4788172650000002E-2</v>
      </c>
      <c r="O532" s="4">
        <f t="shared" si="17"/>
        <v>0.25829275901300003</v>
      </c>
      <c r="P532">
        <v>50</v>
      </c>
      <c r="Q532">
        <v>3</v>
      </c>
      <c r="R532">
        <v>3</v>
      </c>
      <c r="S532">
        <v>2</v>
      </c>
      <c r="T532">
        <v>2</v>
      </c>
      <c r="U532">
        <v>2</v>
      </c>
      <c r="V532" t="s">
        <v>38</v>
      </c>
    </row>
    <row r="533" spans="1:22" x14ac:dyDescent="0.25">
      <c r="A533" t="s">
        <v>86</v>
      </c>
      <c r="B533">
        <v>2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32</v>
      </c>
      <c r="K533">
        <v>2635</v>
      </c>
      <c r="L533">
        <v>17.399999999999999</v>
      </c>
      <c r="M533">
        <v>10.66</v>
      </c>
      <c r="N533" s="4">
        <f t="shared" si="16"/>
        <v>2.3766659999999998E-2</v>
      </c>
      <c r="O533" s="4">
        <f t="shared" si="17"/>
        <v>0.25335259560000001</v>
      </c>
      <c r="P533">
        <v>75</v>
      </c>
      <c r="Q533">
        <v>3</v>
      </c>
      <c r="R533">
        <v>2</v>
      </c>
      <c r="S533">
        <v>4</v>
      </c>
      <c r="T533">
        <v>4</v>
      </c>
      <c r="U533">
        <v>3</v>
      </c>
      <c r="V533" t="s">
        <v>25</v>
      </c>
    </row>
    <row r="534" spans="1:22" x14ac:dyDescent="0.25">
      <c r="A534" t="s">
        <v>86</v>
      </c>
      <c r="B534">
        <v>2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34</v>
      </c>
      <c r="K534">
        <v>2570</v>
      </c>
      <c r="L534">
        <v>10.16</v>
      </c>
      <c r="M534">
        <v>7.74</v>
      </c>
      <c r="N534" s="4">
        <f t="shared" si="16"/>
        <v>8.1032095999999994E-3</v>
      </c>
      <c r="O534" s="4">
        <f t="shared" si="17"/>
        <v>6.2718842304000003E-2</v>
      </c>
      <c r="P534">
        <v>100</v>
      </c>
      <c r="Q534">
        <v>3</v>
      </c>
      <c r="R534">
        <v>3</v>
      </c>
      <c r="S534">
        <v>4</v>
      </c>
      <c r="T534">
        <v>4</v>
      </c>
      <c r="U534">
        <v>4</v>
      </c>
      <c r="V534" t="s">
        <v>25</v>
      </c>
    </row>
    <row r="535" spans="1:22" x14ac:dyDescent="0.25">
      <c r="A535" t="s">
        <v>86</v>
      </c>
      <c r="B535">
        <v>2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35</v>
      </c>
      <c r="K535">
        <v>1788</v>
      </c>
      <c r="L535">
        <v>6.06</v>
      </c>
      <c r="M535">
        <v>4.2</v>
      </c>
      <c r="N535" s="4">
        <f t="shared" si="16"/>
        <v>2.8828025999999992E-3</v>
      </c>
      <c r="O535" s="4">
        <f t="shared" si="17"/>
        <v>1.2107770919999997E-2</v>
      </c>
      <c r="P535">
        <v>100</v>
      </c>
      <c r="Q535">
        <v>1.5</v>
      </c>
      <c r="R535">
        <v>1.5</v>
      </c>
      <c r="S535">
        <v>2</v>
      </c>
      <c r="T535">
        <v>2</v>
      </c>
      <c r="U535">
        <v>1</v>
      </c>
      <c r="V535" t="s">
        <v>50</v>
      </c>
    </row>
    <row r="536" spans="1:22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35</v>
      </c>
      <c r="K536">
        <v>1259</v>
      </c>
      <c r="L536">
        <v>10.37</v>
      </c>
      <c r="M536">
        <v>5.6</v>
      </c>
      <c r="N536" s="4">
        <f t="shared" si="16"/>
        <v>8.4416466499999988E-3</v>
      </c>
      <c r="O536" s="4">
        <f t="shared" si="17"/>
        <v>4.7273221239999989E-2</v>
      </c>
      <c r="P536">
        <v>100</v>
      </c>
      <c r="Q536">
        <v>3</v>
      </c>
      <c r="R536">
        <v>2</v>
      </c>
      <c r="S536">
        <v>2</v>
      </c>
      <c r="T536">
        <v>2</v>
      </c>
      <c r="U536">
        <v>1</v>
      </c>
      <c r="V536" t="s">
        <v>30</v>
      </c>
    </row>
    <row r="537" spans="1:22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35</v>
      </c>
      <c r="K537">
        <v>1785</v>
      </c>
      <c r="L537">
        <v>2.56</v>
      </c>
      <c r="M537">
        <v>2.91</v>
      </c>
      <c r="N537" s="4">
        <f t="shared" si="16"/>
        <v>5.1445760000000005E-4</v>
      </c>
      <c r="O537" s="4">
        <f t="shared" si="17"/>
        <v>1.4970716160000001E-3</v>
      </c>
      <c r="P537">
        <v>75</v>
      </c>
      <c r="Q537">
        <v>1</v>
      </c>
      <c r="R537">
        <v>1</v>
      </c>
      <c r="S537">
        <v>2</v>
      </c>
      <c r="T537">
        <v>2</v>
      </c>
      <c r="U537">
        <v>3</v>
      </c>
      <c r="V537" t="s">
        <v>50</v>
      </c>
    </row>
    <row r="538" spans="1:22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35</v>
      </c>
      <c r="K538">
        <v>2571</v>
      </c>
      <c r="L538">
        <v>8.98</v>
      </c>
      <c r="M538">
        <v>4.08</v>
      </c>
      <c r="N538" s="4">
        <f t="shared" si="16"/>
        <v>6.3302714000000012E-3</v>
      </c>
      <c r="O538" s="4">
        <f t="shared" si="17"/>
        <v>2.5827507312000005E-2</v>
      </c>
      <c r="P538">
        <v>75</v>
      </c>
      <c r="Q538">
        <v>4</v>
      </c>
      <c r="R538">
        <v>2</v>
      </c>
      <c r="S538">
        <v>2</v>
      </c>
      <c r="T538">
        <v>2</v>
      </c>
      <c r="U538">
        <v>2</v>
      </c>
      <c r="V538" t="s">
        <v>38</v>
      </c>
    </row>
    <row r="539" spans="1:22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36</v>
      </c>
      <c r="K539">
        <v>2573</v>
      </c>
      <c r="L539">
        <v>7.84</v>
      </c>
      <c r="M539">
        <v>4.29</v>
      </c>
      <c r="N539" s="4">
        <f t="shared" si="16"/>
        <v>4.8250495999999999E-3</v>
      </c>
      <c r="O539" s="4">
        <f t="shared" si="17"/>
        <v>2.0699462783999999E-2</v>
      </c>
      <c r="P539">
        <v>25</v>
      </c>
      <c r="Q539">
        <v>2</v>
      </c>
      <c r="R539">
        <v>4</v>
      </c>
      <c r="S539">
        <v>1</v>
      </c>
      <c r="T539">
        <v>2</v>
      </c>
      <c r="U539">
        <v>3</v>
      </c>
      <c r="V539" t="s">
        <v>50</v>
      </c>
    </row>
    <row r="540" spans="1:22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62</v>
      </c>
      <c r="K540">
        <v>2550</v>
      </c>
      <c r="L540">
        <v>5.44</v>
      </c>
      <c r="M540">
        <v>4.05</v>
      </c>
      <c r="N540" s="4">
        <f t="shared" si="16"/>
        <v>2.3230976000000003E-3</v>
      </c>
      <c r="O540" s="4">
        <f t="shared" si="17"/>
        <v>9.4085452800000014E-3</v>
      </c>
      <c r="P540">
        <v>50</v>
      </c>
      <c r="Q540">
        <v>1</v>
      </c>
      <c r="R540">
        <v>2</v>
      </c>
      <c r="S540">
        <v>3</v>
      </c>
      <c r="T540">
        <v>3</v>
      </c>
      <c r="U540">
        <v>3</v>
      </c>
      <c r="V540" t="s">
        <v>50</v>
      </c>
    </row>
    <row r="541" spans="1:22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62</v>
      </c>
      <c r="K541">
        <v>1352</v>
      </c>
      <c r="L541">
        <v>11.93</v>
      </c>
      <c r="M541">
        <v>11</v>
      </c>
      <c r="N541" s="4">
        <f t="shared" si="16"/>
        <v>1.1172504650000002E-2</v>
      </c>
      <c r="O541" s="4">
        <f t="shared" si="17"/>
        <v>0.12289755115000002</v>
      </c>
      <c r="P541">
        <v>100</v>
      </c>
      <c r="Q541">
        <v>3.5</v>
      </c>
      <c r="R541">
        <v>3</v>
      </c>
      <c r="S541">
        <v>4</v>
      </c>
      <c r="T541">
        <v>4</v>
      </c>
      <c r="U541">
        <v>3.5</v>
      </c>
      <c r="V541" t="s">
        <v>25</v>
      </c>
    </row>
    <row r="542" spans="1:22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62</v>
      </c>
      <c r="K542">
        <v>2432</v>
      </c>
      <c r="L542">
        <v>12.39</v>
      </c>
      <c r="M542">
        <v>10.77</v>
      </c>
      <c r="N542" s="4">
        <f t="shared" si="16"/>
        <v>1.2050699850000002E-2</v>
      </c>
      <c r="O542" s="4">
        <f t="shared" si="17"/>
        <v>0.12978603738450001</v>
      </c>
      <c r="P542">
        <v>75</v>
      </c>
      <c r="Q542">
        <v>3</v>
      </c>
      <c r="R542">
        <v>3</v>
      </c>
      <c r="S542">
        <v>4</v>
      </c>
      <c r="T542">
        <v>4</v>
      </c>
      <c r="U542">
        <v>4</v>
      </c>
      <c r="V542" t="s">
        <v>25</v>
      </c>
    </row>
    <row r="543" spans="1:22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62</v>
      </c>
      <c r="K543">
        <v>2553</v>
      </c>
      <c r="L543">
        <v>17.95</v>
      </c>
      <c r="M543">
        <v>13.66</v>
      </c>
      <c r="N543" s="4">
        <f t="shared" si="16"/>
        <v>2.5292896249999999E-2</v>
      </c>
      <c r="O543" s="4">
        <f t="shared" si="17"/>
        <v>0.34550096277499998</v>
      </c>
      <c r="P543">
        <v>100</v>
      </c>
      <c r="Q543">
        <v>5</v>
      </c>
      <c r="R543">
        <v>3</v>
      </c>
      <c r="S543">
        <v>4.5</v>
      </c>
      <c r="T543">
        <v>4.5</v>
      </c>
      <c r="U543">
        <v>4</v>
      </c>
      <c r="V543" t="s">
        <v>27</v>
      </c>
    </row>
    <row r="544" spans="1:22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62</v>
      </c>
      <c r="K544">
        <v>2574</v>
      </c>
      <c r="L544">
        <v>10.07</v>
      </c>
      <c r="M544">
        <v>12.74</v>
      </c>
      <c r="N544" s="4">
        <f t="shared" si="16"/>
        <v>7.9602846499999998E-3</v>
      </c>
      <c r="O544" s="4">
        <f t="shared" si="17"/>
        <v>0.101414026441</v>
      </c>
      <c r="P544">
        <v>100</v>
      </c>
      <c r="Q544">
        <v>2.5</v>
      </c>
      <c r="R544">
        <v>2.5</v>
      </c>
      <c r="S544">
        <v>5</v>
      </c>
      <c r="T544">
        <v>5</v>
      </c>
      <c r="U544">
        <v>5</v>
      </c>
      <c r="V544" t="s">
        <v>25</v>
      </c>
    </row>
    <row r="545" spans="1:22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37</v>
      </c>
      <c r="K545">
        <v>2575</v>
      </c>
      <c r="L545">
        <v>8.56</v>
      </c>
      <c r="M545">
        <v>3.33</v>
      </c>
      <c r="N545" s="4">
        <f t="shared" si="16"/>
        <v>5.7519776000000012E-3</v>
      </c>
      <c r="O545" s="4">
        <f t="shared" si="17"/>
        <v>1.9154085408000003E-2</v>
      </c>
      <c r="P545">
        <v>75</v>
      </c>
      <c r="Q545">
        <v>2</v>
      </c>
      <c r="R545">
        <v>3</v>
      </c>
      <c r="S545">
        <v>2</v>
      </c>
      <c r="T545">
        <v>2</v>
      </c>
      <c r="U545">
        <v>2</v>
      </c>
      <c r="V545" t="s">
        <v>50</v>
      </c>
    </row>
    <row r="546" spans="1:22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63</v>
      </c>
      <c r="K546">
        <v>1340</v>
      </c>
      <c r="L546">
        <v>1.56</v>
      </c>
      <c r="M546">
        <v>2.16</v>
      </c>
      <c r="N546" s="4">
        <f t="shared" si="16"/>
        <v>1.9103760000000004E-4</v>
      </c>
      <c r="O546" s="4">
        <f t="shared" si="17"/>
        <v>4.1264121600000011E-4</v>
      </c>
      <c r="P546">
        <v>50</v>
      </c>
      <c r="Q546">
        <v>1</v>
      </c>
      <c r="R546">
        <v>2</v>
      </c>
      <c r="S546">
        <v>2</v>
      </c>
      <c r="T546">
        <v>2</v>
      </c>
      <c r="U546">
        <v>3</v>
      </c>
      <c r="V546" t="s">
        <v>50</v>
      </c>
    </row>
    <row r="547" spans="1:22" x14ac:dyDescent="0.25">
      <c r="A547" t="s">
        <v>86</v>
      </c>
      <c r="B547">
        <v>3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76</v>
      </c>
      <c r="K547">
        <v>1592</v>
      </c>
      <c r="L547">
        <v>20.43</v>
      </c>
      <c r="M547">
        <v>10.39</v>
      </c>
      <c r="N547" s="4">
        <f t="shared" si="16"/>
        <v>3.2764714650000006E-2</v>
      </c>
      <c r="O547" s="4">
        <f t="shared" si="17"/>
        <v>0.34042538521350008</v>
      </c>
      <c r="P547">
        <v>75</v>
      </c>
      <c r="Q547">
        <v>3</v>
      </c>
      <c r="R547">
        <v>4</v>
      </c>
      <c r="S547">
        <v>2</v>
      </c>
      <c r="T547">
        <v>3</v>
      </c>
      <c r="U547">
        <v>2</v>
      </c>
      <c r="V547" t="s">
        <v>25</v>
      </c>
    </row>
    <row r="548" spans="1:22" x14ac:dyDescent="0.25">
      <c r="A548" t="s">
        <v>86</v>
      </c>
      <c r="B548">
        <v>3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76</v>
      </c>
      <c r="K548">
        <v>2560</v>
      </c>
      <c r="L548">
        <v>16.04</v>
      </c>
      <c r="M548">
        <v>8.66</v>
      </c>
      <c r="N548" s="4">
        <f t="shared" si="16"/>
        <v>2.0196605599999997E-2</v>
      </c>
      <c r="O548" s="4">
        <f t="shared" si="17"/>
        <v>0.17490260449599998</v>
      </c>
      <c r="P548">
        <v>100</v>
      </c>
      <c r="Q548">
        <v>3</v>
      </c>
      <c r="R548">
        <v>4</v>
      </c>
      <c r="S548">
        <v>4</v>
      </c>
      <c r="T548">
        <v>4</v>
      </c>
      <c r="U548">
        <v>4</v>
      </c>
      <c r="V548" t="s">
        <v>25</v>
      </c>
    </row>
    <row r="549" spans="1:22" x14ac:dyDescent="0.25">
      <c r="A549" t="s">
        <v>86</v>
      </c>
      <c r="B549">
        <v>3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56</v>
      </c>
      <c r="K549">
        <v>1111</v>
      </c>
      <c r="L549">
        <v>11.9</v>
      </c>
      <c r="M549">
        <v>7.2</v>
      </c>
      <c r="N549" s="4">
        <f t="shared" si="16"/>
        <v>1.1116385000000001E-2</v>
      </c>
      <c r="O549" s="4">
        <f t="shared" si="17"/>
        <v>8.0037972000000013E-2</v>
      </c>
      <c r="P549">
        <v>100</v>
      </c>
      <c r="Q549">
        <v>3</v>
      </c>
      <c r="R549">
        <v>2</v>
      </c>
      <c r="S549">
        <v>3</v>
      </c>
      <c r="T549">
        <v>3</v>
      </c>
      <c r="U549">
        <v>3</v>
      </c>
      <c r="V549" t="s">
        <v>38</v>
      </c>
    </row>
    <row r="550" spans="1:22" x14ac:dyDescent="0.25">
      <c r="A550" t="s">
        <v>86</v>
      </c>
      <c r="B550">
        <v>3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57</v>
      </c>
      <c r="K550">
        <v>2620</v>
      </c>
      <c r="L550">
        <v>2.66</v>
      </c>
      <c r="M550">
        <v>2.08</v>
      </c>
      <c r="N550" s="4">
        <f t="shared" si="16"/>
        <v>5.5543460000000015E-4</v>
      </c>
      <c r="O550" s="4">
        <f t="shared" si="17"/>
        <v>1.1553039680000004E-3</v>
      </c>
      <c r="P550">
        <v>100</v>
      </c>
      <c r="Q550">
        <v>2</v>
      </c>
      <c r="R550">
        <v>1.5</v>
      </c>
      <c r="S550">
        <v>1</v>
      </c>
      <c r="T550">
        <v>2</v>
      </c>
      <c r="U550">
        <v>3</v>
      </c>
      <c r="V550" t="s">
        <v>50</v>
      </c>
    </row>
    <row r="551" spans="1:22" x14ac:dyDescent="0.25">
      <c r="A551" t="s">
        <v>86</v>
      </c>
      <c r="B551">
        <v>3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57</v>
      </c>
      <c r="K551">
        <v>2621</v>
      </c>
      <c r="L551">
        <v>5.0999999999999996</v>
      </c>
      <c r="M551">
        <v>2.66</v>
      </c>
      <c r="N551" s="4">
        <f t="shared" si="16"/>
        <v>2.041785E-3</v>
      </c>
      <c r="O551" s="4">
        <f t="shared" si="17"/>
        <v>5.4311480999999998E-3</v>
      </c>
      <c r="P551">
        <v>75</v>
      </c>
      <c r="Q551">
        <v>3</v>
      </c>
      <c r="R551">
        <v>2</v>
      </c>
      <c r="S551">
        <v>2</v>
      </c>
      <c r="T551">
        <v>2</v>
      </c>
      <c r="U551">
        <v>3</v>
      </c>
      <c r="V551" t="s">
        <v>30</v>
      </c>
    </row>
    <row r="552" spans="1:22" x14ac:dyDescent="0.25">
      <c r="A552" t="s">
        <v>86</v>
      </c>
      <c r="B552">
        <v>3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58</v>
      </c>
      <c r="K552">
        <v>2638</v>
      </c>
      <c r="L552">
        <v>12.24</v>
      </c>
      <c r="M552">
        <v>5.83</v>
      </c>
      <c r="N552" s="4">
        <f t="shared" si="16"/>
        <v>1.1760681600000001E-2</v>
      </c>
      <c r="O552" s="4">
        <f t="shared" si="17"/>
        <v>6.8564773728000003E-2</v>
      </c>
      <c r="P552">
        <v>25</v>
      </c>
      <c r="Q552">
        <v>2</v>
      </c>
      <c r="R552">
        <v>3</v>
      </c>
      <c r="S552">
        <v>3</v>
      </c>
      <c r="T552">
        <v>3</v>
      </c>
      <c r="U552">
        <v>3</v>
      </c>
      <c r="V552" t="s">
        <v>30</v>
      </c>
    </row>
    <row r="553" spans="1:22" x14ac:dyDescent="0.25">
      <c r="A553" t="s">
        <v>86</v>
      </c>
      <c r="B553">
        <v>3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59</v>
      </c>
      <c r="K553">
        <v>2426</v>
      </c>
      <c r="L553">
        <v>21.93</v>
      </c>
      <c r="M553">
        <v>9.84</v>
      </c>
      <c r="N553" s="4">
        <f t="shared" si="16"/>
        <v>3.775260465E-2</v>
      </c>
      <c r="O553" s="4">
        <f t="shared" si="17"/>
        <v>0.37148562975600002</v>
      </c>
      <c r="P553">
        <v>100</v>
      </c>
      <c r="Q553">
        <v>4</v>
      </c>
      <c r="R553">
        <v>3</v>
      </c>
      <c r="S553">
        <v>3.5</v>
      </c>
      <c r="T553">
        <v>3</v>
      </c>
      <c r="U553">
        <v>2</v>
      </c>
      <c r="V553" t="s">
        <v>25</v>
      </c>
    </row>
    <row r="554" spans="1:22" x14ac:dyDescent="0.25">
      <c r="A554" t="s">
        <v>86</v>
      </c>
      <c r="B554">
        <v>3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59</v>
      </c>
      <c r="K554">
        <v>1482</v>
      </c>
      <c r="L554">
        <v>24.16</v>
      </c>
      <c r="M554">
        <v>10.31</v>
      </c>
      <c r="N554" s="4">
        <f t="shared" si="16"/>
        <v>4.5820889600000005E-2</v>
      </c>
      <c r="O554" s="4">
        <f t="shared" si="17"/>
        <v>0.47241337177600007</v>
      </c>
      <c r="P554">
        <v>75</v>
      </c>
      <c r="Q554">
        <v>4.5</v>
      </c>
      <c r="R554">
        <v>3</v>
      </c>
      <c r="S554">
        <v>4</v>
      </c>
      <c r="T554">
        <v>3</v>
      </c>
      <c r="U554">
        <v>2</v>
      </c>
      <c r="V554" t="s">
        <v>25</v>
      </c>
    </row>
    <row r="555" spans="1:22" x14ac:dyDescent="0.25">
      <c r="A555" t="s">
        <v>86</v>
      </c>
      <c r="B555">
        <v>3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59</v>
      </c>
      <c r="K555">
        <v>2548</v>
      </c>
      <c r="L555">
        <v>24.77</v>
      </c>
      <c r="M555">
        <v>10.67</v>
      </c>
      <c r="N555" s="4">
        <f t="shared" si="16"/>
        <v>4.816390265E-2</v>
      </c>
      <c r="O555" s="4">
        <f t="shared" si="17"/>
        <v>0.51390884127549996</v>
      </c>
      <c r="P555">
        <v>100</v>
      </c>
      <c r="Q555">
        <v>4.5</v>
      </c>
      <c r="R555">
        <v>3</v>
      </c>
      <c r="S555">
        <v>4</v>
      </c>
      <c r="T555">
        <v>3</v>
      </c>
      <c r="U555">
        <v>2</v>
      </c>
      <c r="V555" t="s">
        <v>25</v>
      </c>
    </row>
    <row r="556" spans="1:22" x14ac:dyDescent="0.25">
      <c r="A556" t="s">
        <v>86</v>
      </c>
      <c r="B556">
        <v>3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26</v>
      </c>
      <c r="K556">
        <v>2552</v>
      </c>
      <c r="L556">
        <v>16.829999999999998</v>
      </c>
      <c r="M556">
        <v>10.31</v>
      </c>
      <c r="N556" s="4">
        <f t="shared" si="16"/>
        <v>2.2235038649999993E-2</v>
      </c>
      <c r="O556" s="4">
        <f t="shared" si="17"/>
        <v>0.22924324848149993</v>
      </c>
      <c r="P556">
        <v>75</v>
      </c>
      <c r="Q556">
        <v>4</v>
      </c>
      <c r="R556">
        <v>3</v>
      </c>
      <c r="S556">
        <v>4</v>
      </c>
      <c r="T556">
        <v>4</v>
      </c>
      <c r="U556">
        <v>3</v>
      </c>
      <c r="V556" t="s">
        <v>27</v>
      </c>
    </row>
    <row r="557" spans="1:22" x14ac:dyDescent="0.25">
      <c r="A557" t="s">
        <v>86</v>
      </c>
      <c r="B557">
        <v>3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61</v>
      </c>
      <c r="K557">
        <v>1171</v>
      </c>
      <c r="L557">
        <v>8.4</v>
      </c>
      <c r="M557">
        <v>3.91</v>
      </c>
      <c r="N557" s="4">
        <f t="shared" si="16"/>
        <v>5.5389600000000008E-3</v>
      </c>
      <c r="O557" s="4">
        <f t="shared" si="17"/>
        <v>2.1657333600000005E-2</v>
      </c>
      <c r="P557">
        <v>100</v>
      </c>
      <c r="Q557">
        <v>3</v>
      </c>
      <c r="R557">
        <v>2</v>
      </c>
      <c r="S557">
        <v>1</v>
      </c>
      <c r="T557">
        <v>2</v>
      </c>
      <c r="U557">
        <v>1</v>
      </c>
      <c r="V557" t="s">
        <v>50</v>
      </c>
    </row>
    <row r="558" spans="1:22" x14ac:dyDescent="0.25">
      <c r="A558" t="s">
        <v>86</v>
      </c>
      <c r="B558">
        <v>3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61</v>
      </c>
      <c r="K558">
        <v>2631</v>
      </c>
      <c r="L558">
        <v>5.75</v>
      </c>
      <c r="M558">
        <v>4.26</v>
      </c>
      <c r="N558" s="4">
        <f t="shared" si="16"/>
        <v>2.5954062500000001E-3</v>
      </c>
      <c r="O558" s="4">
        <f t="shared" si="17"/>
        <v>1.1056430625E-2</v>
      </c>
      <c r="P558">
        <v>75</v>
      </c>
      <c r="Q558">
        <v>2</v>
      </c>
      <c r="R558">
        <v>3</v>
      </c>
      <c r="S558">
        <v>2</v>
      </c>
      <c r="T558">
        <v>2</v>
      </c>
      <c r="U558">
        <v>2</v>
      </c>
      <c r="V558" t="s">
        <v>50</v>
      </c>
    </row>
    <row r="559" spans="1:22" x14ac:dyDescent="0.25">
      <c r="A559" t="s">
        <v>86</v>
      </c>
      <c r="B559">
        <v>3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32</v>
      </c>
      <c r="K559">
        <v>1595</v>
      </c>
      <c r="L559">
        <v>16.54</v>
      </c>
      <c r="M559">
        <v>7.23</v>
      </c>
      <c r="N559" s="4">
        <f t="shared" si="16"/>
        <v>2.1475370599999998E-2</v>
      </c>
      <c r="O559" s="4">
        <f t="shared" si="17"/>
        <v>0.155266929438</v>
      </c>
      <c r="P559">
        <v>100</v>
      </c>
      <c r="Q559">
        <v>3</v>
      </c>
      <c r="R559">
        <v>2.5</v>
      </c>
      <c r="S559">
        <v>3</v>
      </c>
      <c r="T559">
        <v>4</v>
      </c>
      <c r="U559">
        <v>2</v>
      </c>
      <c r="V559" t="s">
        <v>25</v>
      </c>
    </row>
    <row r="560" spans="1:22" x14ac:dyDescent="0.25">
      <c r="A560" t="s">
        <v>86</v>
      </c>
      <c r="B560">
        <v>3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32</v>
      </c>
      <c r="K560">
        <v>2569</v>
      </c>
      <c r="L560">
        <v>13.73</v>
      </c>
      <c r="M560">
        <v>7.6</v>
      </c>
      <c r="N560" s="4">
        <f t="shared" si="16"/>
        <v>1.4798262650000003E-2</v>
      </c>
      <c r="O560" s="4">
        <f t="shared" si="17"/>
        <v>0.11246679614000002</v>
      </c>
      <c r="P560">
        <v>75</v>
      </c>
      <c r="Q560">
        <v>2.5</v>
      </c>
      <c r="R560">
        <v>2</v>
      </c>
      <c r="S560">
        <v>3</v>
      </c>
      <c r="T560">
        <v>3</v>
      </c>
      <c r="U560">
        <v>3</v>
      </c>
      <c r="V560" t="s">
        <v>38</v>
      </c>
    </row>
    <row r="561" spans="1:22" x14ac:dyDescent="0.25">
      <c r="A561" t="s">
        <v>86</v>
      </c>
      <c r="B561">
        <v>3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32</v>
      </c>
      <c r="K561">
        <v>2634</v>
      </c>
      <c r="L561">
        <v>16.3</v>
      </c>
      <c r="M561">
        <v>7.84</v>
      </c>
      <c r="N561" s="4">
        <f t="shared" si="16"/>
        <v>2.0856665000000003E-2</v>
      </c>
      <c r="O561" s="4">
        <f t="shared" si="17"/>
        <v>0.16351625360000002</v>
      </c>
      <c r="P561">
        <v>100</v>
      </c>
      <c r="Q561">
        <v>3</v>
      </c>
      <c r="R561">
        <v>3</v>
      </c>
      <c r="S561">
        <v>3</v>
      </c>
      <c r="T561">
        <v>3</v>
      </c>
      <c r="U561">
        <v>3</v>
      </c>
      <c r="V561" t="s">
        <v>38</v>
      </c>
    </row>
    <row r="562" spans="1:22" x14ac:dyDescent="0.25">
      <c r="A562" t="s">
        <v>86</v>
      </c>
      <c r="B562">
        <v>3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32</v>
      </c>
      <c r="K562">
        <v>2635</v>
      </c>
      <c r="L562">
        <v>13.73</v>
      </c>
      <c r="M562">
        <v>8.58</v>
      </c>
      <c r="N562" s="4">
        <f t="shared" si="16"/>
        <v>1.4798262650000003E-2</v>
      </c>
      <c r="O562" s="4">
        <f t="shared" si="17"/>
        <v>0.12696909353700003</v>
      </c>
      <c r="P562">
        <v>75</v>
      </c>
      <c r="Q562">
        <v>3</v>
      </c>
      <c r="R562">
        <v>3</v>
      </c>
      <c r="S562">
        <v>3</v>
      </c>
      <c r="T562">
        <v>3</v>
      </c>
      <c r="U562">
        <v>3</v>
      </c>
      <c r="V562" t="s">
        <v>38</v>
      </c>
    </row>
    <row r="563" spans="1:22" x14ac:dyDescent="0.25">
      <c r="A563" t="s">
        <v>86</v>
      </c>
      <c r="B563">
        <v>3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34</v>
      </c>
      <c r="K563">
        <v>2570</v>
      </c>
      <c r="L563">
        <v>16.93</v>
      </c>
      <c r="M563">
        <v>8.1</v>
      </c>
      <c r="N563" s="4">
        <f t="shared" si="16"/>
        <v>2.2500054650000004E-2</v>
      </c>
      <c r="O563" s="4">
        <f t="shared" si="17"/>
        <v>0.18225044266500001</v>
      </c>
      <c r="P563">
        <v>75</v>
      </c>
      <c r="Q563">
        <v>2.5</v>
      </c>
      <c r="R563">
        <v>2</v>
      </c>
      <c r="S563">
        <v>2.5</v>
      </c>
      <c r="T563">
        <v>2.5</v>
      </c>
      <c r="U563">
        <v>2</v>
      </c>
      <c r="V563" t="s">
        <v>38</v>
      </c>
    </row>
    <row r="564" spans="1:22" x14ac:dyDescent="0.25">
      <c r="A564" t="s">
        <v>86</v>
      </c>
      <c r="B564">
        <v>3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35</v>
      </c>
      <c r="K564">
        <v>1788</v>
      </c>
      <c r="L564">
        <v>2.68</v>
      </c>
      <c r="M564">
        <v>2.33</v>
      </c>
      <c r="N564" s="4">
        <f t="shared" si="16"/>
        <v>5.6381840000000014E-4</v>
      </c>
      <c r="O564" s="4">
        <f t="shared" si="17"/>
        <v>1.3136968720000005E-3</v>
      </c>
      <c r="P564">
        <v>75</v>
      </c>
      <c r="Q564">
        <v>1</v>
      </c>
      <c r="R564">
        <v>1.5</v>
      </c>
      <c r="S564">
        <v>2</v>
      </c>
      <c r="T564">
        <v>2</v>
      </c>
      <c r="U564">
        <v>2</v>
      </c>
      <c r="V564" t="s">
        <v>50</v>
      </c>
    </row>
    <row r="565" spans="1:22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35</v>
      </c>
      <c r="K565">
        <v>1259</v>
      </c>
      <c r="L565">
        <v>11.66</v>
      </c>
      <c r="M565">
        <v>6.18</v>
      </c>
      <c r="N565" s="4">
        <f t="shared" si="16"/>
        <v>1.06725146E-2</v>
      </c>
      <c r="O565" s="4">
        <f t="shared" si="17"/>
        <v>6.5956140228000004E-2</v>
      </c>
      <c r="P565">
        <v>75</v>
      </c>
      <c r="Q565">
        <v>3</v>
      </c>
      <c r="R565">
        <v>2</v>
      </c>
      <c r="S565">
        <v>3</v>
      </c>
      <c r="T565">
        <v>3</v>
      </c>
      <c r="U565">
        <v>3</v>
      </c>
      <c r="V565" t="s">
        <v>38</v>
      </c>
    </row>
    <row r="566" spans="1:22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35</v>
      </c>
      <c r="K566">
        <v>1785</v>
      </c>
      <c r="L566">
        <v>3.03</v>
      </c>
      <c r="M566">
        <v>1.75</v>
      </c>
      <c r="N566" s="4">
        <f t="shared" si="16"/>
        <v>7.207006499999998E-4</v>
      </c>
      <c r="O566" s="4">
        <f t="shared" si="17"/>
        <v>1.2612261374999997E-3</v>
      </c>
      <c r="P566">
        <v>75</v>
      </c>
      <c r="Q566">
        <v>1</v>
      </c>
      <c r="R566">
        <v>2</v>
      </c>
      <c r="S566">
        <v>2</v>
      </c>
      <c r="T566">
        <v>2</v>
      </c>
      <c r="U566">
        <v>2</v>
      </c>
      <c r="V566" t="s">
        <v>50</v>
      </c>
    </row>
    <row r="567" spans="1:22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35</v>
      </c>
      <c r="K567">
        <v>2571</v>
      </c>
      <c r="L567">
        <v>6.41</v>
      </c>
      <c r="M567">
        <v>3.26</v>
      </c>
      <c r="N567" s="4">
        <f t="shared" si="16"/>
        <v>3.2254158500000006E-3</v>
      </c>
      <c r="O567" s="4">
        <f t="shared" si="17"/>
        <v>1.0514855671000002E-2</v>
      </c>
      <c r="P567">
        <v>75</v>
      </c>
      <c r="Q567">
        <v>2</v>
      </c>
      <c r="R567">
        <v>2</v>
      </c>
      <c r="S567">
        <v>2</v>
      </c>
      <c r="T567">
        <v>2</v>
      </c>
      <c r="U567">
        <v>2</v>
      </c>
      <c r="V567" t="s">
        <v>30</v>
      </c>
    </row>
    <row r="568" spans="1:22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36</v>
      </c>
      <c r="K568">
        <v>2573</v>
      </c>
      <c r="L568">
        <v>10.78</v>
      </c>
      <c r="M568">
        <v>6.62</v>
      </c>
      <c r="N568" s="4">
        <f t="shared" si="16"/>
        <v>9.1223593999999984E-3</v>
      </c>
      <c r="O568" s="4">
        <f t="shared" si="17"/>
        <v>6.039001922799999E-2</v>
      </c>
      <c r="P568">
        <v>100</v>
      </c>
      <c r="Q568">
        <v>2.5</v>
      </c>
      <c r="R568">
        <v>4</v>
      </c>
      <c r="S568">
        <v>3</v>
      </c>
      <c r="T568">
        <v>3</v>
      </c>
      <c r="U568">
        <v>2</v>
      </c>
      <c r="V568" t="s">
        <v>38</v>
      </c>
    </row>
    <row r="569" spans="1:22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62</v>
      </c>
      <c r="K569">
        <v>2550</v>
      </c>
      <c r="L569">
        <v>14.59</v>
      </c>
      <c r="M569">
        <v>8.68</v>
      </c>
      <c r="N569" s="4">
        <f t="shared" si="16"/>
        <v>1.671014585E-2</v>
      </c>
      <c r="O569" s="4">
        <f t="shared" si="17"/>
        <v>0.14504406597799999</v>
      </c>
      <c r="P569">
        <v>100</v>
      </c>
      <c r="Q569">
        <v>3</v>
      </c>
      <c r="R569">
        <v>2</v>
      </c>
      <c r="S569">
        <v>4</v>
      </c>
      <c r="T569">
        <v>3</v>
      </c>
      <c r="U569">
        <v>3</v>
      </c>
      <c r="V569" t="s">
        <v>38</v>
      </c>
    </row>
    <row r="570" spans="1:22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62</v>
      </c>
      <c r="K570">
        <v>1352</v>
      </c>
      <c r="L570">
        <v>17.95</v>
      </c>
      <c r="M570">
        <v>13.09</v>
      </c>
      <c r="N570" s="4">
        <f t="shared" si="16"/>
        <v>2.5292896249999999E-2</v>
      </c>
      <c r="O570" s="4">
        <f t="shared" si="17"/>
        <v>0.33108401191249998</v>
      </c>
      <c r="P570">
        <v>75</v>
      </c>
      <c r="Q570">
        <v>4</v>
      </c>
      <c r="R570">
        <v>3</v>
      </c>
      <c r="S570">
        <v>4</v>
      </c>
      <c r="T570">
        <v>3.5</v>
      </c>
      <c r="U570">
        <v>3</v>
      </c>
      <c r="V570" t="s">
        <v>25</v>
      </c>
    </row>
    <row r="571" spans="1:22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62</v>
      </c>
      <c r="K571">
        <v>2432</v>
      </c>
      <c r="L571">
        <v>18.87</v>
      </c>
      <c r="M571">
        <v>14.24</v>
      </c>
      <c r="N571" s="4">
        <f t="shared" si="16"/>
        <v>2.7952036650000005E-2</v>
      </c>
      <c r="O571" s="4">
        <f t="shared" si="17"/>
        <v>0.39803700189600005</v>
      </c>
      <c r="P571">
        <v>75</v>
      </c>
      <c r="Q571">
        <v>5</v>
      </c>
      <c r="R571">
        <v>3</v>
      </c>
      <c r="S571">
        <v>5</v>
      </c>
      <c r="T571">
        <v>4</v>
      </c>
      <c r="U571">
        <v>4.5</v>
      </c>
      <c r="V571" t="s">
        <v>27</v>
      </c>
    </row>
    <row r="572" spans="1:22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62</v>
      </c>
      <c r="K572">
        <v>2553</v>
      </c>
      <c r="L572">
        <v>17.72</v>
      </c>
      <c r="M572">
        <v>11.93</v>
      </c>
      <c r="N572" s="4">
        <f t="shared" si="16"/>
        <v>2.46488744E-2</v>
      </c>
      <c r="O572" s="4">
        <f t="shared" si="17"/>
        <v>0.29406107159200001</v>
      </c>
      <c r="P572">
        <v>75</v>
      </c>
      <c r="Q572">
        <v>4</v>
      </c>
      <c r="R572">
        <v>3</v>
      </c>
      <c r="S572">
        <v>5</v>
      </c>
      <c r="T572">
        <v>4</v>
      </c>
      <c r="U572">
        <v>4</v>
      </c>
      <c r="V572" t="s">
        <v>27</v>
      </c>
    </row>
    <row r="573" spans="1:22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62</v>
      </c>
      <c r="K573">
        <v>2574</v>
      </c>
      <c r="L573">
        <v>13.55</v>
      </c>
      <c r="M573">
        <v>9.26</v>
      </c>
      <c r="N573" s="4">
        <f t="shared" si="16"/>
        <v>1.4412796250000002E-2</v>
      </c>
      <c r="O573" s="4">
        <f t="shared" si="17"/>
        <v>0.13346249327500001</v>
      </c>
      <c r="P573">
        <v>75</v>
      </c>
      <c r="Q573">
        <v>3</v>
      </c>
      <c r="R573">
        <v>3</v>
      </c>
      <c r="S573">
        <v>4</v>
      </c>
      <c r="T573">
        <v>4</v>
      </c>
      <c r="U573">
        <v>3.5</v>
      </c>
      <c r="V573" t="s">
        <v>25</v>
      </c>
    </row>
    <row r="574" spans="1:22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37</v>
      </c>
      <c r="K574">
        <v>2575</v>
      </c>
      <c r="L574">
        <v>9.6300000000000008</v>
      </c>
      <c r="M574">
        <v>5.1100000000000003</v>
      </c>
      <c r="N574" s="4">
        <f t="shared" si="16"/>
        <v>7.2798466500000021E-3</v>
      </c>
      <c r="O574" s="4">
        <f t="shared" si="17"/>
        <v>3.7200016381500015E-2</v>
      </c>
      <c r="P574">
        <v>50</v>
      </c>
      <c r="Q574">
        <v>1</v>
      </c>
      <c r="R574">
        <v>0.5</v>
      </c>
      <c r="S574">
        <v>2</v>
      </c>
      <c r="T574">
        <v>2</v>
      </c>
      <c r="U574">
        <v>2</v>
      </c>
      <c r="V574" t="s">
        <v>50</v>
      </c>
    </row>
    <row r="575" spans="1:22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63</v>
      </c>
      <c r="K575">
        <v>1340</v>
      </c>
      <c r="L575">
        <v>2.63</v>
      </c>
      <c r="M575">
        <v>2.39</v>
      </c>
      <c r="N575" s="4">
        <f t="shared" si="16"/>
        <v>5.4297665000000003E-4</v>
      </c>
      <c r="O575" s="4">
        <f t="shared" si="17"/>
        <v>1.2977141935E-3</v>
      </c>
      <c r="P575">
        <v>50</v>
      </c>
      <c r="Q575">
        <v>1</v>
      </c>
      <c r="R575">
        <v>1.5</v>
      </c>
      <c r="S575">
        <v>1</v>
      </c>
      <c r="T575">
        <v>2</v>
      </c>
      <c r="U575">
        <v>2</v>
      </c>
      <c r="V575" t="s">
        <v>50</v>
      </c>
    </row>
    <row r="576" spans="1:22" x14ac:dyDescent="0.25">
      <c r="A576" t="s">
        <v>89</v>
      </c>
      <c r="B576">
        <v>1</v>
      </c>
      <c r="C576" t="s">
        <v>90</v>
      </c>
      <c r="D576" t="s">
        <v>91</v>
      </c>
      <c r="E576" t="s">
        <v>92</v>
      </c>
      <c r="F576">
        <v>150</v>
      </c>
      <c r="G576">
        <v>1300</v>
      </c>
      <c r="H576">
        <v>-2</v>
      </c>
      <c r="I576">
        <v>1983</v>
      </c>
      <c r="J576" t="s">
        <v>76</v>
      </c>
      <c r="K576">
        <v>1592</v>
      </c>
      <c r="L576">
        <v>43.29</v>
      </c>
      <c r="M576">
        <v>17.2</v>
      </c>
      <c r="N576" s="4">
        <f t="shared" si="16"/>
        <v>0.14711089185000001</v>
      </c>
      <c r="O576" s="4">
        <f t="shared" si="17"/>
        <v>2.5303073398200002</v>
      </c>
      <c r="P576">
        <v>20</v>
      </c>
      <c r="Q576">
        <v>4.5</v>
      </c>
      <c r="R576">
        <v>4.5</v>
      </c>
      <c r="S576">
        <v>3.7</v>
      </c>
      <c r="T576">
        <v>4</v>
      </c>
      <c r="U576">
        <v>3</v>
      </c>
      <c r="V576" t="s">
        <v>27</v>
      </c>
    </row>
    <row r="577" spans="1:22" x14ac:dyDescent="0.25">
      <c r="A577" t="s">
        <v>89</v>
      </c>
      <c r="B577">
        <v>1</v>
      </c>
      <c r="C577" t="s">
        <v>90</v>
      </c>
      <c r="D577" t="s">
        <v>91</v>
      </c>
      <c r="E577" t="s">
        <v>92</v>
      </c>
      <c r="F577">
        <v>150</v>
      </c>
      <c r="G577">
        <v>1300</v>
      </c>
      <c r="H577">
        <v>-2</v>
      </c>
      <c r="I577">
        <v>1983</v>
      </c>
      <c r="J577" t="s">
        <v>76</v>
      </c>
      <c r="K577">
        <v>2560</v>
      </c>
      <c r="L577">
        <v>24.94</v>
      </c>
      <c r="M577">
        <v>14.33</v>
      </c>
      <c r="N577" s="4">
        <f t="shared" si="16"/>
        <v>4.8827282600000008E-2</v>
      </c>
      <c r="O577" s="4">
        <f t="shared" si="17"/>
        <v>0.6996949596580001</v>
      </c>
      <c r="P577">
        <v>10</v>
      </c>
      <c r="Q577">
        <v>3</v>
      </c>
      <c r="R577">
        <v>4</v>
      </c>
      <c r="S577">
        <v>3.5</v>
      </c>
      <c r="T577">
        <v>4</v>
      </c>
      <c r="U577">
        <v>3</v>
      </c>
      <c r="V577" t="s">
        <v>25</v>
      </c>
    </row>
    <row r="578" spans="1:22" x14ac:dyDescent="0.25">
      <c r="A578" t="s">
        <v>89</v>
      </c>
      <c r="B578">
        <v>1</v>
      </c>
      <c r="C578" t="s">
        <v>90</v>
      </c>
      <c r="D578" t="s">
        <v>91</v>
      </c>
      <c r="E578" t="s">
        <v>92</v>
      </c>
      <c r="F578">
        <v>150</v>
      </c>
      <c r="G578">
        <v>1300</v>
      </c>
      <c r="H578">
        <v>-2</v>
      </c>
      <c r="I578">
        <v>1983</v>
      </c>
      <c r="J578" t="s">
        <v>24</v>
      </c>
      <c r="K578">
        <v>2562</v>
      </c>
      <c r="L578">
        <v>29.22</v>
      </c>
      <c r="M578">
        <v>13.58</v>
      </c>
      <c r="N578" s="4">
        <f t="shared" si="16"/>
        <v>6.7023959400000013E-2</v>
      </c>
      <c r="O578" s="4">
        <f t="shared" si="17"/>
        <v>0.91018536865200017</v>
      </c>
      <c r="P578">
        <v>30</v>
      </c>
      <c r="Q578">
        <v>3.6</v>
      </c>
      <c r="R578">
        <v>3.8</v>
      </c>
      <c r="S578">
        <v>3.5</v>
      </c>
      <c r="T578">
        <v>3.9</v>
      </c>
      <c r="U578">
        <v>3.7</v>
      </c>
      <c r="V578" t="s">
        <v>25</v>
      </c>
    </row>
    <row r="579" spans="1:22" x14ac:dyDescent="0.25">
      <c r="A579" t="s">
        <v>89</v>
      </c>
      <c r="B579">
        <v>1</v>
      </c>
      <c r="C579" t="s">
        <v>90</v>
      </c>
      <c r="D579" t="s">
        <v>91</v>
      </c>
      <c r="E579" t="s">
        <v>92</v>
      </c>
      <c r="F579">
        <v>150</v>
      </c>
      <c r="G579">
        <v>1300</v>
      </c>
      <c r="H579">
        <v>-2</v>
      </c>
      <c r="I579">
        <v>1983</v>
      </c>
      <c r="J579" t="s">
        <v>80</v>
      </c>
      <c r="K579">
        <v>1252</v>
      </c>
      <c r="L579">
        <v>26.59</v>
      </c>
      <c r="M579">
        <v>10.8</v>
      </c>
      <c r="N579" s="4">
        <f t="shared" ref="N579:N642" si="18">3.14/4*((L579/100)^2)</f>
        <v>5.550170585000002E-2</v>
      </c>
      <c r="O579" s="4">
        <f t="shared" ref="O579:O642" si="19">3.14/4*((L579/100)^2)*M579</f>
        <v>0.59941842318000027</v>
      </c>
      <c r="P579">
        <v>40</v>
      </c>
      <c r="Q579">
        <v>3.6</v>
      </c>
      <c r="R579">
        <v>3.8</v>
      </c>
      <c r="S579">
        <v>2.6</v>
      </c>
      <c r="T579">
        <v>2.6</v>
      </c>
      <c r="U579">
        <v>2.5</v>
      </c>
      <c r="V579" t="s">
        <v>25</v>
      </c>
    </row>
    <row r="580" spans="1:22" x14ac:dyDescent="0.25">
      <c r="A580" t="s">
        <v>89</v>
      </c>
      <c r="B580">
        <v>1</v>
      </c>
      <c r="C580" t="s">
        <v>90</v>
      </c>
      <c r="D580" t="s">
        <v>91</v>
      </c>
      <c r="E580" t="s">
        <v>92</v>
      </c>
      <c r="F580">
        <v>150</v>
      </c>
      <c r="G580">
        <v>1300</v>
      </c>
      <c r="H580">
        <v>-2</v>
      </c>
      <c r="I580">
        <v>1983</v>
      </c>
      <c r="J580" t="s">
        <v>59</v>
      </c>
      <c r="K580">
        <v>2548</v>
      </c>
      <c r="L580">
        <v>35.54</v>
      </c>
      <c r="M580">
        <v>13.02</v>
      </c>
      <c r="N580" s="4">
        <f t="shared" si="18"/>
        <v>9.915269060000001E-2</v>
      </c>
      <c r="O580" s="4">
        <f t="shared" si="19"/>
        <v>1.290968031612</v>
      </c>
      <c r="P580">
        <v>20</v>
      </c>
      <c r="Q580">
        <v>3.2</v>
      </c>
      <c r="R580">
        <v>3.5</v>
      </c>
      <c r="S580">
        <v>2.5</v>
      </c>
      <c r="T580">
        <v>2.5</v>
      </c>
      <c r="U580">
        <v>2.2999999999999998</v>
      </c>
      <c r="V580" t="s">
        <v>25</v>
      </c>
    </row>
    <row r="581" spans="1:22" x14ac:dyDescent="0.25">
      <c r="A581" t="s">
        <v>89</v>
      </c>
      <c r="B581">
        <v>1</v>
      </c>
      <c r="C581" t="s">
        <v>90</v>
      </c>
      <c r="D581" t="s">
        <v>91</v>
      </c>
      <c r="E581" t="s">
        <v>92</v>
      </c>
      <c r="F581">
        <v>150</v>
      </c>
      <c r="G581">
        <v>1300</v>
      </c>
      <c r="H581">
        <v>-2</v>
      </c>
      <c r="I581">
        <v>1983</v>
      </c>
      <c r="J581" t="s">
        <v>59</v>
      </c>
      <c r="K581">
        <v>1482</v>
      </c>
      <c r="L581">
        <v>38.15</v>
      </c>
      <c r="M581">
        <v>16.850000000000001</v>
      </c>
      <c r="N581" s="4">
        <f t="shared" si="18"/>
        <v>0.11425066625000001</v>
      </c>
      <c r="O581" s="4">
        <f t="shared" si="19"/>
        <v>1.9251237263125003</v>
      </c>
      <c r="P581">
        <v>10</v>
      </c>
      <c r="Q581">
        <v>3.5</v>
      </c>
      <c r="R581">
        <v>4</v>
      </c>
      <c r="S581">
        <v>3.3</v>
      </c>
      <c r="T581">
        <v>4</v>
      </c>
      <c r="U581">
        <v>3.5</v>
      </c>
      <c r="V581" t="s">
        <v>27</v>
      </c>
    </row>
    <row r="582" spans="1:22" x14ac:dyDescent="0.25">
      <c r="A582" t="s">
        <v>89</v>
      </c>
      <c r="B582">
        <v>1</v>
      </c>
      <c r="C582" t="s">
        <v>90</v>
      </c>
      <c r="D582" t="s">
        <v>91</v>
      </c>
      <c r="E582" t="s">
        <v>92</v>
      </c>
      <c r="F582">
        <v>150</v>
      </c>
      <c r="G582">
        <v>1300</v>
      </c>
      <c r="H582">
        <v>-2</v>
      </c>
      <c r="I582">
        <v>1983</v>
      </c>
      <c r="J582" t="s">
        <v>26</v>
      </c>
      <c r="K582">
        <v>2552</v>
      </c>
      <c r="L582">
        <v>33.89</v>
      </c>
      <c r="M582">
        <v>14.24</v>
      </c>
      <c r="N582" s="4">
        <f t="shared" si="18"/>
        <v>9.0159769849999988E-2</v>
      </c>
      <c r="O582" s="4">
        <f t="shared" si="19"/>
        <v>1.2838751226639999</v>
      </c>
      <c r="P582">
        <v>20</v>
      </c>
      <c r="Q582">
        <v>3.1</v>
      </c>
      <c r="R582">
        <v>3.5</v>
      </c>
      <c r="S582">
        <v>3.2</v>
      </c>
      <c r="T582">
        <v>3.8</v>
      </c>
      <c r="U582">
        <v>2.5</v>
      </c>
      <c r="V582" t="s">
        <v>25</v>
      </c>
    </row>
    <row r="583" spans="1:22" x14ac:dyDescent="0.25">
      <c r="A583" t="s">
        <v>89</v>
      </c>
      <c r="B583">
        <v>1</v>
      </c>
      <c r="C583" t="s">
        <v>90</v>
      </c>
      <c r="D583" t="s">
        <v>91</v>
      </c>
      <c r="E583" t="s">
        <v>92</v>
      </c>
      <c r="F583">
        <v>150</v>
      </c>
      <c r="G583">
        <v>1300</v>
      </c>
      <c r="H583">
        <v>-2</v>
      </c>
      <c r="I583">
        <v>1983</v>
      </c>
      <c r="J583" t="s">
        <v>33</v>
      </c>
      <c r="K583">
        <v>2547</v>
      </c>
      <c r="L583">
        <v>37.49</v>
      </c>
      <c r="M583">
        <v>17.45</v>
      </c>
      <c r="N583" s="4">
        <f t="shared" si="18"/>
        <v>0.11033175785</v>
      </c>
      <c r="O583" s="4">
        <f t="shared" si="19"/>
        <v>1.9252891744825</v>
      </c>
      <c r="P583">
        <v>40</v>
      </c>
      <c r="Q583">
        <v>4.5</v>
      </c>
      <c r="R583">
        <v>2.6</v>
      </c>
      <c r="S583">
        <v>3.6</v>
      </c>
      <c r="T583">
        <v>2.9</v>
      </c>
      <c r="U583">
        <v>2.2999999999999998</v>
      </c>
      <c r="V583" t="s">
        <v>25</v>
      </c>
    </row>
    <row r="584" spans="1:22" x14ac:dyDescent="0.25">
      <c r="A584" t="s">
        <v>89</v>
      </c>
      <c r="B584">
        <v>1</v>
      </c>
      <c r="C584" t="s">
        <v>90</v>
      </c>
      <c r="D584" t="s">
        <v>91</v>
      </c>
      <c r="E584" t="s">
        <v>92</v>
      </c>
      <c r="F584">
        <v>150</v>
      </c>
      <c r="G584">
        <v>1300</v>
      </c>
      <c r="H584">
        <v>-2</v>
      </c>
      <c r="I584">
        <v>1983</v>
      </c>
      <c r="J584" t="s">
        <v>33</v>
      </c>
      <c r="K584">
        <v>2568</v>
      </c>
      <c r="L584">
        <v>31.63</v>
      </c>
      <c r="M584">
        <v>13.91</v>
      </c>
      <c r="N584" s="4">
        <f t="shared" si="18"/>
        <v>7.853586664999998E-2</v>
      </c>
      <c r="O584" s="4">
        <f t="shared" si="19"/>
        <v>1.0924339051014997</v>
      </c>
      <c r="P584">
        <v>60</v>
      </c>
      <c r="Q584">
        <v>3.6</v>
      </c>
      <c r="R584">
        <v>2.6</v>
      </c>
      <c r="S584">
        <v>3.6</v>
      </c>
      <c r="T584">
        <v>3.3</v>
      </c>
      <c r="U584">
        <v>2.8</v>
      </c>
      <c r="V584" t="s">
        <v>25</v>
      </c>
    </row>
    <row r="585" spans="1:22" x14ac:dyDescent="0.25">
      <c r="A585" t="s">
        <v>89</v>
      </c>
      <c r="B585">
        <v>1</v>
      </c>
      <c r="C585" t="s">
        <v>90</v>
      </c>
      <c r="D585" t="s">
        <v>91</v>
      </c>
      <c r="E585" t="s">
        <v>92</v>
      </c>
      <c r="F585">
        <v>150</v>
      </c>
      <c r="G585">
        <v>1300</v>
      </c>
      <c r="H585">
        <v>-2</v>
      </c>
      <c r="I585">
        <v>1983</v>
      </c>
      <c r="J585" t="s">
        <v>32</v>
      </c>
      <c r="K585">
        <v>1596</v>
      </c>
      <c r="L585">
        <v>20.11</v>
      </c>
      <c r="M585">
        <v>13.55</v>
      </c>
      <c r="N585" s="4">
        <f t="shared" si="18"/>
        <v>3.1746349850000001E-2</v>
      </c>
      <c r="O585" s="4">
        <f t="shared" si="19"/>
        <v>0.43016304046750004</v>
      </c>
      <c r="P585">
        <v>20</v>
      </c>
      <c r="Q585">
        <v>3</v>
      </c>
      <c r="R585">
        <v>4</v>
      </c>
      <c r="S585">
        <v>4</v>
      </c>
      <c r="T585">
        <v>4</v>
      </c>
      <c r="U585">
        <v>4</v>
      </c>
      <c r="V585" t="s">
        <v>38</v>
      </c>
    </row>
    <row r="586" spans="1:22" x14ac:dyDescent="0.25">
      <c r="A586" t="s">
        <v>89</v>
      </c>
      <c r="B586">
        <v>1</v>
      </c>
      <c r="C586" t="s">
        <v>90</v>
      </c>
      <c r="D586" t="s">
        <v>91</v>
      </c>
      <c r="E586" t="s">
        <v>92</v>
      </c>
      <c r="F586">
        <v>150</v>
      </c>
      <c r="G586">
        <v>1300</v>
      </c>
      <c r="H586">
        <v>-2</v>
      </c>
      <c r="I586">
        <v>1983</v>
      </c>
      <c r="J586" t="s">
        <v>32</v>
      </c>
      <c r="K586">
        <v>2569</v>
      </c>
      <c r="L586">
        <v>22.15</v>
      </c>
      <c r="M586">
        <v>14.57</v>
      </c>
      <c r="N586" s="4">
        <f t="shared" si="18"/>
        <v>3.8513866249999994E-2</v>
      </c>
      <c r="O586" s="4">
        <f t="shared" si="19"/>
        <v>0.56114703126249987</v>
      </c>
      <c r="P586">
        <v>20</v>
      </c>
      <c r="Q586">
        <v>3</v>
      </c>
      <c r="R586">
        <v>4</v>
      </c>
      <c r="S586">
        <v>3</v>
      </c>
      <c r="T586">
        <v>3.4</v>
      </c>
      <c r="U586">
        <v>3</v>
      </c>
      <c r="V586" t="s">
        <v>25</v>
      </c>
    </row>
    <row r="587" spans="1:22" x14ac:dyDescent="0.25">
      <c r="A587" t="s">
        <v>89</v>
      </c>
      <c r="B587">
        <v>1</v>
      </c>
      <c r="C587" t="s">
        <v>90</v>
      </c>
      <c r="D587" t="s">
        <v>91</v>
      </c>
      <c r="E587" t="s">
        <v>92</v>
      </c>
      <c r="F587">
        <v>150</v>
      </c>
      <c r="G587">
        <v>1300</v>
      </c>
      <c r="H587">
        <v>-2</v>
      </c>
      <c r="I587">
        <v>1983</v>
      </c>
      <c r="J587" t="s">
        <v>32</v>
      </c>
      <c r="K587">
        <v>2634</v>
      </c>
      <c r="L587">
        <v>40.520000000000003</v>
      </c>
      <c r="M587">
        <v>18.95</v>
      </c>
      <c r="N587" s="4">
        <f t="shared" si="18"/>
        <v>0.12888682640000002</v>
      </c>
      <c r="O587" s="4">
        <f t="shared" si="19"/>
        <v>2.44240536028</v>
      </c>
      <c r="P587">
        <v>10</v>
      </c>
      <c r="Q587">
        <v>4.5</v>
      </c>
      <c r="R587">
        <v>4.5</v>
      </c>
      <c r="S587">
        <v>3</v>
      </c>
      <c r="T587">
        <v>4</v>
      </c>
      <c r="U587">
        <v>2</v>
      </c>
      <c r="V587" t="s">
        <v>25</v>
      </c>
    </row>
    <row r="588" spans="1:22" x14ac:dyDescent="0.25">
      <c r="A588" t="s">
        <v>89</v>
      </c>
      <c r="B588">
        <v>1</v>
      </c>
      <c r="C588" t="s">
        <v>90</v>
      </c>
      <c r="D588" t="s">
        <v>91</v>
      </c>
      <c r="E588" t="s">
        <v>92</v>
      </c>
      <c r="F588">
        <v>150</v>
      </c>
      <c r="G588">
        <v>1300</v>
      </c>
      <c r="H588">
        <v>-2</v>
      </c>
      <c r="I588">
        <v>1983</v>
      </c>
      <c r="J588" t="s">
        <v>32</v>
      </c>
      <c r="K588">
        <v>2635</v>
      </c>
      <c r="L588">
        <v>20.399999999999999</v>
      </c>
      <c r="M588">
        <v>10.199999999999999</v>
      </c>
      <c r="N588" s="4">
        <f t="shared" si="18"/>
        <v>3.2668559999999999E-2</v>
      </c>
      <c r="O588" s="4">
        <f t="shared" si="19"/>
        <v>0.33321931199999999</v>
      </c>
      <c r="P588">
        <v>10</v>
      </c>
      <c r="Q588">
        <v>3.3</v>
      </c>
      <c r="R588">
        <v>4.5</v>
      </c>
      <c r="S588">
        <v>3.3</v>
      </c>
      <c r="T588">
        <v>4</v>
      </c>
      <c r="U588">
        <v>3.5</v>
      </c>
      <c r="V588" t="s">
        <v>25</v>
      </c>
    </row>
    <row r="589" spans="1:22" x14ac:dyDescent="0.25">
      <c r="A589" t="s">
        <v>89</v>
      </c>
      <c r="B589">
        <v>1</v>
      </c>
      <c r="C589" t="s">
        <v>90</v>
      </c>
      <c r="D589" t="s">
        <v>91</v>
      </c>
      <c r="E589" t="s">
        <v>92</v>
      </c>
      <c r="F589">
        <v>150</v>
      </c>
      <c r="G589">
        <v>1300</v>
      </c>
      <c r="H589">
        <v>-2</v>
      </c>
      <c r="I589">
        <v>1983</v>
      </c>
      <c r="J589" t="s">
        <v>34</v>
      </c>
      <c r="K589">
        <v>2570</v>
      </c>
      <c r="L589">
        <v>24.87</v>
      </c>
      <c r="M589">
        <v>11.66</v>
      </c>
      <c r="N589" s="4">
        <f t="shared" si="18"/>
        <v>4.8553576649999999E-2</v>
      </c>
      <c r="O589" s="4">
        <f t="shared" si="19"/>
        <v>0.56613470373899999</v>
      </c>
      <c r="P589">
        <v>40</v>
      </c>
      <c r="Q589">
        <v>3.3</v>
      </c>
      <c r="R589">
        <v>3.4</v>
      </c>
      <c r="S589">
        <v>3.5</v>
      </c>
      <c r="T589">
        <v>4.0999999999999996</v>
      </c>
      <c r="U589">
        <v>3.4</v>
      </c>
      <c r="V589" t="s">
        <v>25</v>
      </c>
    </row>
    <row r="590" spans="1:22" x14ac:dyDescent="0.25">
      <c r="A590" t="s">
        <v>89</v>
      </c>
      <c r="B590">
        <v>1</v>
      </c>
      <c r="C590" t="s">
        <v>90</v>
      </c>
      <c r="D590" t="s">
        <v>91</v>
      </c>
      <c r="E590" t="s">
        <v>92</v>
      </c>
      <c r="F590">
        <v>150</v>
      </c>
      <c r="G590">
        <v>1300</v>
      </c>
      <c r="H590">
        <v>-2</v>
      </c>
      <c r="I590">
        <v>1983</v>
      </c>
      <c r="J590" t="s">
        <v>34</v>
      </c>
      <c r="K590">
        <v>1522</v>
      </c>
      <c r="L590">
        <v>33.159999999999997</v>
      </c>
      <c r="M590">
        <v>14.75</v>
      </c>
      <c r="N590" s="4">
        <f t="shared" si="18"/>
        <v>8.6317469599999974E-2</v>
      </c>
      <c r="O590" s="4">
        <f t="shared" si="19"/>
        <v>1.2731826765999996</v>
      </c>
      <c r="P590">
        <v>40</v>
      </c>
      <c r="Q590">
        <v>3.7</v>
      </c>
      <c r="R590">
        <v>3.5</v>
      </c>
      <c r="S590">
        <v>3.6</v>
      </c>
      <c r="T590">
        <v>3.6</v>
      </c>
      <c r="U590">
        <v>2.9</v>
      </c>
      <c r="V590" t="s">
        <v>25</v>
      </c>
    </row>
    <row r="591" spans="1:22" x14ac:dyDescent="0.25">
      <c r="A591" t="s">
        <v>89</v>
      </c>
      <c r="B591">
        <v>1</v>
      </c>
      <c r="C591" t="s">
        <v>90</v>
      </c>
      <c r="D591" t="s">
        <v>91</v>
      </c>
      <c r="E591" t="s">
        <v>92</v>
      </c>
      <c r="F591">
        <v>150</v>
      </c>
      <c r="G591">
        <v>1300</v>
      </c>
      <c r="H591">
        <v>-2</v>
      </c>
      <c r="I591">
        <v>1983</v>
      </c>
      <c r="J591" t="s">
        <v>35</v>
      </c>
      <c r="K591">
        <v>1788</v>
      </c>
      <c r="L591">
        <v>31.05</v>
      </c>
      <c r="M591">
        <v>15.25</v>
      </c>
      <c r="N591" s="4">
        <f t="shared" si="18"/>
        <v>7.568204625000001E-2</v>
      </c>
      <c r="O591" s="4">
        <f t="shared" si="19"/>
        <v>1.1541512053125</v>
      </c>
      <c r="P591">
        <v>30</v>
      </c>
      <c r="Q591">
        <v>3.2</v>
      </c>
      <c r="R591">
        <v>1.8</v>
      </c>
      <c r="S591">
        <v>2.8</v>
      </c>
      <c r="T591">
        <v>3.5</v>
      </c>
      <c r="U591">
        <v>2.9</v>
      </c>
      <c r="V591" t="s">
        <v>38</v>
      </c>
    </row>
    <row r="592" spans="1:22" x14ac:dyDescent="0.25">
      <c r="A592" t="s">
        <v>89</v>
      </c>
      <c r="B592">
        <v>1</v>
      </c>
      <c r="C592" t="s">
        <v>90</v>
      </c>
      <c r="D592" t="s">
        <v>91</v>
      </c>
      <c r="E592" t="s">
        <v>92</v>
      </c>
      <c r="F592">
        <v>150</v>
      </c>
      <c r="G592">
        <v>1300</v>
      </c>
      <c r="H592">
        <v>-2</v>
      </c>
      <c r="I592">
        <v>1983</v>
      </c>
      <c r="J592" t="s">
        <v>35</v>
      </c>
      <c r="K592">
        <v>2571</v>
      </c>
      <c r="L592">
        <v>31.33</v>
      </c>
      <c r="M592">
        <v>15.67</v>
      </c>
      <c r="N592" s="4">
        <f t="shared" si="18"/>
        <v>7.7053158649999995E-2</v>
      </c>
      <c r="O592" s="4">
        <f t="shared" si="19"/>
        <v>1.2074229960454999</v>
      </c>
      <c r="P592">
        <v>30</v>
      </c>
      <c r="Q592">
        <v>4.0999999999999996</v>
      </c>
      <c r="R592">
        <v>2.2999999999999998</v>
      </c>
      <c r="S592">
        <v>3.4</v>
      </c>
      <c r="T592">
        <v>4</v>
      </c>
      <c r="U592">
        <v>3.1</v>
      </c>
      <c r="V592" t="s">
        <v>25</v>
      </c>
    </row>
    <row r="593" spans="1:22" x14ac:dyDescent="0.25">
      <c r="A593" t="s">
        <v>89</v>
      </c>
      <c r="B593">
        <v>1</v>
      </c>
      <c r="C593" t="s">
        <v>90</v>
      </c>
      <c r="D593" t="s">
        <v>91</v>
      </c>
      <c r="E593" t="s">
        <v>92</v>
      </c>
      <c r="F593">
        <v>150</v>
      </c>
      <c r="G593">
        <v>1300</v>
      </c>
      <c r="H593">
        <v>-2</v>
      </c>
      <c r="I593">
        <v>1983</v>
      </c>
      <c r="J593" t="s">
        <v>36</v>
      </c>
      <c r="K593">
        <v>2573</v>
      </c>
      <c r="L593">
        <v>32.97</v>
      </c>
      <c r="M593">
        <v>14.24</v>
      </c>
      <c r="N593" s="4">
        <f t="shared" si="18"/>
        <v>8.5331140649999998E-2</v>
      </c>
      <c r="O593" s="4">
        <f t="shared" si="19"/>
        <v>1.215115442856</v>
      </c>
      <c r="P593">
        <v>40</v>
      </c>
      <c r="Q593">
        <v>3.2</v>
      </c>
      <c r="R593">
        <v>4</v>
      </c>
      <c r="S593">
        <v>3.1</v>
      </c>
      <c r="T593">
        <v>3.3</v>
      </c>
      <c r="U593">
        <v>3</v>
      </c>
      <c r="V593" t="s">
        <v>25</v>
      </c>
    </row>
    <row r="594" spans="1:22" x14ac:dyDescent="0.25">
      <c r="A594" t="s">
        <v>89</v>
      </c>
      <c r="B594">
        <v>1</v>
      </c>
      <c r="C594" t="s">
        <v>90</v>
      </c>
      <c r="D594" t="s">
        <v>91</v>
      </c>
      <c r="E594" t="s">
        <v>92</v>
      </c>
      <c r="F594">
        <v>150</v>
      </c>
      <c r="G594">
        <v>1300</v>
      </c>
      <c r="H594">
        <v>-2</v>
      </c>
      <c r="I594">
        <v>1983</v>
      </c>
      <c r="J594" t="s">
        <v>62</v>
      </c>
      <c r="K594">
        <v>2550</v>
      </c>
      <c r="L594">
        <v>20.25</v>
      </c>
      <c r="M594">
        <v>10.66</v>
      </c>
      <c r="N594" s="4">
        <f t="shared" si="18"/>
        <v>3.2189906250000004E-2</v>
      </c>
      <c r="O594" s="4">
        <f t="shared" si="19"/>
        <v>0.34314440062500007</v>
      </c>
      <c r="P594">
        <v>30</v>
      </c>
      <c r="Q594">
        <v>2.7</v>
      </c>
      <c r="R594">
        <v>3</v>
      </c>
      <c r="S594">
        <v>4</v>
      </c>
      <c r="T594">
        <v>4.2</v>
      </c>
      <c r="U594">
        <v>3.7</v>
      </c>
      <c r="V594" t="s">
        <v>25</v>
      </c>
    </row>
    <row r="595" spans="1:22" x14ac:dyDescent="0.25">
      <c r="A595" t="s">
        <v>89</v>
      </c>
      <c r="B595">
        <v>1</v>
      </c>
      <c r="C595" t="s">
        <v>90</v>
      </c>
      <c r="D595" t="s">
        <v>91</v>
      </c>
      <c r="E595" t="s">
        <v>92</v>
      </c>
      <c r="F595">
        <v>150</v>
      </c>
      <c r="G595">
        <v>1300</v>
      </c>
      <c r="H595">
        <v>-2</v>
      </c>
      <c r="I595">
        <v>1983</v>
      </c>
      <c r="J595" t="s">
        <v>62</v>
      </c>
      <c r="K595">
        <v>2553</v>
      </c>
      <c r="L595">
        <v>27.44</v>
      </c>
      <c r="M595">
        <v>11.32</v>
      </c>
      <c r="N595" s="4">
        <f t="shared" si="18"/>
        <v>5.9106857600000021E-2</v>
      </c>
      <c r="O595" s="4">
        <f t="shared" si="19"/>
        <v>0.66908962803200023</v>
      </c>
      <c r="P595">
        <v>20</v>
      </c>
      <c r="Q595">
        <v>3.5</v>
      </c>
      <c r="R595">
        <v>3</v>
      </c>
      <c r="S595">
        <v>3.3</v>
      </c>
      <c r="T595">
        <v>4</v>
      </c>
      <c r="U595">
        <v>2.9</v>
      </c>
      <c r="V595" t="s">
        <v>27</v>
      </c>
    </row>
    <row r="596" spans="1:22" x14ac:dyDescent="0.25">
      <c r="A596" t="s">
        <v>89</v>
      </c>
      <c r="B596">
        <v>1</v>
      </c>
      <c r="C596" t="s">
        <v>90</v>
      </c>
      <c r="D596" t="s">
        <v>91</v>
      </c>
      <c r="E596" t="s">
        <v>92</v>
      </c>
      <c r="F596">
        <v>150</v>
      </c>
      <c r="G596">
        <v>1300</v>
      </c>
      <c r="H596">
        <v>-2</v>
      </c>
      <c r="I596">
        <v>1983</v>
      </c>
      <c r="J596" t="s">
        <v>37</v>
      </c>
      <c r="K596">
        <v>2575</v>
      </c>
      <c r="L596">
        <v>19.91</v>
      </c>
      <c r="M596">
        <v>6.77</v>
      </c>
      <c r="N596" s="4">
        <f t="shared" si="18"/>
        <v>3.111803585E-2</v>
      </c>
      <c r="O596" s="4">
        <f t="shared" si="19"/>
        <v>0.21066910270449998</v>
      </c>
      <c r="P596">
        <v>40</v>
      </c>
      <c r="Q596">
        <v>1.6</v>
      </c>
      <c r="R596">
        <v>1.8</v>
      </c>
      <c r="S596">
        <v>2.2999999999999998</v>
      </c>
      <c r="T596">
        <v>2.5</v>
      </c>
      <c r="U596">
        <v>2.2999999999999998</v>
      </c>
      <c r="V596" t="s">
        <v>30</v>
      </c>
    </row>
    <row r="597" spans="1:22" x14ac:dyDescent="0.25">
      <c r="A597" t="s">
        <v>89</v>
      </c>
      <c r="B597">
        <v>2</v>
      </c>
      <c r="C597" t="s">
        <v>90</v>
      </c>
      <c r="D597" t="s">
        <v>91</v>
      </c>
      <c r="E597" t="s">
        <v>92</v>
      </c>
      <c r="F597">
        <v>150</v>
      </c>
      <c r="G597">
        <v>1300</v>
      </c>
      <c r="H597">
        <v>-2</v>
      </c>
      <c r="I597">
        <v>1983</v>
      </c>
      <c r="J597" t="s">
        <v>76</v>
      </c>
      <c r="K597">
        <v>1592</v>
      </c>
      <c r="L597">
        <v>34.11</v>
      </c>
      <c r="M597">
        <v>16.48</v>
      </c>
      <c r="N597" s="4">
        <f t="shared" si="18"/>
        <v>9.1334129850000015E-2</v>
      </c>
      <c r="O597" s="4">
        <f t="shared" si="19"/>
        <v>1.5051864599280003</v>
      </c>
      <c r="P597">
        <v>20</v>
      </c>
      <c r="Q597">
        <v>3.5</v>
      </c>
      <c r="R597">
        <v>3.8</v>
      </c>
      <c r="S597">
        <v>3.2</v>
      </c>
      <c r="T597">
        <v>3.9</v>
      </c>
      <c r="U597">
        <v>2.5</v>
      </c>
      <c r="V597" t="s">
        <v>25</v>
      </c>
    </row>
    <row r="598" spans="1:22" x14ac:dyDescent="0.25">
      <c r="A598" t="s">
        <v>89</v>
      </c>
      <c r="B598">
        <v>2</v>
      </c>
      <c r="C598" t="s">
        <v>90</v>
      </c>
      <c r="D598" t="s">
        <v>91</v>
      </c>
      <c r="E598" t="s">
        <v>92</v>
      </c>
      <c r="F598">
        <v>150</v>
      </c>
      <c r="G598">
        <v>1300</v>
      </c>
      <c r="H598">
        <v>-2</v>
      </c>
      <c r="I598">
        <v>1983</v>
      </c>
      <c r="J598" t="s">
        <v>76</v>
      </c>
      <c r="K598">
        <v>2560</v>
      </c>
      <c r="L598">
        <v>35.83</v>
      </c>
      <c r="M598">
        <v>21.5</v>
      </c>
      <c r="N598" s="4">
        <f t="shared" si="18"/>
        <v>0.10077742865</v>
      </c>
      <c r="O598" s="4">
        <f t="shared" si="19"/>
        <v>2.166714715975</v>
      </c>
      <c r="P598">
        <v>10</v>
      </c>
      <c r="Q598">
        <v>3.3</v>
      </c>
      <c r="R598">
        <v>3.5</v>
      </c>
      <c r="S598">
        <v>4</v>
      </c>
      <c r="T598">
        <v>4.5</v>
      </c>
      <c r="U598">
        <v>3</v>
      </c>
      <c r="V598" t="s">
        <v>27</v>
      </c>
    </row>
    <row r="599" spans="1:22" x14ac:dyDescent="0.25">
      <c r="A599" t="s">
        <v>89</v>
      </c>
      <c r="B599">
        <v>2</v>
      </c>
      <c r="C599" t="s">
        <v>90</v>
      </c>
      <c r="D599" t="s">
        <v>91</v>
      </c>
      <c r="E599" t="s">
        <v>92</v>
      </c>
      <c r="F599">
        <v>150</v>
      </c>
      <c r="G599">
        <v>1300</v>
      </c>
      <c r="H599">
        <v>-2</v>
      </c>
      <c r="I599">
        <v>1983</v>
      </c>
      <c r="J599" t="s">
        <v>24</v>
      </c>
      <c r="K599">
        <v>2562</v>
      </c>
      <c r="L599">
        <v>33.19</v>
      </c>
      <c r="M599">
        <v>14.42</v>
      </c>
      <c r="N599" s="4">
        <f t="shared" si="18"/>
        <v>8.6473723849999989E-2</v>
      </c>
      <c r="O599" s="4">
        <f t="shared" si="19"/>
        <v>1.2469510979169998</v>
      </c>
      <c r="P599">
        <v>30</v>
      </c>
      <c r="Q599">
        <v>3.6</v>
      </c>
      <c r="R599">
        <v>3.7</v>
      </c>
      <c r="S599">
        <v>3.2</v>
      </c>
      <c r="T599">
        <v>3.7</v>
      </c>
      <c r="U599">
        <v>3.2</v>
      </c>
      <c r="V599" t="s">
        <v>25</v>
      </c>
    </row>
    <row r="600" spans="1:22" x14ac:dyDescent="0.25">
      <c r="A600" t="s">
        <v>89</v>
      </c>
      <c r="B600">
        <v>2</v>
      </c>
      <c r="C600" t="s">
        <v>90</v>
      </c>
      <c r="D600" t="s">
        <v>91</v>
      </c>
      <c r="E600" t="s">
        <v>92</v>
      </c>
      <c r="F600">
        <v>150</v>
      </c>
      <c r="G600">
        <v>1300</v>
      </c>
      <c r="H600">
        <v>-2</v>
      </c>
      <c r="I600">
        <v>1983</v>
      </c>
      <c r="J600" t="s">
        <v>80</v>
      </c>
      <c r="K600">
        <v>1252</v>
      </c>
      <c r="L600">
        <v>27.13</v>
      </c>
      <c r="M600">
        <v>11.88</v>
      </c>
      <c r="N600" s="4">
        <f t="shared" si="18"/>
        <v>5.7778896649999988E-2</v>
      </c>
      <c r="O600" s="4">
        <f t="shared" si="19"/>
        <v>0.68641329220199987</v>
      </c>
      <c r="P600">
        <v>90</v>
      </c>
      <c r="Q600">
        <v>3.3</v>
      </c>
      <c r="R600">
        <v>3.7</v>
      </c>
      <c r="S600">
        <v>2.1</v>
      </c>
      <c r="T600">
        <v>2.1</v>
      </c>
      <c r="U600">
        <v>2</v>
      </c>
      <c r="V600" t="s">
        <v>38</v>
      </c>
    </row>
    <row r="601" spans="1:22" x14ac:dyDescent="0.25">
      <c r="A601" t="s">
        <v>89</v>
      </c>
      <c r="B601">
        <v>2</v>
      </c>
      <c r="C601" t="s">
        <v>90</v>
      </c>
      <c r="D601" t="s">
        <v>91</v>
      </c>
      <c r="E601" t="s">
        <v>92</v>
      </c>
      <c r="F601">
        <v>150</v>
      </c>
      <c r="G601">
        <v>1300</v>
      </c>
      <c r="H601">
        <v>-2</v>
      </c>
      <c r="I601">
        <v>1983</v>
      </c>
      <c r="J601" t="s">
        <v>59</v>
      </c>
      <c r="K601">
        <v>2548</v>
      </c>
      <c r="L601">
        <v>49.34</v>
      </c>
      <c r="M601">
        <v>16.850000000000001</v>
      </c>
      <c r="N601" s="4">
        <f t="shared" si="18"/>
        <v>0.19110319460000005</v>
      </c>
      <c r="O601" s="4">
        <f t="shared" si="19"/>
        <v>3.2200888290100012</v>
      </c>
      <c r="P601">
        <v>10</v>
      </c>
      <c r="Q601">
        <v>5</v>
      </c>
      <c r="R601">
        <v>4.5</v>
      </c>
      <c r="S601">
        <v>3.5</v>
      </c>
      <c r="T601">
        <v>3.5</v>
      </c>
      <c r="U601">
        <v>3</v>
      </c>
      <c r="V601" t="s">
        <v>27</v>
      </c>
    </row>
    <row r="602" spans="1:22" x14ac:dyDescent="0.25">
      <c r="A602" t="s">
        <v>89</v>
      </c>
      <c r="B602">
        <v>2</v>
      </c>
      <c r="C602" t="s">
        <v>90</v>
      </c>
      <c r="D602" t="s">
        <v>91</v>
      </c>
      <c r="E602" t="s">
        <v>92</v>
      </c>
      <c r="F602">
        <v>150</v>
      </c>
      <c r="G602">
        <v>1300</v>
      </c>
      <c r="H602">
        <v>-2</v>
      </c>
      <c r="I602">
        <v>1983</v>
      </c>
      <c r="J602" t="s">
        <v>26</v>
      </c>
      <c r="K602">
        <v>2552</v>
      </c>
      <c r="L602">
        <v>15.52</v>
      </c>
      <c r="M602">
        <v>7.83</v>
      </c>
      <c r="N602" s="4">
        <f t="shared" si="18"/>
        <v>1.8908326400000001E-2</v>
      </c>
      <c r="O602" s="4">
        <f t="shared" si="19"/>
        <v>0.14805219571200001</v>
      </c>
      <c r="P602">
        <v>10</v>
      </c>
      <c r="Q602">
        <v>2</v>
      </c>
      <c r="R602">
        <v>4</v>
      </c>
      <c r="S602">
        <v>4</v>
      </c>
      <c r="T602">
        <v>4</v>
      </c>
      <c r="U602">
        <v>4</v>
      </c>
      <c r="V602" t="s">
        <v>30</v>
      </c>
    </row>
    <row r="603" spans="1:22" x14ac:dyDescent="0.25">
      <c r="A603" t="s">
        <v>89</v>
      </c>
      <c r="B603">
        <v>2</v>
      </c>
      <c r="C603" t="s">
        <v>90</v>
      </c>
      <c r="D603" t="s">
        <v>91</v>
      </c>
      <c r="E603" t="s">
        <v>92</v>
      </c>
      <c r="F603">
        <v>150</v>
      </c>
      <c r="G603">
        <v>1300</v>
      </c>
      <c r="H603">
        <v>-2</v>
      </c>
      <c r="I603">
        <v>1983</v>
      </c>
      <c r="J603" t="s">
        <v>33</v>
      </c>
      <c r="K603">
        <v>2547</v>
      </c>
      <c r="L603">
        <v>46.36</v>
      </c>
      <c r="M603">
        <v>19.09</v>
      </c>
      <c r="N603" s="4">
        <f t="shared" si="18"/>
        <v>0.16871609360000001</v>
      </c>
      <c r="O603" s="4">
        <f t="shared" si="19"/>
        <v>3.2207902268240001</v>
      </c>
      <c r="P603">
        <v>40</v>
      </c>
      <c r="Q603">
        <v>4.3</v>
      </c>
      <c r="R603">
        <v>2.6</v>
      </c>
      <c r="S603">
        <v>3.8</v>
      </c>
      <c r="T603">
        <v>2.9</v>
      </c>
      <c r="U603">
        <v>2.6</v>
      </c>
      <c r="V603" t="s">
        <v>27</v>
      </c>
    </row>
    <row r="604" spans="1:22" x14ac:dyDescent="0.25">
      <c r="A604" t="s">
        <v>89</v>
      </c>
      <c r="B604">
        <v>2</v>
      </c>
      <c r="C604" t="s">
        <v>90</v>
      </c>
      <c r="D604" t="s">
        <v>91</v>
      </c>
      <c r="E604" t="s">
        <v>92</v>
      </c>
      <c r="F604">
        <v>150</v>
      </c>
      <c r="G604">
        <v>1300</v>
      </c>
      <c r="H604">
        <v>-2</v>
      </c>
      <c r="I604">
        <v>1983</v>
      </c>
      <c r="J604" t="s">
        <v>33</v>
      </c>
      <c r="K604">
        <v>2568</v>
      </c>
      <c r="L604">
        <v>52.76</v>
      </c>
      <c r="M604">
        <v>21</v>
      </c>
      <c r="N604" s="4">
        <f t="shared" si="18"/>
        <v>0.21851398159999996</v>
      </c>
      <c r="O604" s="4">
        <f t="shared" si="19"/>
        <v>4.5887936135999992</v>
      </c>
      <c r="P604">
        <v>50</v>
      </c>
      <c r="Q604">
        <v>4.5</v>
      </c>
      <c r="R604">
        <v>2.7</v>
      </c>
      <c r="S604">
        <v>3.9</v>
      </c>
      <c r="T604">
        <v>3.4</v>
      </c>
      <c r="U604">
        <v>2.6</v>
      </c>
      <c r="V604" t="s">
        <v>27</v>
      </c>
    </row>
    <row r="605" spans="1:22" x14ac:dyDescent="0.25">
      <c r="A605" t="s">
        <v>89</v>
      </c>
      <c r="B605">
        <v>2</v>
      </c>
      <c r="C605" t="s">
        <v>90</v>
      </c>
      <c r="D605" t="s">
        <v>91</v>
      </c>
      <c r="E605" t="s">
        <v>92</v>
      </c>
      <c r="F605">
        <v>150</v>
      </c>
      <c r="G605">
        <v>1300</v>
      </c>
      <c r="H605">
        <v>-2</v>
      </c>
      <c r="I605">
        <v>1983</v>
      </c>
      <c r="J605" t="s">
        <v>32</v>
      </c>
      <c r="K605">
        <v>1596</v>
      </c>
      <c r="L605">
        <v>42.085000000000001</v>
      </c>
      <c r="M605">
        <v>17.05</v>
      </c>
      <c r="N605" s="4">
        <f t="shared" si="18"/>
        <v>0.1390350571625</v>
      </c>
      <c r="O605" s="4">
        <f t="shared" si="19"/>
        <v>2.370547724620625</v>
      </c>
      <c r="P605">
        <v>40</v>
      </c>
      <c r="Q605">
        <v>3.9</v>
      </c>
      <c r="R605">
        <v>3.9</v>
      </c>
      <c r="S605">
        <v>3.2</v>
      </c>
      <c r="T605">
        <v>3.3</v>
      </c>
      <c r="U605">
        <v>2.4</v>
      </c>
      <c r="V605" t="s">
        <v>27</v>
      </c>
    </row>
    <row r="606" spans="1:22" x14ac:dyDescent="0.25">
      <c r="A606" t="s">
        <v>89</v>
      </c>
      <c r="B606">
        <v>2</v>
      </c>
      <c r="C606" t="s">
        <v>90</v>
      </c>
      <c r="D606" t="s">
        <v>91</v>
      </c>
      <c r="E606" t="s">
        <v>92</v>
      </c>
      <c r="F606">
        <v>150</v>
      </c>
      <c r="G606">
        <v>1300</v>
      </c>
      <c r="H606">
        <v>-2</v>
      </c>
      <c r="I606">
        <v>1983</v>
      </c>
      <c r="J606" t="s">
        <v>32</v>
      </c>
      <c r="K606">
        <v>2634</v>
      </c>
      <c r="L606">
        <v>39.79</v>
      </c>
      <c r="M606">
        <v>17.489999999999998</v>
      </c>
      <c r="N606" s="4">
        <f t="shared" si="18"/>
        <v>0.12428466184999998</v>
      </c>
      <c r="O606" s="4">
        <f t="shared" si="19"/>
        <v>2.1737387357564995</v>
      </c>
      <c r="P606">
        <v>10</v>
      </c>
      <c r="Q606">
        <v>4</v>
      </c>
      <c r="R606">
        <v>4</v>
      </c>
      <c r="S606">
        <v>3.3</v>
      </c>
      <c r="T606">
        <v>2.5</v>
      </c>
      <c r="U606">
        <v>1.5</v>
      </c>
      <c r="V606" t="s">
        <v>38</v>
      </c>
    </row>
    <row r="607" spans="1:22" x14ac:dyDescent="0.25">
      <c r="A607" t="s">
        <v>89</v>
      </c>
      <c r="B607">
        <v>2</v>
      </c>
      <c r="C607" t="s">
        <v>90</v>
      </c>
      <c r="D607" t="s">
        <v>91</v>
      </c>
      <c r="E607" t="s">
        <v>92</v>
      </c>
      <c r="F607">
        <v>150</v>
      </c>
      <c r="G607">
        <v>1300</v>
      </c>
      <c r="H607">
        <v>-2</v>
      </c>
      <c r="I607">
        <v>1983</v>
      </c>
      <c r="J607" t="s">
        <v>32</v>
      </c>
      <c r="K607">
        <v>2635</v>
      </c>
      <c r="L607">
        <v>32.5</v>
      </c>
      <c r="M607">
        <v>14.57</v>
      </c>
      <c r="N607" s="4">
        <f t="shared" si="18"/>
        <v>8.2915625000000007E-2</v>
      </c>
      <c r="O607" s="4">
        <f t="shared" si="19"/>
        <v>1.2080806562500002</v>
      </c>
      <c r="P607">
        <v>10</v>
      </c>
      <c r="Q607">
        <v>2.7</v>
      </c>
      <c r="R607">
        <v>3</v>
      </c>
      <c r="S607">
        <v>3</v>
      </c>
      <c r="T607">
        <v>4</v>
      </c>
      <c r="U607">
        <v>3</v>
      </c>
      <c r="V607" t="s">
        <v>25</v>
      </c>
    </row>
    <row r="608" spans="1:22" x14ac:dyDescent="0.25">
      <c r="A608" t="s">
        <v>89</v>
      </c>
      <c r="B608">
        <v>2</v>
      </c>
      <c r="C608" t="s">
        <v>90</v>
      </c>
      <c r="D608" t="s">
        <v>91</v>
      </c>
      <c r="E608" t="s">
        <v>92</v>
      </c>
      <c r="F608">
        <v>150</v>
      </c>
      <c r="G608">
        <v>1300</v>
      </c>
      <c r="H608">
        <v>-2</v>
      </c>
      <c r="I608">
        <v>1983</v>
      </c>
      <c r="J608" t="s">
        <v>34</v>
      </c>
      <c r="K608">
        <v>2570</v>
      </c>
      <c r="L608">
        <v>49.88</v>
      </c>
      <c r="M608">
        <v>14.05</v>
      </c>
      <c r="N608" s="4">
        <f t="shared" si="18"/>
        <v>0.19530913040000003</v>
      </c>
      <c r="O608" s="4">
        <f t="shared" si="19"/>
        <v>2.7440932821200006</v>
      </c>
      <c r="P608">
        <v>10</v>
      </c>
      <c r="Q608">
        <v>4</v>
      </c>
      <c r="R608">
        <v>4.5</v>
      </c>
      <c r="S608">
        <v>3</v>
      </c>
      <c r="T608">
        <v>4</v>
      </c>
      <c r="U608">
        <v>3</v>
      </c>
      <c r="V608" t="s">
        <v>27</v>
      </c>
    </row>
    <row r="609" spans="1:22" x14ac:dyDescent="0.25">
      <c r="A609" t="s">
        <v>89</v>
      </c>
      <c r="B609">
        <v>2</v>
      </c>
      <c r="C609" t="s">
        <v>90</v>
      </c>
      <c r="D609" t="s">
        <v>91</v>
      </c>
      <c r="E609" t="s">
        <v>92</v>
      </c>
      <c r="F609">
        <v>150</v>
      </c>
      <c r="G609">
        <v>1300</v>
      </c>
      <c r="H609">
        <v>-2</v>
      </c>
      <c r="I609">
        <v>1983</v>
      </c>
      <c r="J609" t="s">
        <v>34</v>
      </c>
      <c r="K609">
        <v>1522</v>
      </c>
      <c r="L609">
        <v>52.26</v>
      </c>
      <c r="M609">
        <v>15.45</v>
      </c>
      <c r="N609" s="4">
        <f t="shared" si="18"/>
        <v>0.21439194659999997</v>
      </c>
      <c r="O609" s="4">
        <f t="shared" si="19"/>
        <v>3.3123555749699993</v>
      </c>
      <c r="P609">
        <v>10</v>
      </c>
      <c r="Q609">
        <v>5</v>
      </c>
      <c r="R609">
        <v>4.5</v>
      </c>
      <c r="S609">
        <v>2.5</v>
      </c>
      <c r="T609">
        <v>2</v>
      </c>
      <c r="U609">
        <v>2.5</v>
      </c>
      <c r="V609" t="s">
        <v>25</v>
      </c>
    </row>
    <row r="610" spans="1:22" x14ac:dyDescent="0.25">
      <c r="A610" t="s">
        <v>89</v>
      </c>
      <c r="B610">
        <v>2</v>
      </c>
      <c r="C610" t="s">
        <v>90</v>
      </c>
      <c r="D610" t="s">
        <v>91</v>
      </c>
      <c r="E610" t="s">
        <v>92</v>
      </c>
      <c r="F610">
        <v>150</v>
      </c>
      <c r="G610">
        <v>1300</v>
      </c>
      <c r="H610">
        <v>-2</v>
      </c>
      <c r="I610">
        <v>1983</v>
      </c>
      <c r="J610" t="s">
        <v>35</v>
      </c>
      <c r="K610">
        <v>1788</v>
      </c>
      <c r="L610">
        <v>32.86</v>
      </c>
      <c r="M610">
        <v>13.86</v>
      </c>
      <c r="N610" s="4">
        <f t="shared" si="18"/>
        <v>8.4762698600000005E-2</v>
      </c>
      <c r="O610" s="4">
        <f t="shared" si="19"/>
        <v>1.1748110025960001</v>
      </c>
      <c r="P610">
        <v>30</v>
      </c>
      <c r="Q610">
        <v>2.8</v>
      </c>
      <c r="R610">
        <v>2</v>
      </c>
      <c r="S610">
        <v>3.1</v>
      </c>
      <c r="T610">
        <v>3.1</v>
      </c>
      <c r="U610">
        <v>2.2999999999999998</v>
      </c>
      <c r="V610" t="s">
        <v>25</v>
      </c>
    </row>
    <row r="611" spans="1:22" x14ac:dyDescent="0.25">
      <c r="A611" t="s">
        <v>89</v>
      </c>
      <c r="B611">
        <v>2</v>
      </c>
      <c r="C611" t="s">
        <v>90</v>
      </c>
      <c r="D611" t="s">
        <v>91</v>
      </c>
      <c r="E611" t="s">
        <v>92</v>
      </c>
      <c r="F611">
        <v>150</v>
      </c>
      <c r="G611">
        <v>1300</v>
      </c>
      <c r="H611">
        <v>-2</v>
      </c>
      <c r="I611">
        <v>1983</v>
      </c>
      <c r="J611" t="s">
        <v>35</v>
      </c>
      <c r="K611">
        <v>2571</v>
      </c>
      <c r="L611">
        <v>39.79</v>
      </c>
      <c r="M611">
        <v>18.02</v>
      </c>
      <c r="N611" s="4">
        <f t="shared" si="18"/>
        <v>0.12428466184999998</v>
      </c>
      <c r="O611" s="4">
        <f t="shared" si="19"/>
        <v>2.2396096065369995</v>
      </c>
      <c r="P611">
        <v>40</v>
      </c>
      <c r="Q611">
        <v>4.3</v>
      </c>
      <c r="R611">
        <v>2.5</v>
      </c>
      <c r="S611">
        <v>3.4</v>
      </c>
      <c r="T611">
        <v>3.8</v>
      </c>
      <c r="U611">
        <v>3.1</v>
      </c>
      <c r="V611" t="s">
        <v>27</v>
      </c>
    </row>
    <row r="612" spans="1:22" x14ac:dyDescent="0.25">
      <c r="A612" t="s">
        <v>89</v>
      </c>
      <c r="B612">
        <v>2</v>
      </c>
      <c r="C612" t="s">
        <v>90</v>
      </c>
      <c r="D612" t="s">
        <v>91</v>
      </c>
      <c r="E612" t="s">
        <v>92</v>
      </c>
      <c r="F612">
        <v>150</v>
      </c>
      <c r="G612">
        <v>1300</v>
      </c>
      <c r="H612">
        <v>-2</v>
      </c>
      <c r="I612">
        <v>1983</v>
      </c>
      <c r="J612" t="s">
        <v>36</v>
      </c>
      <c r="K612">
        <v>2573</v>
      </c>
      <c r="L612">
        <v>8.7200000000000006</v>
      </c>
      <c r="M612">
        <v>10.17</v>
      </c>
      <c r="N612" s="4">
        <f t="shared" si="18"/>
        <v>5.9690144000000001E-3</v>
      </c>
      <c r="O612" s="4">
        <f t="shared" si="19"/>
        <v>6.0704876448000003E-2</v>
      </c>
      <c r="P612">
        <v>10</v>
      </c>
      <c r="Q612">
        <v>1.5</v>
      </c>
      <c r="R612">
        <v>4</v>
      </c>
      <c r="S612">
        <v>4</v>
      </c>
      <c r="T612">
        <v>4</v>
      </c>
      <c r="U612">
        <v>4</v>
      </c>
      <c r="V612" t="s">
        <v>50</v>
      </c>
    </row>
    <row r="613" spans="1:22" x14ac:dyDescent="0.25">
      <c r="A613" t="s">
        <v>89</v>
      </c>
      <c r="B613">
        <v>2</v>
      </c>
      <c r="C613" t="s">
        <v>90</v>
      </c>
      <c r="D613" t="s">
        <v>91</v>
      </c>
      <c r="E613" t="s">
        <v>92</v>
      </c>
      <c r="F613">
        <v>150</v>
      </c>
      <c r="G613">
        <v>1300</v>
      </c>
      <c r="H613">
        <v>-2</v>
      </c>
      <c r="I613">
        <v>1983</v>
      </c>
      <c r="J613" t="s">
        <v>62</v>
      </c>
      <c r="K613">
        <v>2550</v>
      </c>
      <c r="L613">
        <v>27.97</v>
      </c>
      <c r="M613">
        <v>14.65</v>
      </c>
      <c r="N613" s="4">
        <f t="shared" si="18"/>
        <v>6.1412190650000004E-2</v>
      </c>
      <c r="O613" s="4">
        <f t="shared" si="19"/>
        <v>0.89968859302250004</v>
      </c>
      <c r="P613">
        <v>10</v>
      </c>
      <c r="Q613">
        <v>3</v>
      </c>
      <c r="R613">
        <v>3.5</v>
      </c>
      <c r="S613">
        <v>3.5</v>
      </c>
      <c r="T613">
        <v>3</v>
      </c>
      <c r="U613">
        <v>3</v>
      </c>
      <c r="V613" t="s">
        <v>25</v>
      </c>
    </row>
    <row r="614" spans="1:22" x14ac:dyDescent="0.25">
      <c r="A614" t="s">
        <v>89</v>
      </c>
      <c r="B614">
        <v>2</v>
      </c>
      <c r="C614" t="s">
        <v>90</v>
      </c>
      <c r="D614" t="s">
        <v>91</v>
      </c>
      <c r="E614" t="s">
        <v>92</v>
      </c>
      <c r="F614">
        <v>150</v>
      </c>
      <c r="G614">
        <v>1300</v>
      </c>
      <c r="H614">
        <v>-2</v>
      </c>
      <c r="I614">
        <v>1983</v>
      </c>
      <c r="J614" t="s">
        <v>62</v>
      </c>
      <c r="K614">
        <v>2553</v>
      </c>
      <c r="L614">
        <v>39.69</v>
      </c>
      <c r="M614">
        <v>18.25</v>
      </c>
      <c r="N614" s="4">
        <f t="shared" si="18"/>
        <v>0.12366074384999999</v>
      </c>
      <c r="O614" s="4">
        <f t="shared" si="19"/>
        <v>2.2568085752624998</v>
      </c>
      <c r="P614">
        <v>30</v>
      </c>
      <c r="Q614">
        <v>3.9</v>
      </c>
      <c r="R614">
        <v>3.8</v>
      </c>
      <c r="S614">
        <v>4.2</v>
      </c>
      <c r="T614">
        <v>4.0999999999999996</v>
      </c>
      <c r="U614">
        <v>3.6</v>
      </c>
      <c r="V614" t="s">
        <v>27</v>
      </c>
    </row>
    <row r="615" spans="1:22" x14ac:dyDescent="0.25">
      <c r="A615" t="s">
        <v>89</v>
      </c>
      <c r="B615">
        <v>2</v>
      </c>
      <c r="C615" t="s">
        <v>90</v>
      </c>
      <c r="D615" t="s">
        <v>91</v>
      </c>
      <c r="E615" t="s">
        <v>92</v>
      </c>
      <c r="F615">
        <v>150</v>
      </c>
      <c r="G615">
        <v>1300</v>
      </c>
      <c r="H615">
        <v>-2</v>
      </c>
      <c r="I615">
        <v>1983</v>
      </c>
      <c r="J615" t="s">
        <v>37</v>
      </c>
      <c r="K615">
        <v>2575</v>
      </c>
      <c r="L615">
        <v>13.81</v>
      </c>
      <c r="M615">
        <v>10.62</v>
      </c>
      <c r="N615" s="4">
        <f t="shared" si="18"/>
        <v>1.497121385E-2</v>
      </c>
      <c r="O615" s="4">
        <f t="shared" si="19"/>
        <v>0.15899429108699997</v>
      </c>
      <c r="P615">
        <v>10</v>
      </c>
      <c r="Q615">
        <v>1.5</v>
      </c>
      <c r="R615">
        <v>3</v>
      </c>
      <c r="S615">
        <v>2</v>
      </c>
      <c r="T615">
        <v>4</v>
      </c>
      <c r="U615">
        <v>3</v>
      </c>
      <c r="V615" t="s">
        <v>50</v>
      </c>
    </row>
    <row r="616" spans="1:22" x14ac:dyDescent="0.25">
      <c r="A616" t="s">
        <v>89</v>
      </c>
      <c r="B616">
        <v>3</v>
      </c>
      <c r="C616" t="s">
        <v>90</v>
      </c>
      <c r="D616" t="s">
        <v>91</v>
      </c>
      <c r="E616" t="s">
        <v>92</v>
      </c>
      <c r="F616">
        <v>150</v>
      </c>
      <c r="G616">
        <v>1300</v>
      </c>
      <c r="H616">
        <v>-2</v>
      </c>
      <c r="I616">
        <v>1983</v>
      </c>
      <c r="J616" t="s">
        <v>24</v>
      </c>
      <c r="K616">
        <v>2562</v>
      </c>
      <c r="L616">
        <v>38.79</v>
      </c>
      <c r="M616">
        <v>14.56</v>
      </c>
      <c r="N616" s="4">
        <f t="shared" si="18"/>
        <v>0.11811613184999997</v>
      </c>
      <c r="O616" s="4">
        <f t="shared" si="19"/>
        <v>1.7197708797359996</v>
      </c>
      <c r="P616">
        <v>50</v>
      </c>
      <c r="Q616">
        <v>3.9</v>
      </c>
      <c r="R616">
        <v>3.6</v>
      </c>
      <c r="S616">
        <v>3.2</v>
      </c>
      <c r="T616">
        <v>3.5</v>
      </c>
      <c r="U616">
        <v>2.4</v>
      </c>
      <c r="V616" t="s">
        <v>27</v>
      </c>
    </row>
    <row r="617" spans="1:22" x14ac:dyDescent="0.25">
      <c r="A617" t="s">
        <v>89</v>
      </c>
      <c r="B617">
        <v>3</v>
      </c>
      <c r="C617" t="s">
        <v>90</v>
      </c>
      <c r="D617" t="s">
        <v>91</v>
      </c>
      <c r="E617" t="s">
        <v>92</v>
      </c>
      <c r="F617">
        <v>150</v>
      </c>
      <c r="G617">
        <v>1300</v>
      </c>
      <c r="H617">
        <v>-2</v>
      </c>
      <c r="I617">
        <v>1983</v>
      </c>
      <c r="J617" t="s">
        <v>80</v>
      </c>
      <c r="K617">
        <v>1252</v>
      </c>
      <c r="L617">
        <v>26.05</v>
      </c>
      <c r="M617">
        <v>12.15</v>
      </c>
      <c r="N617" s="4">
        <f t="shared" si="18"/>
        <v>5.3270296250000009E-2</v>
      </c>
      <c r="O617" s="4">
        <f t="shared" si="19"/>
        <v>0.6472340994375001</v>
      </c>
      <c r="P617">
        <v>10</v>
      </c>
      <c r="Q617">
        <v>3</v>
      </c>
      <c r="R617">
        <v>3</v>
      </c>
      <c r="S617">
        <v>2.5</v>
      </c>
      <c r="T617">
        <v>3.3</v>
      </c>
      <c r="U617">
        <v>3</v>
      </c>
      <c r="V617" t="s">
        <v>38</v>
      </c>
    </row>
    <row r="618" spans="1:22" x14ac:dyDescent="0.25">
      <c r="A618" t="s">
        <v>89</v>
      </c>
      <c r="B618">
        <v>3</v>
      </c>
      <c r="C618" t="s">
        <v>90</v>
      </c>
      <c r="D618" t="s">
        <v>91</v>
      </c>
      <c r="E618" t="s">
        <v>92</v>
      </c>
      <c r="F618">
        <v>150</v>
      </c>
      <c r="G618">
        <v>1300</v>
      </c>
      <c r="H618">
        <v>-2</v>
      </c>
      <c r="I618">
        <v>1983</v>
      </c>
      <c r="J618" t="s">
        <v>59</v>
      </c>
      <c r="K618">
        <v>2548</v>
      </c>
      <c r="L618">
        <v>26.51</v>
      </c>
      <c r="M618">
        <v>7.66</v>
      </c>
      <c r="N618" s="4">
        <f t="shared" si="18"/>
        <v>5.5168237850000003E-2</v>
      </c>
      <c r="O618" s="4">
        <f t="shared" si="19"/>
        <v>0.42258870193100001</v>
      </c>
      <c r="P618">
        <v>10</v>
      </c>
      <c r="Q618">
        <v>2.5</v>
      </c>
      <c r="R618">
        <v>3</v>
      </c>
      <c r="S618">
        <v>3</v>
      </c>
      <c r="T618">
        <v>3</v>
      </c>
      <c r="U618">
        <v>3</v>
      </c>
      <c r="V618" t="s">
        <v>38</v>
      </c>
    </row>
    <row r="619" spans="1:22" x14ac:dyDescent="0.25">
      <c r="A619" t="s">
        <v>89</v>
      </c>
      <c r="B619">
        <v>3</v>
      </c>
      <c r="C619" t="s">
        <v>90</v>
      </c>
      <c r="D619" t="s">
        <v>91</v>
      </c>
      <c r="E619" t="s">
        <v>92</v>
      </c>
      <c r="F619">
        <v>150</v>
      </c>
      <c r="G619">
        <v>1300</v>
      </c>
      <c r="H619">
        <v>-2</v>
      </c>
      <c r="I619">
        <v>1983</v>
      </c>
      <c r="J619" t="s">
        <v>26</v>
      </c>
      <c r="K619">
        <v>2552</v>
      </c>
      <c r="L619">
        <v>14.24</v>
      </c>
      <c r="M619">
        <v>7.12</v>
      </c>
      <c r="N619" s="4">
        <f t="shared" si="18"/>
        <v>1.5918041599999998E-2</v>
      </c>
      <c r="O619" s="4">
        <f t="shared" si="19"/>
        <v>0.11333645619199999</v>
      </c>
      <c r="P619">
        <v>10</v>
      </c>
      <c r="Q619">
        <v>2</v>
      </c>
      <c r="R619">
        <v>3</v>
      </c>
      <c r="S619">
        <v>3</v>
      </c>
      <c r="T619">
        <v>4</v>
      </c>
      <c r="U619">
        <v>4</v>
      </c>
      <c r="V619" t="s">
        <v>30</v>
      </c>
    </row>
    <row r="620" spans="1:22" x14ac:dyDescent="0.25">
      <c r="A620" t="s">
        <v>89</v>
      </c>
      <c r="B620">
        <v>3</v>
      </c>
      <c r="C620" t="s">
        <v>90</v>
      </c>
      <c r="D620" t="s">
        <v>91</v>
      </c>
      <c r="E620" t="s">
        <v>92</v>
      </c>
      <c r="F620">
        <v>150</v>
      </c>
      <c r="G620">
        <v>1300</v>
      </c>
      <c r="H620">
        <v>-2</v>
      </c>
      <c r="I620">
        <v>1983</v>
      </c>
      <c r="J620" t="s">
        <v>33</v>
      </c>
      <c r="K620">
        <v>2547</v>
      </c>
      <c r="L620">
        <v>42.95</v>
      </c>
      <c r="M620">
        <v>13.91</v>
      </c>
      <c r="N620" s="4">
        <f t="shared" si="18"/>
        <v>0.14480914625000002</v>
      </c>
      <c r="O620" s="4">
        <f t="shared" si="19"/>
        <v>2.0142952243375003</v>
      </c>
      <c r="P620">
        <v>50</v>
      </c>
      <c r="Q620">
        <v>4.2</v>
      </c>
      <c r="R620">
        <v>2.8</v>
      </c>
      <c r="S620">
        <v>2</v>
      </c>
      <c r="T620">
        <v>2.5</v>
      </c>
      <c r="U620">
        <v>1.7</v>
      </c>
      <c r="V620" t="s">
        <v>25</v>
      </c>
    </row>
    <row r="621" spans="1:22" x14ac:dyDescent="0.25">
      <c r="A621" t="s">
        <v>89</v>
      </c>
      <c r="B621">
        <v>3</v>
      </c>
      <c r="C621" t="s">
        <v>90</v>
      </c>
      <c r="D621" t="s">
        <v>91</v>
      </c>
      <c r="E621" t="s">
        <v>92</v>
      </c>
      <c r="F621">
        <v>150</v>
      </c>
      <c r="G621">
        <v>1300</v>
      </c>
      <c r="H621">
        <v>-2</v>
      </c>
      <c r="I621">
        <v>1983</v>
      </c>
      <c r="J621" t="s">
        <v>33</v>
      </c>
      <c r="K621">
        <v>2568</v>
      </c>
      <c r="L621">
        <v>40.08</v>
      </c>
      <c r="M621">
        <v>12.27</v>
      </c>
      <c r="N621" s="4">
        <f t="shared" si="18"/>
        <v>0.12610290239999999</v>
      </c>
      <c r="O621" s="4">
        <f t="shared" si="19"/>
        <v>1.5472826124479999</v>
      </c>
      <c r="P621">
        <v>50</v>
      </c>
      <c r="Q621">
        <v>4.0999999999999996</v>
      </c>
      <c r="R621">
        <v>2.5</v>
      </c>
      <c r="S621">
        <v>2.2999999999999998</v>
      </c>
      <c r="T621">
        <v>2.6</v>
      </c>
      <c r="U621">
        <v>1.7</v>
      </c>
      <c r="V621" t="s">
        <v>25</v>
      </c>
    </row>
    <row r="622" spans="1:22" x14ac:dyDescent="0.25">
      <c r="A622" t="s">
        <v>89</v>
      </c>
      <c r="B622">
        <v>3</v>
      </c>
      <c r="C622" t="s">
        <v>90</v>
      </c>
      <c r="D622" t="s">
        <v>91</v>
      </c>
      <c r="E622" t="s">
        <v>92</v>
      </c>
      <c r="F622">
        <v>150</v>
      </c>
      <c r="G622">
        <v>1300</v>
      </c>
      <c r="H622">
        <v>-2</v>
      </c>
      <c r="I622">
        <v>1983</v>
      </c>
      <c r="J622" t="s">
        <v>32</v>
      </c>
      <c r="K622">
        <v>1596</v>
      </c>
      <c r="L622">
        <v>33.81</v>
      </c>
      <c r="M622">
        <v>10.93</v>
      </c>
      <c r="N622" s="4">
        <f t="shared" si="18"/>
        <v>8.9734613850000006E-2</v>
      </c>
      <c r="O622" s="4">
        <f t="shared" si="19"/>
        <v>0.98079932938050007</v>
      </c>
      <c r="P622">
        <v>10</v>
      </c>
      <c r="Q622">
        <v>3.3</v>
      </c>
      <c r="R622">
        <v>4</v>
      </c>
      <c r="S622">
        <v>3.3</v>
      </c>
      <c r="T622">
        <v>4</v>
      </c>
      <c r="U622">
        <v>2.7</v>
      </c>
      <c r="V622" t="s">
        <v>25</v>
      </c>
    </row>
    <row r="623" spans="1:22" x14ac:dyDescent="0.25">
      <c r="A623" t="s">
        <v>89</v>
      </c>
      <c r="B623">
        <v>3</v>
      </c>
      <c r="C623" t="s">
        <v>90</v>
      </c>
      <c r="D623" t="s">
        <v>91</v>
      </c>
      <c r="E623" t="s">
        <v>92</v>
      </c>
      <c r="F623">
        <v>150</v>
      </c>
      <c r="G623">
        <v>1300</v>
      </c>
      <c r="H623">
        <v>-2</v>
      </c>
      <c r="I623">
        <v>1983</v>
      </c>
      <c r="J623" t="s">
        <v>32</v>
      </c>
      <c r="K623">
        <v>2569</v>
      </c>
      <c r="L623">
        <v>31.33</v>
      </c>
      <c r="M623">
        <v>10.199999999999999</v>
      </c>
      <c r="N623" s="4">
        <f t="shared" si="18"/>
        <v>7.7053158649999995E-2</v>
      </c>
      <c r="O623" s="4">
        <f t="shared" si="19"/>
        <v>0.78594221822999988</v>
      </c>
      <c r="P623">
        <v>10</v>
      </c>
      <c r="Q623">
        <v>3.5</v>
      </c>
      <c r="R623">
        <v>4</v>
      </c>
      <c r="S623">
        <v>3</v>
      </c>
      <c r="T623">
        <v>4</v>
      </c>
      <c r="U623">
        <v>3</v>
      </c>
      <c r="V623" t="s">
        <v>27</v>
      </c>
    </row>
    <row r="624" spans="1:22" x14ac:dyDescent="0.25">
      <c r="A624" t="s">
        <v>89</v>
      </c>
      <c r="B624">
        <v>3</v>
      </c>
      <c r="C624" t="s">
        <v>90</v>
      </c>
      <c r="D624" t="s">
        <v>91</v>
      </c>
      <c r="E624" t="s">
        <v>92</v>
      </c>
      <c r="F624">
        <v>150</v>
      </c>
      <c r="G624">
        <v>1300</v>
      </c>
      <c r="H624">
        <v>-2</v>
      </c>
      <c r="I624">
        <v>1983</v>
      </c>
      <c r="J624" t="s">
        <v>32</v>
      </c>
      <c r="K624">
        <v>2634</v>
      </c>
      <c r="L624">
        <v>40.22</v>
      </c>
      <c r="M624">
        <v>18.22</v>
      </c>
      <c r="N624" s="4">
        <f t="shared" si="18"/>
        <v>0.1269853994</v>
      </c>
      <c r="O624" s="4">
        <f t="shared" si="19"/>
        <v>2.3136739770679999</v>
      </c>
      <c r="P624">
        <v>10</v>
      </c>
      <c r="Q624">
        <v>4</v>
      </c>
      <c r="R624">
        <v>4.5</v>
      </c>
      <c r="S624">
        <v>3</v>
      </c>
      <c r="T624">
        <v>3.5</v>
      </c>
      <c r="U624">
        <v>2</v>
      </c>
      <c r="V624" t="s">
        <v>25</v>
      </c>
    </row>
    <row r="625" spans="1:22" x14ac:dyDescent="0.25">
      <c r="A625" t="s">
        <v>89</v>
      </c>
      <c r="B625">
        <v>3</v>
      </c>
      <c r="C625" t="s">
        <v>90</v>
      </c>
      <c r="D625" t="s">
        <v>91</v>
      </c>
      <c r="E625" t="s">
        <v>92</v>
      </c>
      <c r="F625">
        <v>150</v>
      </c>
      <c r="G625">
        <v>1300</v>
      </c>
      <c r="H625">
        <v>-2</v>
      </c>
      <c r="I625">
        <v>1983</v>
      </c>
      <c r="J625" t="s">
        <v>32</v>
      </c>
      <c r="K625">
        <v>2635</v>
      </c>
      <c r="L625">
        <v>30.75</v>
      </c>
      <c r="M625">
        <v>14.57</v>
      </c>
      <c r="N625" s="4">
        <f t="shared" si="18"/>
        <v>7.4226656249999995E-2</v>
      </c>
      <c r="O625" s="4">
        <f t="shared" si="19"/>
        <v>1.0814823815624999</v>
      </c>
      <c r="P625">
        <v>20</v>
      </c>
      <c r="Q625">
        <v>3.8</v>
      </c>
      <c r="R625">
        <v>4</v>
      </c>
      <c r="S625">
        <v>3.5</v>
      </c>
      <c r="T625">
        <v>4</v>
      </c>
      <c r="U625">
        <v>2.9</v>
      </c>
      <c r="V625" t="s">
        <v>25</v>
      </c>
    </row>
    <row r="626" spans="1:22" x14ac:dyDescent="0.25">
      <c r="A626" t="s">
        <v>89</v>
      </c>
      <c r="B626">
        <v>3</v>
      </c>
      <c r="C626" t="s">
        <v>90</v>
      </c>
      <c r="D626" t="s">
        <v>91</v>
      </c>
      <c r="E626" t="s">
        <v>92</v>
      </c>
      <c r="F626">
        <v>150</v>
      </c>
      <c r="G626">
        <v>1300</v>
      </c>
      <c r="H626">
        <v>-2</v>
      </c>
      <c r="I626">
        <v>1983</v>
      </c>
      <c r="J626" t="s">
        <v>34</v>
      </c>
      <c r="K626">
        <v>2570</v>
      </c>
      <c r="L626">
        <v>35.4</v>
      </c>
      <c r="M626">
        <v>14.05</v>
      </c>
      <c r="N626" s="4">
        <f t="shared" si="18"/>
        <v>9.8373059999999984E-2</v>
      </c>
      <c r="O626" s="4">
        <f t="shared" si="19"/>
        <v>1.3821414929999998</v>
      </c>
      <c r="P626">
        <v>10</v>
      </c>
      <c r="Q626">
        <v>3</v>
      </c>
      <c r="R626">
        <v>3</v>
      </c>
      <c r="S626">
        <v>3.3</v>
      </c>
      <c r="T626">
        <v>3.5</v>
      </c>
      <c r="U626">
        <v>3</v>
      </c>
      <c r="V626" t="s">
        <v>27</v>
      </c>
    </row>
    <row r="627" spans="1:22" x14ac:dyDescent="0.25">
      <c r="A627" t="s">
        <v>89</v>
      </c>
      <c r="B627">
        <v>3</v>
      </c>
      <c r="C627" t="s">
        <v>90</v>
      </c>
      <c r="D627" t="s">
        <v>91</v>
      </c>
      <c r="E627" t="s">
        <v>92</v>
      </c>
      <c r="F627">
        <v>150</v>
      </c>
      <c r="G627">
        <v>1300</v>
      </c>
      <c r="H627">
        <v>-2</v>
      </c>
      <c r="I627">
        <v>1983</v>
      </c>
      <c r="J627" t="s">
        <v>34</v>
      </c>
      <c r="K627">
        <v>1522</v>
      </c>
      <c r="L627">
        <v>42.43</v>
      </c>
      <c r="M627">
        <v>13.35</v>
      </c>
      <c r="N627" s="4">
        <f t="shared" si="18"/>
        <v>0.14132393465000001</v>
      </c>
      <c r="O627" s="4">
        <f t="shared" si="19"/>
        <v>1.8866745275775001</v>
      </c>
      <c r="P627">
        <v>40</v>
      </c>
      <c r="Q627">
        <v>4</v>
      </c>
      <c r="R627">
        <v>3.4</v>
      </c>
      <c r="S627">
        <v>3</v>
      </c>
      <c r="T627">
        <v>3.5</v>
      </c>
      <c r="U627">
        <v>2.1</v>
      </c>
      <c r="V627" t="s">
        <v>27</v>
      </c>
    </row>
    <row r="628" spans="1:22" x14ac:dyDescent="0.25">
      <c r="A628" t="s">
        <v>89</v>
      </c>
      <c r="B628">
        <v>3</v>
      </c>
      <c r="C628" t="s">
        <v>90</v>
      </c>
      <c r="D628" t="s">
        <v>91</v>
      </c>
      <c r="E628" t="s">
        <v>92</v>
      </c>
      <c r="F628">
        <v>150</v>
      </c>
      <c r="G628">
        <v>1300</v>
      </c>
      <c r="H628">
        <v>-2</v>
      </c>
      <c r="I628">
        <v>1983</v>
      </c>
      <c r="J628" t="s">
        <v>35</v>
      </c>
      <c r="K628">
        <v>1788</v>
      </c>
      <c r="L628">
        <v>17.329999999999998</v>
      </c>
      <c r="M628">
        <v>8.32</v>
      </c>
      <c r="N628" s="4">
        <f t="shared" si="18"/>
        <v>2.3575818649999997E-2</v>
      </c>
      <c r="O628" s="4">
        <f t="shared" si="19"/>
        <v>0.19615081116799998</v>
      </c>
      <c r="P628">
        <v>40</v>
      </c>
      <c r="Q628">
        <v>1.9</v>
      </c>
      <c r="R628">
        <v>2.1</v>
      </c>
      <c r="S628">
        <v>2.5</v>
      </c>
      <c r="T628">
        <v>3</v>
      </c>
      <c r="U628">
        <v>2.8</v>
      </c>
      <c r="V628" t="s">
        <v>30</v>
      </c>
    </row>
    <row r="629" spans="1:22" x14ac:dyDescent="0.25">
      <c r="A629" t="s">
        <v>89</v>
      </c>
      <c r="B629">
        <v>3</v>
      </c>
      <c r="C629" t="s">
        <v>90</v>
      </c>
      <c r="D629" t="s">
        <v>91</v>
      </c>
      <c r="E629" t="s">
        <v>92</v>
      </c>
      <c r="F629">
        <v>150</v>
      </c>
      <c r="G629">
        <v>1300</v>
      </c>
      <c r="H629">
        <v>-2</v>
      </c>
      <c r="I629">
        <v>1983</v>
      </c>
      <c r="J629" t="s">
        <v>35</v>
      </c>
      <c r="K629">
        <v>2571</v>
      </c>
      <c r="L629">
        <v>41.87</v>
      </c>
      <c r="M629">
        <v>15.25</v>
      </c>
      <c r="N629" s="4">
        <f t="shared" si="18"/>
        <v>0.13761810664999999</v>
      </c>
      <c r="O629" s="4">
        <f t="shared" si="19"/>
        <v>2.0986761264124998</v>
      </c>
      <c r="P629">
        <v>30</v>
      </c>
      <c r="Q629">
        <v>4.2</v>
      </c>
      <c r="R629">
        <v>2.8</v>
      </c>
      <c r="S629">
        <v>2.6</v>
      </c>
      <c r="T629">
        <v>3.3</v>
      </c>
      <c r="U629">
        <v>2.2000000000000002</v>
      </c>
      <c r="V629" t="s">
        <v>25</v>
      </c>
    </row>
    <row r="630" spans="1:22" x14ac:dyDescent="0.25">
      <c r="A630" t="s">
        <v>89</v>
      </c>
      <c r="B630">
        <v>3</v>
      </c>
      <c r="C630" t="s">
        <v>90</v>
      </c>
      <c r="D630" t="s">
        <v>91</v>
      </c>
      <c r="E630" t="s">
        <v>92</v>
      </c>
      <c r="F630">
        <v>150</v>
      </c>
      <c r="G630">
        <v>1300</v>
      </c>
      <c r="H630">
        <v>-2</v>
      </c>
      <c r="I630">
        <v>1983</v>
      </c>
      <c r="J630" t="s">
        <v>62</v>
      </c>
      <c r="K630">
        <v>2550</v>
      </c>
      <c r="L630">
        <v>9.99</v>
      </c>
      <c r="M630">
        <v>5.33</v>
      </c>
      <c r="N630" s="4">
        <f t="shared" si="18"/>
        <v>7.8343078500000014E-3</v>
      </c>
      <c r="O630" s="4">
        <f t="shared" si="19"/>
        <v>4.175686084050001E-2</v>
      </c>
      <c r="P630">
        <v>10</v>
      </c>
      <c r="Q630">
        <v>1.5</v>
      </c>
      <c r="R630">
        <v>2.5</v>
      </c>
      <c r="S630">
        <v>3</v>
      </c>
      <c r="T630">
        <v>3</v>
      </c>
      <c r="U630">
        <v>3</v>
      </c>
      <c r="V630" t="s">
        <v>50</v>
      </c>
    </row>
    <row r="631" spans="1:22" x14ac:dyDescent="0.25">
      <c r="A631" t="s">
        <v>93</v>
      </c>
      <c r="B631">
        <v>1</v>
      </c>
      <c r="C631" t="s">
        <v>66</v>
      </c>
      <c r="D631" t="s">
        <v>67</v>
      </c>
      <c r="E631" t="s">
        <v>68</v>
      </c>
      <c r="F631">
        <v>180</v>
      </c>
      <c r="G631">
        <v>1080</v>
      </c>
      <c r="H631">
        <v>-3</v>
      </c>
      <c r="I631">
        <v>1981</v>
      </c>
      <c r="J631" t="s">
        <v>56</v>
      </c>
      <c r="K631">
        <v>1111</v>
      </c>
      <c r="L631">
        <v>2.84</v>
      </c>
      <c r="M631">
        <v>3.41</v>
      </c>
      <c r="N631" s="4">
        <f t="shared" si="18"/>
        <v>6.3314959999999994E-4</v>
      </c>
      <c r="O631" s="4">
        <f t="shared" si="19"/>
        <v>2.159040136E-3</v>
      </c>
      <c r="P631">
        <v>3</v>
      </c>
      <c r="Q631">
        <v>1</v>
      </c>
      <c r="R631">
        <v>2</v>
      </c>
      <c r="S631">
        <v>3</v>
      </c>
      <c r="T631">
        <v>3</v>
      </c>
      <c r="U631">
        <v>3</v>
      </c>
      <c r="V631" t="s">
        <v>50</v>
      </c>
    </row>
    <row r="632" spans="1:22" x14ac:dyDescent="0.25">
      <c r="A632" t="s">
        <v>93</v>
      </c>
      <c r="B632">
        <v>1</v>
      </c>
      <c r="C632" t="s">
        <v>66</v>
      </c>
      <c r="D632" t="s">
        <v>67</v>
      </c>
      <c r="E632" t="s">
        <v>68</v>
      </c>
      <c r="F632">
        <v>180</v>
      </c>
      <c r="G632">
        <v>1080</v>
      </c>
      <c r="H632">
        <v>-3</v>
      </c>
      <c r="I632">
        <v>1981</v>
      </c>
      <c r="J632" t="s">
        <v>24</v>
      </c>
      <c r="K632">
        <v>2562</v>
      </c>
      <c r="L632">
        <v>7.99</v>
      </c>
      <c r="M632">
        <v>5.49</v>
      </c>
      <c r="N632" s="4">
        <f t="shared" si="18"/>
        <v>5.0114478499999997E-3</v>
      </c>
      <c r="O632" s="4">
        <f t="shared" si="19"/>
        <v>2.75128486965E-2</v>
      </c>
      <c r="P632">
        <v>17</v>
      </c>
      <c r="Q632">
        <v>2</v>
      </c>
      <c r="R632">
        <v>3</v>
      </c>
      <c r="S632">
        <v>2.5</v>
      </c>
      <c r="T632">
        <v>3.3</v>
      </c>
      <c r="U632">
        <v>3</v>
      </c>
      <c r="V632" t="s">
        <v>30</v>
      </c>
    </row>
    <row r="633" spans="1:22" x14ac:dyDescent="0.25">
      <c r="A633" t="s">
        <v>93</v>
      </c>
      <c r="B633">
        <v>1</v>
      </c>
      <c r="C633" t="s">
        <v>66</v>
      </c>
      <c r="D633" t="s">
        <v>67</v>
      </c>
      <c r="E633" t="s">
        <v>68</v>
      </c>
      <c r="F633">
        <v>180</v>
      </c>
      <c r="G633">
        <v>1080</v>
      </c>
      <c r="H633">
        <v>-3</v>
      </c>
      <c r="I633">
        <v>1981</v>
      </c>
      <c r="J633" t="s">
        <v>59</v>
      </c>
      <c r="K633">
        <v>2426</v>
      </c>
      <c r="L633">
        <v>8.3000000000000007</v>
      </c>
      <c r="M633">
        <v>5.93</v>
      </c>
      <c r="N633" s="4">
        <f t="shared" si="18"/>
        <v>5.4078650000000013E-3</v>
      </c>
      <c r="O633" s="4">
        <f t="shared" si="19"/>
        <v>3.2068639450000005E-2</v>
      </c>
      <c r="P633">
        <v>4</v>
      </c>
      <c r="Q633">
        <v>2</v>
      </c>
      <c r="R633">
        <v>3.5</v>
      </c>
      <c r="S633">
        <v>3</v>
      </c>
      <c r="T633">
        <v>3</v>
      </c>
      <c r="U633">
        <v>3</v>
      </c>
      <c r="V633" t="s">
        <v>50</v>
      </c>
    </row>
    <row r="634" spans="1:22" x14ac:dyDescent="0.25">
      <c r="A634" t="s">
        <v>93</v>
      </c>
      <c r="B634">
        <v>1</v>
      </c>
      <c r="C634" t="s">
        <v>66</v>
      </c>
      <c r="D634" t="s">
        <v>67</v>
      </c>
      <c r="E634" t="s">
        <v>68</v>
      </c>
      <c r="F634">
        <v>180</v>
      </c>
      <c r="G634">
        <v>1080</v>
      </c>
      <c r="H634">
        <v>-3</v>
      </c>
      <c r="I634">
        <v>1981</v>
      </c>
      <c r="J634" t="s">
        <v>59</v>
      </c>
      <c r="K634">
        <v>2548</v>
      </c>
      <c r="L634">
        <v>15.58</v>
      </c>
      <c r="M634">
        <v>8.06</v>
      </c>
      <c r="N634" s="4">
        <f t="shared" si="18"/>
        <v>1.9054807399999998E-2</v>
      </c>
      <c r="O634" s="4">
        <f t="shared" si="19"/>
        <v>0.15358174764399998</v>
      </c>
      <c r="P634">
        <v>27</v>
      </c>
      <c r="Q634">
        <v>3</v>
      </c>
      <c r="R634">
        <v>3.5</v>
      </c>
      <c r="S634">
        <v>3</v>
      </c>
      <c r="T634">
        <v>2.5</v>
      </c>
      <c r="U634">
        <v>3</v>
      </c>
      <c r="V634" t="s">
        <v>38</v>
      </c>
    </row>
    <row r="635" spans="1:22" x14ac:dyDescent="0.25">
      <c r="A635" t="s">
        <v>93</v>
      </c>
      <c r="B635">
        <v>1</v>
      </c>
      <c r="C635" t="s">
        <v>66</v>
      </c>
      <c r="D635" t="s">
        <v>67</v>
      </c>
      <c r="E635" t="s">
        <v>68</v>
      </c>
      <c r="F635">
        <v>180</v>
      </c>
      <c r="G635">
        <v>1080</v>
      </c>
      <c r="H635">
        <v>-3</v>
      </c>
      <c r="I635">
        <v>1981</v>
      </c>
      <c r="J635" t="s">
        <v>32</v>
      </c>
      <c r="K635">
        <v>1596</v>
      </c>
      <c r="L635">
        <v>4.5599999999999996</v>
      </c>
      <c r="M635">
        <v>3.58</v>
      </c>
      <c r="N635" s="4">
        <f t="shared" si="18"/>
        <v>1.6322975999999998E-3</v>
      </c>
      <c r="O635" s="4">
        <f t="shared" si="19"/>
        <v>5.8436254079999991E-3</v>
      </c>
      <c r="P635">
        <v>13</v>
      </c>
      <c r="Q635">
        <v>2</v>
      </c>
      <c r="R635">
        <v>3</v>
      </c>
      <c r="S635">
        <v>2</v>
      </c>
      <c r="T635">
        <v>3</v>
      </c>
      <c r="U635">
        <v>3</v>
      </c>
      <c r="V635" t="s">
        <v>50</v>
      </c>
    </row>
    <row r="636" spans="1:22" x14ac:dyDescent="0.25">
      <c r="A636" t="s">
        <v>93</v>
      </c>
      <c r="B636">
        <v>1</v>
      </c>
      <c r="C636" t="s">
        <v>66</v>
      </c>
      <c r="D636" t="s">
        <v>67</v>
      </c>
      <c r="E636" t="s">
        <v>68</v>
      </c>
      <c r="F636">
        <v>180</v>
      </c>
      <c r="G636">
        <v>1080</v>
      </c>
      <c r="H636">
        <v>-3</v>
      </c>
      <c r="I636">
        <v>1981</v>
      </c>
      <c r="J636" t="s">
        <v>32</v>
      </c>
      <c r="K636">
        <v>2634</v>
      </c>
      <c r="L636">
        <v>5.43</v>
      </c>
      <c r="M636">
        <v>4.4400000000000004</v>
      </c>
      <c r="N636" s="4">
        <f t="shared" si="18"/>
        <v>2.3145646499999994E-3</v>
      </c>
      <c r="O636" s="4">
        <f t="shared" si="19"/>
        <v>1.0276667045999999E-2</v>
      </c>
      <c r="P636">
        <v>9</v>
      </c>
      <c r="Q636">
        <v>1</v>
      </c>
      <c r="R636">
        <v>2</v>
      </c>
      <c r="S636">
        <v>2</v>
      </c>
      <c r="T636">
        <v>3</v>
      </c>
      <c r="U636">
        <v>3</v>
      </c>
      <c r="V636" t="s">
        <v>50</v>
      </c>
    </row>
    <row r="637" spans="1:22" x14ac:dyDescent="0.25">
      <c r="A637" t="s">
        <v>93</v>
      </c>
      <c r="B637">
        <v>1</v>
      </c>
      <c r="C637" t="s">
        <v>66</v>
      </c>
      <c r="D637" t="s">
        <v>67</v>
      </c>
      <c r="E637" t="s">
        <v>68</v>
      </c>
      <c r="F637">
        <v>180</v>
      </c>
      <c r="G637">
        <v>1080</v>
      </c>
      <c r="H637">
        <v>-3</v>
      </c>
      <c r="I637">
        <v>1981</v>
      </c>
      <c r="J637" t="s">
        <v>35</v>
      </c>
      <c r="K637">
        <v>1788</v>
      </c>
      <c r="L637">
        <v>13.07</v>
      </c>
      <c r="M637">
        <v>8.1199999999999992</v>
      </c>
      <c r="N637" s="4">
        <f t="shared" si="18"/>
        <v>1.3409754650000003E-2</v>
      </c>
      <c r="O637" s="4">
        <f t="shared" si="19"/>
        <v>0.10888720775800001</v>
      </c>
      <c r="P637">
        <v>14</v>
      </c>
      <c r="Q637">
        <v>1.5</v>
      </c>
      <c r="R637">
        <v>1.5</v>
      </c>
      <c r="S637">
        <v>2</v>
      </c>
      <c r="T637">
        <v>3</v>
      </c>
      <c r="U637">
        <v>3</v>
      </c>
      <c r="V637" t="s">
        <v>30</v>
      </c>
    </row>
    <row r="638" spans="1:22" x14ac:dyDescent="0.25">
      <c r="A638" t="s">
        <v>93</v>
      </c>
      <c r="B638">
        <v>1</v>
      </c>
      <c r="C638" t="s">
        <v>66</v>
      </c>
      <c r="D638" t="s">
        <v>67</v>
      </c>
      <c r="E638" t="s">
        <v>68</v>
      </c>
      <c r="F638">
        <v>180</v>
      </c>
      <c r="G638">
        <v>1080</v>
      </c>
      <c r="H638">
        <v>-3</v>
      </c>
      <c r="I638">
        <v>1981</v>
      </c>
      <c r="J638" t="s">
        <v>35</v>
      </c>
      <c r="K638">
        <v>2571</v>
      </c>
      <c r="L638">
        <v>23.55</v>
      </c>
      <c r="M638">
        <v>14.36</v>
      </c>
      <c r="N638" s="4">
        <f t="shared" si="18"/>
        <v>4.3536296250000009E-2</v>
      </c>
      <c r="O638" s="4">
        <f t="shared" si="19"/>
        <v>0.62518121415000005</v>
      </c>
      <c r="P638">
        <v>37</v>
      </c>
      <c r="Q638">
        <v>4</v>
      </c>
      <c r="R638">
        <v>2</v>
      </c>
      <c r="S638">
        <v>3</v>
      </c>
      <c r="T638">
        <v>3.5</v>
      </c>
      <c r="U638">
        <v>2</v>
      </c>
      <c r="V638" t="s">
        <v>27</v>
      </c>
    </row>
    <row r="639" spans="1:22" x14ac:dyDescent="0.25">
      <c r="A639" t="s">
        <v>93</v>
      </c>
      <c r="B639">
        <v>1</v>
      </c>
      <c r="C639" t="s">
        <v>66</v>
      </c>
      <c r="D639" t="s">
        <v>67</v>
      </c>
      <c r="E639" t="s">
        <v>68</v>
      </c>
      <c r="F639">
        <v>180</v>
      </c>
      <c r="G639">
        <v>1080</v>
      </c>
      <c r="H639">
        <v>-3</v>
      </c>
      <c r="I639">
        <v>1981</v>
      </c>
      <c r="J639" t="s">
        <v>35</v>
      </c>
      <c r="K639">
        <v>2622</v>
      </c>
      <c r="L639">
        <v>16.25</v>
      </c>
      <c r="M639">
        <v>9.77</v>
      </c>
      <c r="N639" s="4">
        <f t="shared" si="18"/>
        <v>2.0728906250000002E-2</v>
      </c>
      <c r="O639" s="4">
        <f t="shared" si="19"/>
        <v>0.20252141406250002</v>
      </c>
      <c r="P639">
        <v>85</v>
      </c>
      <c r="Q639">
        <v>4</v>
      </c>
      <c r="R639">
        <v>2</v>
      </c>
      <c r="S639">
        <v>2.5</v>
      </c>
      <c r="T639">
        <v>4</v>
      </c>
      <c r="U639">
        <v>2.5</v>
      </c>
      <c r="V639" t="s">
        <v>27</v>
      </c>
    </row>
    <row r="640" spans="1:22" x14ac:dyDescent="0.25">
      <c r="A640" t="s">
        <v>93</v>
      </c>
      <c r="B640">
        <v>1</v>
      </c>
      <c r="C640" t="s">
        <v>66</v>
      </c>
      <c r="D640" t="s">
        <v>67</v>
      </c>
      <c r="E640" t="s">
        <v>68</v>
      </c>
      <c r="F640">
        <v>180</v>
      </c>
      <c r="G640">
        <v>1080</v>
      </c>
      <c r="H640">
        <v>-3</v>
      </c>
      <c r="I640">
        <v>1981</v>
      </c>
      <c r="J640" t="s">
        <v>62</v>
      </c>
      <c r="K640">
        <v>2431</v>
      </c>
      <c r="L640">
        <v>17.079999999999998</v>
      </c>
      <c r="M640">
        <v>10.25</v>
      </c>
      <c r="N640" s="4">
        <f t="shared" si="18"/>
        <v>2.2900522399999994E-2</v>
      </c>
      <c r="O640" s="4">
        <f t="shared" si="19"/>
        <v>0.23473035459999994</v>
      </c>
      <c r="P640">
        <v>7</v>
      </c>
      <c r="Q640">
        <v>2.5</v>
      </c>
      <c r="R640">
        <v>3</v>
      </c>
      <c r="S640">
        <v>3</v>
      </c>
      <c r="T640">
        <v>3.5</v>
      </c>
      <c r="U640">
        <v>3</v>
      </c>
      <c r="V640" t="s">
        <v>30</v>
      </c>
    </row>
    <row r="641" spans="1:22" x14ac:dyDescent="0.25">
      <c r="A641" t="s">
        <v>93</v>
      </c>
      <c r="B641">
        <v>1</v>
      </c>
      <c r="C641" t="s">
        <v>66</v>
      </c>
      <c r="D641" t="s">
        <v>67</v>
      </c>
      <c r="E641" t="s">
        <v>68</v>
      </c>
      <c r="F641">
        <v>180</v>
      </c>
      <c r="G641">
        <v>1080</v>
      </c>
      <c r="H641">
        <v>-3</v>
      </c>
      <c r="I641">
        <v>1981</v>
      </c>
      <c r="J641" t="s">
        <v>62</v>
      </c>
      <c r="K641">
        <v>2553</v>
      </c>
      <c r="L641">
        <v>14.69</v>
      </c>
      <c r="M641">
        <v>9.68</v>
      </c>
      <c r="N641" s="4">
        <f t="shared" si="18"/>
        <v>1.6939993850000001E-2</v>
      </c>
      <c r="O641" s="4">
        <f t="shared" si="19"/>
        <v>0.163979140468</v>
      </c>
      <c r="P641">
        <v>21</v>
      </c>
      <c r="Q641">
        <v>3</v>
      </c>
      <c r="R641">
        <v>3</v>
      </c>
      <c r="S641">
        <v>3.3</v>
      </c>
      <c r="T641">
        <v>3.5</v>
      </c>
      <c r="U641">
        <v>3.3</v>
      </c>
      <c r="V641" t="s">
        <v>38</v>
      </c>
    </row>
    <row r="642" spans="1:22" x14ac:dyDescent="0.25">
      <c r="A642" t="s">
        <v>93</v>
      </c>
      <c r="B642">
        <v>1</v>
      </c>
      <c r="C642" t="s">
        <v>66</v>
      </c>
      <c r="D642" t="s">
        <v>67</v>
      </c>
      <c r="E642" t="s">
        <v>68</v>
      </c>
      <c r="F642">
        <v>180</v>
      </c>
      <c r="G642">
        <v>1080</v>
      </c>
      <c r="H642">
        <v>-3</v>
      </c>
      <c r="I642">
        <v>1981</v>
      </c>
      <c r="J642" t="s">
        <v>62</v>
      </c>
      <c r="K642">
        <v>2574</v>
      </c>
      <c r="L642">
        <v>11.62</v>
      </c>
      <c r="M642">
        <v>7.4</v>
      </c>
      <c r="N642" s="4">
        <f t="shared" si="18"/>
        <v>1.0599415399999999E-2</v>
      </c>
      <c r="O642" s="4">
        <f t="shared" si="19"/>
        <v>7.8435673959999994E-2</v>
      </c>
      <c r="P642">
        <v>33</v>
      </c>
      <c r="Q642">
        <v>3</v>
      </c>
      <c r="R642">
        <v>3</v>
      </c>
      <c r="S642">
        <v>3.5</v>
      </c>
      <c r="T642">
        <v>3.5</v>
      </c>
      <c r="U642">
        <v>3.3</v>
      </c>
      <c r="V642" t="s">
        <v>38</v>
      </c>
    </row>
    <row r="643" spans="1:22" x14ac:dyDescent="0.25">
      <c r="A643" t="s">
        <v>93</v>
      </c>
      <c r="B643">
        <v>1</v>
      </c>
      <c r="C643" t="s">
        <v>66</v>
      </c>
      <c r="D643" t="s">
        <v>67</v>
      </c>
      <c r="E643" t="s">
        <v>68</v>
      </c>
      <c r="F643">
        <v>180</v>
      </c>
      <c r="G643">
        <v>1080</v>
      </c>
      <c r="H643">
        <v>-3</v>
      </c>
      <c r="I643">
        <v>1981</v>
      </c>
      <c r="J643" t="s">
        <v>37</v>
      </c>
      <c r="K643">
        <v>2575</v>
      </c>
      <c r="L643">
        <v>9.48</v>
      </c>
      <c r="M643">
        <v>6.16</v>
      </c>
      <c r="N643" s="4">
        <f t="shared" ref="N643:N706" si="20">3.14/4*((L643/100)^2)</f>
        <v>7.054826400000002E-3</v>
      </c>
      <c r="O643" s="4">
        <f t="shared" ref="O643:O706" si="21">3.14/4*((L643/100)^2)*M643</f>
        <v>4.3457730624000011E-2</v>
      </c>
      <c r="P643">
        <v>50</v>
      </c>
      <c r="Q643">
        <v>2</v>
      </c>
      <c r="R643">
        <v>1.8</v>
      </c>
      <c r="S643">
        <v>2.5</v>
      </c>
      <c r="T643">
        <v>3</v>
      </c>
      <c r="U643">
        <v>2.5</v>
      </c>
      <c r="V643" t="s">
        <v>30</v>
      </c>
    </row>
    <row r="644" spans="1:22" x14ac:dyDescent="0.25">
      <c r="A644" t="s">
        <v>93</v>
      </c>
      <c r="B644">
        <v>1</v>
      </c>
      <c r="C644" t="s">
        <v>66</v>
      </c>
      <c r="D644" t="s">
        <v>67</v>
      </c>
      <c r="E644" t="s">
        <v>68</v>
      </c>
      <c r="F644">
        <v>180</v>
      </c>
      <c r="G644">
        <v>1080</v>
      </c>
      <c r="H644">
        <v>-3</v>
      </c>
      <c r="I644">
        <v>1981</v>
      </c>
      <c r="J644" t="s">
        <v>35</v>
      </c>
      <c r="K644">
        <v>1785</v>
      </c>
      <c r="L644">
        <v>10.24</v>
      </c>
      <c r="M644">
        <v>6.95</v>
      </c>
      <c r="N644" s="4">
        <f t="shared" si="20"/>
        <v>8.2313216000000008E-3</v>
      </c>
      <c r="O644" s="4">
        <f t="shared" si="21"/>
        <v>5.7207685120000004E-2</v>
      </c>
      <c r="P644">
        <v>46</v>
      </c>
      <c r="Q644">
        <v>2</v>
      </c>
      <c r="R644">
        <v>2</v>
      </c>
      <c r="S644">
        <v>3</v>
      </c>
      <c r="T644">
        <v>4</v>
      </c>
      <c r="U644">
        <v>3</v>
      </c>
      <c r="V644" t="s">
        <v>30</v>
      </c>
    </row>
    <row r="645" spans="1:22" x14ac:dyDescent="0.25">
      <c r="A645" t="s">
        <v>93</v>
      </c>
      <c r="B645">
        <v>3</v>
      </c>
      <c r="C645" t="s">
        <v>66</v>
      </c>
      <c r="D645" t="s">
        <v>67</v>
      </c>
      <c r="E645" t="s">
        <v>68</v>
      </c>
      <c r="F645">
        <v>180</v>
      </c>
      <c r="G645">
        <v>1080</v>
      </c>
      <c r="H645">
        <v>-3</v>
      </c>
      <c r="I645">
        <v>1981</v>
      </c>
      <c r="J645" t="s">
        <v>76</v>
      </c>
      <c r="K645">
        <v>1592</v>
      </c>
      <c r="L645">
        <v>14.22</v>
      </c>
      <c r="M645">
        <v>11.45</v>
      </c>
      <c r="N645" s="4">
        <f t="shared" si="20"/>
        <v>1.5873359399999998E-2</v>
      </c>
      <c r="O645" s="4">
        <f t="shared" si="21"/>
        <v>0.18174996512999997</v>
      </c>
      <c r="P645">
        <v>35</v>
      </c>
      <c r="Q645">
        <v>3</v>
      </c>
      <c r="R645">
        <v>3</v>
      </c>
      <c r="S645">
        <v>3</v>
      </c>
      <c r="T645">
        <v>4</v>
      </c>
      <c r="U645">
        <v>3</v>
      </c>
      <c r="V645" t="s">
        <v>25</v>
      </c>
    </row>
    <row r="646" spans="1:22" x14ac:dyDescent="0.25">
      <c r="A646" t="s">
        <v>93</v>
      </c>
      <c r="B646">
        <v>3</v>
      </c>
      <c r="C646" t="s">
        <v>66</v>
      </c>
      <c r="D646" t="s">
        <v>67</v>
      </c>
      <c r="E646" t="s">
        <v>68</v>
      </c>
      <c r="F646">
        <v>180</v>
      </c>
      <c r="G646">
        <v>1080</v>
      </c>
      <c r="H646">
        <v>-3</v>
      </c>
      <c r="I646">
        <v>1981</v>
      </c>
      <c r="J646" t="s">
        <v>76</v>
      </c>
      <c r="K646">
        <v>2560</v>
      </c>
      <c r="L646">
        <v>9.16</v>
      </c>
      <c r="M646">
        <v>7.23</v>
      </c>
      <c r="N646" s="4">
        <f t="shared" si="20"/>
        <v>6.5865896000000005E-3</v>
      </c>
      <c r="O646" s="4">
        <f t="shared" si="21"/>
        <v>4.7621042808000009E-2</v>
      </c>
      <c r="P646">
        <v>17</v>
      </c>
      <c r="Q646">
        <v>3</v>
      </c>
      <c r="R646">
        <v>4</v>
      </c>
      <c r="S646">
        <v>3</v>
      </c>
      <c r="T646">
        <v>4</v>
      </c>
      <c r="U646">
        <v>4</v>
      </c>
      <c r="V646" t="s">
        <v>38</v>
      </c>
    </row>
    <row r="647" spans="1:22" x14ac:dyDescent="0.25">
      <c r="A647" t="s">
        <v>93</v>
      </c>
      <c r="B647">
        <v>3</v>
      </c>
      <c r="C647" t="s">
        <v>66</v>
      </c>
      <c r="D647" t="s">
        <v>67</v>
      </c>
      <c r="E647" t="s">
        <v>68</v>
      </c>
      <c r="F647">
        <v>180</v>
      </c>
      <c r="G647">
        <v>1080</v>
      </c>
      <c r="H647">
        <v>-3</v>
      </c>
      <c r="I647">
        <v>1981</v>
      </c>
      <c r="J647" t="s">
        <v>56</v>
      </c>
      <c r="K647">
        <v>1111</v>
      </c>
      <c r="L647">
        <v>6.92</v>
      </c>
      <c r="M647">
        <v>4.54</v>
      </c>
      <c r="N647" s="4">
        <f t="shared" si="20"/>
        <v>3.7590823999999997E-3</v>
      </c>
      <c r="O647" s="4">
        <f t="shared" si="21"/>
        <v>1.7066234095999999E-2</v>
      </c>
      <c r="P647">
        <v>48</v>
      </c>
      <c r="Q647">
        <v>3</v>
      </c>
      <c r="R647">
        <v>3</v>
      </c>
      <c r="S647">
        <v>2.5</v>
      </c>
      <c r="T647">
        <v>2</v>
      </c>
      <c r="U647">
        <v>2</v>
      </c>
      <c r="V647" t="s">
        <v>38</v>
      </c>
    </row>
    <row r="648" spans="1:22" x14ac:dyDescent="0.25">
      <c r="A648" t="s">
        <v>93</v>
      </c>
      <c r="B648">
        <v>3</v>
      </c>
      <c r="C648" t="s">
        <v>66</v>
      </c>
      <c r="D648" t="s">
        <v>67</v>
      </c>
      <c r="E648" t="s">
        <v>68</v>
      </c>
      <c r="F648">
        <v>180</v>
      </c>
      <c r="G648">
        <v>1080</v>
      </c>
      <c r="H648">
        <v>-3</v>
      </c>
      <c r="I648">
        <v>1981</v>
      </c>
      <c r="J648" t="s">
        <v>24</v>
      </c>
      <c r="K648">
        <v>2562</v>
      </c>
      <c r="L648">
        <v>8.83</v>
      </c>
      <c r="M648">
        <v>8.6</v>
      </c>
      <c r="N648" s="4">
        <f t="shared" si="20"/>
        <v>6.1205586500000008E-3</v>
      </c>
      <c r="O648" s="4">
        <f t="shared" si="21"/>
        <v>5.2636804390000007E-2</v>
      </c>
      <c r="P648">
        <v>63</v>
      </c>
      <c r="Q648">
        <v>3</v>
      </c>
      <c r="R648">
        <v>3.5</v>
      </c>
      <c r="S648">
        <v>3.5</v>
      </c>
      <c r="T648">
        <v>3.5</v>
      </c>
      <c r="U648">
        <v>3</v>
      </c>
      <c r="V648" t="s">
        <v>38</v>
      </c>
    </row>
    <row r="649" spans="1:22" x14ac:dyDescent="0.25">
      <c r="A649" t="s">
        <v>93</v>
      </c>
      <c r="B649">
        <v>3</v>
      </c>
      <c r="C649" t="s">
        <v>66</v>
      </c>
      <c r="D649" t="s">
        <v>67</v>
      </c>
      <c r="E649" t="s">
        <v>68</v>
      </c>
      <c r="F649">
        <v>180</v>
      </c>
      <c r="G649">
        <v>1080</v>
      </c>
      <c r="H649">
        <v>-3</v>
      </c>
      <c r="I649">
        <v>1981</v>
      </c>
      <c r="J649" t="s">
        <v>59</v>
      </c>
      <c r="K649">
        <v>2426</v>
      </c>
      <c r="L649">
        <v>17.420000000000002</v>
      </c>
      <c r="M649">
        <v>9.01</v>
      </c>
      <c r="N649" s="4">
        <f t="shared" si="20"/>
        <v>2.3821327400000005E-2</v>
      </c>
      <c r="O649" s="4">
        <f t="shared" si="21"/>
        <v>0.21463015987400005</v>
      </c>
      <c r="P649">
        <v>45</v>
      </c>
      <c r="Q649">
        <v>4.5</v>
      </c>
      <c r="R649">
        <v>4.5</v>
      </c>
      <c r="S649">
        <v>3</v>
      </c>
      <c r="T649">
        <v>2</v>
      </c>
      <c r="U649">
        <v>1.5</v>
      </c>
      <c r="V649" t="s">
        <v>27</v>
      </c>
    </row>
    <row r="650" spans="1:22" x14ac:dyDescent="0.25">
      <c r="A650" t="s">
        <v>93</v>
      </c>
      <c r="B650">
        <v>3</v>
      </c>
      <c r="C650" t="s">
        <v>66</v>
      </c>
      <c r="D650" t="s">
        <v>67</v>
      </c>
      <c r="E650" t="s">
        <v>68</v>
      </c>
      <c r="F650">
        <v>180</v>
      </c>
      <c r="G650">
        <v>1080</v>
      </c>
      <c r="H650">
        <v>-3</v>
      </c>
      <c r="I650">
        <v>1981</v>
      </c>
      <c r="J650" t="s">
        <v>59</v>
      </c>
      <c r="K650">
        <v>2548</v>
      </c>
      <c r="L650">
        <v>13.04</v>
      </c>
      <c r="M650">
        <v>9.36</v>
      </c>
      <c r="N650" s="4">
        <f t="shared" si="20"/>
        <v>1.3348265599999999E-2</v>
      </c>
      <c r="O650" s="4">
        <f t="shared" si="21"/>
        <v>0.12493976601599999</v>
      </c>
      <c r="P650">
        <v>55</v>
      </c>
      <c r="Q650">
        <v>4</v>
      </c>
      <c r="R650">
        <v>4</v>
      </c>
      <c r="S650">
        <v>3</v>
      </c>
      <c r="T650">
        <v>2.5</v>
      </c>
      <c r="U650">
        <v>2</v>
      </c>
      <c r="V650" t="s">
        <v>25</v>
      </c>
    </row>
    <row r="651" spans="1:22" x14ac:dyDescent="0.25">
      <c r="A651" t="s">
        <v>93</v>
      </c>
      <c r="B651">
        <v>3</v>
      </c>
      <c r="C651" t="s">
        <v>66</v>
      </c>
      <c r="D651" t="s">
        <v>67</v>
      </c>
      <c r="E651" t="s">
        <v>68</v>
      </c>
      <c r="F651">
        <v>180</v>
      </c>
      <c r="G651">
        <v>1080</v>
      </c>
      <c r="H651">
        <v>-3</v>
      </c>
      <c r="I651">
        <v>1981</v>
      </c>
      <c r="J651" t="s">
        <v>32</v>
      </c>
      <c r="K651">
        <v>1596</v>
      </c>
      <c r="L651">
        <v>17.27</v>
      </c>
      <c r="M651">
        <v>9.01</v>
      </c>
      <c r="N651" s="4">
        <f t="shared" si="20"/>
        <v>2.341285265E-2</v>
      </c>
      <c r="O651" s="4">
        <f t="shared" si="21"/>
        <v>0.21094980237649999</v>
      </c>
      <c r="P651">
        <v>48</v>
      </c>
      <c r="Q651">
        <v>3.5</v>
      </c>
      <c r="R651">
        <v>3</v>
      </c>
      <c r="S651">
        <v>3.3</v>
      </c>
      <c r="T651">
        <v>4</v>
      </c>
      <c r="U651">
        <v>3</v>
      </c>
      <c r="V651" t="s">
        <v>27</v>
      </c>
    </row>
    <row r="652" spans="1:22" x14ac:dyDescent="0.25">
      <c r="A652" t="s">
        <v>93</v>
      </c>
      <c r="B652">
        <v>3</v>
      </c>
      <c r="C652" t="s">
        <v>66</v>
      </c>
      <c r="D652" t="s">
        <v>67</v>
      </c>
      <c r="E652" t="s">
        <v>68</v>
      </c>
      <c r="F652">
        <v>180</v>
      </c>
      <c r="G652">
        <v>1080</v>
      </c>
      <c r="H652">
        <v>-3</v>
      </c>
      <c r="I652">
        <v>1981</v>
      </c>
      <c r="J652" t="s">
        <v>32</v>
      </c>
      <c r="K652">
        <v>2634</v>
      </c>
      <c r="L652">
        <v>11.84</v>
      </c>
      <c r="M652">
        <v>9.1300000000000008</v>
      </c>
      <c r="N652" s="4">
        <f t="shared" si="20"/>
        <v>1.1004569600000002E-2</v>
      </c>
      <c r="O652" s="4">
        <f t="shared" si="21"/>
        <v>0.10047172044800003</v>
      </c>
      <c r="P652">
        <v>18</v>
      </c>
      <c r="Q652">
        <v>2.5</v>
      </c>
      <c r="R652">
        <v>3.5</v>
      </c>
      <c r="S652">
        <v>2.5</v>
      </c>
      <c r="T652">
        <v>3.5</v>
      </c>
      <c r="U652">
        <v>3</v>
      </c>
      <c r="V652" t="s">
        <v>38</v>
      </c>
    </row>
    <row r="653" spans="1:22" x14ac:dyDescent="0.25">
      <c r="A653" t="s">
        <v>93</v>
      </c>
      <c r="B653">
        <v>3</v>
      </c>
      <c r="C653" t="s">
        <v>66</v>
      </c>
      <c r="D653" t="s">
        <v>67</v>
      </c>
      <c r="E653" t="s">
        <v>68</v>
      </c>
      <c r="F653">
        <v>180</v>
      </c>
      <c r="G653">
        <v>1080</v>
      </c>
      <c r="H653">
        <v>-3</v>
      </c>
      <c r="I653">
        <v>1981</v>
      </c>
      <c r="J653" t="s">
        <v>35</v>
      </c>
      <c r="K653">
        <v>1788</v>
      </c>
      <c r="L653">
        <v>9.5399999999999991</v>
      </c>
      <c r="M653">
        <v>6.83</v>
      </c>
      <c r="N653" s="4">
        <f t="shared" si="20"/>
        <v>7.1444105999999979E-3</v>
      </c>
      <c r="O653" s="4">
        <f t="shared" si="21"/>
        <v>4.8796324397999989E-2</v>
      </c>
      <c r="P653">
        <v>13</v>
      </c>
      <c r="Q653">
        <v>2.5</v>
      </c>
      <c r="R653">
        <v>1.8</v>
      </c>
      <c r="S653">
        <v>2.5</v>
      </c>
      <c r="T653">
        <v>4</v>
      </c>
      <c r="U653">
        <v>3</v>
      </c>
      <c r="V653" t="s">
        <v>38</v>
      </c>
    </row>
    <row r="654" spans="1:22" x14ac:dyDescent="0.25">
      <c r="A654" t="s">
        <v>93</v>
      </c>
      <c r="B654">
        <v>3</v>
      </c>
      <c r="C654" t="s">
        <v>66</v>
      </c>
      <c r="D654" t="s">
        <v>67</v>
      </c>
      <c r="E654" t="s">
        <v>68</v>
      </c>
      <c r="F654">
        <v>180</v>
      </c>
      <c r="G654">
        <v>1080</v>
      </c>
      <c r="H654">
        <v>-3</v>
      </c>
      <c r="I654">
        <v>1981</v>
      </c>
      <c r="J654" t="s">
        <v>35</v>
      </c>
      <c r="K654">
        <v>1785</v>
      </c>
      <c r="L654">
        <v>7.89</v>
      </c>
      <c r="M654">
        <v>5.65</v>
      </c>
      <c r="N654" s="4">
        <f t="shared" si="20"/>
        <v>4.88678985E-3</v>
      </c>
      <c r="O654" s="4">
        <f t="shared" si="21"/>
        <v>2.7610362652500001E-2</v>
      </c>
      <c r="P654">
        <v>45</v>
      </c>
      <c r="Q654">
        <v>2.5</v>
      </c>
      <c r="R654">
        <v>2</v>
      </c>
      <c r="S654">
        <v>3</v>
      </c>
      <c r="T654">
        <v>3.3</v>
      </c>
      <c r="U654">
        <v>2.5</v>
      </c>
      <c r="V654" t="s">
        <v>38</v>
      </c>
    </row>
    <row r="655" spans="1:22" x14ac:dyDescent="0.25">
      <c r="A655" t="s">
        <v>93</v>
      </c>
      <c r="B655">
        <v>3</v>
      </c>
      <c r="C655" t="s">
        <v>66</v>
      </c>
      <c r="D655" t="s">
        <v>67</v>
      </c>
      <c r="E655" t="s">
        <v>68</v>
      </c>
      <c r="F655">
        <v>180</v>
      </c>
      <c r="G655">
        <v>1080</v>
      </c>
      <c r="H655">
        <v>-3</v>
      </c>
      <c r="I655">
        <v>1981</v>
      </c>
      <c r="J655" t="s">
        <v>35</v>
      </c>
      <c r="K655">
        <v>2571</v>
      </c>
      <c r="L655">
        <v>12.72</v>
      </c>
      <c r="M655">
        <v>10.6</v>
      </c>
      <c r="N655" s="4">
        <f t="shared" si="20"/>
        <v>1.2701174400000001E-2</v>
      </c>
      <c r="O655" s="4">
        <f t="shared" si="21"/>
        <v>0.13463244864000001</v>
      </c>
      <c r="P655">
        <v>37</v>
      </c>
      <c r="Q655">
        <v>3</v>
      </c>
      <c r="R655">
        <v>2</v>
      </c>
      <c r="S655">
        <v>3.5</v>
      </c>
      <c r="T655">
        <v>4.5</v>
      </c>
      <c r="U655">
        <v>4.3</v>
      </c>
      <c r="V655" t="s">
        <v>27</v>
      </c>
    </row>
    <row r="656" spans="1:22" x14ac:dyDescent="0.25">
      <c r="A656" t="s">
        <v>93</v>
      </c>
      <c r="B656">
        <v>3</v>
      </c>
      <c r="C656" t="s">
        <v>66</v>
      </c>
      <c r="D656" t="s">
        <v>67</v>
      </c>
      <c r="E656" t="s">
        <v>68</v>
      </c>
      <c r="F656">
        <v>180</v>
      </c>
      <c r="G656">
        <v>1080</v>
      </c>
      <c r="H656">
        <v>-3</v>
      </c>
      <c r="I656">
        <v>1981</v>
      </c>
      <c r="J656" t="s">
        <v>35</v>
      </c>
      <c r="K656">
        <v>2622</v>
      </c>
      <c r="L656">
        <v>11.07</v>
      </c>
      <c r="M656">
        <v>8.9499999999999993</v>
      </c>
      <c r="N656" s="4">
        <f t="shared" si="20"/>
        <v>9.6197746500000011E-3</v>
      </c>
      <c r="O656" s="4">
        <f t="shared" si="21"/>
        <v>8.6096983117499998E-2</v>
      </c>
      <c r="P656">
        <v>70</v>
      </c>
      <c r="Q656">
        <v>3</v>
      </c>
      <c r="R656">
        <v>2</v>
      </c>
      <c r="S656">
        <v>2.5</v>
      </c>
      <c r="T656">
        <v>4</v>
      </c>
      <c r="U656">
        <v>3</v>
      </c>
      <c r="V656" t="s">
        <v>25</v>
      </c>
    </row>
    <row r="657" spans="1:22" x14ac:dyDescent="0.25">
      <c r="A657" t="s">
        <v>93</v>
      </c>
      <c r="B657">
        <v>3</v>
      </c>
      <c r="C657" t="s">
        <v>66</v>
      </c>
      <c r="D657" t="s">
        <v>67</v>
      </c>
      <c r="E657" t="s">
        <v>68</v>
      </c>
      <c r="F657">
        <v>180</v>
      </c>
      <c r="G657">
        <v>1080</v>
      </c>
      <c r="H657">
        <v>-3</v>
      </c>
      <c r="I657">
        <v>1981</v>
      </c>
      <c r="J657" t="s">
        <v>62</v>
      </c>
      <c r="K657">
        <v>2431</v>
      </c>
      <c r="L657">
        <v>10.25</v>
      </c>
      <c r="M657">
        <v>10.02</v>
      </c>
      <c r="N657" s="4">
        <f t="shared" si="20"/>
        <v>8.2474062499999987E-3</v>
      </c>
      <c r="O657" s="4">
        <f t="shared" si="21"/>
        <v>8.2639010624999981E-2</v>
      </c>
      <c r="P657">
        <v>36</v>
      </c>
      <c r="Q657">
        <v>3</v>
      </c>
      <c r="R657">
        <v>3</v>
      </c>
      <c r="S657">
        <v>4</v>
      </c>
      <c r="T657">
        <v>4.5</v>
      </c>
      <c r="U657">
        <v>3.5</v>
      </c>
      <c r="V657" t="s">
        <v>38</v>
      </c>
    </row>
    <row r="658" spans="1:22" x14ac:dyDescent="0.25">
      <c r="A658" t="s">
        <v>93</v>
      </c>
      <c r="B658">
        <v>3</v>
      </c>
      <c r="C658" t="s">
        <v>66</v>
      </c>
      <c r="D658" t="s">
        <v>67</v>
      </c>
      <c r="E658" t="s">
        <v>68</v>
      </c>
      <c r="F658">
        <v>180</v>
      </c>
      <c r="G658">
        <v>1080</v>
      </c>
      <c r="H658">
        <v>-3</v>
      </c>
      <c r="I658">
        <v>1981</v>
      </c>
      <c r="J658" t="s">
        <v>62</v>
      </c>
      <c r="K658">
        <v>2432</v>
      </c>
      <c r="L658">
        <v>14.46</v>
      </c>
      <c r="M658">
        <v>11.73</v>
      </c>
      <c r="N658" s="4">
        <f t="shared" si="20"/>
        <v>1.6413690600000003E-2</v>
      </c>
      <c r="O658" s="4">
        <f t="shared" si="21"/>
        <v>0.19253259073800003</v>
      </c>
      <c r="P658">
        <v>60</v>
      </c>
      <c r="Q658">
        <v>4.5</v>
      </c>
      <c r="R658">
        <v>4</v>
      </c>
      <c r="S658">
        <v>3.5</v>
      </c>
      <c r="T658">
        <v>3.5</v>
      </c>
      <c r="U658">
        <v>2.5</v>
      </c>
      <c r="V658" t="s">
        <v>27</v>
      </c>
    </row>
    <row r="659" spans="1:22" x14ac:dyDescent="0.25">
      <c r="A659" t="s">
        <v>93</v>
      </c>
      <c r="B659">
        <v>3</v>
      </c>
      <c r="C659" t="s">
        <v>66</v>
      </c>
      <c r="D659" t="s">
        <v>67</v>
      </c>
      <c r="E659" t="s">
        <v>68</v>
      </c>
      <c r="F659">
        <v>180</v>
      </c>
      <c r="G659">
        <v>1080</v>
      </c>
      <c r="H659">
        <v>-3</v>
      </c>
      <c r="I659">
        <v>1981</v>
      </c>
      <c r="J659" t="s">
        <v>62</v>
      </c>
      <c r="K659">
        <v>2550</v>
      </c>
      <c r="L659">
        <v>15.37</v>
      </c>
      <c r="M659">
        <v>10.82</v>
      </c>
      <c r="N659" s="4">
        <f t="shared" si="20"/>
        <v>1.8544596650000002E-2</v>
      </c>
      <c r="O659" s="4">
        <f t="shared" si="21"/>
        <v>0.20065253575300002</v>
      </c>
      <c r="P659">
        <v>13</v>
      </c>
      <c r="Q659">
        <v>3</v>
      </c>
      <c r="R659">
        <v>2.7</v>
      </c>
      <c r="S659">
        <v>3.5</v>
      </c>
      <c r="T659">
        <v>3.5</v>
      </c>
      <c r="U659">
        <v>3</v>
      </c>
      <c r="V659" t="s">
        <v>38</v>
      </c>
    </row>
    <row r="660" spans="1:22" x14ac:dyDescent="0.25">
      <c r="A660" t="s">
        <v>93</v>
      </c>
      <c r="B660">
        <v>3</v>
      </c>
      <c r="C660" t="s">
        <v>66</v>
      </c>
      <c r="D660" t="s">
        <v>67</v>
      </c>
      <c r="E660" t="s">
        <v>68</v>
      </c>
      <c r="F660">
        <v>180</v>
      </c>
      <c r="G660">
        <v>1080</v>
      </c>
      <c r="H660">
        <v>-3</v>
      </c>
      <c r="I660">
        <v>1981</v>
      </c>
      <c r="J660" t="s">
        <v>62</v>
      </c>
      <c r="K660">
        <v>2553</v>
      </c>
      <c r="L660">
        <v>11.96</v>
      </c>
      <c r="M660">
        <v>9.91</v>
      </c>
      <c r="N660" s="4">
        <f t="shared" si="20"/>
        <v>1.1228765600000003E-2</v>
      </c>
      <c r="O660" s="4">
        <f t="shared" si="21"/>
        <v>0.11127706709600003</v>
      </c>
      <c r="P660">
        <v>33</v>
      </c>
      <c r="Q660">
        <v>4</v>
      </c>
      <c r="R660">
        <v>4</v>
      </c>
      <c r="S660">
        <v>4</v>
      </c>
      <c r="T660">
        <v>4</v>
      </c>
      <c r="U660">
        <v>4</v>
      </c>
      <c r="V660" t="s">
        <v>25</v>
      </c>
    </row>
    <row r="661" spans="1:22" x14ac:dyDescent="0.25">
      <c r="A661" t="s">
        <v>93</v>
      </c>
      <c r="B661">
        <v>3</v>
      </c>
      <c r="C661" t="s">
        <v>66</v>
      </c>
      <c r="D661" t="s">
        <v>67</v>
      </c>
      <c r="E661" t="s">
        <v>68</v>
      </c>
      <c r="F661">
        <v>180</v>
      </c>
      <c r="G661">
        <v>1080</v>
      </c>
      <c r="H661">
        <v>-3</v>
      </c>
      <c r="I661">
        <v>1981</v>
      </c>
      <c r="J661" t="s">
        <v>62</v>
      </c>
      <c r="K661">
        <v>2574</v>
      </c>
      <c r="L661">
        <v>12.41</v>
      </c>
      <c r="M661">
        <v>9.68</v>
      </c>
      <c r="N661" s="4">
        <f t="shared" si="20"/>
        <v>1.2089635850000001E-2</v>
      </c>
      <c r="O661" s="4">
        <f t="shared" si="21"/>
        <v>0.117027675028</v>
      </c>
      <c r="P661">
        <v>67</v>
      </c>
      <c r="Q661">
        <v>4</v>
      </c>
      <c r="R661">
        <v>4</v>
      </c>
      <c r="S661">
        <v>3.5</v>
      </c>
      <c r="T661">
        <v>4</v>
      </c>
      <c r="U661">
        <v>3</v>
      </c>
      <c r="V661" t="s">
        <v>25</v>
      </c>
    </row>
    <row r="662" spans="1:22" x14ac:dyDescent="0.25">
      <c r="A662" t="s">
        <v>93</v>
      </c>
      <c r="B662">
        <v>3</v>
      </c>
      <c r="C662" t="s">
        <v>66</v>
      </c>
      <c r="D662" t="s">
        <v>67</v>
      </c>
      <c r="E662" t="s">
        <v>68</v>
      </c>
      <c r="F662">
        <v>180</v>
      </c>
      <c r="G662">
        <v>1080</v>
      </c>
      <c r="H662">
        <v>-3</v>
      </c>
      <c r="I662">
        <v>1981</v>
      </c>
      <c r="J662" t="s">
        <v>37</v>
      </c>
      <c r="K662">
        <v>2575</v>
      </c>
      <c r="L662">
        <v>7.94</v>
      </c>
      <c r="M662">
        <v>6.16</v>
      </c>
      <c r="N662" s="4">
        <f t="shared" si="20"/>
        <v>4.9489225999999999E-3</v>
      </c>
      <c r="O662" s="4">
        <f t="shared" si="21"/>
        <v>3.0485363216000001E-2</v>
      </c>
      <c r="P662">
        <v>51</v>
      </c>
      <c r="Q662">
        <v>2.5</v>
      </c>
      <c r="R662">
        <v>2</v>
      </c>
      <c r="S662">
        <v>2.5</v>
      </c>
      <c r="T662">
        <v>4.5</v>
      </c>
      <c r="U662">
        <v>4</v>
      </c>
      <c r="V662" t="s">
        <v>38</v>
      </c>
    </row>
    <row r="663" spans="1:22" x14ac:dyDescent="0.25">
      <c r="A663" t="s">
        <v>93</v>
      </c>
      <c r="B663">
        <v>3</v>
      </c>
      <c r="C663" t="s">
        <v>66</v>
      </c>
      <c r="D663" t="s">
        <v>67</v>
      </c>
      <c r="E663" t="s">
        <v>68</v>
      </c>
      <c r="F663">
        <v>180</v>
      </c>
      <c r="G663">
        <v>1080</v>
      </c>
      <c r="H663">
        <v>-3</v>
      </c>
      <c r="I663">
        <v>1981</v>
      </c>
      <c r="J663" t="s">
        <v>57</v>
      </c>
      <c r="K663">
        <v>2621</v>
      </c>
      <c r="L663">
        <v>5.98</v>
      </c>
      <c r="M663">
        <v>4.03</v>
      </c>
      <c r="N663" s="4">
        <f t="shared" si="20"/>
        <v>2.8071914000000007E-3</v>
      </c>
      <c r="O663" s="4">
        <f t="shared" si="21"/>
        <v>1.1312981342000003E-2</v>
      </c>
      <c r="P663">
        <v>43</v>
      </c>
      <c r="Q663">
        <v>2.5</v>
      </c>
      <c r="R663">
        <v>2</v>
      </c>
      <c r="S663">
        <v>3.3</v>
      </c>
      <c r="T663">
        <v>4</v>
      </c>
      <c r="U663">
        <v>3.5</v>
      </c>
      <c r="V663" t="s">
        <v>38</v>
      </c>
    </row>
    <row r="664" spans="1:22" x14ac:dyDescent="0.25">
      <c r="A664" t="s">
        <v>94</v>
      </c>
      <c r="B664">
        <v>1</v>
      </c>
      <c r="C664" t="s">
        <v>21</v>
      </c>
      <c r="D664" t="s">
        <v>95</v>
      </c>
      <c r="E664" t="s">
        <v>96</v>
      </c>
      <c r="F664">
        <v>150</v>
      </c>
      <c r="G664">
        <v>900</v>
      </c>
      <c r="H664">
        <v>-2</v>
      </c>
      <c r="I664">
        <v>1986</v>
      </c>
      <c r="J664" t="s">
        <v>76</v>
      </c>
      <c r="K664">
        <v>3266</v>
      </c>
      <c r="L664">
        <v>21.86</v>
      </c>
      <c r="M664">
        <v>10</v>
      </c>
      <c r="N664" s="4">
        <f t="shared" si="20"/>
        <v>3.7511978599999996E-2</v>
      </c>
      <c r="O664" s="4">
        <f t="shared" si="21"/>
        <v>0.37511978599999996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50</v>
      </c>
    </row>
    <row r="665" spans="1:22" x14ac:dyDescent="0.25">
      <c r="A665" t="s">
        <v>94</v>
      </c>
      <c r="B665">
        <v>1</v>
      </c>
      <c r="C665" t="s">
        <v>21</v>
      </c>
      <c r="D665" t="s">
        <v>95</v>
      </c>
      <c r="E665" t="s">
        <v>96</v>
      </c>
      <c r="F665">
        <v>150</v>
      </c>
      <c r="G665">
        <v>900</v>
      </c>
      <c r="H665">
        <v>-2</v>
      </c>
      <c r="I665">
        <v>1986</v>
      </c>
      <c r="J665" t="s">
        <v>76</v>
      </c>
      <c r="K665">
        <v>3267</v>
      </c>
      <c r="L665">
        <v>33.65</v>
      </c>
      <c r="M665">
        <v>15.36</v>
      </c>
      <c r="N665" s="4">
        <f t="shared" si="20"/>
        <v>8.8887316249999987E-2</v>
      </c>
      <c r="O665" s="4">
        <f t="shared" si="21"/>
        <v>1.3653091775999997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50</v>
      </c>
    </row>
    <row r="666" spans="1:22" x14ac:dyDescent="0.25">
      <c r="A666" t="s">
        <v>94</v>
      </c>
      <c r="B666">
        <v>1</v>
      </c>
      <c r="C666" t="s">
        <v>21</v>
      </c>
      <c r="D666" t="s">
        <v>95</v>
      </c>
      <c r="E666" t="s">
        <v>96</v>
      </c>
      <c r="F666">
        <v>150</v>
      </c>
      <c r="G666">
        <v>900</v>
      </c>
      <c r="H666">
        <v>-2</v>
      </c>
      <c r="I666">
        <v>1986</v>
      </c>
      <c r="J666" t="s">
        <v>76</v>
      </c>
      <c r="K666">
        <v>3268</v>
      </c>
      <c r="L666">
        <v>18.010000000000002</v>
      </c>
      <c r="M666">
        <v>3.26</v>
      </c>
      <c r="N666" s="4">
        <f t="shared" si="20"/>
        <v>2.5462267850000001E-2</v>
      </c>
      <c r="O666" s="4">
        <f t="shared" si="21"/>
        <v>8.3006993190999995E-2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50</v>
      </c>
    </row>
    <row r="667" spans="1:22" x14ac:dyDescent="0.25">
      <c r="A667" t="s">
        <v>94</v>
      </c>
      <c r="B667">
        <v>1</v>
      </c>
      <c r="C667" t="s">
        <v>21</v>
      </c>
      <c r="D667" t="s">
        <v>95</v>
      </c>
      <c r="E667" t="s">
        <v>96</v>
      </c>
      <c r="F667">
        <v>150</v>
      </c>
      <c r="G667">
        <v>900</v>
      </c>
      <c r="H667">
        <v>-2</v>
      </c>
      <c r="I667">
        <v>1986</v>
      </c>
      <c r="J667" t="s">
        <v>76</v>
      </c>
      <c r="K667">
        <v>3269</v>
      </c>
      <c r="L667">
        <v>24.72</v>
      </c>
      <c r="M667">
        <v>11.29</v>
      </c>
      <c r="N667" s="4">
        <f t="shared" si="20"/>
        <v>4.7969654399999992E-2</v>
      </c>
      <c r="O667" s="4">
        <f t="shared" si="21"/>
        <v>0.54157739817599981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50</v>
      </c>
    </row>
    <row r="668" spans="1:22" x14ac:dyDescent="0.25">
      <c r="A668" t="s">
        <v>94</v>
      </c>
      <c r="B668">
        <v>1</v>
      </c>
      <c r="C668" t="s">
        <v>21</v>
      </c>
      <c r="D668" t="s">
        <v>95</v>
      </c>
      <c r="E668" t="s">
        <v>96</v>
      </c>
      <c r="F668">
        <v>150</v>
      </c>
      <c r="G668">
        <v>900</v>
      </c>
      <c r="H668">
        <v>-2</v>
      </c>
      <c r="I668">
        <v>1986</v>
      </c>
      <c r="J668" t="s">
        <v>76</v>
      </c>
      <c r="K668">
        <v>2770</v>
      </c>
      <c r="L668">
        <v>20.85</v>
      </c>
      <c r="M668">
        <v>9.52</v>
      </c>
      <c r="N668" s="4">
        <f t="shared" si="20"/>
        <v>3.4125716250000007E-2</v>
      </c>
      <c r="O668" s="4">
        <f t="shared" si="21"/>
        <v>0.32487681870000007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50</v>
      </c>
    </row>
    <row r="669" spans="1:22" x14ac:dyDescent="0.25">
      <c r="A669" t="s">
        <v>94</v>
      </c>
      <c r="B669">
        <v>1</v>
      </c>
      <c r="C669" t="s">
        <v>21</v>
      </c>
      <c r="D669" t="s">
        <v>95</v>
      </c>
      <c r="E669" t="s">
        <v>96</v>
      </c>
      <c r="F669">
        <v>150</v>
      </c>
      <c r="G669">
        <v>900</v>
      </c>
      <c r="H669">
        <v>-2</v>
      </c>
      <c r="I669">
        <v>1986</v>
      </c>
      <c r="J669" t="s">
        <v>76</v>
      </c>
      <c r="K669">
        <v>2460</v>
      </c>
      <c r="L669">
        <v>29.6</v>
      </c>
      <c r="M669">
        <v>13.52</v>
      </c>
      <c r="N669" s="4">
        <f t="shared" si="20"/>
        <v>6.877856000000003E-2</v>
      </c>
      <c r="O669" s="4">
        <f t="shared" si="21"/>
        <v>0.92988613120000041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50</v>
      </c>
    </row>
    <row r="670" spans="1:22" x14ac:dyDescent="0.25">
      <c r="A670" t="s">
        <v>94</v>
      </c>
      <c r="B670">
        <v>1</v>
      </c>
      <c r="C670" t="s">
        <v>21</v>
      </c>
      <c r="D670" t="s">
        <v>95</v>
      </c>
      <c r="E670" t="s">
        <v>96</v>
      </c>
      <c r="F670">
        <v>150</v>
      </c>
      <c r="G670">
        <v>900</v>
      </c>
      <c r="H670">
        <v>-2</v>
      </c>
      <c r="I670">
        <v>1986</v>
      </c>
      <c r="J670" t="s">
        <v>24</v>
      </c>
      <c r="K670">
        <v>2562</v>
      </c>
      <c r="L670">
        <v>40.44</v>
      </c>
      <c r="M670">
        <v>17.059999999999999</v>
      </c>
      <c r="N670" s="4">
        <f t="shared" si="20"/>
        <v>0.1283783976</v>
      </c>
      <c r="O670" s="4">
        <f t="shared" si="21"/>
        <v>2.1901354630559999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50</v>
      </c>
    </row>
    <row r="671" spans="1:22" x14ac:dyDescent="0.25">
      <c r="A671" t="s">
        <v>94</v>
      </c>
      <c r="B671">
        <v>1</v>
      </c>
      <c r="C671" t="s">
        <v>21</v>
      </c>
      <c r="D671" t="s">
        <v>95</v>
      </c>
      <c r="E671" t="s">
        <v>96</v>
      </c>
      <c r="F671">
        <v>150</v>
      </c>
      <c r="G671">
        <v>900</v>
      </c>
      <c r="H671">
        <v>-2</v>
      </c>
      <c r="I671">
        <v>1986</v>
      </c>
      <c r="J671" t="s">
        <v>32</v>
      </c>
      <c r="K671">
        <v>3270</v>
      </c>
      <c r="L671">
        <v>27.7</v>
      </c>
      <c r="M671">
        <v>12.62</v>
      </c>
      <c r="N671" s="4">
        <f t="shared" si="20"/>
        <v>6.0232264999999986E-2</v>
      </c>
      <c r="O671" s="4">
        <f t="shared" si="21"/>
        <v>0.76013118429999982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50</v>
      </c>
    </row>
    <row r="672" spans="1:22" x14ac:dyDescent="0.25">
      <c r="A672" t="s">
        <v>94</v>
      </c>
      <c r="B672">
        <v>1</v>
      </c>
      <c r="C672" t="s">
        <v>21</v>
      </c>
      <c r="D672" t="s">
        <v>95</v>
      </c>
      <c r="E672" t="s">
        <v>96</v>
      </c>
      <c r="F672">
        <v>150</v>
      </c>
      <c r="G672">
        <v>900</v>
      </c>
      <c r="H672">
        <v>-2</v>
      </c>
      <c r="I672">
        <v>1986</v>
      </c>
      <c r="J672" t="s">
        <v>32</v>
      </c>
      <c r="K672">
        <v>3271</v>
      </c>
      <c r="L672">
        <v>18.73</v>
      </c>
      <c r="M672">
        <v>8.5299999999999994</v>
      </c>
      <c r="N672" s="4">
        <f t="shared" si="20"/>
        <v>2.7538812650000001E-2</v>
      </c>
      <c r="O672" s="4">
        <f t="shared" si="21"/>
        <v>0.2349060719045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50</v>
      </c>
    </row>
    <row r="673" spans="1:22" x14ac:dyDescent="0.25">
      <c r="A673" t="s">
        <v>94</v>
      </c>
      <c r="B673">
        <v>1</v>
      </c>
      <c r="C673" t="s">
        <v>21</v>
      </c>
      <c r="D673" t="s">
        <v>95</v>
      </c>
      <c r="E673" t="s">
        <v>96</v>
      </c>
      <c r="F673">
        <v>150</v>
      </c>
      <c r="G673">
        <v>900</v>
      </c>
      <c r="H673">
        <v>-2</v>
      </c>
      <c r="I673">
        <v>1986</v>
      </c>
      <c r="J673" t="s">
        <v>32</v>
      </c>
      <c r="K673">
        <v>2569</v>
      </c>
      <c r="L673">
        <v>36.65</v>
      </c>
      <c r="M673">
        <v>16.690000000000001</v>
      </c>
      <c r="N673" s="4">
        <f t="shared" si="20"/>
        <v>0.10544296625000001</v>
      </c>
      <c r="O673" s="4">
        <f t="shared" si="21"/>
        <v>1.7598431067125002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50</v>
      </c>
    </row>
    <row r="674" spans="1:22" x14ac:dyDescent="0.25">
      <c r="A674" t="s">
        <v>94</v>
      </c>
      <c r="B674">
        <v>1</v>
      </c>
      <c r="C674" t="s">
        <v>21</v>
      </c>
      <c r="D674" t="s">
        <v>95</v>
      </c>
      <c r="E674" t="s">
        <v>96</v>
      </c>
      <c r="F674">
        <v>150</v>
      </c>
      <c r="G674">
        <v>900</v>
      </c>
      <c r="H674">
        <v>-2</v>
      </c>
      <c r="I674">
        <v>1986</v>
      </c>
      <c r="J674" t="s">
        <v>32</v>
      </c>
      <c r="K674">
        <v>1596</v>
      </c>
      <c r="L674">
        <v>25.84</v>
      </c>
      <c r="M674">
        <v>11.76</v>
      </c>
      <c r="N674" s="4">
        <f t="shared" si="20"/>
        <v>5.2414889600000007E-2</v>
      </c>
      <c r="O674" s="4">
        <f t="shared" si="21"/>
        <v>0.6163991016960001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50</v>
      </c>
    </row>
    <row r="675" spans="1:22" x14ac:dyDescent="0.25">
      <c r="A675" t="s">
        <v>94</v>
      </c>
      <c r="B675">
        <v>1</v>
      </c>
      <c r="C675" t="s">
        <v>21</v>
      </c>
      <c r="D675" t="s">
        <v>95</v>
      </c>
      <c r="E675" t="s">
        <v>96</v>
      </c>
      <c r="F675">
        <v>150</v>
      </c>
      <c r="G675">
        <v>900</v>
      </c>
      <c r="H675">
        <v>-2</v>
      </c>
      <c r="I675">
        <v>1986</v>
      </c>
      <c r="J675" t="s">
        <v>32</v>
      </c>
      <c r="K675">
        <v>3068</v>
      </c>
      <c r="L675">
        <v>4.1399999999999997</v>
      </c>
      <c r="M675">
        <v>1.89</v>
      </c>
      <c r="N675" s="4">
        <f t="shared" si="20"/>
        <v>1.3454586000000001E-3</v>
      </c>
      <c r="O675" s="4">
        <f t="shared" si="21"/>
        <v>2.5429167540000001E-3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50</v>
      </c>
    </row>
    <row r="676" spans="1:22" x14ac:dyDescent="0.25">
      <c r="A676" t="s">
        <v>94</v>
      </c>
      <c r="B676">
        <v>1</v>
      </c>
      <c r="C676" t="s">
        <v>21</v>
      </c>
      <c r="D676" t="s">
        <v>95</v>
      </c>
      <c r="E676" t="s">
        <v>96</v>
      </c>
      <c r="F676">
        <v>150</v>
      </c>
      <c r="G676">
        <v>900</v>
      </c>
      <c r="H676">
        <v>-2</v>
      </c>
      <c r="I676">
        <v>1986</v>
      </c>
      <c r="J676" t="s">
        <v>36</v>
      </c>
      <c r="K676">
        <v>3272</v>
      </c>
      <c r="L676">
        <v>26.63</v>
      </c>
      <c r="M676">
        <v>11.4</v>
      </c>
      <c r="N676" s="4">
        <f t="shared" si="20"/>
        <v>5.5668816649999994E-2</v>
      </c>
      <c r="O676" s="4">
        <f t="shared" si="21"/>
        <v>0.63462450980999996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50</v>
      </c>
    </row>
    <row r="677" spans="1:22" x14ac:dyDescent="0.25">
      <c r="A677" t="s">
        <v>94</v>
      </c>
      <c r="B677">
        <v>1</v>
      </c>
      <c r="C677" t="s">
        <v>21</v>
      </c>
      <c r="D677" t="s">
        <v>95</v>
      </c>
      <c r="E677" t="s">
        <v>96</v>
      </c>
      <c r="F677">
        <v>150</v>
      </c>
      <c r="G677">
        <v>900</v>
      </c>
      <c r="H677">
        <v>-2</v>
      </c>
      <c r="I677">
        <v>1986</v>
      </c>
      <c r="J677" t="s">
        <v>36</v>
      </c>
      <c r="K677">
        <v>3273</v>
      </c>
      <c r="L677">
        <v>10.1</v>
      </c>
      <c r="M677">
        <v>4.32</v>
      </c>
      <c r="N677" s="4">
        <f t="shared" si="20"/>
        <v>8.0077849999999982E-3</v>
      </c>
      <c r="O677" s="4">
        <f t="shared" si="21"/>
        <v>3.4593631199999995E-2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50</v>
      </c>
    </row>
    <row r="678" spans="1:22" x14ac:dyDescent="0.25">
      <c r="A678" t="s">
        <v>94</v>
      </c>
      <c r="B678">
        <v>1</v>
      </c>
      <c r="C678" t="s">
        <v>21</v>
      </c>
      <c r="D678" t="s">
        <v>95</v>
      </c>
      <c r="E678" t="s">
        <v>96</v>
      </c>
      <c r="F678">
        <v>150</v>
      </c>
      <c r="G678">
        <v>900</v>
      </c>
      <c r="H678">
        <v>-2</v>
      </c>
      <c r="I678">
        <v>1986</v>
      </c>
      <c r="J678" t="s">
        <v>36</v>
      </c>
      <c r="K678">
        <v>2573</v>
      </c>
      <c r="L678">
        <v>23.62</v>
      </c>
      <c r="M678">
        <v>10.11</v>
      </c>
      <c r="N678" s="4">
        <f t="shared" si="20"/>
        <v>4.3795495400000009E-2</v>
      </c>
      <c r="O678" s="4">
        <f t="shared" si="21"/>
        <v>0.44277245849400004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50</v>
      </c>
    </row>
    <row r="679" spans="1:22" x14ac:dyDescent="0.25">
      <c r="A679" t="s">
        <v>94</v>
      </c>
      <c r="B679">
        <v>1</v>
      </c>
      <c r="C679" t="s">
        <v>21</v>
      </c>
      <c r="D679" t="s">
        <v>95</v>
      </c>
      <c r="E679" t="s">
        <v>96</v>
      </c>
      <c r="F679">
        <v>150</v>
      </c>
      <c r="G679">
        <v>900</v>
      </c>
      <c r="H679">
        <v>-2</v>
      </c>
      <c r="I679">
        <v>1986</v>
      </c>
      <c r="J679" t="s">
        <v>97</v>
      </c>
      <c r="K679">
        <v>1257</v>
      </c>
      <c r="L679">
        <v>21.07</v>
      </c>
      <c r="M679">
        <v>9.6199999999999992</v>
      </c>
      <c r="N679" s="4">
        <f t="shared" si="20"/>
        <v>3.4849674650000002E-2</v>
      </c>
      <c r="O679" s="4">
        <f t="shared" si="21"/>
        <v>0.33525387013300001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50</v>
      </c>
    </row>
    <row r="680" spans="1:22" x14ac:dyDescent="0.25">
      <c r="A680" t="s">
        <v>94</v>
      </c>
      <c r="B680">
        <v>1</v>
      </c>
      <c r="C680" t="s">
        <v>21</v>
      </c>
      <c r="D680" t="s">
        <v>95</v>
      </c>
      <c r="E680" t="s">
        <v>96</v>
      </c>
      <c r="F680">
        <v>150</v>
      </c>
      <c r="G680">
        <v>900</v>
      </c>
      <c r="H680">
        <v>-2</v>
      </c>
      <c r="I680">
        <v>1986</v>
      </c>
      <c r="J680" t="s">
        <v>97</v>
      </c>
      <c r="K680">
        <v>1825</v>
      </c>
      <c r="L680">
        <v>19.809999999999999</v>
      </c>
      <c r="M680">
        <v>9.0500000000000007</v>
      </c>
      <c r="N680" s="4">
        <f t="shared" si="20"/>
        <v>3.080623385E-2</v>
      </c>
      <c r="O680" s="4">
        <f t="shared" si="21"/>
        <v>0.27879641634250002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50</v>
      </c>
    </row>
    <row r="681" spans="1:22" x14ac:dyDescent="0.25">
      <c r="A681" t="s">
        <v>94</v>
      </c>
      <c r="B681">
        <v>1</v>
      </c>
      <c r="C681" t="s">
        <v>21</v>
      </c>
      <c r="D681" t="s">
        <v>95</v>
      </c>
      <c r="E681" t="s">
        <v>96</v>
      </c>
      <c r="F681">
        <v>150</v>
      </c>
      <c r="G681">
        <v>900</v>
      </c>
      <c r="H681">
        <v>-2</v>
      </c>
      <c r="I681">
        <v>1986</v>
      </c>
      <c r="J681" t="s">
        <v>98</v>
      </c>
      <c r="K681">
        <v>2768</v>
      </c>
      <c r="L681">
        <v>32.090000000000003</v>
      </c>
      <c r="M681">
        <v>12.03</v>
      </c>
      <c r="N681" s="4">
        <f t="shared" si="20"/>
        <v>8.0836795850000018E-2</v>
      </c>
      <c r="O681" s="4">
        <f t="shared" si="21"/>
        <v>0.97246665407550015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50</v>
      </c>
    </row>
    <row r="682" spans="1:22" x14ac:dyDescent="0.25">
      <c r="A682" t="s">
        <v>94</v>
      </c>
      <c r="B682">
        <v>1</v>
      </c>
      <c r="C682" t="s">
        <v>21</v>
      </c>
      <c r="D682" t="s">
        <v>95</v>
      </c>
      <c r="E682" t="s">
        <v>96</v>
      </c>
      <c r="F682">
        <v>150</v>
      </c>
      <c r="G682">
        <v>900</v>
      </c>
      <c r="H682">
        <v>-2</v>
      </c>
      <c r="I682">
        <v>1986</v>
      </c>
      <c r="J682" t="s">
        <v>98</v>
      </c>
      <c r="K682">
        <v>1609</v>
      </c>
      <c r="L682">
        <v>33.99</v>
      </c>
      <c r="M682">
        <v>12.75</v>
      </c>
      <c r="N682" s="4">
        <f t="shared" si="20"/>
        <v>9.0692627850000013E-2</v>
      </c>
      <c r="O682" s="4">
        <f t="shared" si="21"/>
        <v>1.1563310050875002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50</v>
      </c>
    </row>
    <row r="683" spans="1:22" x14ac:dyDescent="0.25">
      <c r="A683" t="s">
        <v>94</v>
      </c>
      <c r="B683">
        <v>1</v>
      </c>
      <c r="C683" t="s">
        <v>21</v>
      </c>
      <c r="D683" t="s">
        <v>95</v>
      </c>
      <c r="E683" t="s">
        <v>96</v>
      </c>
      <c r="F683">
        <v>150</v>
      </c>
      <c r="G683">
        <v>900</v>
      </c>
      <c r="H683">
        <v>-2</v>
      </c>
      <c r="I683">
        <v>1986</v>
      </c>
      <c r="J683" t="s">
        <v>98</v>
      </c>
      <c r="K683">
        <v>3275</v>
      </c>
      <c r="L683">
        <v>15.25</v>
      </c>
      <c r="M683">
        <v>5.72</v>
      </c>
      <c r="N683" s="4">
        <f t="shared" si="20"/>
        <v>1.8256156249999999E-2</v>
      </c>
      <c r="O683" s="4">
        <f t="shared" si="21"/>
        <v>0.10442521375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50</v>
      </c>
    </row>
    <row r="684" spans="1:22" x14ac:dyDescent="0.25">
      <c r="A684" t="s">
        <v>94</v>
      </c>
      <c r="B684">
        <v>1</v>
      </c>
      <c r="C684" t="s">
        <v>21</v>
      </c>
      <c r="D684" t="s">
        <v>95</v>
      </c>
      <c r="E684" t="s">
        <v>96</v>
      </c>
      <c r="F684">
        <v>150</v>
      </c>
      <c r="G684">
        <v>900</v>
      </c>
      <c r="H684">
        <v>-2</v>
      </c>
      <c r="I684">
        <v>1986</v>
      </c>
      <c r="J684" t="s">
        <v>98</v>
      </c>
      <c r="K684">
        <v>3274</v>
      </c>
      <c r="L684">
        <v>26.87</v>
      </c>
      <c r="M684">
        <v>10.08</v>
      </c>
      <c r="N684" s="4">
        <f t="shared" si="20"/>
        <v>5.667675665E-2</v>
      </c>
      <c r="O684" s="4">
        <f t="shared" si="21"/>
        <v>0.57130170703200001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50</v>
      </c>
    </row>
    <row r="685" spans="1:22" x14ac:dyDescent="0.25">
      <c r="A685" t="s">
        <v>94</v>
      </c>
      <c r="B685">
        <v>2</v>
      </c>
      <c r="C685" t="s">
        <v>21</v>
      </c>
      <c r="D685" t="s">
        <v>95</v>
      </c>
      <c r="E685" t="s">
        <v>96</v>
      </c>
      <c r="F685">
        <v>150</v>
      </c>
      <c r="G685">
        <v>900</v>
      </c>
      <c r="H685">
        <v>-2</v>
      </c>
      <c r="I685">
        <v>1986</v>
      </c>
      <c r="J685" t="s">
        <v>76</v>
      </c>
      <c r="K685">
        <v>3266</v>
      </c>
      <c r="L685">
        <v>25.73</v>
      </c>
      <c r="M685">
        <v>11.75</v>
      </c>
      <c r="N685" s="4">
        <f t="shared" si="20"/>
        <v>5.1969582650000012E-2</v>
      </c>
      <c r="O685" s="4">
        <f t="shared" si="21"/>
        <v>0.61064259613750016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50</v>
      </c>
    </row>
    <row r="686" spans="1:22" x14ac:dyDescent="0.25">
      <c r="A686" t="s">
        <v>94</v>
      </c>
      <c r="B686">
        <v>2</v>
      </c>
      <c r="C686" t="s">
        <v>21</v>
      </c>
      <c r="D686" t="s">
        <v>95</v>
      </c>
      <c r="E686" t="s">
        <v>96</v>
      </c>
      <c r="F686">
        <v>150</v>
      </c>
      <c r="G686">
        <v>900</v>
      </c>
      <c r="H686">
        <v>-2</v>
      </c>
      <c r="I686">
        <v>1986</v>
      </c>
      <c r="J686" t="s">
        <v>76</v>
      </c>
      <c r="K686">
        <v>3267</v>
      </c>
      <c r="L686">
        <v>19.91</v>
      </c>
      <c r="M686">
        <v>13.63</v>
      </c>
      <c r="N686" s="4">
        <f t="shared" si="20"/>
        <v>3.111803585E-2</v>
      </c>
      <c r="O686" s="4">
        <f t="shared" si="21"/>
        <v>0.42413882863550001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50</v>
      </c>
    </row>
    <row r="687" spans="1:22" x14ac:dyDescent="0.25">
      <c r="A687" t="s">
        <v>94</v>
      </c>
      <c r="B687">
        <v>2</v>
      </c>
      <c r="C687" t="s">
        <v>21</v>
      </c>
      <c r="D687" t="s">
        <v>95</v>
      </c>
      <c r="E687" t="s">
        <v>96</v>
      </c>
      <c r="F687">
        <v>150</v>
      </c>
      <c r="G687">
        <v>900</v>
      </c>
      <c r="H687">
        <v>-2</v>
      </c>
      <c r="I687">
        <v>1986</v>
      </c>
      <c r="J687" t="s">
        <v>76</v>
      </c>
      <c r="K687">
        <v>3268</v>
      </c>
      <c r="L687">
        <v>17.690000000000001</v>
      </c>
      <c r="M687">
        <v>8.08</v>
      </c>
      <c r="N687" s="4">
        <f t="shared" si="20"/>
        <v>2.456548385E-2</v>
      </c>
      <c r="O687" s="4">
        <f t="shared" si="21"/>
        <v>0.198489109508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50</v>
      </c>
    </row>
    <row r="688" spans="1:22" x14ac:dyDescent="0.25">
      <c r="A688" t="s">
        <v>94</v>
      </c>
      <c r="B688">
        <v>2</v>
      </c>
      <c r="C688" t="s">
        <v>21</v>
      </c>
      <c r="D688" t="s">
        <v>95</v>
      </c>
      <c r="E688" t="s">
        <v>96</v>
      </c>
      <c r="F688">
        <v>150</v>
      </c>
      <c r="G688">
        <v>900</v>
      </c>
      <c r="H688">
        <v>-2</v>
      </c>
      <c r="I688">
        <v>1986</v>
      </c>
      <c r="J688" t="s">
        <v>76</v>
      </c>
      <c r="K688">
        <v>3269</v>
      </c>
      <c r="L688">
        <v>25.71</v>
      </c>
      <c r="M688">
        <v>11.74</v>
      </c>
      <c r="N688" s="4">
        <f t="shared" si="20"/>
        <v>5.1888821850000003E-2</v>
      </c>
      <c r="O688" s="4">
        <f t="shared" si="21"/>
        <v>0.60917476851899999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50</v>
      </c>
    </row>
    <row r="689" spans="1:22" x14ac:dyDescent="0.25">
      <c r="A689" t="s">
        <v>94</v>
      </c>
      <c r="B689">
        <v>2</v>
      </c>
      <c r="C689" t="s">
        <v>21</v>
      </c>
      <c r="D689" t="s">
        <v>95</v>
      </c>
      <c r="E689" t="s">
        <v>96</v>
      </c>
      <c r="F689">
        <v>150</v>
      </c>
      <c r="G689">
        <v>900</v>
      </c>
      <c r="H689">
        <v>-2</v>
      </c>
      <c r="I689">
        <v>1986</v>
      </c>
      <c r="J689" t="s">
        <v>76</v>
      </c>
      <c r="K689">
        <v>2770</v>
      </c>
      <c r="L689">
        <v>11.25</v>
      </c>
      <c r="M689">
        <v>5.14</v>
      </c>
      <c r="N689" s="4">
        <f t="shared" si="20"/>
        <v>9.9351562500000004E-3</v>
      </c>
      <c r="O689" s="4">
        <f t="shared" si="21"/>
        <v>5.1066703125000001E-2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50</v>
      </c>
    </row>
    <row r="690" spans="1:22" x14ac:dyDescent="0.25">
      <c r="A690" t="s">
        <v>94</v>
      </c>
      <c r="B690">
        <v>2</v>
      </c>
      <c r="C690" t="s">
        <v>21</v>
      </c>
      <c r="D690" t="s">
        <v>95</v>
      </c>
      <c r="E690" t="s">
        <v>96</v>
      </c>
      <c r="F690">
        <v>150</v>
      </c>
      <c r="G690">
        <v>900</v>
      </c>
      <c r="H690">
        <v>-2</v>
      </c>
      <c r="I690">
        <v>1986</v>
      </c>
      <c r="J690" t="s">
        <v>76</v>
      </c>
      <c r="K690">
        <v>2460</v>
      </c>
      <c r="L690">
        <v>25.85</v>
      </c>
      <c r="M690">
        <v>11.8</v>
      </c>
      <c r="N690" s="4">
        <f t="shared" si="20"/>
        <v>5.2455466249999999E-2</v>
      </c>
      <c r="O690" s="4">
        <f t="shared" si="21"/>
        <v>0.61897450175000002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50</v>
      </c>
    </row>
    <row r="691" spans="1:22" x14ac:dyDescent="0.25">
      <c r="A691" t="s">
        <v>94</v>
      </c>
      <c r="B691">
        <v>2</v>
      </c>
      <c r="C691" t="s">
        <v>21</v>
      </c>
      <c r="D691" t="s">
        <v>95</v>
      </c>
      <c r="E691" t="s">
        <v>96</v>
      </c>
      <c r="F691">
        <v>150</v>
      </c>
      <c r="G691">
        <v>900</v>
      </c>
      <c r="H691">
        <v>-2</v>
      </c>
      <c r="I691">
        <v>1986</v>
      </c>
      <c r="J691" t="s">
        <v>24</v>
      </c>
      <c r="K691">
        <v>2562</v>
      </c>
      <c r="L691">
        <v>33.6</v>
      </c>
      <c r="M691">
        <v>14.17</v>
      </c>
      <c r="N691" s="4">
        <f t="shared" si="20"/>
        <v>8.8623360000000012E-2</v>
      </c>
      <c r="O691" s="4">
        <f t="shared" si="21"/>
        <v>1.2557930112000002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50</v>
      </c>
    </row>
    <row r="692" spans="1:22" x14ac:dyDescent="0.25">
      <c r="A692" t="s">
        <v>94</v>
      </c>
      <c r="B692">
        <v>2</v>
      </c>
      <c r="C692" t="s">
        <v>21</v>
      </c>
      <c r="D692" t="s">
        <v>95</v>
      </c>
      <c r="E692" t="s">
        <v>96</v>
      </c>
      <c r="F692">
        <v>150</v>
      </c>
      <c r="G692">
        <v>900</v>
      </c>
      <c r="H692">
        <v>-2</v>
      </c>
      <c r="I692">
        <v>1986</v>
      </c>
      <c r="J692" t="s">
        <v>32</v>
      </c>
      <c r="K692">
        <v>3270</v>
      </c>
      <c r="L692">
        <v>35.78</v>
      </c>
      <c r="M692">
        <v>16.29</v>
      </c>
      <c r="N692" s="4">
        <f t="shared" si="20"/>
        <v>0.1004963594</v>
      </c>
      <c r="O692" s="4">
        <f t="shared" si="21"/>
        <v>1.637085694626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50</v>
      </c>
    </row>
    <row r="693" spans="1:22" x14ac:dyDescent="0.25">
      <c r="A693" t="s">
        <v>94</v>
      </c>
      <c r="B693">
        <v>2</v>
      </c>
      <c r="C693" t="s">
        <v>21</v>
      </c>
      <c r="D693" t="s">
        <v>95</v>
      </c>
      <c r="E693" t="s">
        <v>96</v>
      </c>
      <c r="F693">
        <v>150</v>
      </c>
      <c r="G693">
        <v>900</v>
      </c>
      <c r="H693">
        <v>-2</v>
      </c>
      <c r="I693">
        <v>1986</v>
      </c>
      <c r="J693" t="s">
        <v>32</v>
      </c>
      <c r="K693">
        <v>3271</v>
      </c>
      <c r="L693">
        <v>23.46</v>
      </c>
      <c r="M693">
        <v>10.68</v>
      </c>
      <c r="N693" s="4">
        <f t="shared" si="20"/>
        <v>4.3204170600000001E-2</v>
      </c>
      <c r="O693" s="4">
        <f t="shared" si="21"/>
        <v>0.46142054200799998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50</v>
      </c>
    </row>
    <row r="694" spans="1:22" x14ac:dyDescent="0.25">
      <c r="A694" t="s">
        <v>94</v>
      </c>
      <c r="B694">
        <v>2</v>
      </c>
      <c r="C694" t="s">
        <v>21</v>
      </c>
      <c r="D694" t="s">
        <v>95</v>
      </c>
      <c r="E694" t="s">
        <v>96</v>
      </c>
      <c r="F694">
        <v>150</v>
      </c>
      <c r="G694">
        <v>900</v>
      </c>
      <c r="H694">
        <v>-2</v>
      </c>
      <c r="I694">
        <v>1986</v>
      </c>
      <c r="J694" t="s">
        <v>32</v>
      </c>
      <c r="K694">
        <v>2569</v>
      </c>
      <c r="L694">
        <v>27.79</v>
      </c>
      <c r="M694">
        <v>12.65</v>
      </c>
      <c r="N694" s="4">
        <f t="shared" si="20"/>
        <v>6.0624301849999992E-2</v>
      </c>
      <c r="O694" s="4">
        <f t="shared" si="21"/>
        <v>0.76689741840249992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50</v>
      </c>
    </row>
    <row r="695" spans="1:22" x14ac:dyDescent="0.25">
      <c r="A695" t="s">
        <v>94</v>
      </c>
      <c r="B695">
        <v>2</v>
      </c>
      <c r="C695" t="s">
        <v>21</v>
      </c>
      <c r="D695" t="s">
        <v>95</v>
      </c>
      <c r="E695" t="s">
        <v>96</v>
      </c>
      <c r="F695">
        <v>150</v>
      </c>
      <c r="G695">
        <v>900</v>
      </c>
      <c r="H695">
        <v>-2</v>
      </c>
      <c r="I695">
        <v>1986</v>
      </c>
      <c r="J695" t="s">
        <v>32</v>
      </c>
      <c r="K695">
        <v>1596</v>
      </c>
      <c r="L695">
        <v>32.880000000000003</v>
      </c>
      <c r="M695">
        <v>14.98</v>
      </c>
      <c r="N695" s="4">
        <f t="shared" si="20"/>
        <v>8.4865910400000022E-2</v>
      </c>
      <c r="O695" s="4">
        <f t="shared" si="21"/>
        <v>1.2712913377920003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50</v>
      </c>
    </row>
    <row r="696" spans="1:22" x14ac:dyDescent="0.25">
      <c r="A696" t="s">
        <v>94</v>
      </c>
      <c r="B696">
        <v>2</v>
      </c>
      <c r="C696" t="s">
        <v>21</v>
      </c>
      <c r="D696" t="s">
        <v>95</v>
      </c>
      <c r="E696" t="s">
        <v>96</v>
      </c>
      <c r="F696">
        <v>150</v>
      </c>
      <c r="G696">
        <v>900</v>
      </c>
      <c r="H696">
        <v>-2</v>
      </c>
      <c r="I696">
        <v>1986</v>
      </c>
      <c r="J696" t="s">
        <v>32</v>
      </c>
      <c r="K696">
        <v>3068</v>
      </c>
      <c r="L696">
        <v>32.15</v>
      </c>
      <c r="M696">
        <v>14.64</v>
      </c>
      <c r="N696" s="4">
        <f t="shared" si="20"/>
        <v>8.1139366250000011E-2</v>
      </c>
      <c r="O696" s="4">
        <f t="shared" si="21"/>
        <v>1.1878803219000003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50</v>
      </c>
    </row>
    <row r="697" spans="1:22" x14ac:dyDescent="0.25">
      <c r="A697" t="s">
        <v>94</v>
      </c>
      <c r="B697">
        <v>2</v>
      </c>
      <c r="C697" t="s">
        <v>21</v>
      </c>
      <c r="D697" t="s">
        <v>95</v>
      </c>
      <c r="E697" t="s">
        <v>96</v>
      </c>
      <c r="F697">
        <v>150</v>
      </c>
      <c r="G697">
        <v>900</v>
      </c>
      <c r="H697">
        <v>-2</v>
      </c>
      <c r="I697">
        <v>1986</v>
      </c>
      <c r="J697" t="s">
        <v>36</v>
      </c>
      <c r="K697">
        <v>3272</v>
      </c>
      <c r="L697">
        <v>35.369999999999997</v>
      </c>
      <c r="M697">
        <v>15.14</v>
      </c>
      <c r="N697" s="4">
        <f t="shared" si="20"/>
        <v>9.8206396649999972E-2</v>
      </c>
      <c r="O697" s="4">
        <f t="shared" si="21"/>
        <v>1.4868448452809997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50</v>
      </c>
    </row>
    <row r="698" spans="1:22" x14ac:dyDescent="0.25">
      <c r="A698" t="s">
        <v>94</v>
      </c>
      <c r="B698">
        <v>2</v>
      </c>
      <c r="C698" t="s">
        <v>21</v>
      </c>
      <c r="D698" t="s">
        <v>95</v>
      </c>
      <c r="E698" t="s">
        <v>96</v>
      </c>
      <c r="F698">
        <v>150</v>
      </c>
      <c r="G698">
        <v>900</v>
      </c>
      <c r="H698">
        <v>-2</v>
      </c>
      <c r="I698">
        <v>1986</v>
      </c>
      <c r="J698" t="s">
        <v>36</v>
      </c>
      <c r="K698">
        <v>3273</v>
      </c>
      <c r="L698">
        <v>24.72</v>
      </c>
      <c r="M698">
        <v>10.58</v>
      </c>
      <c r="N698" s="4">
        <f t="shared" si="20"/>
        <v>4.7969654399999992E-2</v>
      </c>
      <c r="O698" s="4">
        <f t="shared" si="21"/>
        <v>0.50751894355199989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50</v>
      </c>
    </row>
    <row r="699" spans="1:22" x14ac:dyDescent="0.25">
      <c r="A699" t="s">
        <v>94</v>
      </c>
      <c r="B699">
        <v>2</v>
      </c>
      <c r="C699" t="s">
        <v>21</v>
      </c>
      <c r="D699" t="s">
        <v>95</v>
      </c>
      <c r="E699" t="s">
        <v>96</v>
      </c>
      <c r="F699">
        <v>150</v>
      </c>
      <c r="G699">
        <v>900</v>
      </c>
      <c r="H699">
        <v>-2</v>
      </c>
      <c r="I699">
        <v>1986</v>
      </c>
      <c r="J699" t="s">
        <v>36</v>
      </c>
      <c r="K699">
        <v>2573</v>
      </c>
      <c r="L699">
        <v>27.66</v>
      </c>
      <c r="M699">
        <v>11.83</v>
      </c>
      <c r="N699" s="4">
        <f t="shared" si="20"/>
        <v>6.0058434600000002E-2</v>
      </c>
      <c r="O699" s="4">
        <f t="shared" si="21"/>
        <v>0.71049128131799999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50</v>
      </c>
    </row>
    <row r="700" spans="1:22" x14ac:dyDescent="0.25">
      <c r="A700" t="s">
        <v>94</v>
      </c>
      <c r="B700">
        <v>2</v>
      </c>
      <c r="C700" t="s">
        <v>21</v>
      </c>
      <c r="D700" t="s">
        <v>95</v>
      </c>
      <c r="E700" t="s">
        <v>96</v>
      </c>
      <c r="F700">
        <v>150</v>
      </c>
      <c r="G700">
        <v>900</v>
      </c>
      <c r="H700">
        <v>-2</v>
      </c>
      <c r="I700">
        <v>1986</v>
      </c>
      <c r="J700" t="s">
        <v>97</v>
      </c>
      <c r="K700">
        <v>1257</v>
      </c>
      <c r="L700">
        <v>26.18</v>
      </c>
      <c r="M700">
        <v>11.96</v>
      </c>
      <c r="N700" s="4">
        <f t="shared" si="20"/>
        <v>5.3803303399999995E-2</v>
      </c>
      <c r="O700" s="4">
        <f t="shared" si="21"/>
        <v>0.64348750866399995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50</v>
      </c>
    </row>
    <row r="701" spans="1:22" x14ac:dyDescent="0.25">
      <c r="A701" t="s">
        <v>94</v>
      </c>
      <c r="B701">
        <v>2</v>
      </c>
      <c r="C701" t="s">
        <v>21</v>
      </c>
      <c r="D701" t="s">
        <v>95</v>
      </c>
      <c r="E701" t="s">
        <v>96</v>
      </c>
      <c r="F701">
        <v>150</v>
      </c>
      <c r="G701">
        <v>900</v>
      </c>
      <c r="H701">
        <v>-2</v>
      </c>
      <c r="I701">
        <v>1986</v>
      </c>
      <c r="J701" t="s">
        <v>97</v>
      </c>
      <c r="K701">
        <v>1825</v>
      </c>
      <c r="L701">
        <v>17.5</v>
      </c>
      <c r="M701">
        <v>7.99</v>
      </c>
      <c r="N701" s="4">
        <f t="shared" si="20"/>
        <v>2.4040624999999999E-2</v>
      </c>
      <c r="O701" s="4">
        <f t="shared" si="21"/>
        <v>0.19208459375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50</v>
      </c>
    </row>
    <row r="702" spans="1:22" x14ac:dyDescent="0.25">
      <c r="A702" t="s">
        <v>94</v>
      </c>
      <c r="B702">
        <v>2</v>
      </c>
      <c r="C702" t="s">
        <v>21</v>
      </c>
      <c r="D702" t="s">
        <v>95</v>
      </c>
      <c r="E702" t="s">
        <v>96</v>
      </c>
      <c r="F702">
        <v>150</v>
      </c>
      <c r="G702">
        <v>900</v>
      </c>
      <c r="H702">
        <v>-2</v>
      </c>
      <c r="I702">
        <v>1986</v>
      </c>
      <c r="J702" t="s">
        <v>98</v>
      </c>
      <c r="K702">
        <v>2768</v>
      </c>
      <c r="L702">
        <v>29.91</v>
      </c>
      <c r="M702">
        <v>11.22</v>
      </c>
      <c r="N702" s="4">
        <f t="shared" si="20"/>
        <v>7.0226735849999999E-2</v>
      </c>
      <c r="O702" s="4">
        <f t="shared" si="21"/>
        <v>0.78794397623700008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50</v>
      </c>
    </row>
    <row r="703" spans="1:22" x14ac:dyDescent="0.25">
      <c r="A703" t="s">
        <v>94</v>
      </c>
      <c r="B703">
        <v>2</v>
      </c>
      <c r="C703" t="s">
        <v>21</v>
      </c>
      <c r="D703" t="s">
        <v>95</v>
      </c>
      <c r="E703" t="s">
        <v>96</v>
      </c>
      <c r="F703">
        <v>150</v>
      </c>
      <c r="G703">
        <v>900</v>
      </c>
      <c r="H703">
        <v>-2</v>
      </c>
      <c r="I703">
        <v>1986</v>
      </c>
      <c r="J703" t="s">
        <v>98</v>
      </c>
      <c r="K703">
        <v>1609</v>
      </c>
      <c r="L703">
        <v>21.89</v>
      </c>
      <c r="M703">
        <v>8.2100000000000009</v>
      </c>
      <c r="N703" s="4">
        <f t="shared" si="20"/>
        <v>3.7615009850000006E-2</v>
      </c>
      <c r="O703" s="4">
        <f t="shared" si="21"/>
        <v>0.30881923086850011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50</v>
      </c>
    </row>
    <row r="704" spans="1:22" x14ac:dyDescent="0.25">
      <c r="A704" t="s">
        <v>94</v>
      </c>
      <c r="B704">
        <v>2</v>
      </c>
      <c r="C704" t="s">
        <v>21</v>
      </c>
      <c r="D704" t="s">
        <v>95</v>
      </c>
      <c r="E704" t="s">
        <v>96</v>
      </c>
      <c r="F704">
        <v>150</v>
      </c>
      <c r="G704">
        <v>900</v>
      </c>
      <c r="H704">
        <v>-2</v>
      </c>
      <c r="I704">
        <v>1986</v>
      </c>
      <c r="J704" t="s">
        <v>98</v>
      </c>
      <c r="K704">
        <v>3275</v>
      </c>
      <c r="L704">
        <v>28.19</v>
      </c>
      <c r="M704">
        <v>10.57</v>
      </c>
      <c r="N704" s="4">
        <f t="shared" si="20"/>
        <v>6.2382073850000018E-2</v>
      </c>
      <c r="O704" s="4">
        <f t="shared" si="21"/>
        <v>0.65937852059450019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50</v>
      </c>
    </row>
    <row r="705" spans="1:22" x14ac:dyDescent="0.25">
      <c r="A705" t="s">
        <v>94</v>
      </c>
      <c r="B705">
        <v>2</v>
      </c>
      <c r="C705" t="s">
        <v>21</v>
      </c>
      <c r="D705" t="s">
        <v>95</v>
      </c>
      <c r="E705" t="s">
        <v>96</v>
      </c>
      <c r="F705">
        <v>150</v>
      </c>
      <c r="G705">
        <v>900</v>
      </c>
      <c r="H705">
        <v>-2</v>
      </c>
      <c r="I705">
        <v>1986</v>
      </c>
      <c r="J705" t="s">
        <v>98</v>
      </c>
      <c r="K705">
        <v>3274</v>
      </c>
      <c r="L705">
        <v>19.920000000000002</v>
      </c>
      <c r="M705">
        <v>7.47</v>
      </c>
      <c r="N705" s="4">
        <f t="shared" si="20"/>
        <v>3.1149302400000002E-2</v>
      </c>
      <c r="O705" s="4">
        <f t="shared" si="21"/>
        <v>0.232685288928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50</v>
      </c>
    </row>
    <row r="706" spans="1:22" x14ac:dyDescent="0.25">
      <c r="A706" t="s">
        <v>94</v>
      </c>
      <c r="B706">
        <v>3</v>
      </c>
      <c r="C706" t="s">
        <v>21</v>
      </c>
      <c r="D706" t="s">
        <v>95</v>
      </c>
      <c r="E706" t="s">
        <v>96</v>
      </c>
      <c r="F706">
        <v>150</v>
      </c>
      <c r="G706">
        <v>900</v>
      </c>
      <c r="H706">
        <v>-2</v>
      </c>
      <c r="I706">
        <v>1986</v>
      </c>
      <c r="J706" t="s">
        <v>76</v>
      </c>
      <c r="K706">
        <v>3266</v>
      </c>
      <c r="L706">
        <v>20.16</v>
      </c>
      <c r="M706">
        <v>9.2100000000000009</v>
      </c>
      <c r="N706" s="4">
        <f t="shared" si="20"/>
        <v>3.1904409600000003E-2</v>
      </c>
      <c r="O706" s="4">
        <f t="shared" si="21"/>
        <v>0.29383961241600004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50</v>
      </c>
    </row>
    <row r="707" spans="1:22" x14ac:dyDescent="0.25">
      <c r="A707" t="s">
        <v>94</v>
      </c>
      <c r="B707">
        <v>3</v>
      </c>
      <c r="C707" t="s">
        <v>21</v>
      </c>
      <c r="D707" t="s">
        <v>95</v>
      </c>
      <c r="E707" t="s">
        <v>96</v>
      </c>
      <c r="F707">
        <v>150</v>
      </c>
      <c r="G707">
        <v>900</v>
      </c>
      <c r="H707">
        <v>-2</v>
      </c>
      <c r="I707">
        <v>1986</v>
      </c>
      <c r="J707" t="s">
        <v>76</v>
      </c>
      <c r="K707">
        <v>3267</v>
      </c>
      <c r="L707">
        <v>16.63</v>
      </c>
      <c r="M707">
        <v>7.59</v>
      </c>
      <c r="N707" s="4">
        <f t="shared" ref="N707:N737" si="22">3.14/4*((L707/100)^2)</f>
        <v>2.1709716650000002E-2</v>
      </c>
      <c r="O707" s="4">
        <f t="shared" ref="O707:O737" si="23">3.14/4*((L707/100)^2)*M707</f>
        <v>0.16477674937350001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50</v>
      </c>
    </row>
    <row r="708" spans="1:22" x14ac:dyDescent="0.25">
      <c r="A708" t="s">
        <v>94</v>
      </c>
      <c r="B708">
        <v>3</v>
      </c>
      <c r="C708" t="s">
        <v>21</v>
      </c>
      <c r="D708" t="s">
        <v>95</v>
      </c>
      <c r="E708" t="s">
        <v>96</v>
      </c>
      <c r="F708">
        <v>150</v>
      </c>
      <c r="G708">
        <v>900</v>
      </c>
      <c r="H708">
        <v>-2</v>
      </c>
      <c r="I708">
        <v>1986</v>
      </c>
      <c r="J708" t="s">
        <v>76</v>
      </c>
      <c r="K708">
        <v>3268</v>
      </c>
      <c r="L708">
        <v>14.31</v>
      </c>
      <c r="M708">
        <v>6.53</v>
      </c>
      <c r="N708" s="4">
        <f t="shared" si="22"/>
        <v>1.6074923850000002E-2</v>
      </c>
      <c r="O708" s="4">
        <f t="shared" si="23"/>
        <v>0.10496925274050002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50</v>
      </c>
    </row>
    <row r="709" spans="1:22" x14ac:dyDescent="0.25">
      <c r="A709" t="s">
        <v>94</v>
      </c>
      <c r="B709">
        <v>3</v>
      </c>
      <c r="C709" t="s">
        <v>21</v>
      </c>
      <c r="D709" t="s">
        <v>95</v>
      </c>
      <c r="E709" t="s">
        <v>96</v>
      </c>
      <c r="F709">
        <v>150</v>
      </c>
      <c r="G709">
        <v>900</v>
      </c>
      <c r="H709">
        <v>-2</v>
      </c>
      <c r="I709">
        <v>1986</v>
      </c>
      <c r="J709" t="s">
        <v>76</v>
      </c>
      <c r="K709">
        <v>3269</v>
      </c>
      <c r="L709">
        <v>25.34</v>
      </c>
      <c r="M709">
        <v>11.57</v>
      </c>
      <c r="N709" s="4">
        <f t="shared" si="22"/>
        <v>5.0406074600000003E-2</v>
      </c>
      <c r="O709" s="4">
        <f t="shared" si="23"/>
        <v>0.58319828312200006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50</v>
      </c>
    </row>
    <row r="710" spans="1:22" x14ac:dyDescent="0.25">
      <c r="A710" t="s">
        <v>94</v>
      </c>
      <c r="B710">
        <v>3</v>
      </c>
      <c r="C710" t="s">
        <v>21</v>
      </c>
      <c r="D710" t="s">
        <v>95</v>
      </c>
      <c r="E710" t="s">
        <v>96</v>
      </c>
      <c r="F710">
        <v>150</v>
      </c>
      <c r="G710">
        <v>900</v>
      </c>
      <c r="H710">
        <v>-2</v>
      </c>
      <c r="I710">
        <v>1986</v>
      </c>
      <c r="J710" t="s">
        <v>76</v>
      </c>
      <c r="K710">
        <v>2770</v>
      </c>
      <c r="L710">
        <v>15.23</v>
      </c>
      <c r="M710">
        <v>6.96</v>
      </c>
      <c r="N710" s="4">
        <f t="shared" si="22"/>
        <v>1.8208302649999997E-2</v>
      </c>
      <c r="O710" s="4">
        <f t="shared" si="23"/>
        <v>0.12672978644399999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50</v>
      </c>
    </row>
    <row r="711" spans="1:22" x14ac:dyDescent="0.25">
      <c r="A711" t="s">
        <v>94</v>
      </c>
      <c r="B711">
        <v>3</v>
      </c>
      <c r="C711" t="s">
        <v>21</v>
      </c>
      <c r="D711" t="s">
        <v>95</v>
      </c>
      <c r="E711" t="s">
        <v>96</v>
      </c>
      <c r="F711">
        <v>150</v>
      </c>
      <c r="G711">
        <v>900</v>
      </c>
      <c r="H711">
        <v>-2</v>
      </c>
      <c r="I711">
        <v>1986</v>
      </c>
      <c r="J711" t="s">
        <v>76</v>
      </c>
      <c r="K711">
        <v>2460</v>
      </c>
      <c r="L711">
        <v>24.16</v>
      </c>
      <c r="M711">
        <v>11.03</v>
      </c>
      <c r="N711" s="4">
        <f t="shared" si="22"/>
        <v>4.5820889600000005E-2</v>
      </c>
      <c r="O711" s="4">
        <f t="shared" si="23"/>
        <v>0.50540441228800004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50</v>
      </c>
    </row>
    <row r="712" spans="1:22" x14ac:dyDescent="0.25">
      <c r="A712" t="s">
        <v>94</v>
      </c>
      <c r="B712">
        <v>3</v>
      </c>
      <c r="C712" t="s">
        <v>21</v>
      </c>
      <c r="D712" t="s">
        <v>95</v>
      </c>
      <c r="E712" t="s">
        <v>96</v>
      </c>
      <c r="F712">
        <v>150</v>
      </c>
      <c r="G712">
        <v>900</v>
      </c>
      <c r="H712">
        <v>-2</v>
      </c>
      <c r="I712">
        <v>1986</v>
      </c>
      <c r="J712" t="s">
        <v>24</v>
      </c>
      <c r="K712">
        <v>2562</v>
      </c>
      <c r="L712">
        <v>29.11</v>
      </c>
      <c r="M712">
        <v>12.28</v>
      </c>
      <c r="N712" s="4">
        <f t="shared" si="22"/>
        <v>6.6520279849999989E-2</v>
      </c>
      <c r="O712" s="4">
        <f t="shared" si="23"/>
        <v>0.81686903655799981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50</v>
      </c>
    </row>
    <row r="713" spans="1:22" x14ac:dyDescent="0.25">
      <c r="A713" t="s">
        <v>94</v>
      </c>
      <c r="B713">
        <v>3</v>
      </c>
      <c r="C713" t="s">
        <v>21</v>
      </c>
      <c r="D713" t="s">
        <v>95</v>
      </c>
      <c r="E713" t="s">
        <v>96</v>
      </c>
      <c r="F713">
        <v>150</v>
      </c>
      <c r="G713">
        <v>900</v>
      </c>
      <c r="H713">
        <v>-2</v>
      </c>
      <c r="I713">
        <v>1986</v>
      </c>
      <c r="J713" t="s">
        <v>32</v>
      </c>
      <c r="K713">
        <v>3270</v>
      </c>
      <c r="L713">
        <v>29.29</v>
      </c>
      <c r="M713">
        <v>13.33</v>
      </c>
      <c r="N713" s="4">
        <f t="shared" si="22"/>
        <v>6.7345471850000005E-2</v>
      </c>
      <c r="O713" s="4">
        <f t="shared" si="23"/>
        <v>0.8977151397605001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50</v>
      </c>
    </row>
    <row r="714" spans="1:22" x14ac:dyDescent="0.25">
      <c r="A714" t="s">
        <v>94</v>
      </c>
      <c r="B714">
        <v>3</v>
      </c>
      <c r="C714" t="s">
        <v>21</v>
      </c>
      <c r="D714" t="s">
        <v>95</v>
      </c>
      <c r="E714" t="s">
        <v>96</v>
      </c>
      <c r="F714">
        <v>150</v>
      </c>
      <c r="G714">
        <v>900</v>
      </c>
      <c r="H714">
        <v>-2</v>
      </c>
      <c r="I714">
        <v>1986</v>
      </c>
      <c r="J714" t="s">
        <v>32</v>
      </c>
      <c r="K714">
        <v>3271</v>
      </c>
      <c r="L714">
        <v>12.2</v>
      </c>
      <c r="M714">
        <v>5.56</v>
      </c>
      <c r="N714" s="4">
        <f t="shared" si="22"/>
        <v>1.168394E-2</v>
      </c>
      <c r="O714" s="4">
        <f t="shared" si="23"/>
        <v>6.49627064E-2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50</v>
      </c>
    </row>
    <row r="715" spans="1:22" x14ac:dyDescent="0.25">
      <c r="A715" t="s">
        <v>94</v>
      </c>
      <c r="B715">
        <v>3</v>
      </c>
      <c r="C715" t="s">
        <v>21</v>
      </c>
      <c r="D715" t="s">
        <v>95</v>
      </c>
      <c r="E715" t="s">
        <v>96</v>
      </c>
      <c r="F715">
        <v>150</v>
      </c>
      <c r="G715">
        <v>900</v>
      </c>
      <c r="H715">
        <v>-2</v>
      </c>
      <c r="I715">
        <v>1986</v>
      </c>
      <c r="J715" t="s">
        <v>32</v>
      </c>
      <c r="K715">
        <v>2569</v>
      </c>
      <c r="L715">
        <v>22.89</v>
      </c>
      <c r="M715">
        <v>10.42</v>
      </c>
      <c r="N715" s="4">
        <f t="shared" si="22"/>
        <v>4.113023985E-2</v>
      </c>
      <c r="O715" s="4">
        <f t="shared" si="23"/>
        <v>0.42857709923699999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50</v>
      </c>
    </row>
    <row r="716" spans="1:22" x14ac:dyDescent="0.25">
      <c r="A716" t="s">
        <v>94</v>
      </c>
      <c r="B716">
        <v>3</v>
      </c>
      <c r="C716" t="s">
        <v>21</v>
      </c>
      <c r="D716" t="s">
        <v>95</v>
      </c>
      <c r="E716" t="s">
        <v>96</v>
      </c>
      <c r="F716">
        <v>150</v>
      </c>
      <c r="G716">
        <v>900</v>
      </c>
      <c r="H716">
        <v>-2</v>
      </c>
      <c r="I716">
        <v>1986</v>
      </c>
      <c r="J716" t="s">
        <v>32</v>
      </c>
      <c r="K716">
        <v>1596</v>
      </c>
      <c r="L716">
        <v>30.15</v>
      </c>
      <c r="M716">
        <v>13.73</v>
      </c>
      <c r="N716" s="4">
        <f t="shared" si="22"/>
        <v>7.1358266249999996E-2</v>
      </c>
      <c r="O716" s="4">
        <f t="shared" si="23"/>
        <v>0.97974899561249995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50</v>
      </c>
    </row>
    <row r="717" spans="1:22" x14ac:dyDescent="0.25">
      <c r="A717" t="s">
        <v>94</v>
      </c>
      <c r="B717">
        <v>3</v>
      </c>
      <c r="C717" t="s">
        <v>21</v>
      </c>
      <c r="D717" t="s">
        <v>95</v>
      </c>
      <c r="E717" t="s">
        <v>96</v>
      </c>
      <c r="F717">
        <v>150</v>
      </c>
      <c r="G717">
        <v>900</v>
      </c>
      <c r="H717">
        <v>-2</v>
      </c>
      <c r="I717">
        <v>1986</v>
      </c>
      <c r="J717" t="s">
        <v>32</v>
      </c>
      <c r="K717">
        <v>3068</v>
      </c>
      <c r="L717">
        <v>29.76</v>
      </c>
      <c r="M717">
        <v>13.55</v>
      </c>
      <c r="N717" s="4">
        <f t="shared" si="22"/>
        <v>6.9524121600000016E-2</v>
      </c>
      <c r="O717" s="4">
        <f t="shared" si="23"/>
        <v>0.94205184768000028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50</v>
      </c>
    </row>
    <row r="718" spans="1:22" x14ac:dyDescent="0.25">
      <c r="A718" t="s">
        <v>94</v>
      </c>
      <c r="B718">
        <v>3</v>
      </c>
      <c r="C718" t="s">
        <v>21</v>
      </c>
      <c r="D718" t="s">
        <v>95</v>
      </c>
      <c r="E718" t="s">
        <v>96</v>
      </c>
      <c r="F718">
        <v>150</v>
      </c>
      <c r="G718">
        <v>900</v>
      </c>
      <c r="H718">
        <v>-2</v>
      </c>
      <c r="I718">
        <v>1986</v>
      </c>
      <c r="J718" t="s">
        <v>36</v>
      </c>
      <c r="K718">
        <v>3272</v>
      </c>
      <c r="L718">
        <v>33.68</v>
      </c>
      <c r="M718">
        <v>14.41</v>
      </c>
      <c r="N718" s="4">
        <f t="shared" si="22"/>
        <v>8.90458784E-2</v>
      </c>
      <c r="O718" s="4">
        <f t="shared" si="23"/>
        <v>1.2831511077440001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50</v>
      </c>
    </row>
    <row r="719" spans="1:22" x14ac:dyDescent="0.25">
      <c r="A719" t="s">
        <v>94</v>
      </c>
      <c r="B719">
        <v>3</v>
      </c>
      <c r="C719" t="s">
        <v>21</v>
      </c>
      <c r="D719" t="s">
        <v>95</v>
      </c>
      <c r="E719" t="s">
        <v>96</v>
      </c>
      <c r="F719">
        <v>150</v>
      </c>
      <c r="G719">
        <v>900</v>
      </c>
      <c r="H719">
        <v>-2</v>
      </c>
      <c r="I719">
        <v>1986</v>
      </c>
      <c r="J719" t="s">
        <v>36</v>
      </c>
      <c r="K719">
        <v>3273</v>
      </c>
      <c r="L719">
        <v>25.85</v>
      </c>
      <c r="M719">
        <v>11.06</v>
      </c>
      <c r="N719" s="4">
        <f t="shared" si="22"/>
        <v>5.2455466249999999E-2</v>
      </c>
      <c r="O719" s="4">
        <f t="shared" si="23"/>
        <v>0.58015745672499996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50</v>
      </c>
    </row>
    <row r="720" spans="1:22" x14ac:dyDescent="0.25">
      <c r="A720" t="s">
        <v>94</v>
      </c>
      <c r="B720">
        <v>3</v>
      </c>
      <c r="C720" t="s">
        <v>21</v>
      </c>
      <c r="D720" t="s">
        <v>95</v>
      </c>
      <c r="E720" t="s">
        <v>96</v>
      </c>
      <c r="F720">
        <v>150</v>
      </c>
      <c r="G720">
        <v>900</v>
      </c>
      <c r="H720">
        <v>-2</v>
      </c>
      <c r="I720">
        <v>1986</v>
      </c>
      <c r="J720" t="s">
        <v>36</v>
      </c>
      <c r="K720">
        <v>2573</v>
      </c>
      <c r="L720">
        <v>20.72</v>
      </c>
      <c r="M720">
        <v>8.8699999999999992</v>
      </c>
      <c r="N720" s="4">
        <f t="shared" si="22"/>
        <v>3.3701494400000004E-2</v>
      </c>
      <c r="O720" s="4">
        <f t="shared" si="23"/>
        <v>0.298932255328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50</v>
      </c>
    </row>
    <row r="721" spans="1:22" x14ac:dyDescent="0.25">
      <c r="A721" t="s">
        <v>94</v>
      </c>
      <c r="B721">
        <v>3</v>
      </c>
      <c r="C721" t="s">
        <v>21</v>
      </c>
      <c r="D721" t="s">
        <v>95</v>
      </c>
      <c r="E721" t="s">
        <v>96</v>
      </c>
      <c r="F721">
        <v>150</v>
      </c>
      <c r="G721">
        <v>900</v>
      </c>
      <c r="H721">
        <v>-2</v>
      </c>
      <c r="I721">
        <v>1986</v>
      </c>
      <c r="J721" t="s">
        <v>97</v>
      </c>
      <c r="K721">
        <v>1257</v>
      </c>
      <c r="L721">
        <v>21.27</v>
      </c>
      <c r="M721">
        <v>9.7200000000000006</v>
      </c>
      <c r="N721" s="4">
        <f t="shared" si="22"/>
        <v>3.5514412650000007E-2</v>
      </c>
      <c r="O721" s="4">
        <f t="shared" si="23"/>
        <v>0.34520009095800008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50</v>
      </c>
    </row>
    <row r="722" spans="1:22" x14ac:dyDescent="0.25">
      <c r="A722" t="s">
        <v>94</v>
      </c>
      <c r="B722">
        <v>3</v>
      </c>
      <c r="C722" t="s">
        <v>21</v>
      </c>
      <c r="D722" t="s">
        <v>95</v>
      </c>
      <c r="E722" t="s">
        <v>96</v>
      </c>
      <c r="F722">
        <v>150</v>
      </c>
      <c r="G722">
        <v>900</v>
      </c>
      <c r="H722">
        <v>-2</v>
      </c>
      <c r="I722">
        <v>1986</v>
      </c>
      <c r="J722" t="s">
        <v>97</v>
      </c>
      <c r="K722">
        <v>1825</v>
      </c>
      <c r="L722">
        <v>19.63</v>
      </c>
      <c r="M722">
        <v>8.9700000000000006</v>
      </c>
      <c r="N722" s="4">
        <f t="shared" si="22"/>
        <v>3.0248946650000004E-2</v>
      </c>
      <c r="O722" s="4">
        <f t="shared" si="23"/>
        <v>0.27133305145050007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50</v>
      </c>
    </row>
    <row r="723" spans="1:22" x14ac:dyDescent="0.25">
      <c r="A723" t="s">
        <v>94</v>
      </c>
      <c r="B723">
        <v>3</v>
      </c>
      <c r="C723" t="s">
        <v>21</v>
      </c>
      <c r="D723" t="s">
        <v>95</v>
      </c>
      <c r="E723" t="s">
        <v>96</v>
      </c>
      <c r="F723">
        <v>150</v>
      </c>
      <c r="G723">
        <v>900</v>
      </c>
      <c r="H723">
        <v>-2</v>
      </c>
      <c r="I723">
        <v>1986</v>
      </c>
      <c r="J723" t="s">
        <v>98</v>
      </c>
      <c r="K723">
        <v>2768</v>
      </c>
      <c r="L723">
        <v>26.37</v>
      </c>
      <c r="M723">
        <v>9.89</v>
      </c>
      <c r="N723" s="4">
        <f t="shared" si="22"/>
        <v>5.4587086649999998E-2</v>
      </c>
      <c r="O723" s="4">
        <f t="shared" si="23"/>
        <v>0.53986628696850003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50</v>
      </c>
    </row>
    <row r="724" spans="1:22" x14ac:dyDescent="0.25">
      <c r="A724" t="s">
        <v>94</v>
      </c>
      <c r="B724">
        <v>3</v>
      </c>
      <c r="C724" t="s">
        <v>21</v>
      </c>
      <c r="D724" t="s">
        <v>95</v>
      </c>
      <c r="E724" t="s">
        <v>96</v>
      </c>
      <c r="F724">
        <v>150</v>
      </c>
      <c r="G724">
        <v>900</v>
      </c>
      <c r="H724">
        <v>-2</v>
      </c>
      <c r="I724">
        <v>1986</v>
      </c>
      <c r="J724" t="s">
        <v>98</v>
      </c>
      <c r="K724">
        <v>1609</v>
      </c>
      <c r="L724">
        <v>26.19</v>
      </c>
      <c r="M724">
        <v>9.82</v>
      </c>
      <c r="N724" s="4">
        <f t="shared" si="22"/>
        <v>5.3844413850000009E-2</v>
      </c>
      <c r="O724" s="4">
        <f t="shared" si="23"/>
        <v>0.5287521440070001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50</v>
      </c>
    </row>
    <row r="725" spans="1:22" x14ac:dyDescent="0.25">
      <c r="A725" t="s">
        <v>94</v>
      </c>
      <c r="B725">
        <v>3</v>
      </c>
      <c r="C725" t="s">
        <v>21</v>
      </c>
      <c r="D725" t="s">
        <v>95</v>
      </c>
      <c r="E725" t="s">
        <v>96</v>
      </c>
      <c r="F725">
        <v>150</v>
      </c>
      <c r="G725">
        <v>900</v>
      </c>
      <c r="H725">
        <v>-2</v>
      </c>
      <c r="I725">
        <v>1986</v>
      </c>
      <c r="J725" t="s">
        <v>98</v>
      </c>
      <c r="K725">
        <v>3275</v>
      </c>
      <c r="L725">
        <v>17.350000000000001</v>
      </c>
      <c r="M725">
        <v>6.51</v>
      </c>
      <c r="N725" s="4">
        <f t="shared" si="22"/>
        <v>2.3630266250000004E-2</v>
      </c>
      <c r="O725" s="4">
        <f t="shared" si="23"/>
        <v>0.15383303328750003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50</v>
      </c>
    </row>
    <row r="726" spans="1:22" x14ac:dyDescent="0.25">
      <c r="A726" t="s">
        <v>94</v>
      </c>
      <c r="B726">
        <v>3</v>
      </c>
      <c r="C726" t="s">
        <v>21</v>
      </c>
      <c r="D726" t="s">
        <v>95</v>
      </c>
      <c r="E726" t="s">
        <v>96</v>
      </c>
      <c r="F726">
        <v>150</v>
      </c>
      <c r="G726">
        <v>900</v>
      </c>
      <c r="H726">
        <v>-2</v>
      </c>
      <c r="I726">
        <v>1986</v>
      </c>
      <c r="J726" t="s">
        <v>98</v>
      </c>
      <c r="K726">
        <v>3274</v>
      </c>
      <c r="L726">
        <v>20.57</v>
      </c>
      <c r="M726">
        <v>7.71</v>
      </c>
      <c r="N726" s="4">
        <f t="shared" si="22"/>
        <v>3.3215304649999999E-2</v>
      </c>
      <c r="O726" s="4">
        <f t="shared" si="23"/>
        <v>0.25608999885149997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50</v>
      </c>
    </row>
    <row r="727" spans="1:22" x14ac:dyDescent="0.25">
      <c r="A727" t="s">
        <v>99</v>
      </c>
      <c r="B727">
        <v>1</v>
      </c>
      <c r="C727" t="s">
        <v>100</v>
      </c>
      <c r="D727" t="s">
        <v>101</v>
      </c>
      <c r="E727" t="s">
        <v>102</v>
      </c>
      <c r="F727">
        <v>150</v>
      </c>
      <c r="G727">
        <v>1750</v>
      </c>
      <c r="H727">
        <v>-2</v>
      </c>
      <c r="I727">
        <v>1986</v>
      </c>
      <c r="J727" t="s">
        <v>76</v>
      </c>
      <c r="K727" t="s">
        <v>44</v>
      </c>
      <c r="L727">
        <v>27.68</v>
      </c>
      <c r="M727">
        <v>12.64</v>
      </c>
      <c r="N727" s="4">
        <f t="shared" si="22"/>
        <v>6.0145318399999995E-2</v>
      </c>
      <c r="O727" s="4">
        <f t="shared" si="23"/>
        <v>0.76023682457599995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50</v>
      </c>
    </row>
    <row r="728" spans="1:22" x14ac:dyDescent="0.25">
      <c r="A728" t="s">
        <v>99</v>
      </c>
      <c r="B728">
        <v>1</v>
      </c>
      <c r="C728" t="s">
        <v>100</v>
      </c>
      <c r="D728" t="s">
        <v>101</v>
      </c>
      <c r="E728" t="s">
        <v>102</v>
      </c>
      <c r="F728">
        <v>150</v>
      </c>
      <c r="G728">
        <v>1750</v>
      </c>
      <c r="H728">
        <v>-2</v>
      </c>
      <c r="I728">
        <v>1986</v>
      </c>
      <c r="J728" t="s">
        <v>24</v>
      </c>
      <c r="K728" t="s">
        <v>44</v>
      </c>
      <c r="L728">
        <v>30.93</v>
      </c>
      <c r="M728">
        <v>13.05</v>
      </c>
      <c r="N728" s="4">
        <f t="shared" si="22"/>
        <v>7.5098194650000005E-2</v>
      </c>
      <c r="O728" s="4">
        <f t="shared" si="23"/>
        <v>0.9800314401825001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50</v>
      </c>
    </row>
    <row r="729" spans="1:22" x14ac:dyDescent="0.25">
      <c r="A729" t="s">
        <v>99</v>
      </c>
      <c r="B729">
        <v>1</v>
      </c>
      <c r="C729" t="s">
        <v>100</v>
      </c>
      <c r="D729" t="s">
        <v>101</v>
      </c>
      <c r="E729" t="s">
        <v>102</v>
      </c>
      <c r="F729">
        <v>150</v>
      </c>
      <c r="G729">
        <v>1750</v>
      </c>
      <c r="H729">
        <v>-2</v>
      </c>
      <c r="I729">
        <v>1986</v>
      </c>
      <c r="J729" t="s">
        <v>32</v>
      </c>
      <c r="K729" t="s">
        <v>44</v>
      </c>
      <c r="L729">
        <v>26.16</v>
      </c>
      <c r="M729">
        <v>11.89</v>
      </c>
      <c r="N729" s="4">
        <f t="shared" si="22"/>
        <v>5.3721129600000007E-2</v>
      </c>
      <c r="O729" s="4">
        <f t="shared" si="23"/>
        <v>0.63874423094400012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50</v>
      </c>
    </row>
    <row r="730" spans="1:22" x14ac:dyDescent="0.25">
      <c r="A730" t="s">
        <v>99</v>
      </c>
      <c r="B730">
        <v>1</v>
      </c>
      <c r="C730" t="s">
        <v>100</v>
      </c>
      <c r="D730" t="s">
        <v>101</v>
      </c>
      <c r="E730" t="s">
        <v>102</v>
      </c>
      <c r="F730">
        <v>150</v>
      </c>
      <c r="G730">
        <v>1750</v>
      </c>
      <c r="H730">
        <v>-2</v>
      </c>
      <c r="I730">
        <v>1986</v>
      </c>
      <c r="J730" t="s">
        <v>36</v>
      </c>
      <c r="K730" t="s">
        <v>44</v>
      </c>
      <c r="L730">
        <v>38.51</v>
      </c>
      <c r="M730">
        <v>16.46</v>
      </c>
      <c r="N730" s="4">
        <f t="shared" si="22"/>
        <v>0.11641707785000001</v>
      </c>
      <c r="O730" s="4">
        <f t="shared" si="23"/>
        <v>1.9162251014110003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50</v>
      </c>
    </row>
    <row r="731" spans="1:22" x14ac:dyDescent="0.25">
      <c r="A731" t="s">
        <v>99</v>
      </c>
      <c r="B731">
        <v>1</v>
      </c>
      <c r="C731" t="s">
        <v>100</v>
      </c>
      <c r="D731" t="s">
        <v>101</v>
      </c>
      <c r="E731" t="s">
        <v>102</v>
      </c>
      <c r="F731">
        <v>150</v>
      </c>
      <c r="G731">
        <v>1750</v>
      </c>
      <c r="H731">
        <v>-2</v>
      </c>
      <c r="I731">
        <v>1986</v>
      </c>
      <c r="J731" t="s">
        <v>97</v>
      </c>
      <c r="K731" t="s">
        <v>44</v>
      </c>
      <c r="L731">
        <v>24</v>
      </c>
      <c r="M731">
        <v>10.96</v>
      </c>
      <c r="N731" s="4">
        <f t="shared" si="22"/>
        <v>4.5215999999999999E-2</v>
      </c>
      <c r="O731" s="4">
        <f t="shared" si="23"/>
        <v>0.49556736000000001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50</v>
      </c>
    </row>
    <row r="732" spans="1:22" x14ac:dyDescent="0.25">
      <c r="A732" t="s">
        <v>99</v>
      </c>
      <c r="B732">
        <v>1</v>
      </c>
      <c r="C732" t="s">
        <v>100</v>
      </c>
      <c r="D732" t="s">
        <v>101</v>
      </c>
      <c r="E732" t="s">
        <v>102</v>
      </c>
      <c r="F732">
        <v>150</v>
      </c>
      <c r="G732">
        <v>1750</v>
      </c>
      <c r="H732">
        <v>-2</v>
      </c>
      <c r="I732">
        <v>1986</v>
      </c>
      <c r="J732" t="s">
        <v>98</v>
      </c>
      <c r="K732" t="s">
        <v>44</v>
      </c>
      <c r="L732">
        <v>29.02</v>
      </c>
      <c r="M732">
        <v>10.87</v>
      </c>
      <c r="N732" s="4">
        <f t="shared" si="22"/>
        <v>6.6109591400000001E-2</v>
      </c>
      <c r="O732" s="4">
        <f t="shared" si="23"/>
        <v>0.71861125851800001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50</v>
      </c>
    </row>
    <row r="733" spans="1:22" x14ac:dyDescent="0.25">
      <c r="A733" t="s">
        <v>103</v>
      </c>
      <c r="B733">
        <v>1</v>
      </c>
      <c r="C733" t="s">
        <v>47</v>
      </c>
      <c r="D733" t="s">
        <v>104</v>
      </c>
      <c r="E733" t="s">
        <v>79</v>
      </c>
      <c r="F733">
        <v>100</v>
      </c>
      <c r="G733">
        <v>1250</v>
      </c>
      <c r="H733">
        <v>-2</v>
      </c>
      <c r="I733">
        <v>1983</v>
      </c>
      <c r="J733" t="s">
        <v>59</v>
      </c>
      <c r="K733">
        <v>2548</v>
      </c>
      <c r="L733">
        <v>41.63</v>
      </c>
      <c r="M733">
        <v>12.64</v>
      </c>
      <c r="N733" s="4">
        <f t="shared" si="22"/>
        <v>0.13604496665000002</v>
      </c>
      <c r="O733" s="4">
        <f t="shared" si="23"/>
        <v>1.7196083784560003</v>
      </c>
      <c r="P733">
        <v>28</v>
      </c>
      <c r="Q733">
        <v>4.2</v>
      </c>
      <c r="R733">
        <v>3.2</v>
      </c>
      <c r="S733">
        <v>2.2999999999999998</v>
      </c>
      <c r="T733">
        <v>1.9</v>
      </c>
      <c r="U733">
        <v>1.7</v>
      </c>
      <c r="V733" t="s">
        <v>38</v>
      </c>
    </row>
    <row r="734" spans="1:22" x14ac:dyDescent="0.25">
      <c r="A734" t="s">
        <v>103</v>
      </c>
      <c r="B734">
        <v>1</v>
      </c>
      <c r="C734" t="s">
        <v>47</v>
      </c>
      <c r="D734" t="s">
        <v>104</v>
      </c>
      <c r="E734" t="s">
        <v>79</v>
      </c>
      <c r="F734">
        <v>100</v>
      </c>
      <c r="G734">
        <v>1250</v>
      </c>
      <c r="H734">
        <v>-2</v>
      </c>
      <c r="I734">
        <v>1983</v>
      </c>
      <c r="J734" t="s">
        <v>26</v>
      </c>
      <c r="K734">
        <v>2552</v>
      </c>
      <c r="L734">
        <v>33.35</v>
      </c>
      <c r="M734">
        <v>10.61</v>
      </c>
      <c r="N734" s="4">
        <f t="shared" si="22"/>
        <v>8.7309466250000009E-2</v>
      </c>
      <c r="O734" s="4">
        <f t="shared" si="23"/>
        <v>0.92635343691250005</v>
      </c>
      <c r="P734">
        <v>33</v>
      </c>
      <c r="Q734">
        <v>4.5</v>
      </c>
      <c r="R734">
        <v>4</v>
      </c>
      <c r="S734">
        <v>2.8</v>
      </c>
      <c r="T734">
        <v>3</v>
      </c>
      <c r="U734">
        <v>1.5</v>
      </c>
      <c r="V734" t="s">
        <v>25</v>
      </c>
    </row>
    <row r="735" spans="1:22" x14ac:dyDescent="0.25">
      <c r="A735" t="s">
        <v>103</v>
      </c>
      <c r="B735">
        <v>1</v>
      </c>
      <c r="C735" t="s">
        <v>47</v>
      </c>
      <c r="D735" t="s">
        <v>104</v>
      </c>
      <c r="E735" t="s">
        <v>79</v>
      </c>
      <c r="F735">
        <v>100</v>
      </c>
      <c r="G735">
        <v>1250</v>
      </c>
      <c r="H735">
        <v>-2</v>
      </c>
      <c r="I735">
        <v>1983</v>
      </c>
      <c r="J735" t="s">
        <v>33</v>
      </c>
      <c r="K735">
        <v>2568</v>
      </c>
      <c r="L735">
        <v>28.21</v>
      </c>
      <c r="M735">
        <v>9.4700000000000006</v>
      </c>
      <c r="N735" s="4">
        <f t="shared" si="22"/>
        <v>6.2470621850000005E-2</v>
      </c>
      <c r="O735" s="4">
        <f t="shared" si="23"/>
        <v>0.59159678891950007</v>
      </c>
      <c r="P735">
        <v>94</v>
      </c>
      <c r="Q735">
        <v>4.5999999999999996</v>
      </c>
      <c r="R735">
        <v>3</v>
      </c>
      <c r="S735">
        <v>2</v>
      </c>
      <c r="T735">
        <v>1.8</v>
      </c>
      <c r="U735">
        <v>1.2</v>
      </c>
      <c r="V735" t="s">
        <v>25</v>
      </c>
    </row>
    <row r="736" spans="1:22" x14ac:dyDescent="0.25">
      <c r="A736" t="s">
        <v>103</v>
      </c>
      <c r="B736">
        <v>1</v>
      </c>
      <c r="C736" t="s">
        <v>47</v>
      </c>
      <c r="D736" t="s">
        <v>104</v>
      </c>
      <c r="E736" t="s">
        <v>79</v>
      </c>
      <c r="F736">
        <v>100</v>
      </c>
      <c r="G736">
        <v>1250</v>
      </c>
      <c r="H736">
        <v>-2</v>
      </c>
      <c r="I736">
        <v>1983</v>
      </c>
      <c r="J736" t="s">
        <v>34</v>
      </c>
      <c r="K736">
        <v>1522</v>
      </c>
      <c r="L736">
        <v>27.36</v>
      </c>
      <c r="M736">
        <v>11.49</v>
      </c>
      <c r="N736" s="4">
        <f t="shared" si="22"/>
        <v>5.8762713600000002E-2</v>
      </c>
      <c r="O736" s="4">
        <f t="shared" si="23"/>
        <v>0.67518357926400008</v>
      </c>
      <c r="P736">
        <v>67</v>
      </c>
      <c r="Q736">
        <v>4.7</v>
      </c>
      <c r="R736">
        <v>3.3</v>
      </c>
      <c r="S736">
        <v>3.4</v>
      </c>
      <c r="T736">
        <v>3.4</v>
      </c>
      <c r="U736">
        <v>3</v>
      </c>
      <c r="V736" t="s">
        <v>25</v>
      </c>
    </row>
    <row r="737" spans="1:22" x14ac:dyDescent="0.25">
      <c r="A737" t="s">
        <v>103</v>
      </c>
      <c r="B737">
        <v>1</v>
      </c>
      <c r="C737" t="s">
        <v>47</v>
      </c>
      <c r="D737" t="s">
        <v>104</v>
      </c>
      <c r="E737" t="s">
        <v>79</v>
      </c>
      <c r="F737">
        <v>100</v>
      </c>
      <c r="G737">
        <v>1250</v>
      </c>
      <c r="H737">
        <v>-2</v>
      </c>
      <c r="I737">
        <v>1983</v>
      </c>
      <c r="J737" t="s">
        <v>62</v>
      </c>
      <c r="K737" t="s">
        <v>44</v>
      </c>
      <c r="L737">
        <v>22.34</v>
      </c>
      <c r="M737">
        <v>8.84</v>
      </c>
      <c r="N737" s="4">
        <f t="shared" si="22"/>
        <v>3.9177434599999998E-2</v>
      </c>
      <c r="O737" s="4">
        <f t="shared" si="23"/>
        <v>0.34632852186399998</v>
      </c>
      <c r="P737">
        <v>25</v>
      </c>
      <c r="Q737">
        <v>3.8</v>
      </c>
      <c r="R737">
        <v>3.5</v>
      </c>
      <c r="S737">
        <v>3</v>
      </c>
      <c r="T737">
        <v>3.5</v>
      </c>
      <c r="U737">
        <v>3</v>
      </c>
      <c r="V73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737"/>
  <sheetViews>
    <sheetView workbookViewId="0">
      <selection activeCell="L738" sqref="L738"/>
    </sheetView>
  </sheetViews>
  <sheetFormatPr baseColWidth="10" defaultColWidth="9.140625" defaultRowHeight="15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5" width="6" style="4" customWidth="1"/>
    <col min="16" max="16" width="4.85546875" bestFit="1" customWidth="1"/>
    <col min="17" max="17" width="4" bestFit="1" customWidth="1"/>
    <col min="18" max="18" width="7.28515625" bestFit="1" customWidth="1"/>
    <col min="19" max="19" width="9.28515625" bestFit="1" customWidth="1"/>
    <col min="20" max="20" width="10.42578125" bestFit="1" customWidth="1"/>
    <col min="21" max="21" width="9.7109375" bestFit="1" customWidth="1"/>
    <col min="22" max="22" width="8" bestFit="1" customWidth="1"/>
    <col min="23" max="23" width="3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105</v>
      </c>
      <c r="O1" s="3" t="s">
        <v>106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5" hidden="1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 s="4">
        <f>3.14/4*((L2/100)^2)</f>
        <v>2.6721596250000004E-2</v>
      </c>
      <c r="O2" s="4">
        <f>3.14/4*((L2/100)^2)*M2</f>
        <v>0.26614709865000008</v>
      </c>
      <c r="P2">
        <v>40</v>
      </c>
      <c r="Q2">
        <v>4</v>
      </c>
      <c r="R2">
        <v>3</v>
      </c>
      <c r="S2">
        <v>3.5</v>
      </c>
      <c r="T2">
        <v>4</v>
      </c>
      <c r="U2">
        <v>3.5</v>
      </c>
      <c r="V2" t="s">
        <v>25</v>
      </c>
    </row>
    <row r="3" spans="1:25" hidden="1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 s="4">
        <f t="shared" ref="N3:N66" si="0">3.14/4*((L3/100)^2)</f>
        <v>1.3574416250000002E-2</v>
      </c>
      <c r="O3" s="4">
        <f t="shared" ref="O3:O66" si="1">3.14/4*((L3/100)^2)*M3</f>
        <v>0.13099311681250003</v>
      </c>
      <c r="P3">
        <v>90</v>
      </c>
      <c r="Q3">
        <v>4.5</v>
      </c>
      <c r="R3">
        <v>4</v>
      </c>
      <c r="S3">
        <v>3.5</v>
      </c>
      <c r="T3">
        <v>3.5</v>
      </c>
      <c r="U3">
        <v>3</v>
      </c>
      <c r="V3" t="s">
        <v>27</v>
      </c>
      <c r="X3" s="2" t="s">
        <v>11</v>
      </c>
      <c r="Y3" t="s">
        <v>28</v>
      </c>
    </row>
    <row r="4" spans="1:25" hidden="1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 s="4">
        <f t="shared" si="0"/>
        <v>8.3604383999999997E-3</v>
      </c>
      <c r="O4" s="4">
        <f t="shared" si="1"/>
        <v>5.43428496E-2</v>
      </c>
      <c r="P4">
        <v>50</v>
      </c>
      <c r="Q4">
        <v>2.2999999999999998</v>
      </c>
      <c r="R4">
        <v>2.5</v>
      </c>
      <c r="S4">
        <v>3</v>
      </c>
      <c r="T4">
        <v>3.5</v>
      </c>
      <c r="U4">
        <v>3</v>
      </c>
      <c r="V4" t="s">
        <v>30</v>
      </c>
      <c r="X4" s="2" t="s">
        <v>12</v>
      </c>
      <c r="Y4" s="2" t="s">
        <v>31</v>
      </c>
    </row>
    <row r="5" spans="1:25" hidden="1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 s="4">
        <f t="shared" si="0"/>
        <v>1.7194640000000008E-2</v>
      </c>
      <c r="O5" s="4">
        <f t="shared" si="1"/>
        <v>0.16300518720000007</v>
      </c>
      <c r="P5">
        <v>70</v>
      </c>
      <c r="Q5">
        <v>3.7</v>
      </c>
      <c r="R5">
        <v>3</v>
      </c>
      <c r="S5">
        <v>3.3</v>
      </c>
      <c r="T5">
        <v>4</v>
      </c>
      <c r="U5">
        <v>3.5</v>
      </c>
      <c r="V5" t="s">
        <v>25</v>
      </c>
      <c r="X5" s="2" t="s">
        <v>10</v>
      </c>
    </row>
    <row r="6" spans="1:25" hidden="1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 s="4">
        <f t="shared" si="0"/>
        <v>1.6504624999999998E-2</v>
      </c>
      <c r="O6" s="4">
        <f t="shared" si="1"/>
        <v>0.17791985749999997</v>
      </c>
      <c r="P6">
        <v>90</v>
      </c>
      <c r="Q6">
        <v>4</v>
      </c>
      <c r="R6">
        <v>2.7</v>
      </c>
      <c r="S6">
        <v>3.3</v>
      </c>
      <c r="T6">
        <v>3</v>
      </c>
      <c r="U6">
        <v>3</v>
      </c>
      <c r="V6" t="s">
        <v>25</v>
      </c>
      <c r="X6" t="s">
        <v>13</v>
      </c>
    </row>
    <row r="7" spans="1:25" hidden="1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 s="4">
        <f t="shared" si="0"/>
        <v>2.2713197850000009E-2</v>
      </c>
      <c r="O7" s="4">
        <f t="shared" si="1"/>
        <v>0.27891806959800008</v>
      </c>
      <c r="P7">
        <v>70</v>
      </c>
      <c r="Q7">
        <v>5</v>
      </c>
      <c r="R7">
        <v>4</v>
      </c>
      <c r="S7">
        <v>5</v>
      </c>
      <c r="T7">
        <v>4</v>
      </c>
      <c r="U7">
        <v>4.5</v>
      </c>
      <c r="V7" t="s">
        <v>27</v>
      </c>
      <c r="X7" t="s">
        <v>14</v>
      </c>
    </row>
    <row r="8" spans="1:25" hidden="1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 s="4">
        <f t="shared" si="0"/>
        <v>1.5232524650000002E-2</v>
      </c>
      <c r="O8" s="4">
        <f t="shared" si="1"/>
        <v>0.14882176583050002</v>
      </c>
      <c r="P8">
        <v>80</v>
      </c>
      <c r="Q8">
        <v>4</v>
      </c>
      <c r="R8">
        <v>2</v>
      </c>
      <c r="S8">
        <v>3</v>
      </c>
      <c r="T8">
        <v>3</v>
      </c>
      <c r="U8">
        <v>3</v>
      </c>
      <c r="V8" t="s">
        <v>25</v>
      </c>
      <c r="X8" t="s">
        <v>15</v>
      </c>
    </row>
    <row r="9" spans="1:25" hidden="1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 s="4">
        <f t="shared" si="0"/>
        <v>2.8487846250000004E-2</v>
      </c>
      <c r="O9" s="4">
        <f t="shared" si="1"/>
        <v>0.32077314877500002</v>
      </c>
      <c r="P9">
        <v>100</v>
      </c>
      <c r="Q9">
        <v>5</v>
      </c>
      <c r="R9">
        <v>4.5</v>
      </c>
      <c r="S9">
        <v>3.5</v>
      </c>
      <c r="T9">
        <v>4</v>
      </c>
      <c r="U9">
        <v>2</v>
      </c>
      <c r="V9" t="s">
        <v>27</v>
      </c>
      <c r="X9" t="s">
        <v>16</v>
      </c>
    </row>
    <row r="10" spans="1:25" hidden="1" x14ac:dyDescent="0.25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 s="4">
        <f t="shared" si="0"/>
        <v>4.5580554000000002E-3</v>
      </c>
      <c r="O10" s="4">
        <f t="shared" si="1"/>
        <v>3.0037585086000001E-2</v>
      </c>
      <c r="P10">
        <v>80</v>
      </c>
      <c r="Q10">
        <v>2.5</v>
      </c>
      <c r="R10">
        <v>2.5</v>
      </c>
      <c r="S10">
        <v>3.3</v>
      </c>
      <c r="T10">
        <v>3.5</v>
      </c>
      <c r="U10">
        <v>3.5</v>
      </c>
      <c r="V10" t="s">
        <v>38</v>
      </c>
      <c r="X10" t="s">
        <v>17</v>
      </c>
    </row>
    <row r="11" spans="1:25" hidden="1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 s="4">
        <f t="shared" si="0"/>
        <v>1.7078656249999997E-2</v>
      </c>
      <c r="O11" s="4">
        <f t="shared" si="1"/>
        <v>0.15592813156249999</v>
      </c>
      <c r="P11">
        <v>50</v>
      </c>
      <c r="Q11">
        <v>4</v>
      </c>
      <c r="R11">
        <v>4</v>
      </c>
      <c r="S11">
        <v>3.3</v>
      </c>
      <c r="T11">
        <v>3</v>
      </c>
      <c r="U11">
        <v>3</v>
      </c>
      <c r="V11" t="s">
        <v>25</v>
      </c>
      <c r="X11" t="s">
        <v>18</v>
      </c>
    </row>
    <row r="12" spans="1:25" hidden="1" x14ac:dyDescent="0.25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 s="4">
        <f t="shared" si="0"/>
        <v>5.2141662500000008E-3</v>
      </c>
      <c r="O12" s="4">
        <f t="shared" si="1"/>
        <v>3.5039197200000004E-2</v>
      </c>
      <c r="P12">
        <v>70</v>
      </c>
      <c r="Q12">
        <v>1.5</v>
      </c>
      <c r="R12">
        <v>3</v>
      </c>
      <c r="S12">
        <v>3</v>
      </c>
      <c r="T12">
        <v>3</v>
      </c>
      <c r="U12">
        <v>3</v>
      </c>
      <c r="V12" t="s">
        <v>30</v>
      </c>
      <c r="X12" t="s">
        <v>19</v>
      </c>
    </row>
    <row r="13" spans="1:25" hidden="1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 s="4">
        <f t="shared" si="0"/>
        <v>1.782773465E-2</v>
      </c>
      <c r="O13" s="4">
        <f t="shared" si="1"/>
        <v>0.12782485744049998</v>
      </c>
      <c r="P13">
        <v>10</v>
      </c>
      <c r="Q13">
        <v>4</v>
      </c>
      <c r="R13">
        <v>4</v>
      </c>
      <c r="S13">
        <v>3.3</v>
      </c>
      <c r="T13">
        <v>3</v>
      </c>
      <c r="U13">
        <v>2</v>
      </c>
      <c r="V13" t="s">
        <v>25</v>
      </c>
    </row>
    <row r="14" spans="1:25" hidden="1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 s="4">
        <f t="shared" si="0"/>
        <v>6.3443778500000009E-3</v>
      </c>
      <c r="O14" s="4">
        <f t="shared" si="1"/>
        <v>3.8383485992500008E-2</v>
      </c>
      <c r="P14">
        <v>60</v>
      </c>
      <c r="Q14">
        <v>2.5</v>
      </c>
      <c r="R14">
        <v>3</v>
      </c>
      <c r="S14">
        <v>3</v>
      </c>
      <c r="T14">
        <v>4</v>
      </c>
      <c r="U14">
        <v>4</v>
      </c>
      <c r="V14" t="s">
        <v>30</v>
      </c>
    </row>
    <row r="15" spans="1:25" hidden="1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 s="4">
        <f t="shared" si="0"/>
        <v>1.3533156649999999E-2</v>
      </c>
      <c r="O15" s="4">
        <f t="shared" si="1"/>
        <v>8.2281592431999992E-2</v>
      </c>
      <c r="P15">
        <v>80</v>
      </c>
      <c r="Q15">
        <v>3.5</v>
      </c>
      <c r="R15">
        <v>4</v>
      </c>
      <c r="S15">
        <v>4</v>
      </c>
      <c r="T15">
        <v>3.5</v>
      </c>
      <c r="U15">
        <v>3.5</v>
      </c>
      <c r="V15" t="s">
        <v>27</v>
      </c>
    </row>
    <row r="16" spans="1:25" hidden="1" x14ac:dyDescent="0.25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 s="4">
        <f t="shared" si="0"/>
        <v>9.1223593999999984E-3</v>
      </c>
      <c r="O16" s="4">
        <f t="shared" si="1"/>
        <v>8.146266944199998E-2</v>
      </c>
      <c r="P16">
        <v>100</v>
      </c>
      <c r="Q16">
        <v>3</v>
      </c>
      <c r="R16">
        <v>2</v>
      </c>
      <c r="S16">
        <v>3</v>
      </c>
      <c r="T16">
        <v>3</v>
      </c>
      <c r="U16">
        <v>3</v>
      </c>
      <c r="V16" t="s">
        <v>25</v>
      </c>
    </row>
    <row r="17" spans="1:22" hidden="1" x14ac:dyDescent="0.25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 s="4">
        <f t="shared" si="0"/>
        <v>1.3430282400000002E-2</v>
      </c>
      <c r="O17" s="4">
        <f t="shared" si="1"/>
        <v>0.131482464696</v>
      </c>
      <c r="P17">
        <v>90</v>
      </c>
      <c r="Q17">
        <v>5</v>
      </c>
      <c r="R17">
        <v>4.5</v>
      </c>
      <c r="S17">
        <v>5</v>
      </c>
      <c r="T17">
        <v>4</v>
      </c>
      <c r="U17">
        <v>4</v>
      </c>
      <c r="V17" t="s">
        <v>27</v>
      </c>
    </row>
    <row r="18" spans="1:22" hidden="1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 s="4">
        <f t="shared" si="0"/>
        <v>8.1991994000000026E-3</v>
      </c>
      <c r="O18" s="4">
        <f t="shared" si="1"/>
        <v>6.8217339008000019E-2</v>
      </c>
      <c r="P18">
        <v>100</v>
      </c>
      <c r="Q18">
        <v>3</v>
      </c>
      <c r="R18">
        <v>1.8</v>
      </c>
      <c r="S18">
        <v>3</v>
      </c>
      <c r="T18">
        <v>3</v>
      </c>
      <c r="U18">
        <v>3</v>
      </c>
      <c r="V18" t="s">
        <v>38</v>
      </c>
    </row>
    <row r="19" spans="1:22" hidden="1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 s="4">
        <f t="shared" si="0"/>
        <v>2.7480031850000006E-2</v>
      </c>
      <c r="O19" s="4">
        <f t="shared" si="1"/>
        <v>0.2995323471650001</v>
      </c>
      <c r="P19">
        <v>100</v>
      </c>
      <c r="Q19">
        <v>4</v>
      </c>
      <c r="R19">
        <v>4</v>
      </c>
      <c r="S19">
        <v>3.3</v>
      </c>
      <c r="T19">
        <v>4</v>
      </c>
      <c r="U19">
        <v>3</v>
      </c>
      <c r="V19" t="s">
        <v>27</v>
      </c>
    </row>
    <row r="20" spans="1:22" hidden="1" x14ac:dyDescent="0.25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 s="4">
        <f t="shared" si="0"/>
        <v>5.3170326500000002E-3</v>
      </c>
      <c r="O20" s="4">
        <f t="shared" si="1"/>
        <v>3.4560712224999998E-2</v>
      </c>
      <c r="P20">
        <v>70</v>
      </c>
      <c r="Q20">
        <v>2</v>
      </c>
      <c r="R20">
        <v>2</v>
      </c>
      <c r="S20">
        <v>3.3</v>
      </c>
      <c r="T20">
        <v>4</v>
      </c>
      <c r="U20">
        <v>3.5</v>
      </c>
      <c r="V20" t="s">
        <v>30</v>
      </c>
    </row>
    <row r="21" spans="1:22" hidden="1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 s="4">
        <f t="shared" si="0"/>
        <v>2.40956064E-2</v>
      </c>
      <c r="O21" s="4">
        <f t="shared" si="1"/>
        <v>0.22216149100800001</v>
      </c>
      <c r="P21">
        <v>60</v>
      </c>
      <c r="Q21">
        <v>4</v>
      </c>
      <c r="R21">
        <v>3</v>
      </c>
      <c r="S21">
        <v>3</v>
      </c>
      <c r="T21">
        <v>3</v>
      </c>
      <c r="U21">
        <v>2</v>
      </c>
      <c r="V21" t="s">
        <v>25</v>
      </c>
    </row>
    <row r="22" spans="1:22" hidden="1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 s="4">
        <f t="shared" si="0"/>
        <v>9.071656249999999E-3</v>
      </c>
      <c r="O22" s="4">
        <f t="shared" si="1"/>
        <v>5.3613488437499995E-2</v>
      </c>
      <c r="P22">
        <v>50</v>
      </c>
      <c r="Q22">
        <v>2.7</v>
      </c>
      <c r="R22">
        <v>4</v>
      </c>
      <c r="S22">
        <v>3.3</v>
      </c>
      <c r="T22">
        <v>3.5</v>
      </c>
      <c r="U22">
        <v>3</v>
      </c>
      <c r="V22" t="s">
        <v>38</v>
      </c>
    </row>
    <row r="23" spans="1:22" hidden="1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 s="4">
        <f t="shared" si="0"/>
        <v>3.6354166399999999E-2</v>
      </c>
      <c r="O23" s="4">
        <f t="shared" si="1"/>
        <v>0.31882603932799997</v>
      </c>
      <c r="P23">
        <v>20</v>
      </c>
      <c r="Q23">
        <v>4</v>
      </c>
      <c r="R23">
        <v>3.5</v>
      </c>
      <c r="S23">
        <v>3</v>
      </c>
      <c r="T23">
        <v>3</v>
      </c>
      <c r="U23">
        <v>1</v>
      </c>
      <c r="V23" t="s">
        <v>38</v>
      </c>
    </row>
    <row r="24" spans="1:22" hidden="1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 s="4">
        <f t="shared" si="0"/>
        <v>1.8184399399999999E-2</v>
      </c>
      <c r="O24" s="4">
        <f t="shared" si="1"/>
        <v>0.1181985961</v>
      </c>
      <c r="P24">
        <v>30</v>
      </c>
      <c r="Q24">
        <v>3</v>
      </c>
      <c r="R24">
        <v>4</v>
      </c>
      <c r="S24">
        <v>3</v>
      </c>
      <c r="T24">
        <v>3</v>
      </c>
      <c r="U24">
        <v>3</v>
      </c>
      <c r="V24" t="s">
        <v>38</v>
      </c>
    </row>
    <row r="25" spans="1:22" hidden="1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 s="4">
        <f t="shared" si="0"/>
        <v>7.4318226500000003E-3</v>
      </c>
      <c r="O25" s="4">
        <f t="shared" si="1"/>
        <v>6.4433902375500007E-2</v>
      </c>
      <c r="P25">
        <v>70</v>
      </c>
      <c r="Q25">
        <v>2.7</v>
      </c>
      <c r="R25">
        <v>4</v>
      </c>
      <c r="S25">
        <v>3.5</v>
      </c>
      <c r="T25">
        <v>3.5</v>
      </c>
      <c r="U25">
        <v>3.5</v>
      </c>
      <c r="V25" t="s">
        <v>25</v>
      </c>
    </row>
    <row r="26" spans="1:22" hidden="1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 s="4">
        <f t="shared" si="0"/>
        <v>2.3088616249999996E-2</v>
      </c>
      <c r="O26" s="4">
        <f t="shared" si="1"/>
        <v>0.18978842557499997</v>
      </c>
      <c r="P26">
        <v>60</v>
      </c>
      <c r="Q26">
        <v>5</v>
      </c>
      <c r="R26">
        <v>2.7</v>
      </c>
      <c r="S26">
        <v>3.5</v>
      </c>
      <c r="T26">
        <v>3</v>
      </c>
      <c r="U26">
        <v>2</v>
      </c>
      <c r="V26" t="s">
        <v>25</v>
      </c>
    </row>
    <row r="27" spans="1:22" hidden="1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 s="4">
        <f t="shared" si="0"/>
        <v>2.042388665E-2</v>
      </c>
      <c r="O27" s="4">
        <f t="shared" si="1"/>
        <v>0.2032176721675</v>
      </c>
      <c r="P27">
        <v>50</v>
      </c>
      <c r="Q27">
        <v>4.3</v>
      </c>
      <c r="R27">
        <v>4.5</v>
      </c>
      <c r="S27">
        <v>3.3</v>
      </c>
      <c r="T27">
        <v>3.5</v>
      </c>
      <c r="U27">
        <v>3</v>
      </c>
      <c r="V27" t="s">
        <v>25</v>
      </c>
    </row>
    <row r="28" spans="1:22" hidden="1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 s="4">
        <f t="shared" si="0"/>
        <v>6.0514393999999989E-3</v>
      </c>
      <c r="O28" s="4">
        <f t="shared" si="1"/>
        <v>3.5037834125999992E-2</v>
      </c>
      <c r="P28">
        <v>50</v>
      </c>
      <c r="Q28">
        <v>2.5</v>
      </c>
      <c r="R28">
        <v>2</v>
      </c>
      <c r="S28">
        <v>3.2</v>
      </c>
      <c r="T28">
        <v>3.3</v>
      </c>
      <c r="U28">
        <v>3</v>
      </c>
      <c r="V28" t="s">
        <v>38</v>
      </c>
    </row>
    <row r="29" spans="1:22" hidden="1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 s="4">
        <f t="shared" si="0"/>
        <v>2.3169463400000003E-2</v>
      </c>
      <c r="O29" s="4">
        <f t="shared" si="1"/>
        <v>0.23146293936600004</v>
      </c>
      <c r="P29">
        <v>90</v>
      </c>
      <c r="Q29">
        <v>4.3</v>
      </c>
      <c r="R29">
        <v>4.5</v>
      </c>
      <c r="S29">
        <v>3.5</v>
      </c>
      <c r="T29">
        <v>4</v>
      </c>
      <c r="U29">
        <v>3.3</v>
      </c>
      <c r="V29" t="s">
        <v>25</v>
      </c>
    </row>
    <row r="30" spans="1:22" hidden="1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 s="4">
        <f t="shared" si="0"/>
        <v>1.2050699850000002E-2</v>
      </c>
      <c r="O30" s="4">
        <f t="shared" si="1"/>
        <v>6.6881384167500016E-2</v>
      </c>
      <c r="P30">
        <v>80</v>
      </c>
      <c r="Q30">
        <v>3</v>
      </c>
      <c r="R30">
        <v>2.5</v>
      </c>
      <c r="S30">
        <v>2</v>
      </c>
      <c r="T30">
        <v>2</v>
      </c>
      <c r="U30">
        <v>2</v>
      </c>
      <c r="V30" t="s">
        <v>38</v>
      </c>
    </row>
    <row r="31" spans="1:22" hidden="1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 s="4">
        <f t="shared" si="0"/>
        <v>1.7078656249999997E-2</v>
      </c>
      <c r="O31" s="4">
        <f t="shared" si="1"/>
        <v>0.13304273218749998</v>
      </c>
      <c r="P31">
        <v>30</v>
      </c>
      <c r="Q31">
        <v>4</v>
      </c>
      <c r="R31">
        <v>4</v>
      </c>
      <c r="S31">
        <v>4</v>
      </c>
      <c r="T31">
        <v>2.5</v>
      </c>
      <c r="U31">
        <v>2</v>
      </c>
      <c r="V31" t="s">
        <v>25</v>
      </c>
    </row>
    <row r="32" spans="1:22" hidden="1" x14ac:dyDescent="0.25">
      <c r="A32" t="s">
        <v>40</v>
      </c>
      <c r="B32">
        <v>1</v>
      </c>
      <c r="C32" t="s">
        <v>41</v>
      </c>
      <c r="D32" t="s">
        <v>42</v>
      </c>
      <c r="E32" t="s">
        <v>43</v>
      </c>
      <c r="F32">
        <v>200</v>
      </c>
      <c r="G32">
        <v>1400</v>
      </c>
      <c r="H32">
        <v>-2</v>
      </c>
      <c r="I32">
        <v>1980</v>
      </c>
      <c r="J32" t="s">
        <v>26</v>
      </c>
      <c r="K32">
        <v>1487</v>
      </c>
      <c r="L32">
        <v>27.98</v>
      </c>
      <c r="M32">
        <v>8.64</v>
      </c>
      <c r="N32" s="4">
        <f t="shared" si="0"/>
        <v>6.1456111399999992E-2</v>
      </c>
      <c r="O32" s="4">
        <f t="shared" si="1"/>
        <v>0.53098080249599999</v>
      </c>
      <c r="P32" t="s">
        <v>44</v>
      </c>
      <c r="Q32">
        <v>2.2999999999999998</v>
      </c>
      <c r="R32">
        <v>4</v>
      </c>
      <c r="S32">
        <v>2</v>
      </c>
      <c r="T32">
        <v>2</v>
      </c>
      <c r="U32">
        <v>2</v>
      </c>
      <c r="V32" t="s">
        <v>30</v>
      </c>
    </row>
    <row r="33" spans="1:22" hidden="1" x14ac:dyDescent="0.25">
      <c r="A33" t="s">
        <v>40</v>
      </c>
      <c r="B33">
        <v>1</v>
      </c>
      <c r="C33" t="s">
        <v>41</v>
      </c>
      <c r="D33" t="s">
        <v>42</v>
      </c>
      <c r="E33" t="s">
        <v>43</v>
      </c>
      <c r="F33">
        <v>200</v>
      </c>
      <c r="G33">
        <v>1400</v>
      </c>
      <c r="H33">
        <v>-2</v>
      </c>
      <c r="I33">
        <v>1980</v>
      </c>
      <c r="J33" t="s">
        <v>32</v>
      </c>
      <c r="K33">
        <v>1596</v>
      </c>
      <c r="L33">
        <v>25.99</v>
      </c>
      <c r="M33">
        <v>9.6</v>
      </c>
      <c r="N33" s="4">
        <f t="shared" si="0"/>
        <v>5.3025187849999982E-2</v>
      </c>
      <c r="O33" s="4">
        <f t="shared" si="1"/>
        <v>0.50904180335999982</v>
      </c>
      <c r="P33" t="s">
        <v>44</v>
      </c>
      <c r="Q33">
        <v>4</v>
      </c>
      <c r="R33">
        <v>4</v>
      </c>
      <c r="S33">
        <v>3</v>
      </c>
      <c r="T33">
        <v>4</v>
      </c>
      <c r="U33">
        <v>2.7</v>
      </c>
      <c r="V33" t="s">
        <v>27</v>
      </c>
    </row>
    <row r="34" spans="1:22" hidden="1" x14ac:dyDescent="0.25">
      <c r="A34" t="s">
        <v>40</v>
      </c>
      <c r="B34">
        <v>1</v>
      </c>
      <c r="C34" t="s">
        <v>41</v>
      </c>
      <c r="D34" t="s">
        <v>42</v>
      </c>
      <c r="E34" t="s">
        <v>43</v>
      </c>
      <c r="F34">
        <v>200</v>
      </c>
      <c r="G34">
        <v>1400</v>
      </c>
      <c r="H34">
        <v>-2</v>
      </c>
      <c r="I34">
        <v>1980</v>
      </c>
      <c r="J34" t="s">
        <v>33</v>
      </c>
      <c r="K34">
        <v>2088</v>
      </c>
      <c r="L34">
        <v>33.409999999999997</v>
      </c>
      <c r="M34">
        <v>8.35</v>
      </c>
      <c r="N34" s="4">
        <f t="shared" si="0"/>
        <v>8.7623905849999989E-2</v>
      </c>
      <c r="O34" s="4">
        <f t="shared" si="1"/>
        <v>0.73165961384749989</v>
      </c>
      <c r="P34" t="s">
        <v>44</v>
      </c>
      <c r="Q34">
        <v>4</v>
      </c>
      <c r="R34">
        <v>2.8</v>
      </c>
      <c r="S34">
        <v>2.5</v>
      </c>
      <c r="T34">
        <v>1.5</v>
      </c>
      <c r="U34">
        <v>1.5</v>
      </c>
      <c r="V34" t="s">
        <v>38</v>
      </c>
    </row>
    <row r="35" spans="1:22" x14ac:dyDescent="0.25">
      <c r="A35" t="s">
        <v>40</v>
      </c>
      <c r="B35">
        <v>1</v>
      </c>
      <c r="C35" t="s">
        <v>41</v>
      </c>
      <c r="D35" t="s">
        <v>42</v>
      </c>
      <c r="E35" t="s">
        <v>43</v>
      </c>
      <c r="F35">
        <v>200</v>
      </c>
      <c r="G35">
        <v>1400</v>
      </c>
      <c r="H35">
        <v>-2</v>
      </c>
      <c r="I35">
        <v>1980</v>
      </c>
      <c r="J35" t="s">
        <v>35</v>
      </c>
      <c r="K35">
        <v>1521</v>
      </c>
      <c r="L35">
        <v>33.299999999999997</v>
      </c>
      <c r="M35">
        <v>13.32</v>
      </c>
      <c r="N35" s="4">
        <f t="shared" si="0"/>
        <v>8.7047864999999988E-2</v>
      </c>
      <c r="O35" s="4">
        <f t="shared" si="1"/>
        <v>1.1594775617999999</v>
      </c>
      <c r="P35" t="s">
        <v>44</v>
      </c>
      <c r="Q35">
        <v>4</v>
      </c>
      <c r="R35">
        <v>2.2999999999999998</v>
      </c>
      <c r="S35">
        <v>3.3</v>
      </c>
      <c r="T35">
        <v>2</v>
      </c>
      <c r="U35">
        <v>1</v>
      </c>
      <c r="V35" t="s">
        <v>25</v>
      </c>
    </row>
    <row r="36" spans="1:22" x14ac:dyDescent="0.25">
      <c r="A36" t="s">
        <v>40</v>
      </c>
      <c r="B36">
        <v>1</v>
      </c>
      <c r="C36" t="s">
        <v>41</v>
      </c>
      <c r="D36" t="s">
        <v>42</v>
      </c>
      <c r="E36" t="s">
        <v>43</v>
      </c>
      <c r="F36">
        <v>200</v>
      </c>
      <c r="G36">
        <v>1400</v>
      </c>
      <c r="H36">
        <v>-2</v>
      </c>
      <c r="I36">
        <v>1980</v>
      </c>
      <c r="J36" t="s">
        <v>36</v>
      </c>
      <c r="K36">
        <v>1523</v>
      </c>
      <c r="L36">
        <v>33.130000000000003</v>
      </c>
      <c r="M36">
        <v>12.33</v>
      </c>
      <c r="N36" s="4">
        <f t="shared" si="0"/>
        <v>8.6161356650000021E-2</v>
      </c>
      <c r="O36" s="4">
        <f t="shared" si="1"/>
        <v>1.0623695274945002</v>
      </c>
      <c r="P36" t="s">
        <v>44</v>
      </c>
      <c r="Q36">
        <v>4</v>
      </c>
      <c r="R36">
        <v>4</v>
      </c>
      <c r="S36">
        <v>3.5</v>
      </c>
      <c r="T36">
        <v>4</v>
      </c>
      <c r="U36">
        <v>2.7</v>
      </c>
      <c r="V36" t="s">
        <v>25</v>
      </c>
    </row>
    <row r="37" spans="1:22" hidden="1" x14ac:dyDescent="0.25">
      <c r="A37" t="s">
        <v>40</v>
      </c>
      <c r="B37">
        <v>1</v>
      </c>
      <c r="C37" t="s">
        <v>41</v>
      </c>
      <c r="D37" t="s">
        <v>42</v>
      </c>
      <c r="E37" t="s">
        <v>43</v>
      </c>
      <c r="F37">
        <v>200</v>
      </c>
      <c r="G37">
        <v>1400</v>
      </c>
      <c r="H37">
        <v>-2</v>
      </c>
      <c r="I37">
        <v>1980</v>
      </c>
      <c r="J37" t="s">
        <v>37</v>
      </c>
      <c r="K37">
        <v>1524</v>
      </c>
      <c r="L37">
        <v>12.79</v>
      </c>
      <c r="M37">
        <v>8.82</v>
      </c>
      <c r="N37" s="4">
        <f t="shared" si="0"/>
        <v>1.2841351849999998E-2</v>
      </c>
      <c r="O37" s="4">
        <f t="shared" si="1"/>
        <v>0.11326072331699999</v>
      </c>
      <c r="P37" t="s">
        <v>44</v>
      </c>
      <c r="Q37">
        <v>2.5</v>
      </c>
      <c r="R37">
        <v>3</v>
      </c>
      <c r="S37">
        <v>3.3</v>
      </c>
      <c r="T37">
        <v>4</v>
      </c>
      <c r="U37">
        <v>4</v>
      </c>
      <c r="V37" t="s">
        <v>30</v>
      </c>
    </row>
    <row r="38" spans="1:22" x14ac:dyDescent="0.25">
      <c r="A38" t="s">
        <v>40</v>
      </c>
      <c r="B38">
        <v>2</v>
      </c>
      <c r="C38" t="s">
        <v>41</v>
      </c>
      <c r="D38" t="s">
        <v>42</v>
      </c>
      <c r="E38" t="s">
        <v>43</v>
      </c>
      <c r="F38">
        <v>200</v>
      </c>
      <c r="G38">
        <v>1400</v>
      </c>
      <c r="H38">
        <v>-2</v>
      </c>
      <c r="I38">
        <v>1980</v>
      </c>
      <c r="J38" t="s">
        <v>24</v>
      </c>
      <c r="K38">
        <v>1520</v>
      </c>
      <c r="L38">
        <v>25.92</v>
      </c>
      <c r="M38">
        <v>12.12</v>
      </c>
      <c r="N38" s="4">
        <f t="shared" si="0"/>
        <v>5.2739942400000017E-2</v>
      </c>
      <c r="O38" s="4">
        <f t="shared" si="1"/>
        <v>0.63920810188800015</v>
      </c>
      <c r="P38" t="s">
        <v>44</v>
      </c>
      <c r="Q38">
        <v>3.3</v>
      </c>
      <c r="R38">
        <v>3</v>
      </c>
      <c r="S38">
        <v>4</v>
      </c>
      <c r="T38">
        <v>3.5</v>
      </c>
      <c r="U38">
        <v>3.5</v>
      </c>
      <c r="V38" t="s">
        <v>25</v>
      </c>
    </row>
    <row r="39" spans="1:22" hidden="1" x14ac:dyDescent="0.25">
      <c r="A39" t="s">
        <v>40</v>
      </c>
      <c r="B39">
        <v>2</v>
      </c>
      <c r="C39" t="s">
        <v>41</v>
      </c>
      <c r="D39" t="s">
        <v>42</v>
      </c>
      <c r="E39" t="s">
        <v>43</v>
      </c>
      <c r="F39">
        <v>200</v>
      </c>
      <c r="G39">
        <v>1400</v>
      </c>
      <c r="H39">
        <v>-2</v>
      </c>
      <c r="I39">
        <v>1980</v>
      </c>
      <c r="J39" t="s">
        <v>26</v>
      </c>
      <c r="K39">
        <v>1487</v>
      </c>
      <c r="L39">
        <v>26.94</v>
      </c>
      <c r="M39">
        <v>9.93</v>
      </c>
      <c r="N39" s="4">
        <f t="shared" si="0"/>
        <v>5.697244260000002E-2</v>
      </c>
      <c r="O39" s="4">
        <f t="shared" si="1"/>
        <v>0.56573635501800024</v>
      </c>
      <c r="P39" t="s">
        <v>44</v>
      </c>
      <c r="Q39">
        <v>3.3</v>
      </c>
      <c r="R39">
        <v>4</v>
      </c>
      <c r="S39">
        <v>3</v>
      </c>
      <c r="T39">
        <v>3.5</v>
      </c>
      <c r="U39">
        <v>3</v>
      </c>
      <c r="V39" t="s">
        <v>25</v>
      </c>
    </row>
    <row r="40" spans="1:22" hidden="1" x14ac:dyDescent="0.25">
      <c r="A40" t="s">
        <v>40</v>
      </c>
      <c r="B40">
        <v>2</v>
      </c>
      <c r="C40" t="s">
        <v>41</v>
      </c>
      <c r="D40" t="s">
        <v>42</v>
      </c>
      <c r="E40" t="s">
        <v>43</v>
      </c>
      <c r="F40">
        <v>200</v>
      </c>
      <c r="G40">
        <v>1400</v>
      </c>
      <c r="H40">
        <v>-2</v>
      </c>
      <c r="I40">
        <v>1980</v>
      </c>
      <c r="J40" t="s">
        <v>45</v>
      </c>
      <c r="K40">
        <v>1362</v>
      </c>
      <c r="L40">
        <v>11.88</v>
      </c>
      <c r="M40">
        <v>8.23</v>
      </c>
      <c r="N40" s="4">
        <f t="shared" si="0"/>
        <v>1.1079050400000002E-2</v>
      </c>
      <c r="O40" s="4">
        <f t="shared" si="1"/>
        <v>9.1180584792000016E-2</v>
      </c>
      <c r="P40" t="s">
        <v>44</v>
      </c>
      <c r="Q40">
        <v>2</v>
      </c>
      <c r="R40">
        <v>4</v>
      </c>
      <c r="S40">
        <v>4</v>
      </c>
      <c r="T40">
        <v>4</v>
      </c>
      <c r="U40">
        <v>4</v>
      </c>
      <c r="V40" t="s">
        <v>30</v>
      </c>
    </row>
    <row r="41" spans="1:22" x14ac:dyDescent="0.25">
      <c r="A41" t="s">
        <v>40</v>
      </c>
      <c r="B41">
        <v>2</v>
      </c>
      <c r="C41" t="s">
        <v>41</v>
      </c>
      <c r="D41" t="s">
        <v>42</v>
      </c>
      <c r="E41" t="s">
        <v>43</v>
      </c>
      <c r="F41">
        <v>200</v>
      </c>
      <c r="G41">
        <v>1400</v>
      </c>
      <c r="H41">
        <v>-2</v>
      </c>
      <c r="I41">
        <v>1980</v>
      </c>
      <c r="J41" t="s">
        <v>32</v>
      </c>
      <c r="K41">
        <v>1596</v>
      </c>
      <c r="L41">
        <v>24.42</v>
      </c>
      <c r="M41">
        <v>10.47</v>
      </c>
      <c r="N41" s="4">
        <f t="shared" si="0"/>
        <v>4.6812407400000013E-2</v>
      </c>
      <c r="O41" s="4">
        <f t="shared" si="1"/>
        <v>0.49012590547800017</v>
      </c>
      <c r="P41" t="s">
        <v>44</v>
      </c>
      <c r="Q41">
        <v>4.5</v>
      </c>
      <c r="R41">
        <v>4</v>
      </c>
      <c r="S41">
        <v>4.3</v>
      </c>
      <c r="T41">
        <v>3.7</v>
      </c>
      <c r="U41">
        <v>3.3</v>
      </c>
      <c r="V41" t="s">
        <v>27</v>
      </c>
    </row>
    <row r="42" spans="1:22" x14ac:dyDescent="0.25">
      <c r="A42" t="s">
        <v>40</v>
      </c>
      <c r="B42">
        <v>2</v>
      </c>
      <c r="C42" t="s">
        <v>41</v>
      </c>
      <c r="D42" t="s">
        <v>42</v>
      </c>
      <c r="E42" t="s">
        <v>43</v>
      </c>
      <c r="F42">
        <v>200</v>
      </c>
      <c r="G42">
        <v>1400</v>
      </c>
      <c r="H42">
        <v>-2</v>
      </c>
      <c r="I42">
        <v>1980</v>
      </c>
      <c r="J42" t="s">
        <v>33</v>
      </c>
      <c r="K42">
        <v>2088</v>
      </c>
      <c r="L42">
        <v>31.74</v>
      </c>
      <c r="M42">
        <v>11.69</v>
      </c>
      <c r="N42" s="4">
        <f t="shared" si="0"/>
        <v>7.9083066599999988E-2</v>
      </c>
      <c r="O42" s="4">
        <f t="shared" si="1"/>
        <v>0.92448104855399982</v>
      </c>
      <c r="P42" t="s">
        <v>44</v>
      </c>
      <c r="Q42">
        <v>4</v>
      </c>
      <c r="R42">
        <v>2.5</v>
      </c>
      <c r="S42">
        <v>3</v>
      </c>
      <c r="T42">
        <v>3</v>
      </c>
      <c r="U42">
        <v>2</v>
      </c>
      <c r="V42" t="s">
        <v>25</v>
      </c>
    </row>
    <row r="43" spans="1:22" x14ac:dyDescent="0.25">
      <c r="A43" t="s">
        <v>40</v>
      </c>
      <c r="B43">
        <v>2</v>
      </c>
      <c r="C43" t="s">
        <v>41</v>
      </c>
      <c r="D43" t="s">
        <v>42</v>
      </c>
      <c r="E43" t="s">
        <v>43</v>
      </c>
      <c r="F43">
        <v>200</v>
      </c>
      <c r="G43">
        <v>1400</v>
      </c>
      <c r="H43">
        <v>-2</v>
      </c>
      <c r="I43">
        <v>1980</v>
      </c>
      <c r="J43" t="s">
        <v>34</v>
      </c>
      <c r="K43">
        <v>1522</v>
      </c>
      <c r="L43">
        <v>39.72</v>
      </c>
      <c r="M43">
        <v>13.82</v>
      </c>
      <c r="N43" s="4">
        <f t="shared" si="0"/>
        <v>0.1238477544</v>
      </c>
      <c r="O43" s="4">
        <f t="shared" si="1"/>
        <v>1.7115759658080001</v>
      </c>
      <c r="P43" t="s">
        <v>44</v>
      </c>
      <c r="Q43">
        <v>5</v>
      </c>
      <c r="R43">
        <v>4</v>
      </c>
      <c r="S43">
        <v>3.3</v>
      </c>
      <c r="T43">
        <v>3</v>
      </c>
      <c r="U43">
        <v>2</v>
      </c>
      <c r="V43" t="s">
        <v>27</v>
      </c>
    </row>
    <row r="44" spans="1:22" x14ac:dyDescent="0.25">
      <c r="A44" t="s">
        <v>40</v>
      </c>
      <c r="B44">
        <v>2</v>
      </c>
      <c r="C44" t="s">
        <v>41</v>
      </c>
      <c r="D44" t="s">
        <v>42</v>
      </c>
      <c r="E44" t="s">
        <v>43</v>
      </c>
      <c r="F44">
        <v>200</v>
      </c>
      <c r="G44">
        <v>1400</v>
      </c>
      <c r="H44">
        <v>-2</v>
      </c>
      <c r="I44">
        <v>1980</v>
      </c>
      <c r="J44" t="s">
        <v>35</v>
      </c>
      <c r="K44">
        <v>1521</v>
      </c>
      <c r="L44">
        <v>31.38</v>
      </c>
      <c r="M44">
        <v>13.32</v>
      </c>
      <c r="N44" s="4">
        <f t="shared" si="0"/>
        <v>7.7299295399999982E-2</v>
      </c>
      <c r="O44" s="4">
        <f t="shared" si="1"/>
        <v>1.0296266147279998</v>
      </c>
      <c r="P44" t="s">
        <v>44</v>
      </c>
      <c r="Q44">
        <v>4.3</v>
      </c>
      <c r="R44">
        <v>2.7</v>
      </c>
      <c r="S44">
        <v>4</v>
      </c>
      <c r="T44">
        <v>3.5</v>
      </c>
      <c r="U44">
        <v>3.3</v>
      </c>
      <c r="V44" t="s">
        <v>27</v>
      </c>
    </row>
    <row r="45" spans="1:22" hidden="1" x14ac:dyDescent="0.25">
      <c r="A45" t="s">
        <v>40</v>
      </c>
      <c r="B45">
        <v>2</v>
      </c>
      <c r="C45" t="s">
        <v>41</v>
      </c>
      <c r="D45" t="s">
        <v>42</v>
      </c>
      <c r="E45" t="s">
        <v>43</v>
      </c>
      <c r="F45">
        <v>200</v>
      </c>
      <c r="G45">
        <v>1400</v>
      </c>
      <c r="H45">
        <v>-2</v>
      </c>
      <c r="I45">
        <v>1980</v>
      </c>
      <c r="J45" t="s">
        <v>36</v>
      </c>
      <c r="K45">
        <v>1523</v>
      </c>
      <c r="L45">
        <v>31.72</v>
      </c>
      <c r="M45">
        <v>9.9600000000000009</v>
      </c>
      <c r="N45" s="4">
        <f t="shared" si="0"/>
        <v>7.8983434399999997E-2</v>
      </c>
      <c r="O45" s="4">
        <f t="shared" si="1"/>
        <v>0.78667500662400003</v>
      </c>
      <c r="P45" t="s">
        <v>44</v>
      </c>
      <c r="Q45">
        <v>4.5</v>
      </c>
      <c r="R45">
        <v>4</v>
      </c>
      <c r="S45">
        <v>3.5</v>
      </c>
      <c r="T45">
        <v>3.5</v>
      </c>
      <c r="U45">
        <v>3</v>
      </c>
      <c r="V45" t="s">
        <v>27</v>
      </c>
    </row>
    <row r="46" spans="1:22" x14ac:dyDescent="0.25">
      <c r="A46" t="s">
        <v>40</v>
      </c>
      <c r="B46">
        <v>2</v>
      </c>
      <c r="C46" t="s">
        <v>41</v>
      </c>
      <c r="D46" t="s">
        <v>42</v>
      </c>
      <c r="E46" t="s">
        <v>43</v>
      </c>
      <c r="F46">
        <v>200</v>
      </c>
      <c r="G46">
        <v>1400</v>
      </c>
      <c r="H46">
        <v>-2</v>
      </c>
      <c r="I46">
        <v>1980</v>
      </c>
      <c r="J46" t="s">
        <v>37</v>
      </c>
      <c r="K46">
        <v>1524</v>
      </c>
      <c r="L46">
        <v>23.36</v>
      </c>
      <c r="M46">
        <v>10.33</v>
      </c>
      <c r="N46" s="4">
        <f t="shared" si="0"/>
        <v>4.28366336E-2</v>
      </c>
      <c r="O46" s="4">
        <f t="shared" si="1"/>
        <v>0.44250242508800003</v>
      </c>
      <c r="P46" t="s">
        <v>44</v>
      </c>
      <c r="Q46">
        <v>3.3</v>
      </c>
      <c r="R46">
        <v>3</v>
      </c>
      <c r="S46">
        <v>3</v>
      </c>
      <c r="T46">
        <v>4</v>
      </c>
      <c r="U46">
        <v>4</v>
      </c>
      <c r="V46" t="s">
        <v>25</v>
      </c>
    </row>
    <row r="47" spans="1:22" hidden="1" x14ac:dyDescent="0.25">
      <c r="A47" t="s">
        <v>40</v>
      </c>
      <c r="B47">
        <v>3</v>
      </c>
      <c r="C47" t="s">
        <v>41</v>
      </c>
      <c r="D47" t="s">
        <v>42</v>
      </c>
      <c r="E47" t="s">
        <v>43</v>
      </c>
      <c r="F47">
        <v>200</v>
      </c>
      <c r="G47">
        <v>1400</v>
      </c>
      <c r="H47">
        <v>-2</v>
      </c>
      <c r="I47">
        <v>1980</v>
      </c>
      <c r="J47" t="s">
        <v>24</v>
      </c>
      <c r="K47">
        <v>1520</v>
      </c>
      <c r="L47">
        <v>13.99</v>
      </c>
      <c r="M47">
        <v>5.59</v>
      </c>
      <c r="N47" s="4">
        <f t="shared" si="0"/>
        <v>1.5364027849999998E-2</v>
      </c>
      <c r="O47" s="4">
        <f t="shared" si="1"/>
        <v>8.5884915681499988E-2</v>
      </c>
      <c r="P47" t="s">
        <v>44</v>
      </c>
      <c r="Q47">
        <v>2</v>
      </c>
      <c r="R47">
        <v>4</v>
      </c>
      <c r="S47">
        <v>3</v>
      </c>
      <c r="T47">
        <v>4</v>
      </c>
      <c r="U47">
        <v>3</v>
      </c>
      <c r="V47" t="s">
        <v>30</v>
      </c>
    </row>
    <row r="48" spans="1:22" hidden="1" x14ac:dyDescent="0.25">
      <c r="A48" t="s">
        <v>40</v>
      </c>
      <c r="B48">
        <v>3</v>
      </c>
      <c r="C48" t="s">
        <v>41</v>
      </c>
      <c r="D48" t="s">
        <v>42</v>
      </c>
      <c r="E48" t="s">
        <v>43</v>
      </c>
      <c r="F48">
        <v>200</v>
      </c>
      <c r="G48">
        <v>1400</v>
      </c>
      <c r="H48">
        <v>-2</v>
      </c>
      <c r="I48">
        <v>1980</v>
      </c>
      <c r="J48" t="s">
        <v>26</v>
      </c>
      <c r="K48">
        <v>1487</v>
      </c>
      <c r="L48">
        <v>3.0720000000000001</v>
      </c>
      <c r="M48">
        <v>9.93</v>
      </c>
      <c r="N48" s="4">
        <f t="shared" si="0"/>
        <v>7.4081894399999999E-4</v>
      </c>
      <c r="O48" s="4">
        <f t="shared" si="1"/>
        <v>7.3563321139199995E-3</v>
      </c>
      <c r="P48" t="s">
        <v>44</v>
      </c>
      <c r="Q48">
        <v>3</v>
      </c>
      <c r="R48">
        <v>4</v>
      </c>
      <c r="S48">
        <v>2</v>
      </c>
      <c r="T48">
        <v>2</v>
      </c>
      <c r="U48">
        <v>1</v>
      </c>
      <c r="V48" t="s">
        <v>25</v>
      </c>
    </row>
    <row r="49" spans="1:22" x14ac:dyDescent="0.25">
      <c r="A49" t="s">
        <v>40</v>
      </c>
      <c r="B49">
        <v>3</v>
      </c>
      <c r="C49" t="s">
        <v>41</v>
      </c>
      <c r="D49" t="s">
        <v>42</v>
      </c>
      <c r="E49" t="s">
        <v>43</v>
      </c>
      <c r="F49">
        <v>200</v>
      </c>
      <c r="G49">
        <v>1400</v>
      </c>
      <c r="H49">
        <v>-2</v>
      </c>
      <c r="I49">
        <v>1980</v>
      </c>
      <c r="J49" t="s">
        <v>45</v>
      </c>
      <c r="K49">
        <v>1362</v>
      </c>
      <c r="L49">
        <v>26.5</v>
      </c>
      <c r="M49">
        <v>10.97</v>
      </c>
      <c r="N49" s="4">
        <f t="shared" si="0"/>
        <v>5.5126625000000012E-2</v>
      </c>
      <c r="O49" s="4">
        <f t="shared" si="1"/>
        <v>0.60473907625000012</v>
      </c>
      <c r="P49" t="s">
        <v>44</v>
      </c>
      <c r="Q49">
        <v>3.5</v>
      </c>
      <c r="R49">
        <v>3.5</v>
      </c>
      <c r="S49">
        <v>3.7</v>
      </c>
      <c r="T49">
        <v>4</v>
      </c>
      <c r="U49">
        <v>3.7</v>
      </c>
      <c r="V49" t="s">
        <v>25</v>
      </c>
    </row>
    <row r="50" spans="1:22" hidden="1" x14ac:dyDescent="0.25">
      <c r="A50" t="s">
        <v>40</v>
      </c>
      <c r="B50">
        <v>3</v>
      </c>
      <c r="C50" t="s">
        <v>41</v>
      </c>
      <c r="D50" t="s">
        <v>42</v>
      </c>
      <c r="E50" t="s">
        <v>43</v>
      </c>
      <c r="F50">
        <v>200</v>
      </c>
      <c r="G50">
        <v>1400</v>
      </c>
      <c r="H50">
        <v>-2</v>
      </c>
      <c r="I50">
        <v>1980</v>
      </c>
      <c r="J50" t="s">
        <v>32</v>
      </c>
      <c r="K50">
        <v>1596</v>
      </c>
      <c r="L50">
        <v>24.42</v>
      </c>
      <c r="M50">
        <v>7.85</v>
      </c>
      <c r="N50" s="4">
        <f t="shared" si="0"/>
        <v>4.6812407400000013E-2</v>
      </c>
      <c r="O50" s="4">
        <f t="shared" si="1"/>
        <v>0.36747739809000007</v>
      </c>
      <c r="P50" t="s">
        <v>44</v>
      </c>
      <c r="Q50">
        <v>3</v>
      </c>
      <c r="R50">
        <v>3.5</v>
      </c>
      <c r="S50">
        <v>3.3</v>
      </c>
      <c r="T50">
        <v>3.3</v>
      </c>
      <c r="U50">
        <v>3.3</v>
      </c>
      <c r="V50" t="s">
        <v>25</v>
      </c>
    </row>
    <row r="51" spans="1:22" x14ac:dyDescent="0.25">
      <c r="A51" t="s">
        <v>40</v>
      </c>
      <c r="B51">
        <v>3</v>
      </c>
      <c r="C51" t="s">
        <v>41</v>
      </c>
      <c r="D51" t="s">
        <v>42</v>
      </c>
      <c r="E51" t="s">
        <v>43</v>
      </c>
      <c r="F51">
        <v>200</v>
      </c>
      <c r="G51">
        <v>1400</v>
      </c>
      <c r="H51">
        <v>-2</v>
      </c>
      <c r="I51">
        <v>1980</v>
      </c>
      <c r="J51" t="s">
        <v>33</v>
      </c>
      <c r="K51">
        <v>2088</v>
      </c>
      <c r="L51">
        <v>32.99</v>
      </c>
      <c r="M51">
        <v>12.53</v>
      </c>
      <c r="N51" s="4">
        <f t="shared" si="0"/>
        <v>8.5434697850000019E-2</v>
      </c>
      <c r="O51" s="4">
        <f t="shared" si="1"/>
        <v>1.0704967640605001</v>
      </c>
      <c r="P51" t="s">
        <v>44</v>
      </c>
      <c r="Q51">
        <v>5</v>
      </c>
      <c r="R51">
        <v>2.5</v>
      </c>
      <c r="S51">
        <v>4</v>
      </c>
      <c r="T51">
        <v>3</v>
      </c>
      <c r="U51">
        <v>2</v>
      </c>
      <c r="V51" t="s">
        <v>25</v>
      </c>
    </row>
    <row r="52" spans="1:22" x14ac:dyDescent="0.25">
      <c r="A52" t="s">
        <v>40</v>
      </c>
      <c r="B52">
        <v>3</v>
      </c>
      <c r="C52" t="s">
        <v>41</v>
      </c>
      <c r="D52" t="s">
        <v>42</v>
      </c>
      <c r="E52" t="s">
        <v>43</v>
      </c>
      <c r="F52">
        <v>200</v>
      </c>
      <c r="G52">
        <v>1400</v>
      </c>
      <c r="H52">
        <v>-2</v>
      </c>
      <c r="I52">
        <v>1980</v>
      </c>
      <c r="J52" t="s">
        <v>34</v>
      </c>
      <c r="K52">
        <v>1522</v>
      </c>
      <c r="L52">
        <v>30.48</v>
      </c>
      <c r="M52">
        <v>12.09</v>
      </c>
      <c r="N52" s="4">
        <f t="shared" si="0"/>
        <v>7.2928886400000004E-2</v>
      </c>
      <c r="O52" s="4">
        <f t="shared" si="1"/>
        <v>0.88171023657600001</v>
      </c>
      <c r="P52" t="s">
        <v>44</v>
      </c>
      <c r="Q52">
        <v>4.5</v>
      </c>
      <c r="R52">
        <v>4</v>
      </c>
      <c r="S52">
        <v>3.5</v>
      </c>
      <c r="T52">
        <v>3.5</v>
      </c>
      <c r="U52">
        <v>2.5</v>
      </c>
      <c r="V52" t="s">
        <v>27</v>
      </c>
    </row>
    <row r="53" spans="1:22" hidden="1" x14ac:dyDescent="0.25">
      <c r="A53" t="s">
        <v>40</v>
      </c>
      <c r="B53">
        <v>3</v>
      </c>
      <c r="C53" t="s">
        <v>41</v>
      </c>
      <c r="D53" t="s">
        <v>42</v>
      </c>
      <c r="E53" t="s">
        <v>43</v>
      </c>
      <c r="F53">
        <v>200</v>
      </c>
      <c r="G53">
        <v>1400</v>
      </c>
      <c r="H53">
        <v>-2</v>
      </c>
      <c r="I53">
        <v>1980</v>
      </c>
      <c r="J53" t="s">
        <v>35</v>
      </c>
      <c r="K53">
        <v>1521</v>
      </c>
      <c r="L53">
        <v>9.99</v>
      </c>
      <c r="M53">
        <v>7.49</v>
      </c>
      <c r="N53" s="4">
        <f t="shared" si="0"/>
        <v>7.8343078500000014E-3</v>
      </c>
      <c r="O53" s="4">
        <f t="shared" si="1"/>
        <v>5.8678965796500011E-2</v>
      </c>
      <c r="P53" t="s">
        <v>44</v>
      </c>
      <c r="Q53">
        <v>2</v>
      </c>
      <c r="R53">
        <v>2</v>
      </c>
      <c r="S53">
        <v>3</v>
      </c>
      <c r="T53">
        <v>4</v>
      </c>
      <c r="U53">
        <v>4</v>
      </c>
      <c r="V53" t="s">
        <v>30</v>
      </c>
    </row>
    <row r="54" spans="1:22" x14ac:dyDescent="0.25">
      <c r="A54" t="s">
        <v>40</v>
      </c>
      <c r="B54">
        <v>3</v>
      </c>
      <c r="C54" t="s">
        <v>41</v>
      </c>
      <c r="D54" t="s">
        <v>42</v>
      </c>
      <c r="E54" t="s">
        <v>43</v>
      </c>
      <c r="F54">
        <v>200</v>
      </c>
      <c r="G54">
        <v>1400</v>
      </c>
      <c r="H54">
        <v>-2</v>
      </c>
      <c r="I54">
        <v>1980</v>
      </c>
      <c r="J54" t="s">
        <v>36</v>
      </c>
      <c r="K54">
        <v>1523</v>
      </c>
      <c r="L54">
        <v>39.65</v>
      </c>
      <c r="M54">
        <v>10.56</v>
      </c>
      <c r="N54" s="4">
        <f t="shared" si="0"/>
        <v>0.12341161624999998</v>
      </c>
      <c r="O54" s="4">
        <f t="shared" si="1"/>
        <v>1.3032266675999999</v>
      </c>
      <c r="P54" t="s">
        <v>44</v>
      </c>
      <c r="Q54">
        <v>4</v>
      </c>
      <c r="R54">
        <v>4.5</v>
      </c>
      <c r="S54">
        <v>3</v>
      </c>
      <c r="T54">
        <v>3</v>
      </c>
      <c r="U54">
        <v>1</v>
      </c>
      <c r="V54" t="s">
        <v>27</v>
      </c>
    </row>
    <row r="55" spans="1:22" x14ac:dyDescent="0.25">
      <c r="A55" t="s">
        <v>40</v>
      </c>
      <c r="B55">
        <v>3</v>
      </c>
      <c r="C55" t="s">
        <v>41</v>
      </c>
      <c r="D55" t="s">
        <v>42</v>
      </c>
      <c r="E55" t="s">
        <v>43</v>
      </c>
      <c r="F55">
        <v>200</v>
      </c>
      <c r="G55">
        <v>1400</v>
      </c>
      <c r="H55">
        <v>-2</v>
      </c>
      <c r="I55">
        <v>1980</v>
      </c>
      <c r="J55" t="s">
        <v>37</v>
      </c>
      <c r="K55">
        <v>1524</v>
      </c>
      <c r="L55">
        <v>22.72</v>
      </c>
      <c r="M55">
        <v>11.52</v>
      </c>
      <c r="N55" s="4">
        <f t="shared" si="0"/>
        <v>4.0521574399999996E-2</v>
      </c>
      <c r="O55" s="4">
        <f t="shared" si="1"/>
        <v>0.46680853708799996</v>
      </c>
      <c r="P55" t="s">
        <v>44</v>
      </c>
      <c r="Q55">
        <v>3</v>
      </c>
      <c r="R55">
        <v>2.5</v>
      </c>
      <c r="S55">
        <v>3.5</v>
      </c>
      <c r="T55">
        <v>3.5</v>
      </c>
      <c r="U55">
        <v>2.8</v>
      </c>
      <c r="V55" t="s">
        <v>25</v>
      </c>
    </row>
    <row r="56" spans="1:22" hidden="1" x14ac:dyDescent="0.25">
      <c r="A56" t="s">
        <v>46</v>
      </c>
      <c r="B56">
        <v>1</v>
      </c>
      <c r="C56" t="s">
        <v>47</v>
      </c>
      <c r="D56" t="s">
        <v>48</v>
      </c>
      <c r="E56" t="s">
        <v>49</v>
      </c>
      <c r="F56">
        <v>130</v>
      </c>
      <c r="G56">
        <v>1000</v>
      </c>
      <c r="H56">
        <v>-3</v>
      </c>
      <c r="I56">
        <v>1980</v>
      </c>
      <c r="J56" t="s">
        <v>24</v>
      </c>
      <c r="K56">
        <v>1520</v>
      </c>
      <c r="L56">
        <v>10.1</v>
      </c>
      <c r="M56">
        <v>8.1999999999999993</v>
      </c>
      <c r="N56" s="4">
        <f t="shared" si="0"/>
        <v>8.0077849999999982E-3</v>
      </c>
      <c r="O56" s="4">
        <f t="shared" si="1"/>
        <v>6.5663836999999975E-2</v>
      </c>
      <c r="P56">
        <v>60</v>
      </c>
      <c r="Q56">
        <v>3</v>
      </c>
      <c r="R56">
        <v>4</v>
      </c>
      <c r="S56">
        <v>3.5</v>
      </c>
      <c r="T56">
        <v>3.5</v>
      </c>
      <c r="U56">
        <v>3.2</v>
      </c>
      <c r="V56" t="s">
        <v>38</v>
      </c>
    </row>
    <row r="57" spans="1:22" hidden="1" x14ac:dyDescent="0.25">
      <c r="A57" t="s">
        <v>46</v>
      </c>
      <c r="B57">
        <v>1</v>
      </c>
      <c r="C57" t="s">
        <v>47</v>
      </c>
      <c r="D57" t="s">
        <v>48</v>
      </c>
      <c r="E57" t="s">
        <v>49</v>
      </c>
      <c r="F57">
        <v>130</v>
      </c>
      <c r="G57">
        <v>1000</v>
      </c>
      <c r="H57">
        <v>-3</v>
      </c>
      <c r="I57">
        <v>1980</v>
      </c>
      <c r="J57" t="s">
        <v>45</v>
      </c>
      <c r="K57">
        <v>1362</v>
      </c>
      <c r="L57">
        <v>4.7</v>
      </c>
      <c r="M57">
        <v>5.5</v>
      </c>
      <c r="N57" s="4">
        <f t="shared" si="0"/>
        <v>1.7340650000000001E-3</v>
      </c>
      <c r="O57" s="4">
        <f t="shared" si="1"/>
        <v>9.5373575000000013E-3</v>
      </c>
      <c r="P57">
        <v>20</v>
      </c>
      <c r="Q57">
        <v>1</v>
      </c>
      <c r="R57">
        <v>1.5</v>
      </c>
      <c r="S57">
        <v>2</v>
      </c>
      <c r="T57">
        <v>3</v>
      </c>
      <c r="U57">
        <v>3</v>
      </c>
      <c r="V57" t="s">
        <v>50</v>
      </c>
    </row>
    <row r="58" spans="1:22" hidden="1" x14ac:dyDescent="0.25">
      <c r="A58" t="s">
        <v>46</v>
      </c>
      <c r="B58">
        <v>1</v>
      </c>
      <c r="C58" t="s">
        <v>47</v>
      </c>
      <c r="D58" t="s">
        <v>48</v>
      </c>
      <c r="E58" t="s">
        <v>49</v>
      </c>
      <c r="F58">
        <v>130</v>
      </c>
      <c r="G58">
        <v>1000</v>
      </c>
      <c r="H58">
        <v>-3</v>
      </c>
      <c r="I58">
        <v>1980</v>
      </c>
      <c r="J58" t="s">
        <v>32</v>
      </c>
      <c r="K58">
        <v>1596</v>
      </c>
      <c r="L58">
        <v>17</v>
      </c>
      <c r="M58">
        <v>12.6</v>
      </c>
      <c r="N58" s="4">
        <f t="shared" si="0"/>
        <v>2.2686500000000005E-2</v>
      </c>
      <c r="O58" s="4">
        <f t="shared" si="1"/>
        <v>0.28584990000000005</v>
      </c>
      <c r="P58">
        <v>50</v>
      </c>
      <c r="Q58">
        <v>4.3</v>
      </c>
      <c r="R58">
        <v>4</v>
      </c>
      <c r="S58">
        <v>3.2</v>
      </c>
      <c r="T58">
        <v>4</v>
      </c>
      <c r="U58">
        <v>3.5</v>
      </c>
      <c r="V58" t="s">
        <v>25</v>
      </c>
    </row>
    <row r="59" spans="1:22" hidden="1" x14ac:dyDescent="0.25">
      <c r="A59" t="s">
        <v>46</v>
      </c>
      <c r="B59">
        <v>1</v>
      </c>
      <c r="C59" t="s">
        <v>47</v>
      </c>
      <c r="D59" t="s">
        <v>48</v>
      </c>
      <c r="E59" t="s">
        <v>49</v>
      </c>
      <c r="F59">
        <v>130</v>
      </c>
      <c r="G59">
        <v>1000</v>
      </c>
      <c r="H59">
        <v>-3</v>
      </c>
      <c r="I59">
        <v>1980</v>
      </c>
      <c r="J59" t="s">
        <v>33</v>
      </c>
      <c r="K59">
        <v>2088</v>
      </c>
      <c r="L59">
        <v>10.3</v>
      </c>
      <c r="M59">
        <v>9.4</v>
      </c>
      <c r="N59" s="4">
        <f t="shared" si="0"/>
        <v>8.3280650000000025E-3</v>
      </c>
      <c r="O59" s="4">
        <f t="shared" si="1"/>
        <v>7.8283811000000023E-2</v>
      </c>
      <c r="P59">
        <v>80</v>
      </c>
      <c r="Q59">
        <v>3</v>
      </c>
      <c r="R59">
        <v>2.5</v>
      </c>
      <c r="S59">
        <v>3</v>
      </c>
      <c r="T59">
        <v>3</v>
      </c>
      <c r="U59">
        <v>3</v>
      </c>
      <c r="V59" t="s">
        <v>25</v>
      </c>
    </row>
    <row r="60" spans="1:22" hidden="1" x14ac:dyDescent="0.25">
      <c r="A60" t="s">
        <v>46</v>
      </c>
      <c r="B60">
        <v>1</v>
      </c>
      <c r="C60" t="s">
        <v>47</v>
      </c>
      <c r="D60" t="s">
        <v>48</v>
      </c>
      <c r="E60" t="s">
        <v>49</v>
      </c>
      <c r="F60">
        <v>130</v>
      </c>
      <c r="G60">
        <v>1000</v>
      </c>
      <c r="H60">
        <v>-3</v>
      </c>
      <c r="I60">
        <v>1980</v>
      </c>
      <c r="J60" t="s">
        <v>34</v>
      </c>
      <c r="K60">
        <v>1522</v>
      </c>
      <c r="L60">
        <v>21.6</v>
      </c>
      <c r="M60">
        <v>12</v>
      </c>
      <c r="N60" s="4">
        <f t="shared" si="0"/>
        <v>3.6624960000000012E-2</v>
      </c>
      <c r="O60" s="4">
        <f t="shared" si="1"/>
        <v>0.43949952000000014</v>
      </c>
      <c r="P60">
        <v>40</v>
      </c>
      <c r="Q60">
        <v>4</v>
      </c>
      <c r="R60">
        <v>3.7</v>
      </c>
      <c r="S60">
        <v>3.5</v>
      </c>
      <c r="T60">
        <v>3.5</v>
      </c>
      <c r="U60">
        <v>3</v>
      </c>
      <c r="V60" t="s">
        <v>25</v>
      </c>
    </row>
    <row r="61" spans="1:22" hidden="1" x14ac:dyDescent="0.25">
      <c r="A61" t="s">
        <v>46</v>
      </c>
      <c r="B61">
        <v>1</v>
      </c>
      <c r="C61" t="s">
        <v>47</v>
      </c>
      <c r="D61" t="s">
        <v>48</v>
      </c>
      <c r="E61" t="s">
        <v>49</v>
      </c>
      <c r="F61">
        <v>130</v>
      </c>
      <c r="G61">
        <v>1000</v>
      </c>
      <c r="H61">
        <v>-3</v>
      </c>
      <c r="I61">
        <v>1980</v>
      </c>
      <c r="J61" t="s">
        <v>35</v>
      </c>
      <c r="K61">
        <v>1521</v>
      </c>
      <c r="L61">
        <v>11.3</v>
      </c>
      <c r="M61">
        <v>10</v>
      </c>
      <c r="N61" s="4">
        <f t="shared" si="0"/>
        <v>1.0023665000000001E-2</v>
      </c>
      <c r="O61" s="4">
        <f t="shared" si="1"/>
        <v>0.10023665000000001</v>
      </c>
      <c r="P61">
        <v>40</v>
      </c>
      <c r="Q61">
        <v>2.7</v>
      </c>
      <c r="R61">
        <v>2</v>
      </c>
      <c r="S61">
        <v>3.2</v>
      </c>
      <c r="T61">
        <v>4</v>
      </c>
      <c r="U61">
        <v>3</v>
      </c>
      <c r="V61" t="s">
        <v>38</v>
      </c>
    </row>
    <row r="62" spans="1:22" hidden="1" x14ac:dyDescent="0.25">
      <c r="A62" t="s">
        <v>46</v>
      </c>
      <c r="B62">
        <v>1</v>
      </c>
      <c r="C62" t="s">
        <v>47</v>
      </c>
      <c r="D62" t="s">
        <v>48</v>
      </c>
      <c r="E62" t="s">
        <v>49</v>
      </c>
      <c r="F62">
        <v>130</v>
      </c>
      <c r="G62">
        <v>1000</v>
      </c>
      <c r="H62">
        <v>-3</v>
      </c>
      <c r="I62">
        <v>1980</v>
      </c>
      <c r="J62" t="s">
        <v>36</v>
      </c>
      <c r="K62">
        <v>1523</v>
      </c>
      <c r="L62">
        <v>12.7</v>
      </c>
      <c r="M62">
        <v>9.3000000000000007</v>
      </c>
      <c r="N62" s="4">
        <f t="shared" si="0"/>
        <v>1.2661265000000001E-2</v>
      </c>
      <c r="O62" s="4">
        <f t="shared" si="1"/>
        <v>0.11774976450000002</v>
      </c>
      <c r="P62">
        <v>80</v>
      </c>
      <c r="Q62">
        <v>2.9</v>
      </c>
      <c r="R62">
        <v>4</v>
      </c>
      <c r="S62">
        <v>3.2</v>
      </c>
      <c r="T62">
        <v>3.9</v>
      </c>
      <c r="U62">
        <v>3.4</v>
      </c>
      <c r="V62" t="s">
        <v>25</v>
      </c>
    </row>
    <row r="63" spans="1:22" hidden="1" x14ac:dyDescent="0.25">
      <c r="A63" t="s">
        <v>46</v>
      </c>
      <c r="B63">
        <v>1</v>
      </c>
      <c r="C63" t="s">
        <v>47</v>
      </c>
      <c r="D63" t="s">
        <v>48</v>
      </c>
      <c r="E63" t="s">
        <v>49</v>
      </c>
      <c r="F63">
        <v>130</v>
      </c>
      <c r="G63">
        <v>1000</v>
      </c>
      <c r="H63">
        <v>-3</v>
      </c>
      <c r="I63">
        <v>1980</v>
      </c>
      <c r="J63" t="s">
        <v>37</v>
      </c>
      <c r="K63">
        <v>1524</v>
      </c>
      <c r="L63">
        <v>5.4</v>
      </c>
      <c r="M63">
        <v>4.5</v>
      </c>
      <c r="N63" s="4">
        <f t="shared" si="0"/>
        <v>2.2890600000000007E-3</v>
      </c>
      <c r="O63" s="4">
        <f t="shared" si="1"/>
        <v>1.0300770000000004E-2</v>
      </c>
      <c r="P63">
        <v>20</v>
      </c>
      <c r="Q63">
        <v>1</v>
      </c>
      <c r="R63">
        <v>2</v>
      </c>
      <c r="S63">
        <v>3</v>
      </c>
      <c r="T63">
        <v>3</v>
      </c>
      <c r="U63">
        <v>3</v>
      </c>
      <c r="V63" t="s">
        <v>50</v>
      </c>
    </row>
    <row r="64" spans="1:22" hidden="1" x14ac:dyDescent="0.25">
      <c r="A64" t="s">
        <v>46</v>
      </c>
      <c r="B64">
        <v>2</v>
      </c>
      <c r="C64" t="s">
        <v>47</v>
      </c>
      <c r="D64" t="s">
        <v>48</v>
      </c>
      <c r="E64" t="s">
        <v>49</v>
      </c>
      <c r="F64">
        <v>130</v>
      </c>
      <c r="G64">
        <v>1000</v>
      </c>
      <c r="H64">
        <v>-3</v>
      </c>
      <c r="I64">
        <v>1980</v>
      </c>
      <c r="J64" t="s">
        <v>24</v>
      </c>
      <c r="K64">
        <v>1520</v>
      </c>
      <c r="L64">
        <v>6.8</v>
      </c>
      <c r="M64">
        <v>5.5</v>
      </c>
      <c r="N64" s="4">
        <f t="shared" si="0"/>
        <v>3.6298400000000005E-3</v>
      </c>
      <c r="O64" s="4">
        <f t="shared" si="1"/>
        <v>1.9964120000000002E-2</v>
      </c>
      <c r="P64">
        <v>60</v>
      </c>
      <c r="Q64">
        <v>2.5</v>
      </c>
      <c r="R64">
        <v>3.5</v>
      </c>
      <c r="S64">
        <v>3.5</v>
      </c>
      <c r="T64">
        <v>3.5</v>
      </c>
      <c r="U64">
        <v>3</v>
      </c>
      <c r="V64" t="s">
        <v>30</v>
      </c>
    </row>
    <row r="65" spans="1:22" hidden="1" x14ac:dyDescent="0.25">
      <c r="A65" t="s">
        <v>46</v>
      </c>
      <c r="B65">
        <v>2</v>
      </c>
      <c r="C65" t="s">
        <v>47</v>
      </c>
      <c r="D65" t="s">
        <v>48</v>
      </c>
      <c r="E65" t="s">
        <v>49</v>
      </c>
      <c r="F65">
        <v>130</v>
      </c>
      <c r="G65">
        <v>1000</v>
      </c>
      <c r="H65">
        <v>-3</v>
      </c>
      <c r="I65">
        <v>1980</v>
      </c>
      <c r="J65" t="s">
        <v>26</v>
      </c>
      <c r="K65">
        <v>1487</v>
      </c>
      <c r="L65">
        <v>17.8</v>
      </c>
      <c r="M65">
        <v>10</v>
      </c>
      <c r="N65" s="4">
        <f t="shared" si="0"/>
        <v>2.4871940000000006E-2</v>
      </c>
      <c r="O65" s="4">
        <f t="shared" si="1"/>
        <v>0.24871940000000006</v>
      </c>
      <c r="P65">
        <v>10</v>
      </c>
      <c r="Q65">
        <v>4</v>
      </c>
      <c r="R65">
        <v>4</v>
      </c>
      <c r="S65">
        <v>3.5</v>
      </c>
      <c r="T65">
        <v>4</v>
      </c>
      <c r="U65">
        <v>2</v>
      </c>
      <c r="V65" t="s">
        <v>25</v>
      </c>
    </row>
    <row r="66" spans="1:22" hidden="1" x14ac:dyDescent="0.25">
      <c r="A66" t="s">
        <v>46</v>
      </c>
      <c r="B66">
        <v>2</v>
      </c>
      <c r="C66" t="s">
        <v>47</v>
      </c>
      <c r="D66" t="s">
        <v>48</v>
      </c>
      <c r="E66" t="s">
        <v>49</v>
      </c>
      <c r="F66">
        <v>130</v>
      </c>
      <c r="G66">
        <v>1000</v>
      </c>
      <c r="H66">
        <v>-3</v>
      </c>
      <c r="I66">
        <v>1980</v>
      </c>
      <c r="J66" t="s">
        <v>32</v>
      </c>
      <c r="K66">
        <v>1596</v>
      </c>
      <c r="L66">
        <v>20.399999999999999</v>
      </c>
      <c r="M66">
        <v>10.199999999999999</v>
      </c>
      <c r="N66" s="4">
        <f t="shared" si="0"/>
        <v>3.2668559999999999E-2</v>
      </c>
      <c r="O66" s="4">
        <f t="shared" si="1"/>
        <v>0.33321931199999999</v>
      </c>
      <c r="P66">
        <v>60</v>
      </c>
      <c r="Q66">
        <v>4</v>
      </c>
      <c r="R66">
        <v>4</v>
      </c>
      <c r="S66">
        <v>3</v>
      </c>
      <c r="T66">
        <v>3</v>
      </c>
      <c r="U66">
        <v>2.5</v>
      </c>
      <c r="V66" t="s">
        <v>25</v>
      </c>
    </row>
    <row r="67" spans="1:22" hidden="1" x14ac:dyDescent="0.25">
      <c r="A67" t="s">
        <v>46</v>
      </c>
      <c r="B67">
        <v>2</v>
      </c>
      <c r="C67" t="s">
        <v>47</v>
      </c>
      <c r="D67" t="s">
        <v>48</v>
      </c>
      <c r="E67" t="s">
        <v>49</v>
      </c>
      <c r="F67">
        <v>130</v>
      </c>
      <c r="G67">
        <v>1000</v>
      </c>
      <c r="H67">
        <v>-3</v>
      </c>
      <c r="I67">
        <v>1980</v>
      </c>
      <c r="J67" t="s">
        <v>33</v>
      </c>
      <c r="K67">
        <v>2088</v>
      </c>
      <c r="L67">
        <v>19.100000000000001</v>
      </c>
      <c r="M67">
        <v>9.6999999999999993</v>
      </c>
      <c r="N67" s="4">
        <f t="shared" ref="N67:N130" si="2">3.14/4*((L67/100)^2)</f>
        <v>2.8637585E-2</v>
      </c>
      <c r="O67" s="4">
        <f t="shared" ref="O67:O130" si="3">3.14/4*((L67/100)^2)*M67</f>
        <v>0.27778457449999999</v>
      </c>
      <c r="P67">
        <v>60</v>
      </c>
      <c r="Q67">
        <v>3.7</v>
      </c>
      <c r="R67">
        <v>3</v>
      </c>
      <c r="S67">
        <v>2</v>
      </c>
      <c r="T67">
        <v>2</v>
      </c>
      <c r="U67">
        <v>1.5</v>
      </c>
      <c r="V67" t="s">
        <v>25</v>
      </c>
    </row>
    <row r="68" spans="1:22" hidden="1" x14ac:dyDescent="0.25">
      <c r="A68" t="s">
        <v>46</v>
      </c>
      <c r="B68">
        <v>2</v>
      </c>
      <c r="C68" t="s">
        <v>47</v>
      </c>
      <c r="D68" t="s">
        <v>48</v>
      </c>
      <c r="E68" t="s">
        <v>49</v>
      </c>
      <c r="F68">
        <v>130</v>
      </c>
      <c r="G68">
        <v>1000</v>
      </c>
      <c r="H68">
        <v>-3</v>
      </c>
      <c r="I68">
        <v>1980</v>
      </c>
      <c r="J68" t="s">
        <v>34</v>
      </c>
      <c r="K68">
        <v>1522</v>
      </c>
      <c r="L68">
        <v>15.5</v>
      </c>
      <c r="M68">
        <v>9.8000000000000007</v>
      </c>
      <c r="N68" s="4">
        <f t="shared" si="2"/>
        <v>1.8859625000000001E-2</v>
      </c>
      <c r="O68" s="4">
        <f t="shared" si="3"/>
        <v>0.18482432500000004</v>
      </c>
      <c r="P68">
        <v>40</v>
      </c>
      <c r="Q68">
        <v>4</v>
      </c>
      <c r="R68">
        <v>3.5</v>
      </c>
      <c r="S68">
        <v>3.5</v>
      </c>
      <c r="T68">
        <v>3.5</v>
      </c>
      <c r="U68">
        <v>3</v>
      </c>
      <c r="V68" t="s">
        <v>25</v>
      </c>
    </row>
    <row r="69" spans="1:22" hidden="1" x14ac:dyDescent="0.25">
      <c r="A69" t="s">
        <v>46</v>
      </c>
      <c r="B69">
        <v>2</v>
      </c>
      <c r="C69" t="s">
        <v>47</v>
      </c>
      <c r="D69" t="s">
        <v>48</v>
      </c>
      <c r="E69" t="s">
        <v>49</v>
      </c>
      <c r="F69">
        <v>130</v>
      </c>
      <c r="G69">
        <v>1000</v>
      </c>
      <c r="H69">
        <v>-3</v>
      </c>
      <c r="I69">
        <v>1980</v>
      </c>
      <c r="J69" t="s">
        <v>35</v>
      </c>
      <c r="K69">
        <v>1521</v>
      </c>
      <c r="L69">
        <v>13.5</v>
      </c>
      <c r="M69">
        <v>7.7</v>
      </c>
      <c r="N69" s="4">
        <f t="shared" si="2"/>
        <v>1.4306625000000002E-2</v>
      </c>
      <c r="O69" s="4">
        <f t="shared" si="3"/>
        <v>0.11016101250000002</v>
      </c>
      <c r="P69">
        <v>30</v>
      </c>
      <c r="Q69">
        <v>3</v>
      </c>
      <c r="R69">
        <v>2</v>
      </c>
      <c r="S69">
        <v>3.3</v>
      </c>
      <c r="T69">
        <v>4</v>
      </c>
      <c r="U69">
        <v>3.5</v>
      </c>
      <c r="V69" t="s">
        <v>25</v>
      </c>
    </row>
    <row r="70" spans="1:22" hidden="1" x14ac:dyDescent="0.25">
      <c r="A70" t="s">
        <v>46</v>
      </c>
      <c r="B70">
        <v>2</v>
      </c>
      <c r="C70" t="s">
        <v>47</v>
      </c>
      <c r="D70" t="s">
        <v>48</v>
      </c>
      <c r="E70" t="s">
        <v>49</v>
      </c>
      <c r="F70">
        <v>130</v>
      </c>
      <c r="G70">
        <v>1000</v>
      </c>
      <c r="H70">
        <v>-3</v>
      </c>
      <c r="I70">
        <v>1980</v>
      </c>
      <c r="J70" t="s">
        <v>36</v>
      </c>
      <c r="K70">
        <v>1523</v>
      </c>
      <c r="L70">
        <v>20.8</v>
      </c>
      <c r="M70">
        <v>12</v>
      </c>
      <c r="N70" s="4">
        <f t="shared" si="2"/>
        <v>3.3962240000000012E-2</v>
      </c>
      <c r="O70" s="4">
        <f t="shared" si="3"/>
        <v>0.40754688000000017</v>
      </c>
      <c r="P70">
        <v>20</v>
      </c>
      <c r="Q70">
        <v>3</v>
      </c>
      <c r="R70">
        <v>4</v>
      </c>
      <c r="S70">
        <v>3</v>
      </c>
      <c r="T70">
        <v>3.5</v>
      </c>
      <c r="U70">
        <v>3</v>
      </c>
      <c r="V70" t="s">
        <v>38</v>
      </c>
    </row>
    <row r="71" spans="1:22" hidden="1" x14ac:dyDescent="0.25">
      <c r="A71" t="s">
        <v>46</v>
      </c>
      <c r="B71">
        <v>2</v>
      </c>
      <c r="C71" t="s">
        <v>47</v>
      </c>
      <c r="D71" t="s">
        <v>48</v>
      </c>
      <c r="E71" t="s">
        <v>49</v>
      </c>
      <c r="F71">
        <v>130</v>
      </c>
      <c r="G71">
        <v>1000</v>
      </c>
      <c r="H71">
        <v>-3</v>
      </c>
      <c r="I71">
        <v>1980</v>
      </c>
      <c r="J71" t="s">
        <v>37</v>
      </c>
      <c r="K71">
        <v>1524</v>
      </c>
      <c r="L71">
        <v>11.5</v>
      </c>
      <c r="M71">
        <v>5.8</v>
      </c>
      <c r="N71" s="4">
        <f t="shared" si="2"/>
        <v>1.0381625E-2</v>
      </c>
      <c r="O71" s="4">
        <f t="shared" si="3"/>
        <v>6.0213425000000001E-2</v>
      </c>
      <c r="P71">
        <v>40</v>
      </c>
      <c r="Q71">
        <v>1.5</v>
      </c>
      <c r="R71">
        <v>2</v>
      </c>
      <c r="S71">
        <v>2.5</v>
      </c>
      <c r="T71">
        <v>3.5</v>
      </c>
      <c r="U71">
        <v>2.5</v>
      </c>
      <c r="V71" t="s">
        <v>50</v>
      </c>
    </row>
    <row r="72" spans="1:22" hidden="1" x14ac:dyDescent="0.25">
      <c r="A72" t="s">
        <v>46</v>
      </c>
      <c r="B72">
        <v>3</v>
      </c>
      <c r="C72" t="s">
        <v>47</v>
      </c>
      <c r="D72" t="s">
        <v>48</v>
      </c>
      <c r="E72" t="s">
        <v>49</v>
      </c>
      <c r="F72">
        <v>130</v>
      </c>
      <c r="G72">
        <v>1000</v>
      </c>
      <c r="H72">
        <v>-3</v>
      </c>
      <c r="I72">
        <v>1980</v>
      </c>
      <c r="J72" t="s">
        <v>26</v>
      </c>
      <c r="K72">
        <v>1487</v>
      </c>
      <c r="L72">
        <v>37.6</v>
      </c>
      <c r="M72">
        <v>13</v>
      </c>
      <c r="N72" s="4">
        <f t="shared" si="2"/>
        <v>0.11098016000000001</v>
      </c>
      <c r="O72" s="4">
        <f t="shared" si="3"/>
        <v>1.4427420800000001</v>
      </c>
      <c r="P72">
        <v>10</v>
      </c>
      <c r="Q72">
        <v>5</v>
      </c>
      <c r="R72">
        <v>4</v>
      </c>
      <c r="S72">
        <v>2</v>
      </c>
      <c r="T72">
        <v>2</v>
      </c>
      <c r="U72">
        <v>1</v>
      </c>
      <c r="V72" t="s">
        <v>25</v>
      </c>
    </row>
    <row r="73" spans="1:22" hidden="1" x14ac:dyDescent="0.25">
      <c r="A73" t="s">
        <v>46</v>
      </c>
      <c r="B73">
        <v>3</v>
      </c>
      <c r="C73" t="s">
        <v>47</v>
      </c>
      <c r="D73" t="s">
        <v>48</v>
      </c>
      <c r="E73" t="s">
        <v>49</v>
      </c>
      <c r="F73">
        <v>130</v>
      </c>
      <c r="G73">
        <v>1000</v>
      </c>
      <c r="H73">
        <v>-3</v>
      </c>
      <c r="I73">
        <v>1980</v>
      </c>
      <c r="J73" t="s">
        <v>32</v>
      </c>
      <c r="K73">
        <v>1596</v>
      </c>
      <c r="L73">
        <v>24.5</v>
      </c>
      <c r="M73">
        <v>12</v>
      </c>
      <c r="N73" s="4">
        <f t="shared" si="2"/>
        <v>4.7119624999999998E-2</v>
      </c>
      <c r="O73" s="4">
        <f t="shared" si="3"/>
        <v>0.56543549999999998</v>
      </c>
      <c r="P73">
        <v>20</v>
      </c>
      <c r="Q73">
        <v>4</v>
      </c>
      <c r="R73">
        <v>4</v>
      </c>
      <c r="S73">
        <v>4</v>
      </c>
      <c r="T73">
        <v>4</v>
      </c>
      <c r="U73">
        <v>2</v>
      </c>
      <c r="V73" t="s">
        <v>25</v>
      </c>
    </row>
    <row r="74" spans="1:22" hidden="1" x14ac:dyDescent="0.25">
      <c r="A74" t="s">
        <v>46</v>
      </c>
      <c r="B74">
        <v>3</v>
      </c>
      <c r="C74" t="s">
        <v>47</v>
      </c>
      <c r="D74" t="s">
        <v>48</v>
      </c>
      <c r="E74" t="s">
        <v>49</v>
      </c>
      <c r="F74">
        <v>130</v>
      </c>
      <c r="G74">
        <v>1000</v>
      </c>
      <c r="H74">
        <v>-3</v>
      </c>
      <c r="I74">
        <v>1980</v>
      </c>
      <c r="J74" t="s">
        <v>33</v>
      </c>
      <c r="K74">
        <v>2088</v>
      </c>
      <c r="L74">
        <v>17.600000000000001</v>
      </c>
      <c r="M74">
        <v>9</v>
      </c>
      <c r="N74" s="4">
        <f t="shared" si="2"/>
        <v>2.4316160000000007E-2</v>
      </c>
      <c r="O74" s="4">
        <f t="shared" si="3"/>
        <v>0.21884544000000006</v>
      </c>
      <c r="P74">
        <v>90</v>
      </c>
      <c r="Q74">
        <v>4.5</v>
      </c>
      <c r="R74">
        <v>2.5</v>
      </c>
      <c r="S74">
        <v>3</v>
      </c>
      <c r="T74">
        <v>2</v>
      </c>
      <c r="U74">
        <v>1.5</v>
      </c>
      <c r="V74" t="s">
        <v>25</v>
      </c>
    </row>
    <row r="75" spans="1:22" hidden="1" x14ac:dyDescent="0.25">
      <c r="A75" t="s">
        <v>46</v>
      </c>
      <c r="B75">
        <v>3</v>
      </c>
      <c r="C75" t="s">
        <v>47</v>
      </c>
      <c r="D75" t="s">
        <v>48</v>
      </c>
      <c r="E75" t="s">
        <v>49</v>
      </c>
      <c r="F75">
        <v>130</v>
      </c>
      <c r="G75">
        <v>1000</v>
      </c>
      <c r="H75">
        <v>-3</v>
      </c>
      <c r="I75">
        <v>1980</v>
      </c>
      <c r="J75" t="s">
        <v>35</v>
      </c>
      <c r="K75">
        <v>1521</v>
      </c>
      <c r="L75">
        <v>16.2</v>
      </c>
      <c r="M75">
        <v>10.199999999999999</v>
      </c>
      <c r="N75" s="4">
        <f t="shared" si="2"/>
        <v>2.0601540000000002E-2</v>
      </c>
      <c r="O75" s="4">
        <f t="shared" si="3"/>
        <v>0.210135708</v>
      </c>
      <c r="P75">
        <v>60</v>
      </c>
      <c r="Q75">
        <v>4</v>
      </c>
      <c r="R75">
        <v>2.2999999999999998</v>
      </c>
      <c r="S75">
        <v>3</v>
      </c>
      <c r="T75">
        <v>3.3</v>
      </c>
      <c r="U75">
        <v>3</v>
      </c>
      <c r="V75" t="s">
        <v>27</v>
      </c>
    </row>
    <row r="76" spans="1:22" hidden="1" x14ac:dyDescent="0.25">
      <c r="A76" t="s">
        <v>46</v>
      </c>
      <c r="B76">
        <v>3</v>
      </c>
      <c r="C76" t="s">
        <v>47</v>
      </c>
      <c r="D76" t="s">
        <v>48</v>
      </c>
      <c r="E76" t="s">
        <v>49</v>
      </c>
      <c r="F76">
        <v>130</v>
      </c>
      <c r="G76">
        <v>1000</v>
      </c>
      <c r="H76">
        <v>-3</v>
      </c>
      <c r="I76">
        <v>1980</v>
      </c>
      <c r="J76" t="s">
        <v>36</v>
      </c>
      <c r="K76">
        <v>1523</v>
      </c>
      <c r="L76">
        <v>11.5</v>
      </c>
      <c r="M76">
        <v>9</v>
      </c>
      <c r="N76" s="4">
        <f t="shared" si="2"/>
        <v>1.0381625E-2</v>
      </c>
      <c r="O76" s="4">
        <f t="shared" si="3"/>
        <v>9.3434625000000007E-2</v>
      </c>
      <c r="P76">
        <v>20</v>
      </c>
      <c r="Q76">
        <v>2.7</v>
      </c>
      <c r="R76">
        <v>3.7</v>
      </c>
      <c r="S76">
        <v>4</v>
      </c>
      <c r="T76">
        <v>4</v>
      </c>
      <c r="U76">
        <v>3</v>
      </c>
      <c r="V76" t="s">
        <v>25</v>
      </c>
    </row>
    <row r="77" spans="1:22" hidden="1" x14ac:dyDescent="0.25">
      <c r="A77" t="s">
        <v>46</v>
      </c>
      <c r="B77">
        <v>3</v>
      </c>
      <c r="C77" t="s">
        <v>47</v>
      </c>
      <c r="D77" t="s">
        <v>48</v>
      </c>
      <c r="E77" t="s">
        <v>49</v>
      </c>
      <c r="F77">
        <v>130</v>
      </c>
      <c r="G77">
        <v>1000</v>
      </c>
      <c r="H77">
        <v>-3</v>
      </c>
      <c r="I77">
        <v>1980</v>
      </c>
      <c r="J77" t="s">
        <v>37</v>
      </c>
      <c r="K77">
        <v>1524</v>
      </c>
      <c r="L77">
        <v>7.6</v>
      </c>
      <c r="M77">
        <v>5.5</v>
      </c>
      <c r="N77" s="4">
        <f t="shared" si="2"/>
        <v>4.5341599999999998E-3</v>
      </c>
      <c r="O77" s="4">
        <f t="shared" si="3"/>
        <v>2.4937879999999999E-2</v>
      </c>
      <c r="P77">
        <v>20</v>
      </c>
      <c r="Q77">
        <v>1</v>
      </c>
      <c r="R77">
        <v>2</v>
      </c>
      <c r="S77">
        <v>2</v>
      </c>
      <c r="T77">
        <v>3</v>
      </c>
      <c r="U77">
        <v>3</v>
      </c>
      <c r="V77" t="s">
        <v>50</v>
      </c>
    </row>
    <row r="78" spans="1:22" hidden="1" x14ac:dyDescent="0.25">
      <c r="A78" t="s">
        <v>51</v>
      </c>
      <c r="B78">
        <v>1</v>
      </c>
      <c r="C78" t="s">
        <v>52</v>
      </c>
      <c r="D78" t="s">
        <v>53</v>
      </c>
      <c r="E78" t="s">
        <v>54</v>
      </c>
      <c r="F78">
        <v>70</v>
      </c>
      <c r="G78">
        <v>1000</v>
      </c>
      <c r="H78">
        <v>-2</v>
      </c>
      <c r="I78">
        <v>1981</v>
      </c>
      <c r="J78" t="s">
        <v>55</v>
      </c>
      <c r="K78">
        <v>1094</v>
      </c>
      <c r="L78">
        <v>3.4</v>
      </c>
      <c r="M78">
        <v>5.5</v>
      </c>
      <c r="N78" s="4">
        <f t="shared" si="2"/>
        <v>9.0746000000000012E-4</v>
      </c>
      <c r="O78" s="4">
        <f t="shared" si="3"/>
        <v>4.9910300000000005E-3</v>
      </c>
      <c r="P78">
        <v>50</v>
      </c>
      <c r="Q78">
        <v>1</v>
      </c>
      <c r="R78">
        <v>1</v>
      </c>
      <c r="S78">
        <v>3</v>
      </c>
      <c r="T78">
        <v>3</v>
      </c>
      <c r="U78">
        <v>3</v>
      </c>
      <c r="V78" t="s">
        <v>50</v>
      </c>
    </row>
    <row r="79" spans="1:22" hidden="1" x14ac:dyDescent="0.25">
      <c r="A79" t="s">
        <v>51</v>
      </c>
      <c r="B79">
        <v>1</v>
      </c>
      <c r="C79" t="s">
        <v>52</v>
      </c>
      <c r="D79" t="s">
        <v>53</v>
      </c>
      <c r="E79" t="s">
        <v>54</v>
      </c>
      <c r="F79">
        <v>70</v>
      </c>
      <c r="G79">
        <v>1000</v>
      </c>
      <c r="H79">
        <v>-2</v>
      </c>
      <c r="I79">
        <v>1981</v>
      </c>
      <c r="J79" t="s">
        <v>56</v>
      </c>
      <c r="K79">
        <v>1111</v>
      </c>
      <c r="L79">
        <v>17.600000000000001</v>
      </c>
      <c r="M79">
        <v>12.6</v>
      </c>
      <c r="N79" s="4">
        <f t="shared" si="2"/>
        <v>2.4316160000000007E-2</v>
      </c>
      <c r="O79" s="4">
        <f t="shared" si="3"/>
        <v>0.30638361600000008</v>
      </c>
      <c r="P79">
        <v>71</v>
      </c>
      <c r="Q79">
        <v>3.5</v>
      </c>
      <c r="R79">
        <v>3</v>
      </c>
      <c r="S79">
        <v>3.3</v>
      </c>
      <c r="T79">
        <v>2.5</v>
      </c>
      <c r="U79">
        <v>2</v>
      </c>
      <c r="V79" t="s">
        <v>25</v>
      </c>
    </row>
    <row r="80" spans="1:22" hidden="1" x14ac:dyDescent="0.25">
      <c r="A80" t="s">
        <v>51</v>
      </c>
      <c r="B80">
        <v>1</v>
      </c>
      <c r="C80" t="s">
        <v>52</v>
      </c>
      <c r="D80" t="s">
        <v>53</v>
      </c>
      <c r="E80" t="s">
        <v>54</v>
      </c>
      <c r="F80">
        <v>70</v>
      </c>
      <c r="G80">
        <v>1000</v>
      </c>
      <c r="H80">
        <v>-2</v>
      </c>
      <c r="I80">
        <v>1981</v>
      </c>
      <c r="J80" t="s">
        <v>57</v>
      </c>
      <c r="K80">
        <v>1112</v>
      </c>
      <c r="L80">
        <v>14</v>
      </c>
      <c r="M80">
        <v>10</v>
      </c>
      <c r="N80" s="4">
        <f t="shared" si="2"/>
        <v>1.5386000000000002E-2</v>
      </c>
      <c r="O80" s="4">
        <f t="shared" si="3"/>
        <v>0.15386000000000002</v>
      </c>
      <c r="P80">
        <v>100</v>
      </c>
      <c r="Q80">
        <v>2.5</v>
      </c>
      <c r="R80">
        <v>1.5</v>
      </c>
      <c r="S80">
        <v>3</v>
      </c>
      <c r="T80">
        <v>4</v>
      </c>
      <c r="U80">
        <v>4</v>
      </c>
      <c r="V80" t="s">
        <v>30</v>
      </c>
    </row>
    <row r="81" spans="1:22" hidden="1" x14ac:dyDescent="0.25">
      <c r="A81" t="s">
        <v>51</v>
      </c>
      <c r="B81">
        <v>1</v>
      </c>
      <c r="C81" t="s">
        <v>52</v>
      </c>
      <c r="D81" t="s">
        <v>53</v>
      </c>
      <c r="E81" t="s">
        <v>54</v>
      </c>
      <c r="F81">
        <v>70</v>
      </c>
      <c r="G81">
        <v>1000</v>
      </c>
      <c r="H81">
        <v>-2</v>
      </c>
      <c r="I81">
        <v>1981</v>
      </c>
      <c r="J81" t="s">
        <v>57</v>
      </c>
      <c r="K81">
        <v>1113</v>
      </c>
      <c r="L81">
        <v>8.8000000000000007</v>
      </c>
      <c r="M81">
        <v>11.4</v>
      </c>
      <c r="N81" s="4">
        <f t="shared" si="2"/>
        <v>6.0790400000000017E-3</v>
      </c>
      <c r="O81" s="4">
        <f t="shared" si="3"/>
        <v>6.9301056000000028E-2</v>
      </c>
      <c r="P81">
        <v>100</v>
      </c>
      <c r="Q81">
        <v>2</v>
      </c>
      <c r="R81">
        <v>2</v>
      </c>
      <c r="S81">
        <v>4</v>
      </c>
      <c r="T81">
        <v>4</v>
      </c>
      <c r="U81">
        <v>4</v>
      </c>
      <c r="V81" t="s">
        <v>30</v>
      </c>
    </row>
    <row r="82" spans="1:22" hidden="1" x14ac:dyDescent="0.25">
      <c r="A82" t="s">
        <v>51</v>
      </c>
      <c r="B82">
        <v>1</v>
      </c>
      <c r="C82" t="s">
        <v>52</v>
      </c>
      <c r="D82" t="s">
        <v>53</v>
      </c>
      <c r="E82" t="s">
        <v>54</v>
      </c>
      <c r="F82">
        <v>70</v>
      </c>
      <c r="G82">
        <v>1000</v>
      </c>
      <c r="H82">
        <v>-2</v>
      </c>
      <c r="I82">
        <v>1981</v>
      </c>
      <c r="J82" t="s">
        <v>58</v>
      </c>
      <c r="K82">
        <v>1338</v>
      </c>
      <c r="L82">
        <v>15.8</v>
      </c>
      <c r="M82">
        <v>10</v>
      </c>
      <c r="N82" s="4">
        <f t="shared" si="2"/>
        <v>1.9596740000000001E-2</v>
      </c>
      <c r="O82" s="4">
        <f t="shared" si="3"/>
        <v>0.19596740000000001</v>
      </c>
      <c r="P82">
        <v>38</v>
      </c>
      <c r="Q82">
        <v>3.5</v>
      </c>
      <c r="R82">
        <v>3.5</v>
      </c>
      <c r="S82">
        <v>3.3</v>
      </c>
      <c r="T82">
        <v>3.5</v>
      </c>
      <c r="U82">
        <v>3</v>
      </c>
      <c r="V82" t="s">
        <v>38</v>
      </c>
    </row>
    <row r="83" spans="1:22" hidden="1" x14ac:dyDescent="0.25">
      <c r="A83" t="s">
        <v>51</v>
      </c>
      <c r="B83">
        <v>1</v>
      </c>
      <c r="C83" t="s">
        <v>52</v>
      </c>
      <c r="D83" t="s">
        <v>53</v>
      </c>
      <c r="E83" t="s">
        <v>54</v>
      </c>
      <c r="F83">
        <v>70</v>
      </c>
      <c r="G83">
        <v>1000</v>
      </c>
      <c r="H83">
        <v>-2</v>
      </c>
      <c r="I83">
        <v>1981</v>
      </c>
      <c r="J83" t="s">
        <v>59</v>
      </c>
      <c r="K83">
        <v>1482</v>
      </c>
      <c r="L83">
        <v>15.5</v>
      </c>
      <c r="M83">
        <v>10.5</v>
      </c>
      <c r="N83" s="4">
        <f t="shared" si="2"/>
        <v>1.8859625000000001E-2</v>
      </c>
      <c r="O83" s="4">
        <f t="shared" si="3"/>
        <v>0.19802606250000002</v>
      </c>
      <c r="P83">
        <v>50</v>
      </c>
      <c r="Q83">
        <v>3</v>
      </c>
      <c r="R83">
        <v>3.3</v>
      </c>
      <c r="S83">
        <v>3.3</v>
      </c>
      <c r="T83">
        <v>3</v>
      </c>
      <c r="U83">
        <v>3</v>
      </c>
      <c r="V83" t="s">
        <v>27</v>
      </c>
    </row>
    <row r="84" spans="1:22" hidden="1" x14ac:dyDescent="0.25">
      <c r="A84" t="s">
        <v>51</v>
      </c>
      <c r="B84">
        <v>1</v>
      </c>
      <c r="C84" t="s">
        <v>52</v>
      </c>
      <c r="D84" t="s">
        <v>53</v>
      </c>
      <c r="E84" t="s">
        <v>54</v>
      </c>
      <c r="F84">
        <v>70</v>
      </c>
      <c r="G84">
        <v>1000</v>
      </c>
      <c r="H84">
        <v>-2</v>
      </c>
      <c r="I84">
        <v>1981</v>
      </c>
      <c r="J84" t="s">
        <v>59</v>
      </c>
      <c r="K84">
        <v>1978</v>
      </c>
      <c r="L84">
        <v>14.6</v>
      </c>
      <c r="M84">
        <v>11.1</v>
      </c>
      <c r="N84" s="4">
        <f t="shared" si="2"/>
        <v>1.6733059999999998E-2</v>
      </c>
      <c r="O84" s="4">
        <f t="shared" si="3"/>
        <v>0.18573696599999998</v>
      </c>
      <c r="P84">
        <v>100</v>
      </c>
      <c r="Q84">
        <v>4</v>
      </c>
      <c r="R84">
        <v>3</v>
      </c>
      <c r="S84">
        <v>3.5</v>
      </c>
      <c r="T84">
        <v>3.5</v>
      </c>
      <c r="U84">
        <v>3.3</v>
      </c>
      <c r="V84" t="s">
        <v>25</v>
      </c>
    </row>
    <row r="85" spans="1:22" hidden="1" x14ac:dyDescent="0.25">
      <c r="A85" t="s">
        <v>51</v>
      </c>
      <c r="B85">
        <v>1</v>
      </c>
      <c r="C85" t="s">
        <v>52</v>
      </c>
      <c r="D85" t="s">
        <v>53</v>
      </c>
      <c r="E85" t="s">
        <v>54</v>
      </c>
      <c r="F85">
        <v>70</v>
      </c>
      <c r="G85">
        <v>1000</v>
      </c>
      <c r="H85">
        <v>-2</v>
      </c>
      <c r="I85">
        <v>1981</v>
      </c>
      <c r="J85" t="s">
        <v>26</v>
      </c>
      <c r="K85">
        <v>1339</v>
      </c>
      <c r="L85">
        <v>17.3</v>
      </c>
      <c r="M85">
        <v>13.2</v>
      </c>
      <c r="N85" s="4">
        <f t="shared" si="2"/>
        <v>2.3494265000000004E-2</v>
      </c>
      <c r="O85" s="4">
        <f t="shared" si="3"/>
        <v>0.31012429800000002</v>
      </c>
      <c r="P85">
        <v>71</v>
      </c>
      <c r="Q85">
        <v>3.3</v>
      </c>
      <c r="R85">
        <v>3</v>
      </c>
      <c r="S85">
        <v>3</v>
      </c>
      <c r="T85">
        <v>3</v>
      </c>
      <c r="U85">
        <v>3</v>
      </c>
      <c r="V85" t="s">
        <v>38</v>
      </c>
    </row>
    <row r="86" spans="1:22" hidden="1" x14ac:dyDescent="0.25">
      <c r="A86" t="s">
        <v>51</v>
      </c>
      <c r="B86">
        <v>1</v>
      </c>
      <c r="C86" t="s">
        <v>52</v>
      </c>
      <c r="D86" t="s">
        <v>53</v>
      </c>
      <c r="E86" t="s">
        <v>54</v>
      </c>
      <c r="F86">
        <v>70</v>
      </c>
      <c r="G86">
        <v>1000</v>
      </c>
      <c r="H86">
        <v>-2</v>
      </c>
      <c r="I86">
        <v>1981</v>
      </c>
      <c r="J86" t="s">
        <v>26</v>
      </c>
      <c r="K86">
        <v>1786</v>
      </c>
      <c r="L86">
        <v>13.3</v>
      </c>
      <c r="M86">
        <v>10.8</v>
      </c>
      <c r="N86" s="4">
        <f t="shared" si="2"/>
        <v>1.3885865000000002E-2</v>
      </c>
      <c r="O86" s="4">
        <f t="shared" si="3"/>
        <v>0.14996734200000003</v>
      </c>
      <c r="P86">
        <v>75</v>
      </c>
      <c r="Q86">
        <v>4</v>
      </c>
      <c r="R86">
        <v>3.8</v>
      </c>
      <c r="S86">
        <v>4</v>
      </c>
      <c r="T86">
        <v>4</v>
      </c>
      <c r="U86">
        <v>4</v>
      </c>
      <c r="V86" t="s">
        <v>27</v>
      </c>
    </row>
    <row r="87" spans="1:22" hidden="1" x14ac:dyDescent="0.25">
      <c r="A87" t="s">
        <v>51</v>
      </c>
      <c r="B87">
        <v>1</v>
      </c>
      <c r="C87" t="s">
        <v>52</v>
      </c>
      <c r="D87" t="s">
        <v>53</v>
      </c>
      <c r="E87" t="s">
        <v>54</v>
      </c>
      <c r="F87">
        <v>70</v>
      </c>
      <c r="G87">
        <v>1000</v>
      </c>
      <c r="H87">
        <v>-2</v>
      </c>
      <c r="I87">
        <v>1981</v>
      </c>
      <c r="J87" t="s">
        <v>26</v>
      </c>
      <c r="K87">
        <v>2447</v>
      </c>
      <c r="L87">
        <v>19.8</v>
      </c>
      <c r="M87">
        <v>10.7</v>
      </c>
      <c r="N87" s="4">
        <f t="shared" si="2"/>
        <v>3.0775140000000003E-2</v>
      </c>
      <c r="O87" s="4">
        <f t="shared" si="3"/>
        <v>0.32929399800000003</v>
      </c>
      <c r="P87">
        <v>75</v>
      </c>
      <c r="Q87">
        <v>4.5</v>
      </c>
      <c r="R87">
        <v>3</v>
      </c>
      <c r="S87">
        <v>3</v>
      </c>
      <c r="T87">
        <v>3</v>
      </c>
      <c r="U87">
        <v>2.5</v>
      </c>
      <c r="V87" t="s">
        <v>25</v>
      </c>
    </row>
    <row r="88" spans="1:22" hidden="1" x14ac:dyDescent="0.25">
      <c r="A88" t="s">
        <v>51</v>
      </c>
      <c r="B88">
        <v>1</v>
      </c>
      <c r="C88" t="s">
        <v>52</v>
      </c>
      <c r="D88" t="s">
        <v>53</v>
      </c>
      <c r="E88" t="s">
        <v>54</v>
      </c>
      <c r="F88">
        <v>70</v>
      </c>
      <c r="G88">
        <v>1000</v>
      </c>
      <c r="H88">
        <v>-2</v>
      </c>
      <c r="I88">
        <v>1981</v>
      </c>
      <c r="J88" t="s">
        <v>60</v>
      </c>
      <c r="K88">
        <v>1595</v>
      </c>
      <c r="L88">
        <v>5.2</v>
      </c>
      <c r="M88">
        <v>4.3</v>
      </c>
      <c r="N88" s="4">
        <f t="shared" si="2"/>
        <v>2.1226400000000007E-3</v>
      </c>
      <c r="O88" s="4">
        <f t="shared" si="3"/>
        <v>9.1273520000000035E-3</v>
      </c>
      <c r="P88">
        <v>75</v>
      </c>
      <c r="Q88">
        <v>0.5</v>
      </c>
      <c r="R88">
        <v>0.5</v>
      </c>
      <c r="S88">
        <v>4</v>
      </c>
      <c r="T88">
        <v>4</v>
      </c>
      <c r="U88">
        <v>4</v>
      </c>
      <c r="V88" t="s">
        <v>50</v>
      </c>
    </row>
    <row r="89" spans="1:22" hidden="1" x14ac:dyDescent="0.25">
      <c r="A89" t="s">
        <v>51</v>
      </c>
      <c r="B89">
        <v>1</v>
      </c>
      <c r="C89" t="s">
        <v>52</v>
      </c>
      <c r="D89" t="s">
        <v>53</v>
      </c>
      <c r="E89" t="s">
        <v>54</v>
      </c>
      <c r="F89">
        <v>70</v>
      </c>
      <c r="G89">
        <v>1000</v>
      </c>
      <c r="H89">
        <v>-2</v>
      </c>
      <c r="I89">
        <v>1981</v>
      </c>
      <c r="J89" t="s">
        <v>61</v>
      </c>
      <c r="K89">
        <v>1171</v>
      </c>
      <c r="L89">
        <v>15</v>
      </c>
      <c r="M89">
        <v>11.3</v>
      </c>
      <c r="N89" s="4">
        <f t="shared" si="2"/>
        <v>1.7662500000000001E-2</v>
      </c>
      <c r="O89" s="4">
        <f t="shared" si="3"/>
        <v>0.19958625000000002</v>
      </c>
      <c r="P89">
        <v>88</v>
      </c>
      <c r="Q89">
        <v>2.2999999999999998</v>
      </c>
      <c r="R89">
        <v>1.7</v>
      </c>
      <c r="S89">
        <v>3</v>
      </c>
      <c r="T89">
        <v>3</v>
      </c>
      <c r="U89">
        <v>2</v>
      </c>
      <c r="V89" t="s">
        <v>30</v>
      </c>
    </row>
    <row r="90" spans="1:22" hidden="1" x14ac:dyDescent="0.25">
      <c r="A90" t="s">
        <v>51</v>
      </c>
      <c r="B90">
        <v>1</v>
      </c>
      <c r="C90" t="s">
        <v>52</v>
      </c>
      <c r="D90" t="s">
        <v>53</v>
      </c>
      <c r="E90" t="s">
        <v>54</v>
      </c>
      <c r="F90">
        <v>70</v>
      </c>
      <c r="G90">
        <v>1000</v>
      </c>
      <c r="H90">
        <v>-2</v>
      </c>
      <c r="I90">
        <v>1981</v>
      </c>
      <c r="J90" t="s">
        <v>32</v>
      </c>
      <c r="K90">
        <v>1596</v>
      </c>
      <c r="L90">
        <v>15.3</v>
      </c>
      <c r="M90">
        <v>10.8</v>
      </c>
      <c r="N90" s="4">
        <f t="shared" si="2"/>
        <v>1.8376065E-2</v>
      </c>
      <c r="O90" s="4">
        <f t="shared" si="3"/>
        <v>0.19846150200000001</v>
      </c>
      <c r="P90">
        <v>75</v>
      </c>
      <c r="Q90">
        <v>3</v>
      </c>
      <c r="R90">
        <v>3</v>
      </c>
      <c r="S90">
        <v>3</v>
      </c>
      <c r="T90">
        <v>4</v>
      </c>
      <c r="U90">
        <v>3.5</v>
      </c>
      <c r="V90" t="s">
        <v>27</v>
      </c>
    </row>
    <row r="91" spans="1:22" hidden="1" x14ac:dyDescent="0.25">
      <c r="A91" t="s">
        <v>51</v>
      </c>
      <c r="B91">
        <v>1</v>
      </c>
      <c r="C91" t="s">
        <v>52</v>
      </c>
      <c r="D91" t="s">
        <v>53</v>
      </c>
      <c r="E91" t="s">
        <v>54</v>
      </c>
      <c r="F91">
        <v>70</v>
      </c>
      <c r="G91">
        <v>1000</v>
      </c>
      <c r="H91">
        <v>-2</v>
      </c>
      <c r="I91">
        <v>1981</v>
      </c>
      <c r="J91" t="s">
        <v>34</v>
      </c>
      <c r="K91">
        <v>2459</v>
      </c>
      <c r="L91">
        <v>19</v>
      </c>
      <c r="M91">
        <v>16</v>
      </c>
      <c r="N91" s="4">
        <f t="shared" si="2"/>
        <v>2.8338500000000003E-2</v>
      </c>
      <c r="O91" s="4">
        <f t="shared" si="3"/>
        <v>0.45341600000000004</v>
      </c>
      <c r="P91">
        <v>88</v>
      </c>
      <c r="Q91">
        <v>4.3</v>
      </c>
      <c r="R91">
        <v>3</v>
      </c>
      <c r="S91">
        <v>4.8</v>
      </c>
      <c r="T91">
        <v>4</v>
      </c>
      <c r="U91">
        <v>4</v>
      </c>
      <c r="V91" t="s">
        <v>27</v>
      </c>
    </row>
    <row r="92" spans="1:22" hidden="1" x14ac:dyDescent="0.25">
      <c r="A92" t="s">
        <v>51</v>
      </c>
      <c r="B92">
        <v>1</v>
      </c>
      <c r="C92" t="s">
        <v>52</v>
      </c>
      <c r="D92" t="s">
        <v>53</v>
      </c>
      <c r="E92" t="s">
        <v>54</v>
      </c>
      <c r="F92">
        <v>70</v>
      </c>
      <c r="G92">
        <v>1000</v>
      </c>
      <c r="H92">
        <v>-2</v>
      </c>
      <c r="I92">
        <v>1981</v>
      </c>
      <c r="J92" t="s">
        <v>35</v>
      </c>
      <c r="K92">
        <v>1785</v>
      </c>
      <c r="L92">
        <v>7.2</v>
      </c>
      <c r="M92">
        <v>6</v>
      </c>
      <c r="N92" s="4">
        <f t="shared" si="2"/>
        <v>4.0694400000000014E-3</v>
      </c>
      <c r="O92" s="4">
        <f t="shared" si="3"/>
        <v>2.441664000000001E-2</v>
      </c>
      <c r="P92">
        <v>50</v>
      </c>
      <c r="Q92">
        <v>1.3</v>
      </c>
      <c r="R92">
        <v>1.3</v>
      </c>
      <c r="S92">
        <v>4</v>
      </c>
      <c r="T92">
        <v>4</v>
      </c>
      <c r="U92">
        <v>4</v>
      </c>
      <c r="V92" t="s">
        <v>50</v>
      </c>
    </row>
    <row r="93" spans="1:22" hidden="1" x14ac:dyDescent="0.25">
      <c r="A93" t="s">
        <v>51</v>
      </c>
      <c r="B93">
        <v>1</v>
      </c>
      <c r="C93" t="s">
        <v>52</v>
      </c>
      <c r="D93" t="s">
        <v>53</v>
      </c>
      <c r="E93" t="s">
        <v>54</v>
      </c>
      <c r="F93">
        <v>70</v>
      </c>
      <c r="G93">
        <v>1000</v>
      </c>
      <c r="H93">
        <v>-2</v>
      </c>
      <c r="I93">
        <v>1981</v>
      </c>
      <c r="J93" t="s">
        <v>36</v>
      </c>
      <c r="K93">
        <v>1598</v>
      </c>
      <c r="L93">
        <v>15.9</v>
      </c>
      <c r="M93">
        <v>12.8</v>
      </c>
      <c r="N93" s="4">
        <f t="shared" si="2"/>
        <v>1.9845585000000002E-2</v>
      </c>
      <c r="O93" s="4">
        <f t="shared" si="3"/>
        <v>0.25402348800000002</v>
      </c>
      <c r="P93">
        <v>100</v>
      </c>
      <c r="Q93">
        <v>4</v>
      </c>
      <c r="R93">
        <v>4</v>
      </c>
      <c r="S93">
        <v>3.3</v>
      </c>
      <c r="T93">
        <v>4</v>
      </c>
      <c r="U93">
        <v>3</v>
      </c>
      <c r="V93" t="s">
        <v>27</v>
      </c>
    </row>
    <row r="94" spans="1:22" hidden="1" x14ac:dyDescent="0.25">
      <c r="A94" t="s">
        <v>51</v>
      </c>
      <c r="B94">
        <v>1</v>
      </c>
      <c r="C94" t="s">
        <v>52</v>
      </c>
      <c r="D94" t="s">
        <v>53</v>
      </c>
      <c r="E94" t="s">
        <v>54</v>
      </c>
      <c r="F94">
        <v>70</v>
      </c>
      <c r="G94">
        <v>1000</v>
      </c>
      <c r="H94">
        <v>-2</v>
      </c>
      <c r="I94">
        <v>1981</v>
      </c>
      <c r="J94" t="s">
        <v>62</v>
      </c>
      <c r="K94">
        <v>1787</v>
      </c>
      <c r="L94">
        <v>18.100000000000001</v>
      </c>
      <c r="M94">
        <v>14.8</v>
      </c>
      <c r="N94" s="4">
        <f t="shared" si="2"/>
        <v>2.5717385000000006E-2</v>
      </c>
      <c r="O94" s="4">
        <f t="shared" si="3"/>
        <v>0.3806172980000001</v>
      </c>
      <c r="P94">
        <v>100</v>
      </c>
      <c r="Q94">
        <v>4.5999999999999996</v>
      </c>
      <c r="R94">
        <v>4</v>
      </c>
      <c r="S94">
        <v>4.3</v>
      </c>
      <c r="T94">
        <v>4.3</v>
      </c>
      <c r="U94">
        <v>4</v>
      </c>
      <c r="V94" t="s">
        <v>27</v>
      </c>
    </row>
    <row r="95" spans="1:22" hidden="1" x14ac:dyDescent="0.25">
      <c r="A95" t="s">
        <v>51</v>
      </c>
      <c r="B95">
        <v>1</v>
      </c>
      <c r="C95" t="s">
        <v>52</v>
      </c>
      <c r="D95" t="s">
        <v>53</v>
      </c>
      <c r="E95" t="s">
        <v>54</v>
      </c>
      <c r="F95">
        <v>70</v>
      </c>
      <c r="G95">
        <v>1000</v>
      </c>
      <c r="H95">
        <v>-2</v>
      </c>
      <c r="I95">
        <v>1981</v>
      </c>
      <c r="J95" t="s">
        <v>62</v>
      </c>
      <c r="K95">
        <v>2482</v>
      </c>
      <c r="L95">
        <v>17</v>
      </c>
      <c r="M95">
        <v>14.1</v>
      </c>
      <c r="N95" s="4">
        <f t="shared" si="2"/>
        <v>2.2686500000000005E-2</v>
      </c>
      <c r="O95" s="4">
        <f t="shared" si="3"/>
        <v>0.31987965000000007</v>
      </c>
      <c r="P95">
        <v>88</v>
      </c>
      <c r="Q95">
        <v>4.5</v>
      </c>
      <c r="R95">
        <v>3</v>
      </c>
      <c r="S95">
        <v>3.7</v>
      </c>
      <c r="T95">
        <v>3.7</v>
      </c>
      <c r="U95">
        <v>3.7</v>
      </c>
      <c r="V95" t="s">
        <v>27</v>
      </c>
    </row>
    <row r="96" spans="1:22" hidden="1" x14ac:dyDescent="0.25">
      <c r="A96" t="s">
        <v>51</v>
      </c>
      <c r="B96">
        <v>1</v>
      </c>
      <c r="C96" t="s">
        <v>52</v>
      </c>
      <c r="D96" t="s">
        <v>53</v>
      </c>
      <c r="E96" t="s">
        <v>54</v>
      </c>
      <c r="F96">
        <v>70</v>
      </c>
      <c r="G96">
        <v>1000</v>
      </c>
      <c r="H96">
        <v>-2</v>
      </c>
      <c r="I96">
        <v>1981</v>
      </c>
      <c r="J96" t="s">
        <v>62</v>
      </c>
      <c r="K96">
        <v>2431</v>
      </c>
      <c r="L96">
        <v>26.1</v>
      </c>
      <c r="M96">
        <v>16</v>
      </c>
      <c r="N96" s="4">
        <f t="shared" si="2"/>
        <v>5.3474985000000003E-2</v>
      </c>
      <c r="O96" s="4">
        <f t="shared" si="3"/>
        <v>0.85559976000000004</v>
      </c>
      <c r="P96">
        <v>38</v>
      </c>
      <c r="Q96">
        <v>5</v>
      </c>
      <c r="R96">
        <v>3</v>
      </c>
      <c r="S96">
        <v>4</v>
      </c>
      <c r="T96">
        <v>4</v>
      </c>
      <c r="U96">
        <v>2.7</v>
      </c>
      <c r="V96" t="s">
        <v>27</v>
      </c>
    </row>
    <row r="97" spans="1:22" hidden="1" x14ac:dyDescent="0.25">
      <c r="A97" t="s">
        <v>51</v>
      </c>
      <c r="B97">
        <v>1</v>
      </c>
      <c r="C97" t="s">
        <v>52</v>
      </c>
      <c r="D97" t="s">
        <v>53</v>
      </c>
      <c r="E97" t="s">
        <v>54</v>
      </c>
      <c r="F97">
        <v>70</v>
      </c>
      <c r="G97">
        <v>1000</v>
      </c>
      <c r="H97">
        <v>-2</v>
      </c>
      <c r="I97">
        <v>1981</v>
      </c>
      <c r="J97" t="s">
        <v>37</v>
      </c>
      <c r="K97">
        <v>1524</v>
      </c>
      <c r="L97">
        <v>12.2</v>
      </c>
      <c r="M97">
        <v>13.8</v>
      </c>
      <c r="N97" s="4">
        <f t="shared" si="2"/>
        <v>1.168394E-2</v>
      </c>
      <c r="O97" s="4">
        <f t="shared" si="3"/>
        <v>0.16123837200000002</v>
      </c>
      <c r="P97">
        <v>50</v>
      </c>
      <c r="Q97">
        <v>2</v>
      </c>
      <c r="R97">
        <v>1.5</v>
      </c>
      <c r="S97">
        <v>3</v>
      </c>
      <c r="T97">
        <v>3</v>
      </c>
      <c r="U97">
        <v>3</v>
      </c>
      <c r="V97" t="s">
        <v>30</v>
      </c>
    </row>
    <row r="98" spans="1:22" hidden="1" x14ac:dyDescent="0.25">
      <c r="A98" t="s">
        <v>51</v>
      </c>
      <c r="B98">
        <v>1</v>
      </c>
      <c r="C98" t="s">
        <v>52</v>
      </c>
      <c r="D98" t="s">
        <v>53</v>
      </c>
      <c r="E98" t="s">
        <v>54</v>
      </c>
      <c r="F98">
        <v>70</v>
      </c>
      <c r="G98">
        <v>1000</v>
      </c>
      <c r="H98">
        <v>-2</v>
      </c>
      <c r="I98">
        <v>1981</v>
      </c>
      <c r="J98" t="s">
        <v>63</v>
      </c>
      <c r="K98">
        <v>1340</v>
      </c>
      <c r="L98">
        <v>9.3000000000000007</v>
      </c>
      <c r="M98">
        <v>4.3</v>
      </c>
      <c r="N98" s="4">
        <f t="shared" si="2"/>
        <v>6.7894650000000023E-3</v>
      </c>
      <c r="O98" s="4">
        <f t="shared" si="3"/>
        <v>2.9194699500000008E-2</v>
      </c>
      <c r="P98">
        <v>63</v>
      </c>
      <c r="Q98">
        <v>1</v>
      </c>
      <c r="R98">
        <v>1.2</v>
      </c>
      <c r="S98">
        <v>1</v>
      </c>
      <c r="T98">
        <v>1</v>
      </c>
      <c r="U98">
        <v>1</v>
      </c>
      <c r="V98" t="s">
        <v>50</v>
      </c>
    </row>
    <row r="99" spans="1:22" hidden="1" x14ac:dyDescent="0.25">
      <c r="A99" t="s">
        <v>51</v>
      </c>
      <c r="B99">
        <v>1</v>
      </c>
      <c r="C99" t="s">
        <v>52</v>
      </c>
      <c r="D99" t="s">
        <v>53</v>
      </c>
      <c r="E99" t="s">
        <v>54</v>
      </c>
      <c r="F99">
        <v>70</v>
      </c>
      <c r="G99">
        <v>1000</v>
      </c>
      <c r="H99">
        <v>-2</v>
      </c>
      <c r="I99">
        <v>1981</v>
      </c>
      <c r="J99" t="s">
        <v>62</v>
      </c>
      <c r="K99">
        <v>2428</v>
      </c>
      <c r="L99">
        <v>22.6</v>
      </c>
      <c r="M99">
        <v>13.4</v>
      </c>
      <c r="N99" s="4">
        <f t="shared" si="2"/>
        <v>4.0094660000000004E-2</v>
      </c>
      <c r="O99" s="4">
        <f t="shared" si="3"/>
        <v>0.53726844400000007</v>
      </c>
      <c r="P99">
        <v>100</v>
      </c>
      <c r="Q99">
        <v>5</v>
      </c>
      <c r="R99">
        <v>3</v>
      </c>
      <c r="S99">
        <v>2.2999999999999998</v>
      </c>
      <c r="T99">
        <v>2.7</v>
      </c>
      <c r="U99">
        <v>2</v>
      </c>
      <c r="V99" t="s">
        <v>27</v>
      </c>
    </row>
    <row r="100" spans="1:22" hidden="1" x14ac:dyDescent="0.25">
      <c r="A100" t="s">
        <v>51</v>
      </c>
      <c r="B100">
        <v>2</v>
      </c>
      <c r="C100" t="s">
        <v>52</v>
      </c>
      <c r="D100" t="s">
        <v>53</v>
      </c>
      <c r="E100" t="s">
        <v>54</v>
      </c>
      <c r="F100">
        <v>70</v>
      </c>
      <c r="G100">
        <v>1000</v>
      </c>
      <c r="H100">
        <v>-2</v>
      </c>
      <c r="I100">
        <v>1981</v>
      </c>
      <c r="J100" t="s">
        <v>55</v>
      </c>
      <c r="K100">
        <v>1094</v>
      </c>
      <c r="L100">
        <v>7.8</v>
      </c>
      <c r="M100">
        <v>7.4</v>
      </c>
      <c r="N100" s="4">
        <f t="shared" si="2"/>
        <v>4.7759400000000002E-3</v>
      </c>
      <c r="O100" s="4">
        <f t="shared" si="3"/>
        <v>3.5341956000000001E-2</v>
      </c>
      <c r="P100">
        <v>63</v>
      </c>
      <c r="Q100">
        <v>1</v>
      </c>
      <c r="R100">
        <v>1</v>
      </c>
      <c r="S100">
        <v>3</v>
      </c>
      <c r="T100">
        <v>3</v>
      </c>
      <c r="U100">
        <v>3</v>
      </c>
      <c r="V100" t="s">
        <v>50</v>
      </c>
    </row>
    <row r="101" spans="1:22" hidden="1" x14ac:dyDescent="0.25">
      <c r="A101" t="s">
        <v>51</v>
      </c>
      <c r="B101">
        <v>2</v>
      </c>
      <c r="C101" t="s">
        <v>52</v>
      </c>
      <c r="D101" t="s">
        <v>53</v>
      </c>
      <c r="E101" t="s">
        <v>54</v>
      </c>
      <c r="F101">
        <v>70</v>
      </c>
      <c r="G101">
        <v>1000</v>
      </c>
      <c r="H101">
        <v>-2</v>
      </c>
      <c r="I101">
        <v>1981</v>
      </c>
      <c r="J101" t="s">
        <v>56</v>
      </c>
      <c r="K101">
        <v>1111</v>
      </c>
      <c r="L101">
        <v>16.399999999999999</v>
      </c>
      <c r="M101">
        <v>13.3</v>
      </c>
      <c r="N101" s="4">
        <f t="shared" si="2"/>
        <v>2.1113359999999994E-2</v>
      </c>
      <c r="O101" s="4">
        <f t="shared" si="3"/>
        <v>0.28080768799999994</v>
      </c>
      <c r="P101">
        <v>100</v>
      </c>
      <c r="Q101">
        <v>4.5</v>
      </c>
      <c r="R101">
        <v>3</v>
      </c>
      <c r="S101">
        <v>3.3</v>
      </c>
      <c r="T101">
        <v>3.3</v>
      </c>
      <c r="U101">
        <v>2.7</v>
      </c>
      <c r="V101" t="s">
        <v>25</v>
      </c>
    </row>
    <row r="102" spans="1:22" hidden="1" x14ac:dyDescent="0.25">
      <c r="A102" t="s">
        <v>51</v>
      </c>
      <c r="B102">
        <v>2</v>
      </c>
      <c r="C102" t="s">
        <v>52</v>
      </c>
      <c r="D102" t="s">
        <v>53</v>
      </c>
      <c r="E102" t="s">
        <v>54</v>
      </c>
      <c r="F102">
        <v>70</v>
      </c>
      <c r="G102">
        <v>1000</v>
      </c>
      <c r="H102">
        <v>-2</v>
      </c>
      <c r="I102">
        <v>1981</v>
      </c>
      <c r="J102" t="s">
        <v>57</v>
      </c>
      <c r="K102">
        <v>1112</v>
      </c>
      <c r="L102">
        <v>11.9</v>
      </c>
      <c r="M102">
        <v>9.6999999999999993</v>
      </c>
      <c r="N102" s="4">
        <f t="shared" si="2"/>
        <v>1.1116385000000001E-2</v>
      </c>
      <c r="O102" s="4">
        <f t="shared" si="3"/>
        <v>0.1078289345</v>
      </c>
      <c r="P102">
        <v>100</v>
      </c>
      <c r="Q102">
        <v>2.2999999999999998</v>
      </c>
      <c r="R102">
        <v>1.8</v>
      </c>
      <c r="S102">
        <v>3</v>
      </c>
      <c r="T102">
        <v>3.5</v>
      </c>
      <c r="U102">
        <v>3.2</v>
      </c>
      <c r="V102" t="s">
        <v>30</v>
      </c>
    </row>
    <row r="103" spans="1:22" hidden="1" x14ac:dyDescent="0.25">
      <c r="A103" t="s">
        <v>51</v>
      </c>
      <c r="B103">
        <v>2</v>
      </c>
      <c r="C103" t="s">
        <v>52</v>
      </c>
      <c r="D103" t="s">
        <v>53</v>
      </c>
      <c r="E103" t="s">
        <v>54</v>
      </c>
      <c r="F103">
        <v>70</v>
      </c>
      <c r="G103">
        <v>1000</v>
      </c>
      <c r="H103">
        <v>-2</v>
      </c>
      <c r="I103">
        <v>1981</v>
      </c>
      <c r="J103" t="s">
        <v>57</v>
      </c>
      <c r="K103">
        <v>1113</v>
      </c>
      <c r="L103">
        <v>10.4</v>
      </c>
      <c r="M103">
        <v>9.4</v>
      </c>
      <c r="N103" s="4">
        <f t="shared" si="2"/>
        <v>8.4905600000000029E-3</v>
      </c>
      <c r="O103" s="4">
        <f t="shared" si="3"/>
        <v>7.9811264000000035E-2</v>
      </c>
      <c r="P103">
        <v>88</v>
      </c>
      <c r="Q103">
        <v>2</v>
      </c>
      <c r="R103">
        <v>1.7</v>
      </c>
      <c r="S103">
        <v>4</v>
      </c>
      <c r="T103">
        <v>4</v>
      </c>
      <c r="U103">
        <v>4</v>
      </c>
      <c r="V103" t="s">
        <v>30</v>
      </c>
    </row>
    <row r="104" spans="1:22" hidden="1" x14ac:dyDescent="0.25">
      <c r="A104" t="s">
        <v>51</v>
      </c>
      <c r="B104">
        <v>2</v>
      </c>
      <c r="C104" t="s">
        <v>52</v>
      </c>
      <c r="D104" t="s">
        <v>53</v>
      </c>
      <c r="E104" t="s">
        <v>54</v>
      </c>
      <c r="F104">
        <v>70</v>
      </c>
      <c r="G104">
        <v>1000</v>
      </c>
      <c r="H104">
        <v>-2</v>
      </c>
      <c r="I104">
        <v>1981</v>
      </c>
      <c r="J104" t="s">
        <v>58</v>
      </c>
      <c r="K104">
        <v>1338</v>
      </c>
      <c r="L104">
        <v>13.5</v>
      </c>
      <c r="M104">
        <v>10</v>
      </c>
      <c r="N104" s="4">
        <f t="shared" si="2"/>
        <v>1.4306625000000002E-2</v>
      </c>
      <c r="O104" s="4">
        <f t="shared" si="3"/>
        <v>0.14306625000000001</v>
      </c>
      <c r="P104">
        <v>13</v>
      </c>
      <c r="Q104">
        <v>3</v>
      </c>
      <c r="R104">
        <v>4</v>
      </c>
      <c r="S104">
        <v>3</v>
      </c>
      <c r="T104">
        <v>4</v>
      </c>
      <c r="U104">
        <v>3.3</v>
      </c>
      <c r="V104" t="s">
        <v>30</v>
      </c>
    </row>
    <row r="105" spans="1:22" hidden="1" x14ac:dyDescent="0.25">
      <c r="A105" t="s">
        <v>51</v>
      </c>
      <c r="B105">
        <v>2</v>
      </c>
      <c r="C105" t="s">
        <v>52</v>
      </c>
      <c r="D105" t="s">
        <v>53</v>
      </c>
      <c r="E105" t="s">
        <v>54</v>
      </c>
      <c r="F105">
        <v>70</v>
      </c>
      <c r="G105">
        <v>1000</v>
      </c>
      <c r="H105">
        <v>-2</v>
      </c>
      <c r="I105">
        <v>1981</v>
      </c>
      <c r="J105" t="s">
        <v>59</v>
      </c>
      <c r="K105">
        <v>1482</v>
      </c>
      <c r="L105">
        <v>23</v>
      </c>
      <c r="M105">
        <v>11</v>
      </c>
      <c r="N105" s="4">
        <f t="shared" si="2"/>
        <v>4.1526500000000001E-2</v>
      </c>
      <c r="O105" s="4">
        <f t="shared" si="3"/>
        <v>0.45679150000000002</v>
      </c>
      <c r="P105">
        <v>13</v>
      </c>
      <c r="Q105">
        <v>3</v>
      </c>
      <c r="R105">
        <v>3.5</v>
      </c>
      <c r="S105">
        <v>2</v>
      </c>
      <c r="T105">
        <v>1</v>
      </c>
      <c r="U105">
        <v>1</v>
      </c>
      <c r="V105" t="s">
        <v>38</v>
      </c>
    </row>
    <row r="106" spans="1:22" hidden="1" x14ac:dyDescent="0.25">
      <c r="A106" t="s">
        <v>51</v>
      </c>
      <c r="B106">
        <v>2</v>
      </c>
      <c r="C106" t="s">
        <v>52</v>
      </c>
      <c r="D106" t="s">
        <v>53</v>
      </c>
      <c r="E106" t="s">
        <v>54</v>
      </c>
      <c r="F106">
        <v>70</v>
      </c>
      <c r="G106">
        <v>1000</v>
      </c>
      <c r="H106">
        <v>-2</v>
      </c>
      <c r="I106">
        <v>1981</v>
      </c>
      <c r="J106" t="s">
        <v>59</v>
      </c>
      <c r="K106">
        <v>1978</v>
      </c>
      <c r="L106">
        <v>23.7</v>
      </c>
      <c r="M106">
        <v>12.6</v>
      </c>
      <c r="N106" s="4">
        <f t="shared" si="2"/>
        <v>4.4092664999999996E-2</v>
      </c>
      <c r="O106" s="4">
        <f t="shared" si="3"/>
        <v>0.55556757899999998</v>
      </c>
      <c r="P106">
        <v>88</v>
      </c>
      <c r="Q106">
        <v>5</v>
      </c>
      <c r="R106">
        <v>3.3</v>
      </c>
      <c r="S106">
        <v>3</v>
      </c>
      <c r="T106">
        <v>2</v>
      </c>
      <c r="U106">
        <v>2</v>
      </c>
      <c r="V106" t="s">
        <v>25</v>
      </c>
    </row>
    <row r="107" spans="1:22" hidden="1" x14ac:dyDescent="0.25">
      <c r="A107" t="s">
        <v>51</v>
      </c>
      <c r="B107">
        <v>2</v>
      </c>
      <c r="C107" t="s">
        <v>52</v>
      </c>
      <c r="D107" t="s">
        <v>53</v>
      </c>
      <c r="E107" t="s">
        <v>54</v>
      </c>
      <c r="F107">
        <v>70</v>
      </c>
      <c r="G107">
        <v>1000</v>
      </c>
      <c r="H107">
        <v>-2</v>
      </c>
      <c r="I107">
        <v>1981</v>
      </c>
      <c r="J107" t="s">
        <v>26</v>
      </c>
      <c r="K107">
        <v>1339</v>
      </c>
      <c r="L107">
        <v>33.799999999999997</v>
      </c>
      <c r="M107">
        <v>16</v>
      </c>
      <c r="N107" s="4">
        <f t="shared" si="2"/>
        <v>8.968153999999999E-2</v>
      </c>
      <c r="O107" s="4">
        <f t="shared" si="3"/>
        <v>1.4349046399999998</v>
      </c>
      <c r="P107">
        <v>50</v>
      </c>
      <c r="Q107">
        <v>5</v>
      </c>
      <c r="R107">
        <v>3</v>
      </c>
      <c r="S107">
        <v>2</v>
      </c>
      <c r="T107">
        <v>2</v>
      </c>
      <c r="U107">
        <v>0.5</v>
      </c>
      <c r="V107" t="s">
        <v>25</v>
      </c>
    </row>
    <row r="108" spans="1:22" hidden="1" x14ac:dyDescent="0.25">
      <c r="A108" t="s">
        <v>51</v>
      </c>
      <c r="B108">
        <v>2</v>
      </c>
      <c r="C108" t="s">
        <v>52</v>
      </c>
      <c r="D108" t="s">
        <v>53</v>
      </c>
      <c r="E108" t="s">
        <v>54</v>
      </c>
      <c r="F108">
        <v>70</v>
      </c>
      <c r="G108">
        <v>1000</v>
      </c>
      <c r="H108">
        <v>-2</v>
      </c>
      <c r="I108">
        <v>1981</v>
      </c>
      <c r="J108" t="s">
        <v>26</v>
      </c>
      <c r="K108">
        <v>1786</v>
      </c>
      <c r="L108">
        <v>17</v>
      </c>
      <c r="M108">
        <v>15.3</v>
      </c>
      <c r="N108" s="4">
        <f t="shared" si="2"/>
        <v>2.2686500000000005E-2</v>
      </c>
      <c r="O108" s="4">
        <f t="shared" si="3"/>
        <v>0.34710345000000009</v>
      </c>
      <c r="P108">
        <v>75</v>
      </c>
      <c r="Q108">
        <v>4.7</v>
      </c>
      <c r="R108">
        <v>4</v>
      </c>
      <c r="S108">
        <v>3.5</v>
      </c>
      <c r="T108">
        <v>4</v>
      </c>
      <c r="U108">
        <v>4</v>
      </c>
      <c r="V108" t="s">
        <v>27</v>
      </c>
    </row>
    <row r="109" spans="1:22" hidden="1" x14ac:dyDescent="0.25">
      <c r="A109" t="s">
        <v>51</v>
      </c>
      <c r="B109">
        <v>2</v>
      </c>
      <c r="C109" t="s">
        <v>52</v>
      </c>
      <c r="D109" t="s">
        <v>53</v>
      </c>
      <c r="E109" t="s">
        <v>54</v>
      </c>
      <c r="F109">
        <v>70</v>
      </c>
      <c r="G109">
        <v>1000</v>
      </c>
      <c r="H109">
        <v>-2</v>
      </c>
      <c r="I109">
        <v>1981</v>
      </c>
      <c r="J109" t="s">
        <v>26</v>
      </c>
      <c r="K109">
        <v>2447</v>
      </c>
      <c r="L109">
        <v>20.8</v>
      </c>
      <c r="M109">
        <v>12.6</v>
      </c>
      <c r="N109" s="4">
        <f t="shared" si="2"/>
        <v>3.3962240000000012E-2</v>
      </c>
      <c r="O109" s="4">
        <f t="shared" si="3"/>
        <v>0.42792422400000013</v>
      </c>
      <c r="P109">
        <v>63</v>
      </c>
      <c r="Q109">
        <v>4</v>
      </c>
      <c r="R109">
        <v>3</v>
      </c>
      <c r="S109">
        <v>3.3</v>
      </c>
      <c r="T109">
        <v>3.5</v>
      </c>
      <c r="U109">
        <v>3.5</v>
      </c>
      <c r="V109" t="s">
        <v>25</v>
      </c>
    </row>
    <row r="110" spans="1:22" hidden="1" x14ac:dyDescent="0.25">
      <c r="A110" t="s">
        <v>51</v>
      </c>
      <c r="B110">
        <v>2</v>
      </c>
      <c r="C110" t="s">
        <v>52</v>
      </c>
      <c r="D110" t="s">
        <v>53</v>
      </c>
      <c r="E110" t="s">
        <v>54</v>
      </c>
      <c r="F110">
        <v>70</v>
      </c>
      <c r="G110">
        <v>1000</v>
      </c>
      <c r="H110">
        <v>-2</v>
      </c>
      <c r="I110">
        <v>1981</v>
      </c>
      <c r="J110" t="s">
        <v>60</v>
      </c>
      <c r="K110">
        <v>1595</v>
      </c>
      <c r="L110">
        <v>6.5</v>
      </c>
      <c r="M110">
        <v>4.4000000000000004</v>
      </c>
      <c r="N110" s="4">
        <f t="shared" si="2"/>
        <v>3.3166250000000006E-3</v>
      </c>
      <c r="O110" s="4">
        <f t="shared" si="3"/>
        <v>1.4593150000000004E-2</v>
      </c>
      <c r="P110">
        <v>63</v>
      </c>
      <c r="Q110">
        <v>0.5</v>
      </c>
      <c r="R110">
        <v>0.5</v>
      </c>
      <c r="S110">
        <v>4</v>
      </c>
      <c r="T110">
        <v>4.5</v>
      </c>
      <c r="U110">
        <v>4</v>
      </c>
      <c r="V110" t="s">
        <v>50</v>
      </c>
    </row>
    <row r="111" spans="1:22" hidden="1" x14ac:dyDescent="0.25">
      <c r="A111" t="s">
        <v>51</v>
      </c>
      <c r="B111">
        <v>2</v>
      </c>
      <c r="C111" t="s">
        <v>52</v>
      </c>
      <c r="D111" t="s">
        <v>53</v>
      </c>
      <c r="E111" t="s">
        <v>54</v>
      </c>
      <c r="F111">
        <v>70</v>
      </c>
      <c r="G111">
        <v>1000</v>
      </c>
      <c r="H111">
        <v>-2</v>
      </c>
      <c r="I111">
        <v>1981</v>
      </c>
      <c r="J111" t="s">
        <v>61</v>
      </c>
      <c r="K111">
        <v>1171</v>
      </c>
      <c r="L111">
        <v>10.4</v>
      </c>
      <c r="M111">
        <v>6.4</v>
      </c>
      <c r="N111" s="4">
        <f t="shared" si="2"/>
        <v>8.4905600000000029E-3</v>
      </c>
      <c r="O111" s="4">
        <f t="shared" si="3"/>
        <v>5.4339584000000024E-2</v>
      </c>
      <c r="P111">
        <v>75</v>
      </c>
      <c r="Q111">
        <v>1.7</v>
      </c>
      <c r="R111">
        <v>1.5</v>
      </c>
      <c r="S111">
        <v>0</v>
      </c>
      <c r="T111">
        <v>0</v>
      </c>
      <c r="U111">
        <v>0</v>
      </c>
      <c r="V111" t="s">
        <v>50</v>
      </c>
    </row>
    <row r="112" spans="1:22" hidden="1" x14ac:dyDescent="0.25">
      <c r="A112" t="s">
        <v>51</v>
      </c>
      <c r="B112">
        <v>2</v>
      </c>
      <c r="C112" t="s">
        <v>52</v>
      </c>
      <c r="D112" t="s">
        <v>53</v>
      </c>
      <c r="E112" t="s">
        <v>54</v>
      </c>
      <c r="F112">
        <v>70</v>
      </c>
      <c r="G112">
        <v>1000</v>
      </c>
      <c r="H112">
        <v>-2</v>
      </c>
      <c r="I112">
        <v>1981</v>
      </c>
      <c r="J112" t="s">
        <v>32</v>
      </c>
      <c r="K112">
        <v>1596</v>
      </c>
      <c r="L112">
        <v>12.6</v>
      </c>
      <c r="M112">
        <v>8</v>
      </c>
      <c r="N112" s="4">
        <f t="shared" si="2"/>
        <v>1.2462660000000002E-2</v>
      </c>
      <c r="O112" s="4">
        <f t="shared" si="3"/>
        <v>9.9701280000000017E-2</v>
      </c>
      <c r="P112">
        <v>37</v>
      </c>
      <c r="Q112">
        <v>2.5</v>
      </c>
      <c r="R112">
        <v>3.5</v>
      </c>
      <c r="S112">
        <v>4</v>
      </c>
      <c r="T112">
        <v>4</v>
      </c>
      <c r="U112">
        <v>4</v>
      </c>
      <c r="V112" t="s">
        <v>38</v>
      </c>
    </row>
    <row r="113" spans="1:22" hidden="1" x14ac:dyDescent="0.25">
      <c r="A113" t="s">
        <v>51</v>
      </c>
      <c r="B113">
        <v>2</v>
      </c>
      <c r="C113" t="s">
        <v>52</v>
      </c>
      <c r="D113" t="s">
        <v>53</v>
      </c>
      <c r="E113" t="s">
        <v>54</v>
      </c>
      <c r="F113">
        <v>70</v>
      </c>
      <c r="G113">
        <v>1000</v>
      </c>
      <c r="H113">
        <v>-2</v>
      </c>
      <c r="I113">
        <v>1981</v>
      </c>
      <c r="J113" t="s">
        <v>34</v>
      </c>
      <c r="K113">
        <v>1337</v>
      </c>
      <c r="L113">
        <v>22.2</v>
      </c>
      <c r="M113">
        <v>14.6</v>
      </c>
      <c r="N113" s="4">
        <f t="shared" si="2"/>
        <v>3.8687940000000004E-2</v>
      </c>
      <c r="O113" s="4">
        <f t="shared" si="3"/>
        <v>0.56484392400000005</v>
      </c>
      <c r="P113">
        <v>63</v>
      </c>
      <c r="Q113">
        <v>5</v>
      </c>
      <c r="R113">
        <v>3</v>
      </c>
      <c r="S113">
        <v>4</v>
      </c>
      <c r="T113">
        <v>4</v>
      </c>
      <c r="U113">
        <v>3.2</v>
      </c>
      <c r="V113" t="s">
        <v>27</v>
      </c>
    </row>
    <row r="114" spans="1:22" hidden="1" x14ac:dyDescent="0.25">
      <c r="A114" t="s">
        <v>51</v>
      </c>
      <c r="B114">
        <v>2</v>
      </c>
      <c r="C114" t="s">
        <v>52</v>
      </c>
      <c r="D114" t="s">
        <v>53</v>
      </c>
      <c r="E114" t="s">
        <v>54</v>
      </c>
      <c r="F114">
        <v>70</v>
      </c>
      <c r="G114">
        <v>1000</v>
      </c>
      <c r="H114">
        <v>-2</v>
      </c>
      <c r="I114">
        <v>1981</v>
      </c>
      <c r="J114" t="s">
        <v>34</v>
      </c>
      <c r="K114">
        <v>2459</v>
      </c>
      <c r="L114">
        <v>19.600000000000001</v>
      </c>
      <c r="M114">
        <v>15.4</v>
      </c>
      <c r="N114" s="4">
        <f t="shared" si="2"/>
        <v>3.0156560000000006E-2</v>
      </c>
      <c r="O114" s="4">
        <f t="shared" si="3"/>
        <v>0.46441102400000012</v>
      </c>
      <c r="P114">
        <v>100</v>
      </c>
      <c r="Q114">
        <v>5</v>
      </c>
      <c r="R114">
        <v>3</v>
      </c>
      <c r="S114">
        <v>5</v>
      </c>
      <c r="T114">
        <v>4.3</v>
      </c>
      <c r="U114">
        <v>3</v>
      </c>
      <c r="V114" t="s">
        <v>27</v>
      </c>
    </row>
    <row r="115" spans="1:22" hidden="1" x14ac:dyDescent="0.25">
      <c r="A115" t="s">
        <v>51</v>
      </c>
      <c r="B115">
        <v>2</v>
      </c>
      <c r="C115" t="s">
        <v>52</v>
      </c>
      <c r="D115" t="s">
        <v>53</v>
      </c>
      <c r="E115" t="s">
        <v>54</v>
      </c>
      <c r="F115">
        <v>70</v>
      </c>
      <c r="G115">
        <v>1000</v>
      </c>
      <c r="H115">
        <v>-2</v>
      </c>
      <c r="I115">
        <v>1981</v>
      </c>
      <c r="J115" t="s">
        <v>35</v>
      </c>
      <c r="K115">
        <v>1785</v>
      </c>
      <c r="L115">
        <v>9.8000000000000007</v>
      </c>
      <c r="M115">
        <v>7.5</v>
      </c>
      <c r="N115" s="4">
        <f t="shared" si="2"/>
        <v>7.5391400000000015E-3</v>
      </c>
      <c r="O115" s="4">
        <f t="shared" si="3"/>
        <v>5.6543550000000012E-2</v>
      </c>
      <c r="P115">
        <v>75</v>
      </c>
      <c r="Q115">
        <v>1.7</v>
      </c>
      <c r="R115">
        <v>1.3</v>
      </c>
      <c r="S115">
        <v>3.3</v>
      </c>
      <c r="T115">
        <v>4</v>
      </c>
      <c r="U115">
        <v>3.5</v>
      </c>
      <c r="V115" t="s">
        <v>30</v>
      </c>
    </row>
    <row r="116" spans="1:22" hidden="1" x14ac:dyDescent="0.25">
      <c r="A116" t="s">
        <v>51</v>
      </c>
      <c r="B116">
        <v>2</v>
      </c>
      <c r="C116" t="s">
        <v>52</v>
      </c>
      <c r="D116" t="s">
        <v>53</v>
      </c>
      <c r="E116" t="s">
        <v>54</v>
      </c>
      <c r="F116">
        <v>70</v>
      </c>
      <c r="G116">
        <v>1000</v>
      </c>
      <c r="H116">
        <v>-2</v>
      </c>
      <c r="I116">
        <v>1981</v>
      </c>
      <c r="J116" t="s">
        <v>36</v>
      </c>
      <c r="K116">
        <v>1598</v>
      </c>
      <c r="L116">
        <v>15.2</v>
      </c>
      <c r="M116">
        <v>14.4</v>
      </c>
      <c r="N116" s="4">
        <f t="shared" si="2"/>
        <v>1.8136639999999999E-2</v>
      </c>
      <c r="O116" s="4">
        <f t="shared" si="3"/>
        <v>0.26116761599999999</v>
      </c>
      <c r="P116">
        <v>100</v>
      </c>
      <c r="Q116">
        <v>4.5</v>
      </c>
      <c r="R116">
        <v>4</v>
      </c>
      <c r="S116">
        <v>3</v>
      </c>
      <c r="T116">
        <v>4</v>
      </c>
      <c r="U116">
        <v>3</v>
      </c>
      <c r="V116" t="s">
        <v>25</v>
      </c>
    </row>
    <row r="117" spans="1:22" hidden="1" x14ac:dyDescent="0.25">
      <c r="A117" t="s">
        <v>51</v>
      </c>
      <c r="B117">
        <v>2</v>
      </c>
      <c r="C117" t="s">
        <v>52</v>
      </c>
      <c r="D117" t="s">
        <v>53</v>
      </c>
      <c r="E117" t="s">
        <v>54</v>
      </c>
      <c r="F117">
        <v>70</v>
      </c>
      <c r="G117">
        <v>1000</v>
      </c>
      <c r="H117">
        <v>-2</v>
      </c>
      <c r="I117">
        <v>1981</v>
      </c>
      <c r="J117" t="s">
        <v>62</v>
      </c>
      <c r="K117">
        <v>1787</v>
      </c>
      <c r="L117">
        <v>19.600000000000001</v>
      </c>
      <c r="M117">
        <v>16.600000000000001</v>
      </c>
      <c r="N117" s="4">
        <f t="shared" si="2"/>
        <v>3.0156560000000006E-2</v>
      </c>
      <c r="O117" s="4">
        <f t="shared" si="3"/>
        <v>0.50059889600000018</v>
      </c>
      <c r="P117">
        <v>100</v>
      </c>
      <c r="Q117">
        <v>5</v>
      </c>
      <c r="R117">
        <v>3</v>
      </c>
      <c r="S117">
        <v>4</v>
      </c>
      <c r="T117">
        <v>4</v>
      </c>
      <c r="U117">
        <v>3</v>
      </c>
      <c r="V117" t="s">
        <v>27</v>
      </c>
    </row>
    <row r="118" spans="1:22" hidden="1" x14ac:dyDescent="0.25">
      <c r="A118" t="s">
        <v>51</v>
      </c>
      <c r="B118">
        <v>2</v>
      </c>
      <c r="C118" t="s">
        <v>52</v>
      </c>
      <c r="D118" t="s">
        <v>53</v>
      </c>
      <c r="E118" t="s">
        <v>54</v>
      </c>
      <c r="F118">
        <v>70</v>
      </c>
      <c r="G118">
        <v>1000</v>
      </c>
      <c r="H118">
        <v>-2</v>
      </c>
      <c r="I118">
        <v>1981</v>
      </c>
      <c r="J118" t="s">
        <v>62</v>
      </c>
      <c r="K118">
        <v>2482</v>
      </c>
      <c r="L118">
        <v>17</v>
      </c>
      <c r="M118">
        <v>14.1</v>
      </c>
      <c r="N118" s="4">
        <f t="shared" si="2"/>
        <v>2.2686500000000005E-2</v>
      </c>
      <c r="O118" s="4">
        <f t="shared" si="3"/>
        <v>0.31987965000000007</v>
      </c>
      <c r="P118">
        <v>88</v>
      </c>
      <c r="Q118">
        <v>4.5</v>
      </c>
      <c r="R118">
        <v>3</v>
      </c>
      <c r="S118">
        <v>3.7</v>
      </c>
      <c r="T118">
        <v>3.7</v>
      </c>
      <c r="U118">
        <v>3.7</v>
      </c>
      <c r="V118" t="s">
        <v>27</v>
      </c>
    </row>
    <row r="119" spans="1:22" hidden="1" x14ac:dyDescent="0.25">
      <c r="A119" t="s">
        <v>51</v>
      </c>
      <c r="B119">
        <v>2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62</v>
      </c>
      <c r="K119">
        <v>2431</v>
      </c>
      <c r="L119">
        <v>26</v>
      </c>
      <c r="M119">
        <v>14</v>
      </c>
      <c r="N119" s="4">
        <f t="shared" si="2"/>
        <v>5.3066000000000009E-2</v>
      </c>
      <c r="O119" s="4">
        <f t="shared" si="3"/>
        <v>0.74292400000000014</v>
      </c>
      <c r="P119">
        <v>88</v>
      </c>
      <c r="Q119">
        <v>5</v>
      </c>
      <c r="R119">
        <v>3.5</v>
      </c>
      <c r="S119">
        <v>3.5</v>
      </c>
      <c r="T119">
        <v>4</v>
      </c>
      <c r="U119">
        <v>3.3</v>
      </c>
      <c r="V119" t="s">
        <v>27</v>
      </c>
    </row>
    <row r="120" spans="1:22" hidden="1" x14ac:dyDescent="0.25">
      <c r="A120" t="s">
        <v>51</v>
      </c>
      <c r="B120">
        <v>2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64</v>
      </c>
      <c r="K120">
        <v>1192</v>
      </c>
      <c r="L120">
        <v>8.9</v>
      </c>
      <c r="M120">
        <v>5.2</v>
      </c>
      <c r="N120" s="4">
        <f t="shared" si="2"/>
        <v>6.2179850000000014E-3</v>
      </c>
      <c r="O120" s="4">
        <f t="shared" si="3"/>
        <v>3.233352200000001E-2</v>
      </c>
      <c r="P120">
        <v>63</v>
      </c>
      <c r="Q120">
        <v>2.5</v>
      </c>
      <c r="R120">
        <v>1.8</v>
      </c>
      <c r="S120">
        <v>3</v>
      </c>
      <c r="T120">
        <v>3</v>
      </c>
      <c r="U120">
        <v>3</v>
      </c>
      <c r="V120" t="s">
        <v>50</v>
      </c>
    </row>
    <row r="121" spans="1:22" hidden="1" x14ac:dyDescent="0.25">
      <c r="A121" t="s">
        <v>51</v>
      </c>
      <c r="B121">
        <v>2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37</v>
      </c>
      <c r="K121">
        <v>1524</v>
      </c>
      <c r="L121">
        <v>10.3</v>
      </c>
      <c r="M121">
        <v>7.8</v>
      </c>
      <c r="N121" s="4">
        <f t="shared" si="2"/>
        <v>8.3280650000000025E-3</v>
      </c>
      <c r="O121" s="4">
        <f t="shared" si="3"/>
        <v>6.4958907000000024E-2</v>
      </c>
      <c r="P121">
        <v>100</v>
      </c>
      <c r="Q121">
        <v>2.2999999999999998</v>
      </c>
      <c r="R121">
        <v>2</v>
      </c>
      <c r="S121">
        <v>3</v>
      </c>
      <c r="T121">
        <v>3</v>
      </c>
      <c r="U121">
        <v>3</v>
      </c>
      <c r="V121" t="s">
        <v>30</v>
      </c>
    </row>
    <row r="122" spans="1:22" hidden="1" x14ac:dyDescent="0.25">
      <c r="A122" t="s">
        <v>51</v>
      </c>
      <c r="B122">
        <v>22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39</v>
      </c>
      <c r="K122">
        <v>2435</v>
      </c>
      <c r="L122">
        <v>19.600000000000001</v>
      </c>
      <c r="M122">
        <v>12.3</v>
      </c>
      <c r="N122" s="4">
        <f t="shared" si="2"/>
        <v>3.0156560000000006E-2</v>
      </c>
      <c r="O122" s="4">
        <f t="shared" si="3"/>
        <v>0.37092568800000009</v>
      </c>
      <c r="P122">
        <v>75</v>
      </c>
      <c r="Q122">
        <v>3.3</v>
      </c>
      <c r="R122">
        <v>3</v>
      </c>
      <c r="S122">
        <v>3.3</v>
      </c>
      <c r="T122">
        <v>3.5</v>
      </c>
      <c r="U122">
        <v>3.5</v>
      </c>
      <c r="V122" t="s">
        <v>27</v>
      </c>
    </row>
    <row r="123" spans="1:22" hidden="1" x14ac:dyDescent="0.25">
      <c r="A123" t="s">
        <v>51</v>
      </c>
      <c r="B123">
        <v>2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63</v>
      </c>
      <c r="K123">
        <v>1340</v>
      </c>
      <c r="L123">
        <v>20.100000000000001</v>
      </c>
      <c r="M123">
        <v>6.9</v>
      </c>
      <c r="N123" s="4">
        <f t="shared" si="2"/>
        <v>3.1714785000000009E-2</v>
      </c>
      <c r="O123" s="4">
        <f t="shared" si="3"/>
        <v>0.21883201650000009</v>
      </c>
      <c r="P123">
        <v>88</v>
      </c>
      <c r="Q123">
        <v>3</v>
      </c>
      <c r="R123">
        <v>2.5</v>
      </c>
      <c r="S123">
        <v>1</v>
      </c>
      <c r="T123">
        <v>0.5</v>
      </c>
      <c r="U123">
        <v>0</v>
      </c>
      <c r="V123" t="s">
        <v>30</v>
      </c>
    </row>
    <row r="124" spans="1:22" hidden="1" x14ac:dyDescent="0.25">
      <c r="A124" t="s">
        <v>51</v>
      </c>
      <c r="B124">
        <v>3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55</v>
      </c>
      <c r="K124">
        <v>1094</v>
      </c>
      <c r="L124">
        <v>13.5</v>
      </c>
      <c r="M124">
        <v>4</v>
      </c>
      <c r="N124" s="4">
        <f t="shared" si="2"/>
        <v>1.4306625000000002E-2</v>
      </c>
      <c r="O124" s="4">
        <f t="shared" si="3"/>
        <v>5.7226500000000007E-2</v>
      </c>
      <c r="P124">
        <v>13</v>
      </c>
      <c r="Q124">
        <v>0.5</v>
      </c>
      <c r="R124">
        <v>0</v>
      </c>
      <c r="S124">
        <v>1</v>
      </c>
      <c r="T124">
        <v>1</v>
      </c>
      <c r="U124">
        <v>1</v>
      </c>
      <c r="V124" t="s">
        <v>50</v>
      </c>
    </row>
    <row r="125" spans="1:22" hidden="1" x14ac:dyDescent="0.25">
      <c r="A125" t="s">
        <v>51</v>
      </c>
      <c r="B125">
        <v>3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56</v>
      </c>
      <c r="K125">
        <v>1111</v>
      </c>
      <c r="L125">
        <v>14.2</v>
      </c>
      <c r="M125">
        <v>10.8</v>
      </c>
      <c r="N125" s="4">
        <f t="shared" si="2"/>
        <v>1.5828739999999997E-2</v>
      </c>
      <c r="O125" s="4">
        <f t="shared" si="3"/>
        <v>0.17095039199999998</v>
      </c>
      <c r="P125">
        <v>100</v>
      </c>
      <c r="Q125">
        <v>3</v>
      </c>
      <c r="R125">
        <v>2.8</v>
      </c>
      <c r="S125">
        <v>3.3</v>
      </c>
      <c r="T125">
        <v>3.3</v>
      </c>
      <c r="U125">
        <v>3</v>
      </c>
      <c r="V125" t="s">
        <v>25</v>
      </c>
    </row>
    <row r="126" spans="1:22" hidden="1" x14ac:dyDescent="0.25">
      <c r="A126" t="s">
        <v>51</v>
      </c>
      <c r="B126">
        <v>3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57</v>
      </c>
      <c r="K126">
        <v>1112</v>
      </c>
      <c r="L126">
        <v>13.1</v>
      </c>
      <c r="M126">
        <v>10.6</v>
      </c>
      <c r="N126" s="4">
        <f t="shared" si="2"/>
        <v>1.3471385000000002E-2</v>
      </c>
      <c r="O126" s="4">
        <f t="shared" si="3"/>
        <v>0.14279668100000001</v>
      </c>
      <c r="P126">
        <v>88</v>
      </c>
      <c r="Q126">
        <v>2</v>
      </c>
      <c r="R126">
        <v>2</v>
      </c>
      <c r="S126">
        <v>3</v>
      </c>
      <c r="T126">
        <v>3</v>
      </c>
      <c r="U126">
        <v>3</v>
      </c>
      <c r="V126" t="s">
        <v>50</v>
      </c>
    </row>
    <row r="127" spans="1:22" hidden="1" x14ac:dyDescent="0.25">
      <c r="A127" t="s">
        <v>51</v>
      </c>
      <c r="B127">
        <v>3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57</v>
      </c>
      <c r="K127">
        <v>1113</v>
      </c>
      <c r="L127">
        <v>9.6</v>
      </c>
      <c r="M127">
        <v>7</v>
      </c>
      <c r="N127" s="4">
        <f t="shared" si="2"/>
        <v>7.2345600000000001E-3</v>
      </c>
      <c r="O127" s="4">
        <f t="shared" si="3"/>
        <v>5.064192E-2</v>
      </c>
      <c r="P127">
        <v>100</v>
      </c>
      <c r="Q127">
        <v>2.6</v>
      </c>
      <c r="R127">
        <v>2</v>
      </c>
      <c r="S127">
        <v>3</v>
      </c>
      <c r="T127">
        <v>3</v>
      </c>
      <c r="U127">
        <v>3</v>
      </c>
      <c r="V127" t="s">
        <v>30</v>
      </c>
    </row>
    <row r="128" spans="1:22" hidden="1" x14ac:dyDescent="0.25">
      <c r="A128" t="s">
        <v>51</v>
      </c>
      <c r="B128">
        <v>3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58</v>
      </c>
      <c r="K128">
        <v>1338</v>
      </c>
      <c r="L128">
        <v>18.899999999999999</v>
      </c>
      <c r="M128">
        <v>9</v>
      </c>
      <c r="N128" s="4">
        <f t="shared" si="2"/>
        <v>2.8040984999999994E-2</v>
      </c>
      <c r="O128" s="4">
        <f t="shared" si="3"/>
        <v>0.25236886499999994</v>
      </c>
      <c r="P128">
        <v>13</v>
      </c>
      <c r="Q128">
        <v>2</v>
      </c>
      <c r="R128">
        <v>3.5</v>
      </c>
      <c r="S128">
        <v>3</v>
      </c>
      <c r="T128">
        <v>3.5</v>
      </c>
      <c r="U128">
        <v>3</v>
      </c>
      <c r="V128" t="s">
        <v>50</v>
      </c>
    </row>
    <row r="129" spans="1:22" hidden="1" x14ac:dyDescent="0.25">
      <c r="A129" t="s">
        <v>51</v>
      </c>
      <c r="B129">
        <v>3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59</v>
      </c>
      <c r="K129">
        <v>1482</v>
      </c>
      <c r="L129">
        <v>20</v>
      </c>
      <c r="M129">
        <v>13.2</v>
      </c>
      <c r="N129" s="4">
        <f t="shared" si="2"/>
        <v>3.1400000000000004E-2</v>
      </c>
      <c r="O129" s="4">
        <f t="shared" si="3"/>
        <v>0.41448000000000002</v>
      </c>
      <c r="P129">
        <v>75</v>
      </c>
      <c r="Q129">
        <v>4.5</v>
      </c>
      <c r="R129">
        <v>3</v>
      </c>
      <c r="S129">
        <v>4</v>
      </c>
      <c r="T129">
        <v>4</v>
      </c>
      <c r="U129">
        <v>4</v>
      </c>
      <c r="V129" t="s">
        <v>27</v>
      </c>
    </row>
    <row r="130" spans="1:22" hidden="1" x14ac:dyDescent="0.25">
      <c r="A130" t="s">
        <v>51</v>
      </c>
      <c r="B130">
        <v>3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59</v>
      </c>
      <c r="K130">
        <v>1978</v>
      </c>
      <c r="L130">
        <v>26.6</v>
      </c>
      <c r="M130">
        <v>13.5</v>
      </c>
      <c r="N130" s="4">
        <f t="shared" si="2"/>
        <v>5.554346000000001E-2</v>
      </c>
      <c r="O130" s="4">
        <f t="shared" si="3"/>
        <v>0.74983671000000018</v>
      </c>
      <c r="P130">
        <v>75</v>
      </c>
      <c r="Q130">
        <v>5</v>
      </c>
      <c r="R130">
        <v>3</v>
      </c>
      <c r="S130">
        <v>2.5</v>
      </c>
      <c r="T130">
        <v>2</v>
      </c>
      <c r="U130">
        <v>1</v>
      </c>
      <c r="V130" t="s">
        <v>25</v>
      </c>
    </row>
    <row r="131" spans="1:22" hidden="1" x14ac:dyDescent="0.25">
      <c r="A131" t="s">
        <v>51</v>
      </c>
      <c r="B131">
        <v>3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26</v>
      </c>
      <c r="K131">
        <v>1339</v>
      </c>
      <c r="L131">
        <v>23.9</v>
      </c>
      <c r="M131">
        <v>12.7</v>
      </c>
      <c r="N131" s="4">
        <f t="shared" ref="N131:N194" si="4">3.14/4*((L131/100)^2)</f>
        <v>4.4839984999999999E-2</v>
      </c>
      <c r="O131" s="4">
        <f t="shared" ref="O131:O194" si="5">3.14/4*((L131/100)^2)*M131</f>
        <v>0.56946780949999998</v>
      </c>
      <c r="P131">
        <v>37</v>
      </c>
      <c r="Q131">
        <v>4</v>
      </c>
      <c r="R131">
        <v>3</v>
      </c>
      <c r="S131">
        <v>3</v>
      </c>
      <c r="T131">
        <v>3</v>
      </c>
      <c r="U131">
        <v>3</v>
      </c>
      <c r="V131" t="s">
        <v>25</v>
      </c>
    </row>
    <row r="132" spans="1:22" hidden="1" x14ac:dyDescent="0.25">
      <c r="A132" t="s">
        <v>51</v>
      </c>
      <c r="B132">
        <v>3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26</v>
      </c>
      <c r="K132">
        <v>1786</v>
      </c>
      <c r="L132">
        <v>17.8</v>
      </c>
      <c r="M132">
        <v>12.2</v>
      </c>
      <c r="N132" s="4">
        <f t="shared" si="4"/>
        <v>2.4871940000000006E-2</v>
      </c>
      <c r="O132" s="4">
        <f t="shared" si="5"/>
        <v>0.30343766800000005</v>
      </c>
      <c r="P132">
        <v>63</v>
      </c>
      <c r="Q132">
        <v>4.7</v>
      </c>
      <c r="R132">
        <v>3.1</v>
      </c>
      <c r="S132">
        <v>3</v>
      </c>
      <c r="T132">
        <v>3</v>
      </c>
      <c r="U132">
        <v>3</v>
      </c>
      <c r="V132" t="s">
        <v>25</v>
      </c>
    </row>
    <row r="133" spans="1:22" hidden="1" x14ac:dyDescent="0.25">
      <c r="A133" t="s">
        <v>51</v>
      </c>
      <c r="B133">
        <v>3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26</v>
      </c>
      <c r="K133">
        <v>2447</v>
      </c>
      <c r="L133">
        <v>21.4</v>
      </c>
      <c r="M133">
        <v>12.7</v>
      </c>
      <c r="N133" s="4">
        <f t="shared" si="4"/>
        <v>3.594986E-2</v>
      </c>
      <c r="O133" s="4">
        <f t="shared" si="5"/>
        <v>0.45656322199999999</v>
      </c>
      <c r="P133">
        <v>75</v>
      </c>
      <c r="Q133">
        <v>4.5999999999999996</v>
      </c>
      <c r="R133">
        <v>4</v>
      </c>
      <c r="S133">
        <v>3</v>
      </c>
      <c r="T133">
        <v>3</v>
      </c>
      <c r="U133">
        <v>3</v>
      </c>
      <c r="V133" t="s">
        <v>27</v>
      </c>
    </row>
    <row r="134" spans="1:22" hidden="1" x14ac:dyDescent="0.25">
      <c r="A134" t="s">
        <v>51</v>
      </c>
      <c r="B134">
        <v>3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60</v>
      </c>
      <c r="K134">
        <v>1595</v>
      </c>
      <c r="L134">
        <v>7.8</v>
      </c>
      <c r="M134">
        <v>5.3</v>
      </c>
      <c r="N134" s="4">
        <f t="shared" si="4"/>
        <v>4.7759400000000002E-3</v>
      </c>
      <c r="O134" s="4">
        <f t="shared" si="5"/>
        <v>2.5312482000000001E-2</v>
      </c>
      <c r="P134">
        <v>50</v>
      </c>
      <c r="Q134">
        <v>1</v>
      </c>
      <c r="R134">
        <v>1.5</v>
      </c>
      <c r="S134">
        <v>4</v>
      </c>
      <c r="T134">
        <v>4</v>
      </c>
      <c r="U134">
        <v>4</v>
      </c>
      <c r="V134" t="s">
        <v>50</v>
      </c>
    </row>
    <row r="135" spans="1:22" hidden="1" x14ac:dyDescent="0.25">
      <c r="A135" t="s">
        <v>51</v>
      </c>
      <c r="B135">
        <v>3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61</v>
      </c>
      <c r="K135">
        <v>1171</v>
      </c>
      <c r="L135">
        <v>13.1</v>
      </c>
      <c r="M135">
        <v>10.1</v>
      </c>
      <c r="N135" s="4">
        <f t="shared" si="4"/>
        <v>1.3471385000000002E-2</v>
      </c>
      <c r="O135" s="4">
        <f t="shared" si="5"/>
        <v>0.13606098850000001</v>
      </c>
      <c r="P135">
        <v>100</v>
      </c>
      <c r="Q135">
        <v>2</v>
      </c>
      <c r="R135">
        <v>2</v>
      </c>
      <c r="S135">
        <v>2</v>
      </c>
      <c r="T135">
        <v>2</v>
      </c>
      <c r="U135">
        <v>2</v>
      </c>
      <c r="V135" t="s">
        <v>30</v>
      </c>
    </row>
    <row r="136" spans="1:22" hidden="1" x14ac:dyDescent="0.25">
      <c r="A136" t="s">
        <v>51</v>
      </c>
      <c r="B136">
        <v>3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32</v>
      </c>
      <c r="K136">
        <v>1596</v>
      </c>
      <c r="L136">
        <v>15.1</v>
      </c>
      <c r="M136">
        <v>12.3</v>
      </c>
      <c r="N136" s="4">
        <f t="shared" si="4"/>
        <v>1.7898785E-2</v>
      </c>
      <c r="O136" s="4">
        <f t="shared" si="5"/>
        <v>0.22015505550000003</v>
      </c>
      <c r="P136">
        <v>88</v>
      </c>
      <c r="Q136">
        <v>3.5</v>
      </c>
      <c r="R136">
        <v>3</v>
      </c>
      <c r="S136">
        <v>3.3</v>
      </c>
      <c r="T136">
        <v>4</v>
      </c>
      <c r="U136">
        <v>4</v>
      </c>
      <c r="V136" t="s">
        <v>27</v>
      </c>
    </row>
    <row r="137" spans="1:22" hidden="1" x14ac:dyDescent="0.25">
      <c r="A137" t="s">
        <v>51</v>
      </c>
      <c r="B137">
        <v>3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34</v>
      </c>
      <c r="K137">
        <v>1337</v>
      </c>
      <c r="L137">
        <v>24.5</v>
      </c>
      <c r="M137">
        <v>13.5</v>
      </c>
      <c r="N137" s="4">
        <f t="shared" si="4"/>
        <v>4.7119624999999998E-2</v>
      </c>
      <c r="O137" s="4">
        <f t="shared" si="5"/>
        <v>0.63611493749999992</v>
      </c>
      <c r="P137">
        <v>75</v>
      </c>
      <c r="Q137">
        <v>5</v>
      </c>
      <c r="R137">
        <v>3</v>
      </c>
      <c r="S137">
        <v>4</v>
      </c>
      <c r="T137">
        <v>4</v>
      </c>
      <c r="U137">
        <v>2.5</v>
      </c>
      <c r="V137" t="s">
        <v>27</v>
      </c>
    </row>
    <row r="138" spans="1:22" hidden="1" x14ac:dyDescent="0.25">
      <c r="A138" t="s">
        <v>51</v>
      </c>
      <c r="B138">
        <v>3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34</v>
      </c>
      <c r="K138">
        <v>2459</v>
      </c>
      <c r="L138">
        <v>23.7</v>
      </c>
      <c r="M138">
        <v>13.3</v>
      </c>
      <c r="N138" s="4">
        <f t="shared" si="4"/>
        <v>4.4092664999999996E-2</v>
      </c>
      <c r="O138" s="4">
        <f t="shared" si="5"/>
        <v>0.58643244449999998</v>
      </c>
      <c r="P138">
        <v>88</v>
      </c>
      <c r="Q138">
        <v>5</v>
      </c>
      <c r="R138">
        <v>3</v>
      </c>
      <c r="S138">
        <v>3.5</v>
      </c>
      <c r="T138">
        <v>3.5</v>
      </c>
      <c r="U138">
        <v>2.5</v>
      </c>
      <c r="V138" t="s">
        <v>27</v>
      </c>
    </row>
    <row r="139" spans="1:22" hidden="1" x14ac:dyDescent="0.25">
      <c r="A139" t="s">
        <v>51</v>
      </c>
      <c r="B139">
        <v>3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35</v>
      </c>
      <c r="K139">
        <v>1785</v>
      </c>
      <c r="L139">
        <v>10.5</v>
      </c>
      <c r="M139">
        <v>7.6</v>
      </c>
      <c r="N139" s="4">
        <f t="shared" si="4"/>
        <v>8.6546249999999991E-3</v>
      </c>
      <c r="O139" s="4">
        <f t="shared" si="5"/>
        <v>6.5775149999999991E-2</v>
      </c>
      <c r="P139">
        <v>88</v>
      </c>
      <c r="Q139">
        <v>2.2999999999999998</v>
      </c>
      <c r="R139">
        <v>2</v>
      </c>
      <c r="S139">
        <v>3</v>
      </c>
      <c r="T139">
        <v>3.5</v>
      </c>
      <c r="U139">
        <v>3</v>
      </c>
      <c r="V139" t="s">
        <v>30</v>
      </c>
    </row>
    <row r="140" spans="1:22" hidden="1" x14ac:dyDescent="0.25">
      <c r="A140" t="s">
        <v>51</v>
      </c>
      <c r="B140">
        <v>3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36</v>
      </c>
      <c r="K140">
        <v>1598</v>
      </c>
      <c r="L140">
        <v>14</v>
      </c>
      <c r="M140">
        <v>10.3</v>
      </c>
      <c r="N140" s="4">
        <f t="shared" si="4"/>
        <v>1.5386000000000002E-2</v>
      </c>
      <c r="O140" s="4">
        <f t="shared" si="5"/>
        <v>0.15847580000000003</v>
      </c>
      <c r="P140">
        <v>100</v>
      </c>
      <c r="Q140">
        <v>3.5</v>
      </c>
      <c r="R140">
        <v>4</v>
      </c>
      <c r="S140">
        <v>2</v>
      </c>
      <c r="T140">
        <v>3</v>
      </c>
      <c r="U140">
        <v>2</v>
      </c>
      <c r="V140" t="s">
        <v>38</v>
      </c>
    </row>
    <row r="141" spans="1:22" hidden="1" x14ac:dyDescent="0.25">
      <c r="A141" t="s">
        <v>51</v>
      </c>
      <c r="B141">
        <v>3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62</v>
      </c>
      <c r="K141">
        <v>1787</v>
      </c>
      <c r="L141">
        <v>21.8</v>
      </c>
      <c r="M141">
        <v>13.8</v>
      </c>
      <c r="N141" s="4">
        <f t="shared" si="4"/>
        <v>3.730634E-2</v>
      </c>
      <c r="O141" s="4">
        <f t="shared" si="5"/>
        <v>0.514827492</v>
      </c>
      <c r="P141">
        <v>100</v>
      </c>
      <c r="Q141">
        <v>5</v>
      </c>
      <c r="R141">
        <v>3</v>
      </c>
      <c r="S141">
        <v>3</v>
      </c>
      <c r="T141">
        <v>3</v>
      </c>
      <c r="U141">
        <v>2</v>
      </c>
      <c r="V141" t="s">
        <v>27</v>
      </c>
    </row>
    <row r="142" spans="1:22" hidden="1" x14ac:dyDescent="0.25">
      <c r="A142" t="s">
        <v>51</v>
      </c>
      <c r="B142">
        <v>3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62</v>
      </c>
      <c r="K142">
        <v>2482</v>
      </c>
      <c r="L142">
        <v>16.399999999999999</v>
      </c>
      <c r="M142">
        <v>12.1</v>
      </c>
      <c r="N142" s="4">
        <f t="shared" si="4"/>
        <v>2.1113359999999994E-2</v>
      </c>
      <c r="O142" s="4">
        <f t="shared" si="5"/>
        <v>0.25547165599999994</v>
      </c>
      <c r="P142">
        <v>88</v>
      </c>
      <c r="Q142">
        <v>4.8</v>
      </c>
      <c r="R142">
        <v>3</v>
      </c>
      <c r="S142">
        <v>3.3</v>
      </c>
      <c r="T142">
        <v>3.5</v>
      </c>
      <c r="U142">
        <v>2</v>
      </c>
      <c r="V142" t="s">
        <v>27</v>
      </c>
    </row>
    <row r="143" spans="1:22" hidden="1" x14ac:dyDescent="0.25">
      <c r="A143" t="s">
        <v>51</v>
      </c>
      <c r="B143">
        <v>3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62</v>
      </c>
      <c r="K143">
        <v>2431</v>
      </c>
      <c r="L143">
        <v>17.600000000000001</v>
      </c>
      <c r="M143">
        <v>12.4</v>
      </c>
      <c r="N143" s="4">
        <f t="shared" si="4"/>
        <v>2.4316160000000007E-2</v>
      </c>
      <c r="O143" s="4">
        <f t="shared" si="5"/>
        <v>0.30152038400000009</v>
      </c>
      <c r="P143">
        <v>100</v>
      </c>
      <c r="Q143">
        <v>3.5</v>
      </c>
      <c r="R143">
        <v>3.3</v>
      </c>
      <c r="S143">
        <v>3</v>
      </c>
      <c r="T143">
        <v>3</v>
      </c>
      <c r="U143">
        <v>2</v>
      </c>
      <c r="V143" t="s">
        <v>25</v>
      </c>
    </row>
    <row r="144" spans="1:22" hidden="1" x14ac:dyDescent="0.25">
      <c r="A144" t="s">
        <v>51</v>
      </c>
      <c r="B144">
        <v>3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64</v>
      </c>
      <c r="K144">
        <v>1192</v>
      </c>
      <c r="L144">
        <v>12.2</v>
      </c>
      <c r="M144">
        <v>4.4000000000000004</v>
      </c>
      <c r="N144" s="4">
        <f t="shared" si="4"/>
        <v>1.168394E-2</v>
      </c>
      <c r="O144" s="4">
        <f t="shared" si="5"/>
        <v>5.1409336000000007E-2</v>
      </c>
      <c r="P144">
        <v>75</v>
      </c>
      <c r="Q144">
        <v>3</v>
      </c>
      <c r="R144">
        <v>2</v>
      </c>
      <c r="S144">
        <v>3</v>
      </c>
      <c r="T144">
        <v>2.5</v>
      </c>
      <c r="U144">
        <v>2.5</v>
      </c>
      <c r="V144" t="s">
        <v>30</v>
      </c>
    </row>
    <row r="145" spans="1:22" hidden="1" x14ac:dyDescent="0.25">
      <c r="A145" t="s">
        <v>51</v>
      </c>
      <c r="B145">
        <v>3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37</v>
      </c>
      <c r="K145">
        <v>1524</v>
      </c>
      <c r="L145">
        <v>9</v>
      </c>
      <c r="M145">
        <v>6.8</v>
      </c>
      <c r="N145" s="4">
        <f t="shared" si="4"/>
        <v>6.3584999999999996E-3</v>
      </c>
      <c r="O145" s="4">
        <f t="shared" si="5"/>
        <v>4.3237799999999993E-2</v>
      </c>
      <c r="P145">
        <v>100</v>
      </c>
      <c r="Q145">
        <v>2</v>
      </c>
      <c r="R145">
        <v>1.5</v>
      </c>
      <c r="S145">
        <v>2</v>
      </c>
      <c r="T145">
        <v>4</v>
      </c>
      <c r="U145">
        <v>3.5</v>
      </c>
      <c r="V145" t="s">
        <v>50</v>
      </c>
    </row>
    <row r="146" spans="1:22" hidden="1" x14ac:dyDescent="0.25">
      <c r="A146" t="s">
        <v>51</v>
      </c>
      <c r="B146">
        <v>3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39</v>
      </c>
      <c r="K146">
        <v>2435</v>
      </c>
      <c r="L146">
        <v>20.3</v>
      </c>
      <c r="M146">
        <v>13.6</v>
      </c>
      <c r="N146" s="4">
        <f t="shared" si="4"/>
        <v>3.2349065000000003E-2</v>
      </c>
      <c r="O146" s="4">
        <f t="shared" si="5"/>
        <v>0.43994728400000005</v>
      </c>
      <c r="P146">
        <v>63</v>
      </c>
      <c r="Q146">
        <v>4</v>
      </c>
      <c r="R146">
        <v>2.7</v>
      </c>
      <c r="S146">
        <v>3</v>
      </c>
      <c r="T146">
        <v>2.5</v>
      </c>
      <c r="U146">
        <v>2</v>
      </c>
      <c r="V146" t="s">
        <v>25</v>
      </c>
    </row>
    <row r="147" spans="1:22" hidden="1" x14ac:dyDescent="0.25">
      <c r="A147" t="s">
        <v>51</v>
      </c>
      <c r="B147">
        <v>3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63</v>
      </c>
      <c r="K147">
        <v>1340</v>
      </c>
      <c r="L147">
        <v>8.8000000000000007</v>
      </c>
      <c r="M147">
        <v>6.3</v>
      </c>
      <c r="N147" s="4">
        <f t="shared" si="4"/>
        <v>6.0790400000000017E-3</v>
      </c>
      <c r="O147" s="4">
        <f t="shared" si="5"/>
        <v>3.829795200000001E-2</v>
      </c>
      <c r="P147">
        <v>100</v>
      </c>
      <c r="Q147">
        <v>2</v>
      </c>
      <c r="R147">
        <v>2</v>
      </c>
      <c r="S147">
        <v>1</v>
      </c>
      <c r="T147">
        <v>2</v>
      </c>
      <c r="U147">
        <v>2</v>
      </c>
      <c r="V147" t="s">
        <v>50</v>
      </c>
    </row>
    <row r="148" spans="1:22" hidden="1" x14ac:dyDescent="0.25">
      <c r="A148" t="s">
        <v>65</v>
      </c>
      <c r="B148">
        <v>1</v>
      </c>
      <c r="C148" t="s">
        <v>66</v>
      </c>
      <c r="D148" t="s">
        <v>67</v>
      </c>
      <c r="E148" t="s">
        <v>68</v>
      </c>
      <c r="F148">
        <v>180</v>
      </c>
      <c r="G148">
        <v>1080</v>
      </c>
      <c r="H148">
        <v>-3</v>
      </c>
      <c r="I148">
        <v>1981</v>
      </c>
      <c r="J148" t="s">
        <v>55</v>
      </c>
      <c r="K148">
        <v>1094</v>
      </c>
      <c r="L148">
        <v>2.86</v>
      </c>
      <c r="M148">
        <v>3.2</v>
      </c>
      <c r="N148" s="4">
        <f t="shared" si="4"/>
        <v>6.4209860000000011E-4</v>
      </c>
      <c r="O148" s="4">
        <f t="shared" si="5"/>
        <v>2.0547155200000005E-3</v>
      </c>
      <c r="P148">
        <v>25</v>
      </c>
      <c r="Q148">
        <v>2</v>
      </c>
      <c r="R148">
        <v>2</v>
      </c>
      <c r="S148">
        <v>2</v>
      </c>
      <c r="T148">
        <v>2</v>
      </c>
      <c r="U148">
        <v>2</v>
      </c>
      <c r="V148" t="s">
        <v>50</v>
      </c>
    </row>
    <row r="149" spans="1:22" hidden="1" x14ac:dyDescent="0.25">
      <c r="A149" t="s">
        <v>65</v>
      </c>
      <c r="B149">
        <v>1</v>
      </c>
      <c r="C149" t="s">
        <v>66</v>
      </c>
      <c r="D149" t="s">
        <v>67</v>
      </c>
      <c r="E149" t="s">
        <v>68</v>
      </c>
      <c r="F149">
        <v>180</v>
      </c>
      <c r="G149">
        <v>1080</v>
      </c>
      <c r="H149">
        <v>-3</v>
      </c>
      <c r="I149">
        <v>1981</v>
      </c>
      <c r="J149" t="s">
        <v>56</v>
      </c>
      <c r="K149">
        <v>1111</v>
      </c>
      <c r="L149">
        <v>4.49</v>
      </c>
      <c r="M149">
        <v>4.1100000000000003</v>
      </c>
      <c r="N149" s="4">
        <f t="shared" si="4"/>
        <v>1.5825678500000003E-3</v>
      </c>
      <c r="O149" s="4">
        <f t="shared" si="5"/>
        <v>6.5043538635000016E-3</v>
      </c>
      <c r="P149">
        <v>44</v>
      </c>
      <c r="Q149">
        <v>2.5</v>
      </c>
      <c r="R149">
        <v>3</v>
      </c>
      <c r="S149">
        <v>3</v>
      </c>
      <c r="T149">
        <v>3</v>
      </c>
      <c r="U149">
        <v>3</v>
      </c>
      <c r="V149" t="s">
        <v>30</v>
      </c>
    </row>
    <row r="150" spans="1:22" hidden="1" x14ac:dyDescent="0.25">
      <c r="A150" t="s">
        <v>65</v>
      </c>
      <c r="B150">
        <v>1</v>
      </c>
      <c r="C150" t="s">
        <v>66</v>
      </c>
      <c r="D150" t="s">
        <v>67</v>
      </c>
      <c r="E150" t="s">
        <v>68</v>
      </c>
      <c r="F150">
        <v>180</v>
      </c>
      <c r="G150">
        <v>1080</v>
      </c>
      <c r="H150">
        <v>-3</v>
      </c>
      <c r="I150">
        <v>1981</v>
      </c>
      <c r="J150" t="s">
        <v>57</v>
      </c>
      <c r="K150">
        <v>1112</v>
      </c>
      <c r="L150">
        <v>9.89</v>
      </c>
      <c r="M150">
        <v>6.68</v>
      </c>
      <c r="N150" s="4">
        <f t="shared" si="4"/>
        <v>7.6782498500000008E-3</v>
      </c>
      <c r="O150" s="4">
        <f t="shared" si="5"/>
        <v>5.1290708998000006E-2</v>
      </c>
      <c r="P150">
        <v>100</v>
      </c>
      <c r="Q150">
        <v>3.5</v>
      </c>
      <c r="R150">
        <v>2</v>
      </c>
      <c r="S150">
        <v>3</v>
      </c>
      <c r="T150">
        <v>4</v>
      </c>
      <c r="U150">
        <v>3</v>
      </c>
      <c r="V150" t="s">
        <v>27</v>
      </c>
    </row>
    <row r="151" spans="1:22" hidden="1" x14ac:dyDescent="0.25">
      <c r="A151" t="s">
        <v>65</v>
      </c>
      <c r="B151">
        <v>1</v>
      </c>
      <c r="C151" t="s">
        <v>66</v>
      </c>
      <c r="D151" t="s">
        <v>67</v>
      </c>
      <c r="E151" t="s">
        <v>68</v>
      </c>
      <c r="F151">
        <v>180</v>
      </c>
      <c r="G151">
        <v>1080</v>
      </c>
      <c r="H151">
        <v>-3</v>
      </c>
      <c r="I151">
        <v>1981</v>
      </c>
      <c r="J151" t="s">
        <v>60</v>
      </c>
      <c r="K151">
        <v>1595</v>
      </c>
      <c r="L151">
        <v>5.34</v>
      </c>
      <c r="M151">
        <v>3.05</v>
      </c>
      <c r="N151" s="4">
        <f t="shared" si="4"/>
        <v>2.2384745999999996E-3</v>
      </c>
      <c r="O151" s="4">
        <f t="shared" si="5"/>
        <v>6.8273475299999989E-3</v>
      </c>
      <c r="P151">
        <v>75</v>
      </c>
      <c r="Q151">
        <v>2.7</v>
      </c>
      <c r="R151">
        <v>1</v>
      </c>
      <c r="S151">
        <v>3</v>
      </c>
      <c r="T151">
        <v>4</v>
      </c>
      <c r="U151">
        <v>4</v>
      </c>
      <c r="V151" t="s">
        <v>30</v>
      </c>
    </row>
    <row r="152" spans="1:22" hidden="1" x14ac:dyDescent="0.25">
      <c r="A152" t="s">
        <v>65</v>
      </c>
      <c r="B152">
        <v>1</v>
      </c>
      <c r="C152" t="s">
        <v>66</v>
      </c>
      <c r="D152" t="s">
        <v>67</v>
      </c>
      <c r="E152" t="s">
        <v>68</v>
      </c>
      <c r="F152">
        <v>180</v>
      </c>
      <c r="G152">
        <v>1080</v>
      </c>
      <c r="H152">
        <v>-3</v>
      </c>
      <c r="I152">
        <v>1981</v>
      </c>
      <c r="J152" t="s">
        <v>26</v>
      </c>
      <c r="K152">
        <v>1339</v>
      </c>
      <c r="L152">
        <v>3.28</v>
      </c>
      <c r="M152">
        <v>4.07</v>
      </c>
      <c r="N152" s="4">
        <f t="shared" si="4"/>
        <v>8.4453439999999989E-4</v>
      </c>
      <c r="O152" s="4">
        <f t="shared" si="5"/>
        <v>3.4372550079999997E-3</v>
      </c>
      <c r="P152">
        <v>75</v>
      </c>
      <c r="Q152">
        <v>2</v>
      </c>
      <c r="R152">
        <v>3</v>
      </c>
      <c r="S152">
        <v>3</v>
      </c>
      <c r="T152">
        <v>3</v>
      </c>
      <c r="U152">
        <v>3</v>
      </c>
      <c r="V152" t="s">
        <v>30</v>
      </c>
    </row>
    <row r="153" spans="1:22" hidden="1" x14ac:dyDescent="0.25">
      <c r="A153" t="s">
        <v>65</v>
      </c>
      <c r="B153">
        <v>1</v>
      </c>
      <c r="C153" t="s">
        <v>66</v>
      </c>
      <c r="D153" t="s">
        <v>67</v>
      </c>
      <c r="E153" t="s">
        <v>68</v>
      </c>
      <c r="F153">
        <v>180</v>
      </c>
      <c r="G153">
        <v>1080</v>
      </c>
      <c r="H153">
        <v>-3</v>
      </c>
      <c r="I153">
        <v>1981</v>
      </c>
      <c r="J153" t="s">
        <v>26</v>
      </c>
      <c r="K153">
        <v>2447</v>
      </c>
      <c r="L153">
        <v>7.62</v>
      </c>
      <c r="M153">
        <v>5.39</v>
      </c>
      <c r="N153" s="4">
        <f t="shared" si="4"/>
        <v>4.5580554000000002E-3</v>
      </c>
      <c r="O153" s="4">
        <f t="shared" si="5"/>
        <v>2.4567918606000001E-2</v>
      </c>
      <c r="P153">
        <v>100</v>
      </c>
      <c r="Q153">
        <v>3</v>
      </c>
      <c r="R153">
        <v>3</v>
      </c>
      <c r="S153">
        <v>3</v>
      </c>
      <c r="T153">
        <v>3.5</v>
      </c>
      <c r="U153">
        <v>3</v>
      </c>
      <c r="V153" t="s">
        <v>25</v>
      </c>
    </row>
    <row r="154" spans="1:22" hidden="1" x14ac:dyDescent="0.25">
      <c r="A154" t="s">
        <v>65</v>
      </c>
      <c r="B154">
        <v>1</v>
      </c>
      <c r="C154" t="s">
        <v>66</v>
      </c>
      <c r="D154" t="s">
        <v>67</v>
      </c>
      <c r="E154" t="s">
        <v>68</v>
      </c>
      <c r="F154">
        <v>180</v>
      </c>
      <c r="G154">
        <v>1080</v>
      </c>
      <c r="H154">
        <v>-3</v>
      </c>
      <c r="I154">
        <v>1981</v>
      </c>
      <c r="J154" t="s">
        <v>26</v>
      </c>
      <c r="K154">
        <v>1786</v>
      </c>
      <c r="L154">
        <v>6.05</v>
      </c>
      <c r="M154">
        <v>5.39</v>
      </c>
      <c r="N154" s="4">
        <f t="shared" si="4"/>
        <v>2.8732962499999999E-3</v>
      </c>
      <c r="O154" s="4">
        <f t="shared" si="5"/>
        <v>1.5487066787499998E-2</v>
      </c>
      <c r="P154">
        <v>88</v>
      </c>
      <c r="Q154">
        <v>4</v>
      </c>
      <c r="R154">
        <v>4</v>
      </c>
      <c r="S154">
        <v>3.5</v>
      </c>
      <c r="T154">
        <v>3.5</v>
      </c>
      <c r="U154">
        <v>3.5</v>
      </c>
      <c r="V154" t="s">
        <v>25</v>
      </c>
    </row>
    <row r="155" spans="1:22" hidden="1" x14ac:dyDescent="0.25">
      <c r="A155" t="s">
        <v>65</v>
      </c>
      <c r="B155">
        <v>1</v>
      </c>
      <c r="C155" t="s">
        <v>66</v>
      </c>
      <c r="D155" t="s">
        <v>67</v>
      </c>
      <c r="E155" t="s">
        <v>68</v>
      </c>
      <c r="F155">
        <v>180</v>
      </c>
      <c r="G155">
        <v>1080</v>
      </c>
      <c r="H155">
        <v>-3</v>
      </c>
      <c r="I155">
        <v>1981</v>
      </c>
      <c r="J155" t="s">
        <v>32</v>
      </c>
      <c r="K155">
        <v>1596</v>
      </c>
      <c r="L155">
        <v>6.38</v>
      </c>
      <c r="M155">
        <v>5.07</v>
      </c>
      <c r="N155" s="4">
        <f t="shared" si="4"/>
        <v>3.1952954E-3</v>
      </c>
      <c r="O155" s="4">
        <f t="shared" si="5"/>
        <v>1.6200147678000001E-2</v>
      </c>
      <c r="P155">
        <v>88</v>
      </c>
      <c r="Q155">
        <v>3</v>
      </c>
      <c r="R155">
        <v>4</v>
      </c>
      <c r="S155">
        <v>3.5</v>
      </c>
      <c r="T155">
        <v>4</v>
      </c>
      <c r="U155">
        <v>4</v>
      </c>
      <c r="V155" t="s">
        <v>27</v>
      </c>
    </row>
    <row r="156" spans="1:22" hidden="1" x14ac:dyDescent="0.25">
      <c r="A156" t="s">
        <v>65</v>
      </c>
      <c r="B156">
        <v>1</v>
      </c>
      <c r="C156" t="s">
        <v>66</v>
      </c>
      <c r="D156" t="s">
        <v>67</v>
      </c>
      <c r="E156" t="s">
        <v>68</v>
      </c>
      <c r="F156">
        <v>180</v>
      </c>
      <c r="G156">
        <v>1080</v>
      </c>
      <c r="H156">
        <v>-3</v>
      </c>
      <c r="I156">
        <v>1981</v>
      </c>
      <c r="J156" t="s">
        <v>61</v>
      </c>
      <c r="K156">
        <v>1171</v>
      </c>
      <c r="L156">
        <v>6.16</v>
      </c>
      <c r="M156">
        <v>4.3</v>
      </c>
      <c r="N156" s="4">
        <f t="shared" si="4"/>
        <v>2.9787296000000005E-3</v>
      </c>
      <c r="O156" s="4">
        <f t="shared" si="5"/>
        <v>1.2808537280000001E-2</v>
      </c>
      <c r="P156">
        <v>40</v>
      </c>
      <c r="Q156">
        <v>3</v>
      </c>
      <c r="R156">
        <v>2</v>
      </c>
      <c r="S156">
        <v>1</v>
      </c>
      <c r="T156">
        <v>1</v>
      </c>
      <c r="U156">
        <v>1</v>
      </c>
      <c r="V156" t="s">
        <v>30</v>
      </c>
    </row>
    <row r="157" spans="1:22" hidden="1" x14ac:dyDescent="0.25">
      <c r="A157" t="s">
        <v>65</v>
      </c>
      <c r="B157">
        <v>1</v>
      </c>
      <c r="C157" t="s">
        <v>66</v>
      </c>
      <c r="D157" t="s">
        <v>67</v>
      </c>
      <c r="E157" t="s">
        <v>68</v>
      </c>
      <c r="F157">
        <v>180</v>
      </c>
      <c r="G157">
        <v>1080</v>
      </c>
      <c r="H157">
        <v>-3</v>
      </c>
      <c r="I157">
        <v>1981</v>
      </c>
      <c r="J157" t="s">
        <v>34</v>
      </c>
      <c r="K157">
        <v>2469</v>
      </c>
      <c r="L157">
        <v>19.920000000000002</v>
      </c>
      <c r="M157">
        <v>7.37</v>
      </c>
      <c r="N157" s="4">
        <f t="shared" si="4"/>
        <v>3.1149302400000002E-2</v>
      </c>
      <c r="O157" s="4">
        <f t="shared" si="5"/>
        <v>0.22957035868800002</v>
      </c>
      <c r="P157">
        <v>13</v>
      </c>
      <c r="Q157">
        <v>2</v>
      </c>
      <c r="R157">
        <v>2.5</v>
      </c>
      <c r="S157">
        <v>3</v>
      </c>
      <c r="T157">
        <v>3</v>
      </c>
      <c r="U157">
        <v>3</v>
      </c>
      <c r="V157" t="s">
        <v>30</v>
      </c>
    </row>
    <row r="158" spans="1:22" hidden="1" x14ac:dyDescent="0.25">
      <c r="A158" t="s">
        <v>65</v>
      </c>
      <c r="B158">
        <v>1</v>
      </c>
      <c r="C158" t="s">
        <v>66</v>
      </c>
      <c r="D158" t="s">
        <v>67</v>
      </c>
      <c r="E158" t="s">
        <v>68</v>
      </c>
      <c r="F158">
        <v>180</v>
      </c>
      <c r="G158">
        <v>1080</v>
      </c>
      <c r="H158">
        <v>-3</v>
      </c>
      <c r="I158">
        <v>1981</v>
      </c>
      <c r="J158" t="s">
        <v>35</v>
      </c>
      <c r="K158">
        <v>1785</v>
      </c>
      <c r="L158">
        <v>3.91</v>
      </c>
      <c r="M158">
        <v>3.91</v>
      </c>
      <c r="N158" s="4">
        <f t="shared" si="4"/>
        <v>1.2001158500000002E-3</v>
      </c>
      <c r="O158" s="4">
        <f t="shared" si="5"/>
        <v>4.6924529735000008E-3</v>
      </c>
      <c r="P158">
        <v>63</v>
      </c>
      <c r="Q158">
        <v>2.5</v>
      </c>
      <c r="R158">
        <v>1.5</v>
      </c>
      <c r="S158">
        <v>3</v>
      </c>
      <c r="T158">
        <v>4</v>
      </c>
      <c r="U158">
        <v>3</v>
      </c>
      <c r="V158" t="s">
        <v>38</v>
      </c>
    </row>
    <row r="159" spans="1:22" hidden="1" x14ac:dyDescent="0.25">
      <c r="A159" t="s">
        <v>65</v>
      </c>
      <c r="B159">
        <v>1</v>
      </c>
      <c r="C159" t="s">
        <v>66</v>
      </c>
      <c r="D159" t="s">
        <v>67</v>
      </c>
      <c r="E159" t="s">
        <v>68</v>
      </c>
      <c r="F159">
        <v>180</v>
      </c>
      <c r="G159">
        <v>1080</v>
      </c>
      <c r="H159">
        <v>-3</v>
      </c>
      <c r="I159">
        <v>1981</v>
      </c>
      <c r="J159" t="s">
        <v>36</v>
      </c>
      <c r="K159">
        <v>1598</v>
      </c>
      <c r="L159">
        <v>10.75</v>
      </c>
      <c r="M159">
        <v>9.26</v>
      </c>
      <c r="N159" s="4">
        <f t="shared" si="4"/>
        <v>9.071656249999999E-3</v>
      </c>
      <c r="O159" s="4">
        <f t="shared" si="5"/>
        <v>8.4003536874999993E-2</v>
      </c>
      <c r="P159">
        <v>88</v>
      </c>
      <c r="Q159">
        <v>4</v>
      </c>
      <c r="R159">
        <v>4</v>
      </c>
      <c r="S159">
        <v>4</v>
      </c>
      <c r="T159">
        <v>4</v>
      </c>
      <c r="U159">
        <v>4</v>
      </c>
      <c r="V159" t="s">
        <v>27</v>
      </c>
    </row>
    <row r="160" spans="1:22" hidden="1" x14ac:dyDescent="0.25">
      <c r="A160" t="s">
        <v>65</v>
      </c>
      <c r="B160">
        <v>1</v>
      </c>
      <c r="C160" t="s">
        <v>66</v>
      </c>
      <c r="D160" t="s">
        <v>67</v>
      </c>
      <c r="E160" t="s">
        <v>68</v>
      </c>
      <c r="F160">
        <v>180</v>
      </c>
      <c r="G160">
        <v>1080</v>
      </c>
      <c r="H160">
        <v>-3</v>
      </c>
      <c r="I160">
        <v>1981</v>
      </c>
      <c r="J160" t="s">
        <v>62</v>
      </c>
      <c r="K160">
        <v>2428</v>
      </c>
      <c r="L160">
        <v>3.63</v>
      </c>
      <c r="M160">
        <v>5.0199999999999996</v>
      </c>
      <c r="N160" s="4">
        <f t="shared" si="4"/>
        <v>1.03438665E-3</v>
      </c>
      <c r="O160" s="4">
        <f t="shared" si="5"/>
        <v>5.1926209829999993E-3</v>
      </c>
      <c r="P160">
        <v>63</v>
      </c>
      <c r="Q160">
        <v>4</v>
      </c>
      <c r="R160">
        <v>3.5</v>
      </c>
      <c r="S160">
        <v>4</v>
      </c>
      <c r="T160">
        <v>4</v>
      </c>
      <c r="U160">
        <v>3.5</v>
      </c>
      <c r="V160" t="s">
        <v>25</v>
      </c>
    </row>
    <row r="161" spans="1:22" hidden="1" x14ac:dyDescent="0.25">
      <c r="A161" t="s">
        <v>65</v>
      </c>
      <c r="B161">
        <v>1</v>
      </c>
      <c r="C161" t="s">
        <v>66</v>
      </c>
      <c r="D161" t="s">
        <v>67</v>
      </c>
      <c r="E161" t="s">
        <v>68</v>
      </c>
      <c r="F161">
        <v>180</v>
      </c>
      <c r="G161">
        <v>1080</v>
      </c>
      <c r="H161">
        <v>-3</v>
      </c>
      <c r="I161">
        <v>1981</v>
      </c>
      <c r="J161" t="s">
        <v>62</v>
      </c>
      <c r="K161">
        <v>2431</v>
      </c>
      <c r="L161">
        <v>6.14</v>
      </c>
      <c r="M161">
        <v>5.86</v>
      </c>
      <c r="N161" s="4">
        <f t="shared" si="4"/>
        <v>2.9594185999999999E-3</v>
      </c>
      <c r="O161" s="4">
        <f t="shared" si="5"/>
        <v>1.7342192996000001E-2</v>
      </c>
      <c r="P161">
        <v>75</v>
      </c>
      <c r="Q161">
        <v>4</v>
      </c>
      <c r="R161">
        <v>3</v>
      </c>
      <c r="S161">
        <v>4</v>
      </c>
      <c r="T161">
        <v>4</v>
      </c>
      <c r="U161">
        <v>4</v>
      </c>
      <c r="V161" t="s">
        <v>27</v>
      </c>
    </row>
    <row r="162" spans="1:22" hidden="1" x14ac:dyDescent="0.25">
      <c r="A162" t="s">
        <v>65</v>
      </c>
      <c r="B162">
        <v>1</v>
      </c>
      <c r="C162" t="s">
        <v>66</v>
      </c>
      <c r="D162" t="s">
        <v>67</v>
      </c>
      <c r="E162" t="s">
        <v>68</v>
      </c>
      <c r="F162">
        <v>180</v>
      </c>
      <c r="G162">
        <v>1080</v>
      </c>
      <c r="H162">
        <v>-3</v>
      </c>
      <c r="I162">
        <v>1981</v>
      </c>
      <c r="J162" t="s">
        <v>62</v>
      </c>
      <c r="K162">
        <v>1787</v>
      </c>
      <c r="L162">
        <v>5.3</v>
      </c>
      <c r="M162">
        <v>4.88</v>
      </c>
      <c r="N162" s="4">
        <f t="shared" si="4"/>
        <v>2.205065E-3</v>
      </c>
      <c r="O162" s="4">
        <f t="shared" si="5"/>
        <v>1.07607172E-2</v>
      </c>
      <c r="P162">
        <v>38</v>
      </c>
      <c r="Q162">
        <v>3.5</v>
      </c>
      <c r="R162">
        <v>3</v>
      </c>
      <c r="S162">
        <v>4</v>
      </c>
      <c r="T162">
        <v>4</v>
      </c>
      <c r="U162">
        <v>4</v>
      </c>
      <c r="V162" t="s">
        <v>25</v>
      </c>
    </row>
    <row r="163" spans="1:22" hidden="1" x14ac:dyDescent="0.25">
      <c r="A163" t="s">
        <v>65</v>
      </c>
      <c r="B163">
        <v>1</v>
      </c>
      <c r="C163" t="s">
        <v>66</v>
      </c>
      <c r="D163" t="s">
        <v>67</v>
      </c>
      <c r="E163" t="s">
        <v>68</v>
      </c>
      <c r="F163">
        <v>180</v>
      </c>
      <c r="G163">
        <v>1080</v>
      </c>
      <c r="H163">
        <v>-3</v>
      </c>
      <c r="I163">
        <v>1981</v>
      </c>
      <c r="J163" t="s">
        <v>39</v>
      </c>
      <c r="K163">
        <v>2435</v>
      </c>
      <c r="L163">
        <v>14.93</v>
      </c>
      <c r="M163">
        <v>9.39</v>
      </c>
      <c r="N163" s="4">
        <f t="shared" si="4"/>
        <v>1.7498034649999997E-2</v>
      </c>
      <c r="O163" s="4">
        <f t="shared" si="5"/>
        <v>0.16430654536349998</v>
      </c>
      <c r="P163">
        <v>63</v>
      </c>
      <c r="Q163">
        <v>4</v>
      </c>
      <c r="R163">
        <v>3</v>
      </c>
      <c r="S163">
        <v>3</v>
      </c>
      <c r="T163">
        <v>2.5</v>
      </c>
      <c r="U163">
        <v>2.5</v>
      </c>
      <c r="V163" t="s">
        <v>25</v>
      </c>
    </row>
    <row r="164" spans="1:22" hidden="1" x14ac:dyDescent="0.25">
      <c r="A164" t="s">
        <v>65</v>
      </c>
      <c r="B164">
        <v>1</v>
      </c>
      <c r="C164" t="s">
        <v>66</v>
      </c>
      <c r="D164" t="s">
        <v>67</v>
      </c>
      <c r="E164" t="s">
        <v>68</v>
      </c>
      <c r="F164">
        <v>180</v>
      </c>
      <c r="G164">
        <v>1080</v>
      </c>
      <c r="H164">
        <v>-3</v>
      </c>
      <c r="I164">
        <v>1981</v>
      </c>
      <c r="J164" t="s">
        <v>37</v>
      </c>
      <c r="K164">
        <v>1524</v>
      </c>
      <c r="L164">
        <v>3.21</v>
      </c>
      <c r="M164">
        <v>3.72</v>
      </c>
      <c r="N164" s="4">
        <f t="shared" si="4"/>
        <v>8.0887184999999993E-4</v>
      </c>
      <c r="O164" s="4">
        <f t="shared" si="5"/>
        <v>3.0090032819999999E-3</v>
      </c>
      <c r="P164">
        <v>50</v>
      </c>
      <c r="Q164">
        <v>1.5</v>
      </c>
      <c r="R164">
        <v>2</v>
      </c>
      <c r="S164">
        <v>2</v>
      </c>
      <c r="T164">
        <v>4</v>
      </c>
      <c r="U164">
        <v>4</v>
      </c>
      <c r="V164" t="s">
        <v>30</v>
      </c>
    </row>
    <row r="165" spans="1:22" hidden="1" x14ac:dyDescent="0.25">
      <c r="A165" t="s">
        <v>65</v>
      </c>
      <c r="B165">
        <v>1</v>
      </c>
      <c r="C165" t="s">
        <v>66</v>
      </c>
      <c r="D165" t="s">
        <v>67</v>
      </c>
      <c r="E165" t="s">
        <v>68</v>
      </c>
      <c r="F165">
        <v>180</v>
      </c>
      <c r="G165">
        <v>1080</v>
      </c>
      <c r="H165">
        <v>-3</v>
      </c>
      <c r="I165">
        <v>1981</v>
      </c>
      <c r="J165" t="s">
        <v>63</v>
      </c>
      <c r="K165">
        <v>1340</v>
      </c>
      <c r="L165">
        <v>5.93</v>
      </c>
      <c r="M165">
        <v>6.48</v>
      </c>
      <c r="N165" s="4">
        <f t="shared" si="4"/>
        <v>2.7604446499999999E-3</v>
      </c>
      <c r="O165" s="4">
        <f t="shared" si="5"/>
        <v>1.7887681331999999E-2</v>
      </c>
      <c r="P165">
        <v>100</v>
      </c>
      <c r="Q165">
        <v>1.8</v>
      </c>
      <c r="R165">
        <v>1.8</v>
      </c>
      <c r="S165">
        <v>2</v>
      </c>
      <c r="T165">
        <v>2</v>
      </c>
      <c r="U165">
        <v>3</v>
      </c>
      <c r="V165" t="s">
        <v>30</v>
      </c>
    </row>
    <row r="166" spans="1:22" hidden="1" x14ac:dyDescent="0.25">
      <c r="A166" t="s">
        <v>65</v>
      </c>
      <c r="B166">
        <v>1</v>
      </c>
      <c r="C166" t="s">
        <v>66</v>
      </c>
      <c r="D166" t="s">
        <v>67</v>
      </c>
      <c r="E166" t="s">
        <v>68</v>
      </c>
      <c r="F166">
        <v>180</v>
      </c>
      <c r="G166">
        <v>1080</v>
      </c>
      <c r="H166">
        <v>-3</v>
      </c>
      <c r="I166">
        <v>1981</v>
      </c>
      <c r="J166" t="s">
        <v>69</v>
      </c>
      <c r="K166">
        <v>1780</v>
      </c>
      <c r="L166">
        <v>6.24</v>
      </c>
      <c r="M166">
        <v>4.8499999999999996</v>
      </c>
      <c r="N166" s="4">
        <f t="shared" si="4"/>
        <v>3.0566016000000006E-3</v>
      </c>
      <c r="O166" s="4">
        <f t="shared" si="5"/>
        <v>1.4824517760000001E-2</v>
      </c>
      <c r="P166">
        <v>25</v>
      </c>
      <c r="Q166">
        <v>2.5</v>
      </c>
      <c r="R166">
        <v>4</v>
      </c>
      <c r="S166">
        <v>3</v>
      </c>
      <c r="T166">
        <v>3</v>
      </c>
      <c r="U166">
        <v>3</v>
      </c>
      <c r="V166" t="s">
        <v>30</v>
      </c>
    </row>
    <row r="167" spans="1:22" hidden="1" x14ac:dyDescent="0.25">
      <c r="A167" t="s">
        <v>65</v>
      </c>
      <c r="B167">
        <v>2</v>
      </c>
      <c r="C167" t="s">
        <v>66</v>
      </c>
      <c r="D167" t="s">
        <v>67</v>
      </c>
      <c r="E167" t="s">
        <v>68</v>
      </c>
      <c r="F167">
        <v>180</v>
      </c>
      <c r="G167">
        <v>1080</v>
      </c>
      <c r="H167">
        <v>-3</v>
      </c>
      <c r="I167">
        <v>1981</v>
      </c>
      <c r="J167" t="s">
        <v>55</v>
      </c>
      <c r="K167">
        <v>1094</v>
      </c>
      <c r="L167">
        <v>1.03</v>
      </c>
      <c r="M167">
        <v>2.17</v>
      </c>
      <c r="N167" s="4">
        <f t="shared" si="4"/>
        <v>8.3280650000000007E-5</v>
      </c>
      <c r="O167" s="4">
        <f t="shared" si="5"/>
        <v>1.8071901050000001E-4</v>
      </c>
      <c r="P167">
        <v>13</v>
      </c>
      <c r="Q167">
        <v>2</v>
      </c>
      <c r="R167">
        <v>2</v>
      </c>
      <c r="S167">
        <v>2</v>
      </c>
      <c r="T167">
        <v>2</v>
      </c>
      <c r="U167">
        <v>2</v>
      </c>
      <c r="V167" t="s">
        <v>50</v>
      </c>
    </row>
    <row r="168" spans="1:22" hidden="1" x14ac:dyDescent="0.25">
      <c r="A168" t="s">
        <v>65</v>
      </c>
      <c r="B168">
        <v>2</v>
      </c>
      <c r="C168" t="s">
        <v>66</v>
      </c>
      <c r="D168" t="s">
        <v>67</v>
      </c>
      <c r="E168" t="s">
        <v>68</v>
      </c>
      <c r="F168">
        <v>180</v>
      </c>
      <c r="G168">
        <v>1080</v>
      </c>
      <c r="H168">
        <v>-3</v>
      </c>
      <c r="I168">
        <v>1981</v>
      </c>
      <c r="J168" t="s">
        <v>56</v>
      </c>
      <c r="K168">
        <v>1111</v>
      </c>
      <c r="L168">
        <v>6.29</v>
      </c>
      <c r="M168">
        <v>4.62</v>
      </c>
      <c r="N168" s="4">
        <f t="shared" si="4"/>
        <v>3.1057818499999998E-3</v>
      </c>
      <c r="O168" s="4">
        <f t="shared" si="5"/>
        <v>1.4348712147E-2</v>
      </c>
      <c r="P168">
        <v>100</v>
      </c>
      <c r="Q168">
        <v>3</v>
      </c>
      <c r="R168">
        <v>2.5</v>
      </c>
      <c r="S168">
        <v>2</v>
      </c>
      <c r="T168">
        <v>2</v>
      </c>
      <c r="U168">
        <v>2.5</v>
      </c>
      <c r="V168" t="s">
        <v>38</v>
      </c>
    </row>
    <row r="169" spans="1:22" hidden="1" x14ac:dyDescent="0.25">
      <c r="A169" t="s">
        <v>65</v>
      </c>
      <c r="B169">
        <v>2</v>
      </c>
      <c r="C169" t="s">
        <v>66</v>
      </c>
      <c r="D169" t="s">
        <v>67</v>
      </c>
      <c r="E169" t="s">
        <v>68</v>
      </c>
      <c r="F169">
        <v>180</v>
      </c>
      <c r="G169">
        <v>1080</v>
      </c>
      <c r="H169">
        <v>-3</v>
      </c>
      <c r="I169">
        <v>1981</v>
      </c>
      <c r="J169" t="s">
        <v>57</v>
      </c>
      <c r="K169">
        <v>1112</v>
      </c>
      <c r="L169">
        <v>11.43</v>
      </c>
      <c r="M169">
        <v>7.83</v>
      </c>
      <c r="N169" s="4">
        <f t="shared" si="4"/>
        <v>1.025562465E-2</v>
      </c>
      <c r="O169" s="4">
        <f t="shared" si="5"/>
        <v>8.0301541009500002E-2</v>
      </c>
      <c r="P169">
        <v>88</v>
      </c>
      <c r="Q169">
        <v>3</v>
      </c>
      <c r="R169">
        <v>2</v>
      </c>
      <c r="S169">
        <v>3.5</v>
      </c>
      <c r="T169">
        <v>4</v>
      </c>
      <c r="U169">
        <v>4</v>
      </c>
      <c r="V169" t="s">
        <v>27</v>
      </c>
    </row>
    <row r="170" spans="1:22" hidden="1" x14ac:dyDescent="0.25">
      <c r="A170" t="s">
        <v>65</v>
      </c>
      <c r="B170">
        <v>2</v>
      </c>
      <c r="C170" t="s">
        <v>66</v>
      </c>
      <c r="D170" t="s">
        <v>67</v>
      </c>
      <c r="E170" t="s">
        <v>68</v>
      </c>
      <c r="F170">
        <v>180</v>
      </c>
      <c r="G170">
        <v>1080</v>
      </c>
      <c r="H170">
        <v>-3</v>
      </c>
      <c r="I170">
        <v>1981</v>
      </c>
      <c r="J170" t="s">
        <v>57</v>
      </c>
      <c r="K170">
        <v>1113</v>
      </c>
      <c r="L170">
        <v>3.98</v>
      </c>
      <c r="M170">
        <v>3.98</v>
      </c>
      <c r="N170" s="4">
        <f t="shared" si="4"/>
        <v>1.2434714E-3</v>
      </c>
      <c r="O170" s="4">
        <f t="shared" si="5"/>
        <v>4.9490161719999998E-3</v>
      </c>
      <c r="P170">
        <v>75</v>
      </c>
      <c r="Q170">
        <v>3</v>
      </c>
      <c r="R170">
        <v>2</v>
      </c>
      <c r="S170">
        <v>3</v>
      </c>
      <c r="T170">
        <v>4</v>
      </c>
      <c r="U170">
        <v>3</v>
      </c>
      <c r="V170" t="s">
        <v>38</v>
      </c>
    </row>
    <row r="171" spans="1:22" hidden="1" x14ac:dyDescent="0.25">
      <c r="A171" t="s">
        <v>65</v>
      </c>
      <c r="B171">
        <v>2</v>
      </c>
      <c r="C171" t="s">
        <v>66</v>
      </c>
      <c r="D171" t="s">
        <v>67</v>
      </c>
      <c r="E171" t="s">
        <v>68</v>
      </c>
      <c r="F171">
        <v>180</v>
      </c>
      <c r="G171">
        <v>1080</v>
      </c>
      <c r="H171">
        <v>-3</v>
      </c>
      <c r="I171">
        <v>1981</v>
      </c>
      <c r="J171" t="s">
        <v>60</v>
      </c>
      <c r="K171">
        <v>1595</v>
      </c>
      <c r="L171">
        <v>2.8</v>
      </c>
      <c r="M171">
        <v>2.92</v>
      </c>
      <c r="N171" s="4">
        <f t="shared" si="4"/>
        <v>6.1543999999999987E-4</v>
      </c>
      <c r="O171" s="4">
        <f t="shared" si="5"/>
        <v>1.7970847999999996E-3</v>
      </c>
      <c r="P171">
        <v>75</v>
      </c>
      <c r="Q171">
        <v>2.5</v>
      </c>
      <c r="R171">
        <v>1.8</v>
      </c>
      <c r="S171">
        <v>3.2</v>
      </c>
      <c r="T171">
        <v>3.5</v>
      </c>
      <c r="U171">
        <v>3.5</v>
      </c>
      <c r="V171" t="s">
        <v>30</v>
      </c>
    </row>
    <row r="172" spans="1:22" hidden="1" x14ac:dyDescent="0.25">
      <c r="A172" t="s">
        <v>65</v>
      </c>
      <c r="B172">
        <v>2</v>
      </c>
      <c r="C172" t="s">
        <v>66</v>
      </c>
      <c r="D172" t="s">
        <v>67</v>
      </c>
      <c r="E172" t="s">
        <v>68</v>
      </c>
      <c r="F172">
        <v>180</v>
      </c>
      <c r="G172">
        <v>1080</v>
      </c>
      <c r="H172">
        <v>-3</v>
      </c>
      <c r="I172">
        <v>1981</v>
      </c>
      <c r="J172" t="s">
        <v>58</v>
      </c>
      <c r="K172">
        <v>1338</v>
      </c>
      <c r="L172">
        <v>6.07</v>
      </c>
      <c r="M172">
        <v>5.89</v>
      </c>
      <c r="N172" s="4">
        <f t="shared" si="4"/>
        <v>2.8923246500000004E-3</v>
      </c>
      <c r="O172" s="4">
        <f t="shared" si="5"/>
        <v>1.7035792188500001E-2</v>
      </c>
      <c r="P172">
        <v>63</v>
      </c>
      <c r="Q172">
        <v>3</v>
      </c>
      <c r="R172">
        <v>3</v>
      </c>
      <c r="S172">
        <v>2</v>
      </c>
      <c r="T172">
        <v>2</v>
      </c>
      <c r="U172">
        <v>2.5</v>
      </c>
      <c r="V172" t="s">
        <v>30</v>
      </c>
    </row>
    <row r="173" spans="1:22" hidden="1" x14ac:dyDescent="0.25">
      <c r="A173" t="s">
        <v>65</v>
      </c>
      <c r="B173">
        <v>2</v>
      </c>
      <c r="C173" t="s">
        <v>66</v>
      </c>
      <c r="D173" t="s">
        <v>67</v>
      </c>
      <c r="E173" t="s">
        <v>68</v>
      </c>
      <c r="F173">
        <v>180</v>
      </c>
      <c r="G173">
        <v>1080</v>
      </c>
      <c r="H173">
        <v>-3</v>
      </c>
      <c r="I173">
        <v>1981</v>
      </c>
      <c r="J173" t="s">
        <v>59</v>
      </c>
      <c r="K173">
        <v>1978</v>
      </c>
      <c r="L173">
        <v>4.04</v>
      </c>
      <c r="M173">
        <v>4.66</v>
      </c>
      <c r="N173" s="4">
        <f t="shared" si="4"/>
        <v>1.2812456000000001E-3</v>
      </c>
      <c r="O173" s="4">
        <f t="shared" si="5"/>
        <v>5.9706044960000006E-3</v>
      </c>
      <c r="P173">
        <v>50</v>
      </c>
      <c r="Q173">
        <v>2.5</v>
      </c>
      <c r="R173">
        <v>3</v>
      </c>
      <c r="S173">
        <v>3.5</v>
      </c>
      <c r="T173">
        <v>3.5</v>
      </c>
      <c r="U173">
        <v>3.5</v>
      </c>
      <c r="V173" t="s">
        <v>38</v>
      </c>
    </row>
    <row r="174" spans="1:22" hidden="1" x14ac:dyDescent="0.25">
      <c r="A174" t="s">
        <v>65</v>
      </c>
      <c r="B174">
        <v>2</v>
      </c>
      <c r="C174" t="s">
        <v>66</v>
      </c>
      <c r="D174" t="s">
        <v>67</v>
      </c>
      <c r="E174" t="s">
        <v>68</v>
      </c>
      <c r="F174">
        <v>180</v>
      </c>
      <c r="G174">
        <v>1080</v>
      </c>
      <c r="H174">
        <v>-3</v>
      </c>
      <c r="I174">
        <v>1981</v>
      </c>
      <c r="J174" t="s">
        <v>59</v>
      </c>
      <c r="K174">
        <v>1482</v>
      </c>
      <c r="L174">
        <v>11.03</v>
      </c>
      <c r="M174">
        <v>6.25</v>
      </c>
      <c r="N174" s="4">
        <f t="shared" si="4"/>
        <v>9.5503806499999989E-3</v>
      </c>
      <c r="O174" s="4">
        <f t="shared" si="5"/>
        <v>5.9689879062499993E-2</v>
      </c>
      <c r="P174">
        <v>38</v>
      </c>
      <c r="Q174">
        <v>3.5</v>
      </c>
      <c r="R174">
        <v>3.5</v>
      </c>
      <c r="S174">
        <v>3</v>
      </c>
      <c r="T174">
        <v>2.5</v>
      </c>
      <c r="U174">
        <v>2</v>
      </c>
      <c r="V174" t="s">
        <v>38</v>
      </c>
    </row>
    <row r="175" spans="1:22" hidden="1" x14ac:dyDescent="0.25">
      <c r="A175" t="s">
        <v>65</v>
      </c>
      <c r="B175">
        <v>2</v>
      </c>
      <c r="C175" t="s">
        <v>66</v>
      </c>
      <c r="D175" t="s">
        <v>67</v>
      </c>
      <c r="E175" t="s">
        <v>68</v>
      </c>
      <c r="F175">
        <v>180</v>
      </c>
      <c r="G175">
        <v>1080</v>
      </c>
      <c r="H175">
        <v>-3</v>
      </c>
      <c r="I175">
        <v>1981</v>
      </c>
      <c r="J175" t="s">
        <v>26</v>
      </c>
      <c r="K175">
        <v>1339</v>
      </c>
      <c r="L175">
        <v>12.49</v>
      </c>
      <c r="M175">
        <v>10.119999999999999</v>
      </c>
      <c r="N175" s="4">
        <f t="shared" si="4"/>
        <v>1.2246007850000001E-2</v>
      </c>
      <c r="O175" s="4">
        <f t="shared" si="5"/>
        <v>0.12392959944199999</v>
      </c>
      <c r="P175">
        <v>63</v>
      </c>
      <c r="Q175">
        <v>4.5</v>
      </c>
      <c r="R175">
        <v>3</v>
      </c>
      <c r="S175">
        <v>3.5</v>
      </c>
      <c r="T175">
        <v>3.5</v>
      </c>
      <c r="U175">
        <v>3.5</v>
      </c>
      <c r="V175" t="s">
        <v>27</v>
      </c>
    </row>
    <row r="176" spans="1:22" hidden="1" x14ac:dyDescent="0.25">
      <c r="A176" t="s">
        <v>65</v>
      </c>
      <c r="B176">
        <v>2</v>
      </c>
      <c r="C176" t="s">
        <v>66</v>
      </c>
      <c r="D176" t="s">
        <v>67</v>
      </c>
      <c r="E176" t="s">
        <v>68</v>
      </c>
      <c r="F176">
        <v>180</v>
      </c>
      <c r="G176">
        <v>1080</v>
      </c>
      <c r="H176">
        <v>-3</v>
      </c>
      <c r="I176">
        <v>1981</v>
      </c>
      <c r="J176" t="s">
        <v>26</v>
      </c>
      <c r="K176">
        <v>2447</v>
      </c>
      <c r="L176">
        <v>9.99</v>
      </c>
      <c r="M176">
        <v>6.83</v>
      </c>
      <c r="N176" s="4">
        <f t="shared" si="4"/>
        <v>7.8343078500000014E-3</v>
      </c>
      <c r="O176" s="4">
        <f t="shared" si="5"/>
        <v>5.3508322615500009E-2</v>
      </c>
      <c r="P176">
        <v>88</v>
      </c>
      <c r="Q176">
        <v>4</v>
      </c>
      <c r="R176">
        <v>3</v>
      </c>
      <c r="S176">
        <v>3.5</v>
      </c>
      <c r="T176">
        <v>3</v>
      </c>
      <c r="U176">
        <v>2.5</v>
      </c>
      <c r="V176" t="s">
        <v>25</v>
      </c>
    </row>
    <row r="177" spans="1:22" hidden="1" x14ac:dyDescent="0.25">
      <c r="A177" t="s">
        <v>65</v>
      </c>
      <c r="B177">
        <v>2</v>
      </c>
      <c r="C177" t="s">
        <v>66</v>
      </c>
      <c r="D177" t="s">
        <v>67</v>
      </c>
      <c r="E177" t="s">
        <v>68</v>
      </c>
      <c r="F177">
        <v>180</v>
      </c>
      <c r="G177">
        <v>1080</v>
      </c>
      <c r="H177">
        <v>-3</v>
      </c>
      <c r="I177">
        <v>1981</v>
      </c>
      <c r="J177" t="s">
        <v>26</v>
      </c>
      <c r="K177">
        <v>1786</v>
      </c>
      <c r="L177">
        <v>17.739999999999998</v>
      </c>
      <c r="M177">
        <v>9.99</v>
      </c>
      <c r="N177" s="4">
        <f t="shared" si="4"/>
        <v>2.4704546599999995E-2</v>
      </c>
      <c r="O177" s="4">
        <f t="shared" si="5"/>
        <v>0.24679842053399995</v>
      </c>
      <c r="P177">
        <v>100</v>
      </c>
      <c r="Q177">
        <v>5</v>
      </c>
      <c r="R177">
        <v>3</v>
      </c>
      <c r="S177">
        <v>3</v>
      </c>
      <c r="T177">
        <v>2.5</v>
      </c>
      <c r="U177">
        <v>2</v>
      </c>
      <c r="V177" t="s">
        <v>27</v>
      </c>
    </row>
    <row r="178" spans="1:22" hidden="1" x14ac:dyDescent="0.25">
      <c r="A178" t="s">
        <v>65</v>
      </c>
      <c r="B178">
        <v>2</v>
      </c>
      <c r="C178" t="s">
        <v>66</v>
      </c>
      <c r="D178" t="s">
        <v>67</v>
      </c>
      <c r="E178" t="s">
        <v>68</v>
      </c>
      <c r="F178">
        <v>180</v>
      </c>
      <c r="G178">
        <v>1080</v>
      </c>
      <c r="H178">
        <v>-3</v>
      </c>
      <c r="I178">
        <v>1981</v>
      </c>
      <c r="J178" t="s">
        <v>32</v>
      </c>
      <c r="K178">
        <v>1596</v>
      </c>
      <c r="L178">
        <v>2.73</v>
      </c>
      <c r="M178">
        <v>3.77</v>
      </c>
      <c r="N178" s="4">
        <f t="shared" si="4"/>
        <v>5.8505265000000008E-4</v>
      </c>
      <c r="O178" s="4">
        <f t="shared" si="5"/>
        <v>2.2056484905000001E-3</v>
      </c>
      <c r="P178">
        <v>100</v>
      </c>
      <c r="Q178">
        <v>2.5</v>
      </c>
      <c r="R178">
        <v>4</v>
      </c>
      <c r="S178">
        <v>3.5</v>
      </c>
      <c r="T178">
        <v>4.5</v>
      </c>
      <c r="U178">
        <v>4</v>
      </c>
      <c r="V178" t="s">
        <v>25</v>
      </c>
    </row>
    <row r="179" spans="1:22" hidden="1" x14ac:dyDescent="0.25">
      <c r="A179" t="s">
        <v>65</v>
      </c>
      <c r="B179">
        <v>2</v>
      </c>
      <c r="C179" t="s">
        <v>66</v>
      </c>
      <c r="D179" t="s">
        <v>67</v>
      </c>
      <c r="E179" t="s">
        <v>68</v>
      </c>
      <c r="F179">
        <v>180</v>
      </c>
      <c r="G179">
        <v>1080</v>
      </c>
      <c r="H179">
        <v>-3</v>
      </c>
      <c r="I179">
        <v>1981</v>
      </c>
      <c r="J179" t="s">
        <v>61</v>
      </c>
      <c r="K179">
        <v>1171</v>
      </c>
      <c r="L179">
        <v>2.79</v>
      </c>
      <c r="M179">
        <v>2.9</v>
      </c>
      <c r="N179" s="4">
        <f t="shared" si="4"/>
        <v>6.1105185000000012E-4</v>
      </c>
      <c r="O179" s="4">
        <f t="shared" si="5"/>
        <v>1.7720503650000003E-3</v>
      </c>
      <c r="P179">
        <v>75</v>
      </c>
      <c r="Q179">
        <v>2</v>
      </c>
      <c r="R179">
        <v>2</v>
      </c>
      <c r="S179">
        <v>2</v>
      </c>
      <c r="T179">
        <v>2</v>
      </c>
      <c r="U179">
        <v>3</v>
      </c>
      <c r="V179" t="s">
        <v>30</v>
      </c>
    </row>
    <row r="180" spans="1:22" hidden="1" x14ac:dyDescent="0.25">
      <c r="A180" t="s">
        <v>65</v>
      </c>
      <c r="B180">
        <v>2</v>
      </c>
      <c r="C180" t="s">
        <v>66</v>
      </c>
      <c r="D180" t="s">
        <v>67</v>
      </c>
      <c r="E180" t="s">
        <v>68</v>
      </c>
      <c r="F180">
        <v>180</v>
      </c>
      <c r="G180">
        <v>1080</v>
      </c>
      <c r="H180">
        <v>-3</v>
      </c>
      <c r="I180">
        <v>1981</v>
      </c>
      <c r="J180" t="s">
        <v>34</v>
      </c>
      <c r="K180">
        <v>2469</v>
      </c>
      <c r="L180">
        <v>9.8800000000000008</v>
      </c>
      <c r="M180">
        <v>8.94</v>
      </c>
      <c r="N180" s="4">
        <f t="shared" si="4"/>
        <v>7.6627304000000031E-3</v>
      </c>
      <c r="O180" s="4">
        <f t="shared" si="5"/>
        <v>6.8504809776000028E-2</v>
      </c>
      <c r="P180">
        <v>88</v>
      </c>
      <c r="Q180">
        <v>4</v>
      </c>
      <c r="R180">
        <v>3</v>
      </c>
      <c r="S180">
        <v>3.5</v>
      </c>
      <c r="T180">
        <v>3.5</v>
      </c>
      <c r="U180">
        <v>3.5</v>
      </c>
      <c r="V180" t="s">
        <v>25</v>
      </c>
    </row>
    <row r="181" spans="1:22" hidden="1" x14ac:dyDescent="0.25">
      <c r="A181" t="s">
        <v>65</v>
      </c>
      <c r="B181">
        <v>2</v>
      </c>
      <c r="C181" t="s">
        <v>66</v>
      </c>
      <c r="D181" t="s">
        <v>67</v>
      </c>
      <c r="E181" t="s">
        <v>68</v>
      </c>
      <c r="F181">
        <v>180</v>
      </c>
      <c r="G181">
        <v>1080</v>
      </c>
      <c r="H181">
        <v>-3</v>
      </c>
      <c r="I181">
        <v>1981</v>
      </c>
      <c r="J181" t="s">
        <v>34</v>
      </c>
      <c r="K181">
        <v>1337</v>
      </c>
      <c r="L181">
        <v>8.6300000000000008</v>
      </c>
      <c r="M181">
        <v>8.2100000000000009</v>
      </c>
      <c r="N181" s="4">
        <f t="shared" si="4"/>
        <v>5.84643665E-3</v>
      </c>
      <c r="O181" s="4">
        <f t="shared" si="5"/>
        <v>4.7999244896500003E-2</v>
      </c>
      <c r="P181">
        <v>100</v>
      </c>
      <c r="Q181">
        <v>4</v>
      </c>
      <c r="R181">
        <v>3</v>
      </c>
      <c r="S181">
        <v>3.5</v>
      </c>
      <c r="T181">
        <v>3.5</v>
      </c>
      <c r="U181">
        <v>3.5</v>
      </c>
      <c r="V181" t="s">
        <v>25</v>
      </c>
    </row>
    <row r="182" spans="1:22" hidden="1" x14ac:dyDescent="0.25">
      <c r="A182" t="s">
        <v>65</v>
      </c>
      <c r="B182">
        <v>2</v>
      </c>
      <c r="C182" t="s">
        <v>66</v>
      </c>
      <c r="D182" t="s">
        <v>67</v>
      </c>
      <c r="E182" t="s">
        <v>68</v>
      </c>
      <c r="F182">
        <v>180</v>
      </c>
      <c r="G182">
        <v>1080</v>
      </c>
      <c r="H182">
        <v>-3</v>
      </c>
      <c r="I182">
        <v>1981</v>
      </c>
      <c r="J182" t="s">
        <v>35</v>
      </c>
      <c r="K182">
        <v>1785</v>
      </c>
      <c r="L182">
        <v>4.3899999999999997</v>
      </c>
      <c r="M182">
        <v>4.03</v>
      </c>
      <c r="N182" s="4">
        <f t="shared" si="4"/>
        <v>1.5128598499999997E-3</v>
      </c>
      <c r="O182" s="4">
        <f t="shared" si="5"/>
        <v>6.0968251954999992E-3</v>
      </c>
      <c r="P182">
        <v>88</v>
      </c>
      <c r="Q182">
        <v>1.5</v>
      </c>
      <c r="R182">
        <v>1.5</v>
      </c>
      <c r="S182">
        <v>2</v>
      </c>
      <c r="T182">
        <v>2</v>
      </c>
      <c r="U182">
        <v>3</v>
      </c>
      <c r="V182" t="s">
        <v>50</v>
      </c>
    </row>
    <row r="183" spans="1:22" hidden="1" x14ac:dyDescent="0.25">
      <c r="A183" t="s">
        <v>65</v>
      </c>
      <c r="B183">
        <v>2</v>
      </c>
      <c r="C183" t="s">
        <v>66</v>
      </c>
      <c r="D183" t="s">
        <v>67</v>
      </c>
      <c r="E183" t="s">
        <v>68</v>
      </c>
      <c r="F183">
        <v>180</v>
      </c>
      <c r="G183">
        <v>1080</v>
      </c>
      <c r="H183">
        <v>-3</v>
      </c>
      <c r="I183">
        <v>1981</v>
      </c>
      <c r="J183" t="s">
        <v>36</v>
      </c>
      <c r="K183">
        <v>1598</v>
      </c>
      <c r="L183">
        <v>7.94</v>
      </c>
      <c r="M183">
        <v>7.77</v>
      </c>
      <c r="N183" s="4">
        <f t="shared" si="4"/>
        <v>4.9489225999999999E-3</v>
      </c>
      <c r="O183" s="4">
        <f t="shared" si="5"/>
        <v>3.8453128601999995E-2</v>
      </c>
      <c r="P183">
        <v>100</v>
      </c>
      <c r="Q183">
        <v>3.5</v>
      </c>
      <c r="R183">
        <v>4</v>
      </c>
      <c r="S183">
        <v>2.5</v>
      </c>
      <c r="T183">
        <v>4</v>
      </c>
      <c r="U183">
        <v>3.3</v>
      </c>
      <c r="V183" t="s">
        <v>27</v>
      </c>
    </row>
    <row r="184" spans="1:22" hidden="1" x14ac:dyDescent="0.25">
      <c r="A184" t="s">
        <v>65</v>
      </c>
      <c r="B184">
        <v>2</v>
      </c>
      <c r="C184" t="s">
        <v>66</v>
      </c>
      <c r="D184" t="s">
        <v>67</v>
      </c>
      <c r="E184" t="s">
        <v>68</v>
      </c>
      <c r="F184">
        <v>180</v>
      </c>
      <c r="G184">
        <v>1080</v>
      </c>
      <c r="H184">
        <v>-3</v>
      </c>
      <c r="I184">
        <v>1981</v>
      </c>
      <c r="J184" t="s">
        <v>62</v>
      </c>
      <c r="K184">
        <v>2428</v>
      </c>
      <c r="L184">
        <v>6.48</v>
      </c>
      <c r="M184">
        <v>6.42</v>
      </c>
      <c r="N184" s="4">
        <f t="shared" si="4"/>
        <v>3.2962464000000011E-3</v>
      </c>
      <c r="O184" s="4">
        <f t="shared" si="5"/>
        <v>2.1161901888000007E-2</v>
      </c>
      <c r="P184">
        <v>38</v>
      </c>
      <c r="Q184">
        <v>4</v>
      </c>
      <c r="R184">
        <v>3.5</v>
      </c>
      <c r="S184">
        <v>4</v>
      </c>
      <c r="T184">
        <v>4</v>
      </c>
      <c r="U184">
        <v>3.5</v>
      </c>
      <c r="V184" t="s">
        <v>25</v>
      </c>
    </row>
    <row r="185" spans="1:22" hidden="1" x14ac:dyDescent="0.25">
      <c r="A185" t="s">
        <v>65</v>
      </c>
      <c r="B185">
        <v>2</v>
      </c>
      <c r="C185" t="s">
        <v>66</v>
      </c>
      <c r="D185" t="s">
        <v>67</v>
      </c>
      <c r="E185" t="s">
        <v>68</v>
      </c>
      <c r="F185">
        <v>180</v>
      </c>
      <c r="G185">
        <v>1080</v>
      </c>
      <c r="H185">
        <v>-3</v>
      </c>
      <c r="I185">
        <v>1981</v>
      </c>
      <c r="J185" t="s">
        <v>62</v>
      </c>
      <c r="K185">
        <v>2431</v>
      </c>
      <c r="L185">
        <v>6.28</v>
      </c>
      <c r="M185">
        <v>6.7</v>
      </c>
      <c r="N185" s="4">
        <f t="shared" si="4"/>
        <v>3.0959144000000014E-3</v>
      </c>
      <c r="O185" s="4">
        <f t="shared" si="5"/>
        <v>2.0742626480000009E-2</v>
      </c>
      <c r="P185">
        <v>100</v>
      </c>
      <c r="Q185">
        <v>4</v>
      </c>
      <c r="R185">
        <v>3</v>
      </c>
      <c r="S185">
        <v>4</v>
      </c>
      <c r="T185">
        <v>4</v>
      </c>
      <c r="U185">
        <v>3.5</v>
      </c>
      <c r="V185" t="s">
        <v>25</v>
      </c>
    </row>
    <row r="186" spans="1:22" hidden="1" x14ac:dyDescent="0.25">
      <c r="A186" t="s">
        <v>65</v>
      </c>
      <c r="B186">
        <v>2</v>
      </c>
      <c r="C186" t="s">
        <v>66</v>
      </c>
      <c r="D186" t="s">
        <v>67</v>
      </c>
      <c r="E186" t="s">
        <v>68</v>
      </c>
      <c r="F186">
        <v>180</v>
      </c>
      <c r="G186">
        <v>1080</v>
      </c>
      <c r="H186">
        <v>-3</v>
      </c>
      <c r="I186">
        <v>1981</v>
      </c>
      <c r="J186" t="s">
        <v>62</v>
      </c>
      <c r="K186">
        <v>1787</v>
      </c>
      <c r="L186">
        <v>11.58</v>
      </c>
      <c r="M186">
        <v>8.3699999999999992</v>
      </c>
      <c r="N186" s="4">
        <f t="shared" si="4"/>
        <v>1.0526567400000001E-2</v>
      </c>
      <c r="O186" s="4">
        <f t="shared" si="5"/>
        <v>8.8107369137999991E-2</v>
      </c>
      <c r="P186">
        <v>63</v>
      </c>
      <c r="Q186">
        <v>4</v>
      </c>
      <c r="R186">
        <v>3.5</v>
      </c>
      <c r="S186">
        <v>4</v>
      </c>
      <c r="T186">
        <v>4</v>
      </c>
      <c r="U186">
        <v>3.5</v>
      </c>
      <c r="V186" t="s">
        <v>27</v>
      </c>
    </row>
    <row r="187" spans="1:22" hidden="1" x14ac:dyDescent="0.25">
      <c r="A187" t="s">
        <v>65</v>
      </c>
      <c r="B187">
        <v>2</v>
      </c>
      <c r="C187" t="s">
        <v>66</v>
      </c>
      <c r="D187" t="s">
        <v>67</v>
      </c>
      <c r="E187" t="s">
        <v>68</v>
      </c>
      <c r="F187">
        <v>180</v>
      </c>
      <c r="G187">
        <v>1080</v>
      </c>
      <c r="H187">
        <v>-3</v>
      </c>
      <c r="I187">
        <v>1981</v>
      </c>
      <c r="J187" t="s">
        <v>39</v>
      </c>
      <c r="K187">
        <v>2435</v>
      </c>
      <c r="L187">
        <v>3.56</v>
      </c>
      <c r="M187">
        <v>4.2699999999999996</v>
      </c>
      <c r="N187" s="4">
        <f t="shared" si="4"/>
        <v>9.948775999999999E-4</v>
      </c>
      <c r="O187" s="4">
        <f t="shared" si="5"/>
        <v>4.2481273519999994E-3</v>
      </c>
      <c r="P187">
        <v>25</v>
      </c>
      <c r="Q187">
        <v>3</v>
      </c>
      <c r="R187">
        <v>3</v>
      </c>
      <c r="S187">
        <v>3</v>
      </c>
      <c r="T187">
        <v>3</v>
      </c>
      <c r="U187">
        <v>3</v>
      </c>
      <c r="V187" t="s">
        <v>38</v>
      </c>
    </row>
    <row r="188" spans="1:22" hidden="1" x14ac:dyDescent="0.25">
      <c r="A188" t="s">
        <v>65</v>
      </c>
      <c r="B188">
        <v>2</v>
      </c>
      <c r="C188" t="s">
        <v>66</v>
      </c>
      <c r="D188" t="s">
        <v>67</v>
      </c>
      <c r="E188" t="s">
        <v>68</v>
      </c>
      <c r="F188">
        <v>180</v>
      </c>
      <c r="G188">
        <v>1080</v>
      </c>
      <c r="H188">
        <v>-3</v>
      </c>
      <c r="I188">
        <v>1981</v>
      </c>
      <c r="J188" t="s">
        <v>37</v>
      </c>
      <c r="K188">
        <v>1524</v>
      </c>
      <c r="L188">
        <v>2.57</v>
      </c>
      <c r="M188">
        <v>3.08</v>
      </c>
      <c r="N188" s="4">
        <f t="shared" si="4"/>
        <v>5.1848464999999994E-4</v>
      </c>
      <c r="O188" s="4">
        <f t="shared" si="5"/>
        <v>1.5969327219999998E-3</v>
      </c>
      <c r="P188">
        <v>75</v>
      </c>
      <c r="Q188">
        <v>2</v>
      </c>
      <c r="R188">
        <v>2</v>
      </c>
      <c r="S188">
        <v>2</v>
      </c>
      <c r="T188">
        <v>4</v>
      </c>
      <c r="U188">
        <v>3</v>
      </c>
      <c r="V188" t="s">
        <v>30</v>
      </c>
    </row>
    <row r="189" spans="1:22" hidden="1" x14ac:dyDescent="0.25">
      <c r="A189" t="s">
        <v>65</v>
      </c>
      <c r="B189">
        <v>2</v>
      </c>
      <c r="C189" t="s">
        <v>66</v>
      </c>
      <c r="D189" t="s">
        <v>67</v>
      </c>
      <c r="E189" t="s">
        <v>68</v>
      </c>
      <c r="F189">
        <v>180</v>
      </c>
      <c r="G189">
        <v>1080</v>
      </c>
      <c r="H189">
        <v>-3</v>
      </c>
      <c r="I189">
        <v>1981</v>
      </c>
      <c r="J189" t="s">
        <v>63</v>
      </c>
      <c r="K189">
        <v>1340</v>
      </c>
      <c r="L189">
        <v>5.37</v>
      </c>
      <c r="M189">
        <v>5.74</v>
      </c>
      <c r="N189" s="4">
        <f t="shared" si="4"/>
        <v>2.2636966499999999E-3</v>
      </c>
      <c r="O189" s="4">
        <f t="shared" si="5"/>
        <v>1.2993618771E-2</v>
      </c>
      <c r="P189">
        <v>100</v>
      </c>
      <c r="Q189">
        <v>1.5</v>
      </c>
      <c r="R189">
        <v>1</v>
      </c>
      <c r="S189">
        <v>1.5</v>
      </c>
      <c r="T189">
        <v>1.5</v>
      </c>
      <c r="U189">
        <v>2</v>
      </c>
      <c r="V189" t="s">
        <v>50</v>
      </c>
    </row>
    <row r="190" spans="1:22" hidden="1" x14ac:dyDescent="0.25">
      <c r="A190" t="s">
        <v>65</v>
      </c>
      <c r="B190">
        <v>2</v>
      </c>
      <c r="C190" t="s">
        <v>66</v>
      </c>
      <c r="D190" t="s">
        <v>67</v>
      </c>
      <c r="E190" t="s">
        <v>68</v>
      </c>
      <c r="F190">
        <v>180</v>
      </c>
      <c r="G190">
        <v>1080</v>
      </c>
      <c r="H190">
        <v>-3</v>
      </c>
      <c r="I190">
        <v>1981</v>
      </c>
      <c r="J190" t="s">
        <v>69</v>
      </c>
      <c r="K190">
        <v>1780</v>
      </c>
      <c r="L190">
        <v>2.6</v>
      </c>
      <c r="M190">
        <v>3.64</v>
      </c>
      <c r="N190" s="4">
        <f t="shared" si="4"/>
        <v>5.3066000000000018E-4</v>
      </c>
      <c r="O190" s="4">
        <f t="shared" si="5"/>
        <v>1.9316024000000007E-3</v>
      </c>
      <c r="P190">
        <v>38</v>
      </c>
      <c r="Q190">
        <v>1</v>
      </c>
      <c r="R190">
        <v>2</v>
      </c>
      <c r="S190">
        <v>2</v>
      </c>
      <c r="T190">
        <v>2</v>
      </c>
      <c r="U190">
        <v>3</v>
      </c>
      <c r="V190" t="s">
        <v>50</v>
      </c>
    </row>
    <row r="191" spans="1:22" hidden="1" x14ac:dyDescent="0.25">
      <c r="A191" t="s">
        <v>65</v>
      </c>
      <c r="B191">
        <v>3</v>
      </c>
      <c r="C191" t="s">
        <v>66</v>
      </c>
      <c r="D191" t="s">
        <v>67</v>
      </c>
      <c r="E191" t="s">
        <v>68</v>
      </c>
      <c r="F191">
        <v>180</v>
      </c>
      <c r="G191">
        <v>1080</v>
      </c>
      <c r="H191">
        <v>-3</v>
      </c>
      <c r="I191">
        <v>1981</v>
      </c>
      <c r="J191" t="s">
        <v>55</v>
      </c>
      <c r="K191">
        <v>1094</v>
      </c>
      <c r="L191">
        <v>5.26</v>
      </c>
      <c r="M191">
        <v>5.48</v>
      </c>
      <c r="N191" s="4">
        <f t="shared" si="4"/>
        <v>2.1719066000000001E-3</v>
      </c>
      <c r="O191" s="4">
        <f t="shared" si="5"/>
        <v>1.1902048168000001E-2</v>
      </c>
      <c r="P191">
        <v>63</v>
      </c>
      <c r="Q191">
        <v>2</v>
      </c>
      <c r="R191">
        <v>1.5</v>
      </c>
      <c r="S191">
        <v>2</v>
      </c>
      <c r="T191">
        <v>2</v>
      </c>
      <c r="U191">
        <v>2</v>
      </c>
      <c r="V191" t="s">
        <v>50</v>
      </c>
    </row>
    <row r="192" spans="1:22" hidden="1" x14ac:dyDescent="0.25">
      <c r="A192" t="s">
        <v>65</v>
      </c>
      <c r="B192">
        <v>3</v>
      </c>
      <c r="C192" t="s">
        <v>66</v>
      </c>
      <c r="D192" t="s">
        <v>67</v>
      </c>
      <c r="E192" t="s">
        <v>68</v>
      </c>
      <c r="F192">
        <v>180</v>
      </c>
      <c r="G192">
        <v>1080</v>
      </c>
      <c r="H192">
        <v>-3</v>
      </c>
      <c r="I192">
        <v>1981</v>
      </c>
      <c r="J192" t="s">
        <v>56</v>
      </c>
      <c r="K192">
        <v>1111</v>
      </c>
      <c r="L192">
        <v>4.88</v>
      </c>
      <c r="M192">
        <v>4.1100000000000003</v>
      </c>
      <c r="N192" s="4">
        <f t="shared" si="4"/>
        <v>1.8694303999999995E-3</v>
      </c>
      <c r="O192" s="4">
        <f t="shared" si="5"/>
        <v>7.6833589439999983E-3</v>
      </c>
      <c r="P192">
        <v>88</v>
      </c>
      <c r="Q192">
        <v>3.5</v>
      </c>
      <c r="R192">
        <v>2.5</v>
      </c>
      <c r="S192">
        <v>2</v>
      </c>
      <c r="T192">
        <v>2</v>
      </c>
      <c r="U192">
        <v>2</v>
      </c>
      <c r="V192" t="s">
        <v>38</v>
      </c>
    </row>
    <row r="193" spans="1:22" hidden="1" x14ac:dyDescent="0.25">
      <c r="A193" t="s">
        <v>65</v>
      </c>
      <c r="B193">
        <v>3</v>
      </c>
      <c r="C193" t="s">
        <v>66</v>
      </c>
      <c r="D193" t="s">
        <v>67</v>
      </c>
      <c r="E193" t="s">
        <v>68</v>
      </c>
      <c r="F193">
        <v>180</v>
      </c>
      <c r="G193">
        <v>1080</v>
      </c>
      <c r="H193">
        <v>-3</v>
      </c>
      <c r="I193">
        <v>1981</v>
      </c>
      <c r="J193" t="s">
        <v>57</v>
      </c>
      <c r="K193">
        <v>1112</v>
      </c>
      <c r="L193">
        <v>7.83</v>
      </c>
      <c r="M193">
        <v>6.68</v>
      </c>
      <c r="N193" s="4">
        <f t="shared" si="4"/>
        <v>4.8127486499999995E-3</v>
      </c>
      <c r="O193" s="4">
        <f t="shared" si="5"/>
        <v>3.2149160981999998E-2</v>
      </c>
      <c r="P193">
        <v>100</v>
      </c>
      <c r="Q193">
        <v>3</v>
      </c>
      <c r="R193">
        <v>1.8</v>
      </c>
      <c r="S193">
        <v>3.5</v>
      </c>
      <c r="T193">
        <v>4</v>
      </c>
      <c r="U193">
        <v>4</v>
      </c>
      <c r="V193" t="s">
        <v>25</v>
      </c>
    </row>
    <row r="194" spans="1:22" hidden="1" x14ac:dyDescent="0.25">
      <c r="A194" t="s">
        <v>65</v>
      </c>
      <c r="B194">
        <v>3</v>
      </c>
      <c r="C194" t="s">
        <v>66</v>
      </c>
      <c r="D194" t="s">
        <v>67</v>
      </c>
      <c r="E194" t="s">
        <v>68</v>
      </c>
      <c r="F194">
        <v>180</v>
      </c>
      <c r="G194">
        <v>1080</v>
      </c>
      <c r="H194">
        <v>-3</v>
      </c>
      <c r="I194">
        <v>1981</v>
      </c>
      <c r="J194" t="s">
        <v>57</v>
      </c>
      <c r="K194">
        <v>1113</v>
      </c>
      <c r="L194">
        <v>4.62</v>
      </c>
      <c r="M194">
        <v>4.1100000000000003</v>
      </c>
      <c r="N194" s="4">
        <f t="shared" si="4"/>
        <v>1.6755353999999998E-3</v>
      </c>
      <c r="O194" s="4">
        <f t="shared" si="5"/>
        <v>6.8864504939999995E-3</v>
      </c>
      <c r="P194">
        <v>88</v>
      </c>
      <c r="Q194">
        <v>3</v>
      </c>
      <c r="R194">
        <v>2</v>
      </c>
      <c r="S194">
        <v>2.5</v>
      </c>
      <c r="T194">
        <v>3.5</v>
      </c>
      <c r="U194">
        <v>3</v>
      </c>
      <c r="V194" t="s">
        <v>38</v>
      </c>
    </row>
    <row r="195" spans="1:22" hidden="1" x14ac:dyDescent="0.25">
      <c r="A195" t="s">
        <v>65</v>
      </c>
      <c r="B195">
        <v>3</v>
      </c>
      <c r="C195" t="s">
        <v>66</v>
      </c>
      <c r="D195" t="s">
        <v>67</v>
      </c>
      <c r="E195" t="s">
        <v>68</v>
      </c>
      <c r="F195">
        <v>180</v>
      </c>
      <c r="G195">
        <v>1080</v>
      </c>
      <c r="H195">
        <v>-3</v>
      </c>
      <c r="I195">
        <v>1981</v>
      </c>
      <c r="J195" t="s">
        <v>60</v>
      </c>
      <c r="K195">
        <v>1595</v>
      </c>
      <c r="L195">
        <v>2.29</v>
      </c>
      <c r="M195">
        <v>2.67</v>
      </c>
      <c r="N195" s="4">
        <f t="shared" ref="N195:N258" si="6">3.14/4*((L195/100)^2)</f>
        <v>4.1166185000000003E-4</v>
      </c>
      <c r="O195" s="4">
        <f t="shared" ref="O195:O258" si="7">3.14/4*((L195/100)^2)*M195</f>
        <v>1.0991371395000001E-3</v>
      </c>
      <c r="P195">
        <v>75</v>
      </c>
      <c r="Q195">
        <v>2.5</v>
      </c>
      <c r="R195">
        <v>1.5</v>
      </c>
      <c r="S195">
        <v>3</v>
      </c>
      <c r="T195">
        <v>4</v>
      </c>
      <c r="U195">
        <v>4</v>
      </c>
      <c r="V195" t="s">
        <v>30</v>
      </c>
    </row>
    <row r="196" spans="1:22" hidden="1" x14ac:dyDescent="0.25">
      <c r="A196" t="s">
        <v>65</v>
      </c>
      <c r="B196">
        <v>3</v>
      </c>
      <c r="C196" t="s">
        <v>66</v>
      </c>
      <c r="D196" t="s">
        <v>67</v>
      </c>
      <c r="E196" t="s">
        <v>68</v>
      </c>
      <c r="F196">
        <v>180</v>
      </c>
      <c r="G196">
        <v>1080</v>
      </c>
      <c r="H196">
        <v>-3</v>
      </c>
      <c r="I196">
        <v>1981</v>
      </c>
      <c r="J196" t="s">
        <v>58</v>
      </c>
      <c r="K196">
        <v>1338</v>
      </c>
      <c r="L196">
        <v>7.28</v>
      </c>
      <c r="M196">
        <v>7.45</v>
      </c>
      <c r="N196" s="4">
        <f t="shared" si="6"/>
        <v>4.1603744000000007E-3</v>
      </c>
      <c r="O196" s="4">
        <f t="shared" si="7"/>
        <v>3.0994789280000004E-2</v>
      </c>
      <c r="P196">
        <v>63</v>
      </c>
      <c r="Q196">
        <v>4</v>
      </c>
      <c r="R196">
        <v>3</v>
      </c>
      <c r="S196">
        <v>3.3</v>
      </c>
      <c r="T196">
        <v>3.3</v>
      </c>
      <c r="U196">
        <v>3</v>
      </c>
      <c r="V196" t="s">
        <v>25</v>
      </c>
    </row>
    <row r="197" spans="1:22" hidden="1" x14ac:dyDescent="0.25">
      <c r="A197" t="s">
        <v>65</v>
      </c>
      <c r="B197">
        <v>3</v>
      </c>
      <c r="C197" t="s">
        <v>66</v>
      </c>
      <c r="D197" t="s">
        <v>67</v>
      </c>
      <c r="E197" t="s">
        <v>68</v>
      </c>
      <c r="F197">
        <v>180</v>
      </c>
      <c r="G197">
        <v>1080</v>
      </c>
      <c r="H197">
        <v>-3</v>
      </c>
      <c r="I197">
        <v>1981</v>
      </c>
      <c r="J197" t="s">
        <v>59</v>
      </c>
      <c r="K197">
        <v>1978</v>
      </c>
      <c r="L197">
        <v>16.54</v>
      </c>
      <c r="M197">
        <v>9.93</v>
      </c>
      <c r="N197" s="4">
        <f t="shared" si="6"/>
        <v>2.1475370599999998E-2</v>
      </c>
      <c r="O197" s="4">
        <f t="shared" si="7"/>
        <v>0.21325043005799998</v>
      </c>
      <c r="P197">
        <v>100</v>
      </c>
      <c r="Q197">
        <v>5</v>
      </c>
      <c r="R197">
        <v>3.3</v>
      </c>
      <c r="S197">
        <v>3.3</v>
      </c>
      <c r="T197">
        <v>2.5</v>
      </c>
      <c r="U197">
        <v>2</v>
      </c>
      <c r="V197" t="s">
        <v>27</v>
      </c>
    </row>
    <row r="198" spans="1:22" hidden="1" x14ac:dyDescent="0.25">
      <c r="A198" t="s">
        <v>65</v>
      </c>
      <c r="B198">
        <v>3</v>
      </c>
      <c r="C198" t="s">
        <v>66</v>
      </c>
      <c r="D198" t="s">
        <v>67</v>
      </c>
      <c r="E198" t="s">
        <v>68</v>
      </c>
      <c r="F198">
        <v>180</v>
      </c>
      <c r="G198">
        <v>1080</v>
      </c>
      <c r="H198">
        <v>-3</v>
      </c>
      <c r="I198">
        <v>1981</v>
      </c>
      <c r="J198" t="s">
        <v>59</v>
      </c>
      <c r="K198">
        <v>1482</v>
      </c>
      <c r="L198">
        <v>10.54</v>
      </c>
      <c r="M198">
        <v>7.84</v>
      </c>
      <c r="N198" s="4">
        <f t="shared" si="6"/>
        <v>8.720690599999999E-3</v>
      </c>
      <c r="O198" s="4">
        <f t="shared" si="7"/>
        <v>6.837021430399999E-2</v>
      </c>
      <c r="P198">
        <v>88</v>
      </c>
      <c r="Q198">
        <v>4</v>
      </c>
      <c r="R198">
        <v>3.3</v>
      </c>
      <c r="S198">
        <v>3.3</v>
      </c>
      <c r="T198">
        <v>3.5</v>
      </c>
      <c r="U198">
        <v>3.5</v>
      </c>
      <c r="V198" t="s">
        <v>25</v>
      </c>
    </row>
    <row r="199" spans="1:22" hidden="1" x14ac:dyDescent="0.25">
      <c r="A199" t="s">
        <v>65</v>
      </c>
      <c r="B199">
        <v>3</v>
      </c>
      <c r="C199" t="s">
        <v>66</v>
      </c>
      <c r="D199" t="s">
        <v>67</v>
      </c>
      <c r="E199" t="s">
        <v>68</v>
      </c>
      <c r="F199">
        <v>180</v>
      </c>
      <c r="G199">
        <v>1080</v>
      </c>
      <c r="H199">
        <v>-3</v>
      </c>
      <c r="I199">
        <v>1981</v>
      </c>
      <c r="J199" t="s">
        <v>26</v>
      </c>
      <c r="K199">
        <v>1339</v>
      </c>
      <c r="L199">
        <v>3.81</v>
      </c>
      <c r="M199">
        <v>4.7300000000000004</v>
      </c>
      <c r="N199" s="4">
        <f t="shared" si="6"/>
        <v>1.1395138500000001E-3</v>
      </c>
      <c r="O199" s="4">
        <f t="shared" si="7"/>
        <v>5.3899005105000003E-3</v>
      </c>
      <c r="P199">
        <v>100</v>
      </c>
      <c r="Q199">
        <v>3</v>
      </c>
      <c r="R199">
        <v>2.7</v>
      </c>
      <c r="S199">
        <v>3</v>
      </c>
      <c r="T199">
        <v>3</v>
      </c>
      <c r="U199">
        <v>3.5</v>
      </c>
      <c r="V199" t="s">
        <v>25</v>
      </c>
    </row>
    <row r="200" spans="1:22" hidden="1" x14ac:dyDescent="0.25">
      <c r="A200" t="s">
        <v>65</v>
      </c>
      <c r="B200">
        <v>3</v>
      </c>
      <c r="C200" t="s">
        <v>66</v>
      </c>
      <c r="D200" t="s">
        <v>67</v>
      </c>
      <c r="E200" t="s">
        <v>68</v>
      </c>
      <c r="F200">
        <v>180</v>
      </c>
      <c r="G200">
        <v>1080</v>
      </c>
      <c r="H200">
        <v>-3</v>
      </c>
      <c r="I200">
        <v>1981</v>
      </c>
      <c r="J200" t="s">
        <v>26</v>
      </c>
      <c r="K200">
        <v>2447</v>
      </c>
      <c r="L200">
        <v>11.57</v>
      </c>
      <c r="M200">
        <v>8.41</v>
      </c>
      <c r="N200" s="4">
        <f t="shared" si="6"/>
        <v>1.0508394649999999E-2</v>
      </c>
      <c r="O200" s="4">
        <f t="shared" si="7"/>
        <v>8.8375599006499994E-2</v>
      </c>
      <c r="P200">
        <v>100</v>
      </c>
      <c r="Q200">
        <v>4</v>
      </c>
      <c r="R200">
        <v>3</v>
      </c>
      <c r="S200">
        <v>3.5</v>
      </c>
      <c r="T200">
        <v>3.5</v>
      </c>
      <c r="U200">
        <v>3.5</v>
      </c>
      <c r="V200" t="s">
        <v>27</v>
      </c>
    </row>
    <row r="201" spans="1:22" hidden="1" x14ac:dyDescent="0.25">
      <c r="A201" t="s">
        <v>65</v>
      </c>
      <c r="B201">
        <v>3</v>
      </c>
      <c r="C201" t="s">
        <v>66</v>
      </c>
      <c r="D201" t="s">
        <v>67</v>
      </c>
      <c r="E201" t="s">
        <v>68</v>
      </c>
      <c r="F201">
        <v>180</v>
      </c>
      <c r="G201">
        <v>1080</v>
      </c>
      <c r="H201">
        <v>-3</v>
      </c>
      <c r="I201">
        <v>1981</v>
      </c>
      <c r="J201" t="s">
        <v>26</v>
      </c>
      <c r="K201">
        <v>1786</v>
      </c>
      <c r="L201">
        <v>13.67</v>
      </c>
      <c r="M201">
        <v>8.81</v>
      </c>
      <c r="N201" s="4">
        <f t="shared" si="6"/>
        <v>1.466920865E-2</v>
      </c>
      <c r="O201" s="4">
        <f t="shared" si="7"/>
        <v>0.12923572820650001</v>
      </c>
      <c r="P201">
        <v>100</v>
      </c>
      <c r="Q201">
        <v>4.8</v>
      </c>
      <c r="R201">
        <v>3</v>
      </c>
      <c r="S201">
        <v>3.5</v>
      </c>
      <c r="T201">
        <v>3.5</v>
      </c>
      <c r="U201">
        <v>3</v>
      </c>
      <c r="V201" t="s">
        <v>27</v>
      </c>
    </row>
    <row r="202" spans="1:22" hidden="1" x14ac:dyDescent="0.25">
      <c r="A202" t="s">
        <v>65</v>
      </c>
      <c r="B202">
        <v>3</v>
      </c>
      <c r="C202" t="s">
        <v>66</v>
      </c>
      <c r="D202" t="s">
        <v>67</v>
      </c>
      <c r="E202" t="s">
        <v>68</v>
      </c>
      <c r="F202">
        <v>180</v>
      </c>
      <c r="G202">
        <v>1080</v>
      </c>
      <c r="H202">
        <v>-3</v>
      </c>
      <c r="I202">
        <v>1981</v>
      </c>
      <c r="J202" t="s">
        <v>32</v>
      </c>
      <c r="K202">
        <v>1596</v>
      </c>
      <c r="L202">
        <v>7.03</v>
      </c>
      <c r="M202">
        <v>5.99</v>
      </c>
      <c r="N202" s="4">
        <f t="shared" si="6"/>
        <v>3.8795406500000008E-3</v>
      </c>
      <c r="O202" s="4">
        <f t="shared" si="7"/>
        <v>2.3238448493500007E-2</v>
      </c>
      <c r="P202">
        <v>88</v>
      </c>
      <c r="Q202">
        <v>3.5</v>
      </c>
      <c r="R202">
        <v>2.7</v>
      </c>
      <c r="S202">
        <v>3.5</v>
      </c>
      <c r="T202">
        <v>4</v>
      </c>
      <c r="U202">
        <v>4</v>
      </c>
      <c r="V202" t="s">
        <v>27</v>
      </c>
    </row>
    <row r="203" spans="1:22" hidden="1" x14ac:dyDescent="0.25">
      <c r="A203" t="s">
        <v>65</v>
      </c>
      <c r="B203">
        <v>3</v>
      </c>
      <c r="C203" t="s">
        <v>66</v>
      </c>
      <c r="D203" t="s">
        <v>67</v>
      </c>
      <c r="E203" t="s">
        <v>68</v>
      </c>
      <c r="F203">
        <v>180</v>
      </c>
      <c r="G203">
        <v>1080</v>
      </c>
      <c r="H203">
        <v>-3</v>
      </c>
      <c r="I203">
        <v>1981</v>
      </c>
      <c r="J203" t="s">
        <v>61</v>
      </c>
      <c r="K203">
        <v>1171</v>
      </c>
      <c r="L203" t="s">
        <v>44</v>
      </c>
      <c r="M203" t="s">
        <v>44</v>
      </c>
      <c r="N203" s="4" t="e">
        <f t="shared" si="6"/>
        <v>#VALUE!</v>
      </c>
      <c r="O203" s="4" t="e">
        <f t="shared" si="7"/>
        <v>#VALUE!</v>
      </c>
      <c r="P203" t="s">
        <v>44</v>
      </c>
      <c r="Q203">
        <v>2.5</v>
      </c>
      <c r="R203">
        <v>2</v>
      </c>
      <c r="S203">
        <v>1</v>
      </c>
      <c r="T203">
        <v>1</v>
      </c>
      <c r="U203">
        <v>1</v>
      </c>
      <c r="V203" t="s">
        <v>50</v>
      </c>
    </row>
    <row r="204" spans="1:22" hidden="1" x14ac:dyDescent="0.25">
      <c r="A204" t="s">
        <v>65</v>
      </c>
      <c r="B204">
        <v>3</v>
      </c>
      <c r="C204" t="s">
        <v>66</v>
      </c>
      <c r="D204" t="s">
        <v>67</v>
      </c>
      <c r="E204" t="s">
        <v>68</v>
      </c>
      <c r="F204">
        <v>180</v>
      </c>
      <c r="G204">
        <v>1080</v>
      </c>
      <c r="H204">
        <v>-3</v>
      </c>
      <c r="I204">
        <v>1981</v>
      </c>
      <c r="J204" t="s">
        <v>34</v>
      </c>
      <c r="K204">
        <v>2469</v>
      </c>
      <c r="L204">
        <v>7.68</v>
      </c>
      <c r="M204">
        <v>8</v>
      </c>
      <c r="N204" s="4">
        <f t="shared" si="6"/>
        <v>4.6301183999999992E-3</v>
      </c>
      <c r="O204" s="4">
        <f t="shared" si="7"/>
        <v>3.7040947199999993E-2</v>
      </c>
      <c r="P204">
        <v>88</v>
      </c>
      <c r="Q204">
        <v>4.5</v>
      </c>
      <c r="R204">
        <v>3</v>
      </c>
      <c r="S204">
        <v>4</v>
      </c>
      <c r="T204">
        <v>4</v>
      </c>
      <c r="U204">
        <v>4</v>
      </c>
      <c r="V204" t="s">
        <v>27</v>
      </c>
    </row>
    <row r="205" spans="1:22" hidden="1" x14ac:dyDescent="0.25">
      <c r="A205" t="s">
        <v>65</v>
      </c>
      <c r="B205">
        <v>3</v>
      </c>
      <c r="C205" t="s">
        <v>66</v>
      </c>
      <c r="D205" t="s">
        <v>67</v>
      </c>
      <c r="E205" t="s">
        <v>68</v>
      </c>
      <c r="F205">
        <v>180</v>
      </c>
      <c r="G205">
        <v>1080</v>
      </c>
      <c r="H205">
        <v>-3</v>
      </c>
      <c r="I205">
        <v>1981</v>
      </c>
      <c r="J205" t="s">
        <v>35</v>
      </c>
      <c r="K205">
        <v>1785</v>
      </c>
      <c r="L205">
        <v>3.2</v>
      </c>
      <c r="M205">
        <v>3.56</v>
      </c>
      <c r="N205" s="4">
        <f t="shared" si="6"/>
        <v>8.0384E-4</v>
      </c>
      <c r="O205" s="4">
        <f t="shared" si="7"/>
        <v>2.8616703999999999E-3</v>
      </c>
      <c r="P205">
        <v>88</v>
      </c>
      <c r="Q205">
        <v>1.5</v>
      </c>
      <c r="R205">
        <v>1.8</v>
      </c>
      <c r="S205">
        <v>2.5</v>
      </c>
      <c r="T205">
        <v>3.3</v>
      </c>
      <c r="U205">
        <v>3.5</v>
      </c>
      <c r="V205" t="s">
        <v>30</v>
      </c>
    </row>
    <row r="206" spans="1:22" hidden="1" x14ac:dyDescent="0.25">
      <c r="A206" t="s">
        <v>65</v>
      </c>
      <c r="B206">
        <v>3</v>
      </c>
      <c r="C206" t="s">
        <v>66</v>
      </c>
      <c r="D206" t="s">
        <v>67</v>
      </c>
      <c r="E206" t="s">
        <v>68</v>
      </c>
      <c r="F206">
        <v>180</v>
      </c>
      <c r="G206">
        <v>1080</v>
      </c>
      <c r="H206">
        <v>-3</v>
      </c>
      <c r="I206">
        <v>1981</v>
      </c>
      <c r="J206" t="s">
        <v>36</v>
      </c>
      <c r="K206">
        <v>1598</v>
      </c>
      <c r="L206">
        <v>6.78</v>
      </c>
      <c r="M206">
        <v>5.62</v>
      </c>
      <c r="N206" s="4">
        <f t="shared" si="6"/>
        <v>3.6085193999999998E-3</v>
      </c>
      <c r="O206" s="4">
        <f t="shared" si="7"/>
        <v>2.0279879027999999E-2</v>
      </c>
      <c r="P206">
        <v>63</v>
      </c>
      <c r="Q206">
        <v>3</v>
      </c>
      <c r="R206">
        <v>4</v>
      </c>
      <c r="S206">
        <v>2.5</v>
      </c>
      <c r="T206">
        <v>3</v>
      </c>
      <c r="U206">
        <v>2</v>
      </c>
      <c r="V206" t="s">
        <v>38</v>
      </c>
    </row>
    <row r="207" spans="1:22" hidden="1" x14ac:dyDescent="0.25">
      <c r="A207" t="s">
        <v>65</v>
      </c>
      <c r="B207">
        <v>3</v>
      </c>
      <c r="C207" t="s">
        <v>66</v>
      </c>
      <c r="D207" t="s">
        <v>67</v>
      </c>
      <c r="E207" t="s">
        <v>68</v>
      </c>
      <c r="F207">
        <v>180</v>
      </c>
      <c r="G207">
        <v>1080</v>
      </c>
      <c r="H207">
        <v>-3</v>
      </c>
      <c r="I207">
        <v>1981</v>
      </c>
      <c r="J207" t="s">
        <v>62</v>
      </c>
      <c r="K207">
        <v>2428</v>
      </c>
      <c r="L207">
        <v>5.16</v>
      </c>
      <c r="M207">
        <v>5.86</v>
      </c>
      <c r="N207" s="4">
        <f t="shared" si="6"/>
        <v>2.0901095999999999E-3</v>
      </c>
      <c r="O207" s="4">
        <f t="shared" si="7"/>
        <v>1.2248042256E-2</v>
      </c>
      <c r="P207">
        <v>75</v>
      </c>
      <c r="Q207">
        <v>4</v>
      </c>
      <c r="R207">
        <v>3</v>
      </c>
      <c r="S207">
        <v>4</v>
      </c>
      <c r="T207">
        <v>4</v>
      </c>
      <c r="U207">
        <v>4</v>
      </c>
      <c r="V207" t="s">
        <v>27</v>
      </c>
    </row>
    <row r="208" spans="1:22" hidden="1" x14ac:dyDescent="0.25">
      <c r="A208" t="s">
        <v>65</v>
      </c>
      <c r="B208">
        <v>3</v>
      </c>
      <c r="C208" t="s">
        <v>66</v>
      </c>
      <c r="D208" t="s">
        <v>67</v>
      </c>
      <c r="E208" t="s">
        <v>68</v>
      </c>
      <c r="F208">
        <v>180</v>
      </c>
      <c r="G208">
        <v>1080</v>
      </c>
      <c r="H208">
        <v>-3</v>
      </c>
      <c r="I208">
        <v>1981</v>
      </c>
      <c r="J208" t="s">
        <v>62</v>
      </c>
      <c r="K208">
        <v>2431</v>
      </c>
      <c r="L208">
        <v>3.35</v>
      </c>
      <c r="M208">
        <v>5.16</v>
      </c>
      <c r="N208" s="4">
        <f t="shared" si="6"/>
        <v>8.8096625000000015E-4</v>
      </c>
      <c r="O208" s="4">
        <f t="shared" si="7"/>
        <v>4.545785850000001E-3</v>
      </c>
      <c r="P208">
        <v>100</v>
      </c>
      <c r="Q208">
        <v>3</v>
      </c>
      <c r="R208">
        <v>3</v>
      </c>
      <c r="S208">
        <v>4.5</v>
      </c>
      <c r="T208">
        <v>4</v>
      </c>
      <c r="U208">
        <v>4</v>
      </c>
      <c r="V208" t="s">
        <v>25</v>
      </c>
    </row>
    <row r="209" spans="1:22" hidden="1" x14ac:dyDescent="0.25">
      <c r="A209" t="s">
        <v>65</v>
      </c>
      <c r="B209">
        <v>3</v>
      </c>
      <c r="C209" t="s">
        <v>66</v>
      </c>
      <c r="D209" t="s">
        <v>67</v>
      </c>
      <c r="E209" t="s">
        <v>68</v>
      </c>
      <c r="F209">
        <v>180</v>
      </c>
      <c r="G209">
        <v>1080</v>
      </c>
      <c r="H209">
        <v>-3</v>
      </c>
      <c r="I209">
        <v>1981</v>
      </c>
      <c r="J209" t="s">
        <v>62</v>
      </c>
      <c r="K209">
        <v>1787</v>
      </c>
      <c r="L209">
        <v>3.77</v>
      </c>
      <c r="M209">
        <v>4.88</v>
      </c>
      <c r="N209" s="4">
        <f t="shared" si="6"/>
        <v>1.1157126499999998E-3</v>
      </c>
      <c r="O209" s="4">
        <f t="shared" si="7"/>
        <v>5.444677731999999E-3</v>
      </c>
      <c r="P209">
        <v>88</v>
      </c>
      <c r="Q209">
        <v>4</v>
      </c>
      <c r="R209">
        <v>3.5</v>
      </c>
      <c r="S209">
        <v>4</v>
      </c>
      <c r="T209">
        <v>4</v>
      </c>
      <c r="U209">
        <v>4</v>
      </c>
      <c r="V209" t="s">
        <v>27</v>
      </c>
    </row>
    <row r="210" spans="1:22" hidden="1" x14ac:dyDescent="0.25">
      <c r="A210" t="s">
        <v>65</v>
      </c>
      <c r="B210">
        <v>3</v>
      </c>
      <c r="C210" t="s">
        <v>66</v>
      </c>
      <c r="D210" t="s">
        <v>67</v>
      </c>
      <c r="E210" t="s">
        <v>68</v>
      </c>
      <c r="F210">
        <v>180</v>
      </c>
      <c r="G210">
        <v>1080</v>
      </c>
      <c r="H210">
        <v>-3</v>
      </c>
      <c r="I210">
        <v>1981</v>
      </c>
      <c r="J210" t="s">
        <v>37</v>
      </c>
      <c r="K210">
        <v>1524</v>
      </c>
      <c r="L210">
        <v>4.49</v>
      </c>
      <c r="M210">
        <v>4.49</v>
      </c>
      <c r="N210" s="4">
        <f t="shared" si="6"/>
        <v>1.5825678500000003E-3</v>
      </c>
      <c r="O210" s="4">
        <f t="shared" si="7"/>
        <v>7.1057296465000018E-3</v>
      </c>
      <c r="P210">
        <v>88</v>
      </c>
      <c r="Q210">
        <v>2.2999999999999998</v>
      </c>
      <c r="R210">
        <v>2</v>
      </c>
      <c r="S210">
        <v>2.5</v>
      </c>
      <c r="T210">
        <v>4</v>
      </c>
      <c r="U210">
        <v>3</v>
      </c>
      <c r="V210" t="s">
        <v>30</v>
      </c>
    </row>
    <row r="211" spans="1:22" hidden="1" x14ac:dyDescent="0.25">
      <c r="A211" t="s">
        <v>65</v>
      </c>
      <c r="B211">
        <v>3</v>
      </c>
      <c r="C211" t="s">
        <v>66</v>
      </c>
      <c r="D211" t="s">
        <v>67</v>
      </c>
      <c r="E211" t="s">
        <v>68</v>
      </c>
      <c r="F211">
        <v>180</v>
      </c>
      <c r="G211">
        <v>1080</v>
      </c>
      <c r="H211">
        <v>-3</v>
      </c>
      <c r="I211">
        <v>1981</v>
      </c>
      <c r="J211" t="s">
        <v>63</v>
      </c>
      <c r="K211">
        <v>1340</v>
      </c>
      <c r="L211">
        <v>6.11</v>
      </c>
      <c r="M211">
        <v>5.74</v>
      </c>
      <c r="N211" s="4">
        <f t="shared" si="6"/>
        <v>2.9305698500000001E-3</v>
      </c>
      <c r="O211" s="4">
        <f t="shared" si="7"/>
        <v>1.6821470939000001E-2</v>
      </c>
      <c r="P211">
        <v>100</v>
      </c>
      <c r="Q211">
        <v>2.5</v>
      </c>
      <c r="R211">
        <v>1.5</v>
      </c>
      <c r="S211">
        <v>1.5</v>
      </c>
      <c r="T211">
        <v>1</v>
      </c>
      <c r="U211">
        <v>1</v>
      </c>
      <c r="V211" t="s">
        <v>30</v>
      </c>
    </row>
    <row r="212" spans="1:22" hidden="1" x14ac:dyDescent="0.25">
      <c r="A212" t="s">
        <v>65</v>
      </c>
      <c r="B212">
        <v>3</v>
      </c>
      <c r="C212" t="s">
        <v>66</v>
      </c>
      <c r="D212" t="s">
        <v>67</v>
      </c>
      <c r="E212" t="s">
        <v>68</v>
      </c>
      <c r="F212">
        <v>180</v>
      </c>
      <c r="G212">
        <v>1080</v>
      </c>
      <c r="H212">
        <v>-3</v>
      </c>
      <c r="I212">
        <v>1981</v>
      </c>
      <c r="J212" t="s">
        <v>69</v>
      </c>
      <c r="K212">
        <v>1780</v>
      </c>
      <c r="L212">
        <v>3.51</v>
      </c>
      <c r="M212">
        <v>4.68</v>
      </c>
      <c r="N212" s="4">
        <f t="shared" si="6"/>
        <v>9.6712784999999999E-4</v>
      </c>
      <c r="O212" s="4">
        <f t="shared" si="7"/>
        <v>4.5261583379999993E-3</v>
      </c>
      <c r="P212">
        <v>25</v>
      </c>
      <c r="Q212">
        <v>1.5</v>
      </c>
      <c r="R212">
        <v>1.5</v>
      </c>
      <c r="S212">
        <v>2</v>
      </c>
      <c r="T212">
        <v>2</v>
      </c>
      <c r="U212">
        <v>3</v>
      </c>
      <c r="V212" t="s">
        <v>30</v>
      </c>
    </row>
    <row r="213" spans="1:22" hidden="1" x14ac:dyDescent="0.25">
      <c r="A213" t="s">
        <v>70</v>
      </c>
      <c r="B213">
        <v>1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12</v>
      </c>
      <c r="M213">
        <v>10.3</v>
      </c>
      <c r="N213" s="4">
        <f t="shared" si="6"/>
        <v>1.1304E-2</v>
      </c>
      <c r="O213" s="4">
        <f t="shared" si="7"/>
        <v>0.11643120000000001</v>
      </c>
      <c r="P213">
        <v>38</v>
      </c>
      <c r="Q213">
        <v>2.8</v>
      </c>
      <c r="R213">
        <v>3.2</v>
      </c>
      <c r="S213">
        <v>2.8</v>
      </c>
      <c r="T213">
        <v>3.2</v>
      </c>
      <c r="U213">
        <v>3</v>
      </c>
      <c r="V213" t="s">
        <v>30</v>
      </c>
    </row>
    <row r="214" spans="1:22" hidden="1" x14ac:dyDescent="0.25">
      <c r="A214" t="s">
        <v>70</v>
      </c>
      <c r="B214">
        <v>1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15</v>
      </c>
      <c r="M214">
        <v>8.4</v>
      </c>
      <c r="N214" s="4">
        <f t="shared" si="6"/>
        <v>1.7662500000000001E-2</v>
      </c>
      <c r="O214" s="4">
        <f t="shared" si="7"/>
        <v>0.14836500000000002</v>
      </c>
      <c r="P214">
        <v>88</v>
      </c>
      <c r="Q214">
        <v>3</v>
      </c>
      <c r="R214">
        <v>3</v>
      </c>
      <c r="S214">
        <v>3</v>
      </c>
      <c r="T214">
        <v>3</v>
      </c>
      <c r="U214">
        <v>2</v>
      </c>
      <c r="V214" t="s">
        <v>38</v>
      </c>
    </row>
    <row r="215" spans="1:22" hidden="1" x14ac:dyDescent="0.25">
      <c r="A215" t="s">
        <v>70</v>
      </c>
      <c r="B215">
        <v>1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13</v>
      </c>
      <c r="M215">
        <v>11.1</v>
      </c>
      <c r="N215" s="4">
        <f t="shared" si="6"/>
        <v>1.3266500000000002E-2</v>
      </c>
      <c r="O215" s="4">
        <f t="shared" si="7"/>
        <v>0.14725815000000003</v>
      </c>
      <c r="P215">
        <v>100</v>
      </c>
      <c r="Q215">
        <v>3</v>
      </c>
      <c r="R215">
        <v>2</v>
      </c>
      <c r="S215">
        <v>3.5</v>
      </c>
      <c r="T215">
        <v>3</v>
      </c>
      <c r="U215">
        <v>3</v>
      </c>
      <c r="V215" t="s">
        <v>38</v>
      </c>
    </row>
    <row r="216" spans="1:22" hidden="1" x14ac:dyDescent="0.25">
      <c r="A216" t="s">
        <v>70</v>
      </c>
      <c r="B216">
        <v>1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8.6</v>
      </c>
      <c r="M216">
        <v>9.5</v>
      </c>
      <c r="N216" s="4">
        <f t="shared" si="6"/>
        <v>5.8058599999999995E-3</v>
      </c>
      <c r="O216" s="4">
        <f t="shared" si="7"/>
        <v>5.5155669999999997E-2</v>
      </c>
      <c r="P216">
        <v>100</v>
      </c>
      <c r="Q216">
        <v>2</v>
      </c>
      <c r="R216">
        <v>1.5</v>
      </c>
      <c r="S216">
        <v>4</v>
      </c>
      <c r="T216">
        <v>4</v>
      </c>
      <c r="U216">
        <v>4</v>
      </c>
      <c r="V216" t="s">
        <v>30</v>
      </c>
    </row>
    <row r="217" spans="1:22" hidden="1" x14ac:dyDescent="0.25">
      <c r="A217" t="s">
        <v>70</v>
      </c>
      <c r="B217">
        <v>1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8.1999999999999993</v>
      </c>
      <c r="M217">
        <v>6.6</v>
      </c>
      <c r="N217" s="4">
        <f t="shared" si="6"/>
        <v>5.2783399999999986E-3</v>
      </c>
      <c r="O217" s="4">
        <f t="shared" si="7"/>
        <v>3.4837043999999991E-2</v>
      </c>
      <c r="P217">
        <v>63</v>
      </c>
      <c r="Q217">
        <v>4</v>
      </c>
      <c r="R217">
        <v>4</v>
      </c>
      <c r="S217">
        <v>3</v>
      </c>
      <c r="T217">
        <v>3</v>
      </c>
      <c r="U217">
        <v>3</v>
      </c>
      <c r="V217" t="s">
        <v>38</v>
      </c>
    </row>
    <row r="218" spans="1:22" hidden="1" x14ac:dyDescent="0.25">
      <c r="A218" t="s">
        <v>70</v>
      </c>
      <c r="B218">
        <v>1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15.7</v>
      </c>
      <c r="M218">
        <v>10</v>
      </c>
      <c r="N218" s="4">
        <f t="shared" si="6"/>
        <v>1.9349465E-2</v>
      </c>
      <c r="O218" s="4">
        <f t="shared" si="7"/>
        <v>0.19349464999999999</v>
      </c>
      <c r="P218">
        <v>100</v>
      </c>
      <c r="Q218">
        <v>4</v>
      </c>
      <c r="R218">
        <v>3</v>
      </c>
      <c r="S218">
        <v>2.5</v>
      </c>
      <c r="T218">
        <v>2.5</v>
      </c>
      <c r="U218">
        <v>2.5</v>
      </c>
      <c r="V218" t="s">
        <v>25</v>
      </c>
    </row>
    <row r="219" spans="1:22" hidden="1" x14ac:dyDescent="0.25">
      <c r="A219" t="s">
        <v>70</v>
      </c>
      <c r="B219">
        <v>1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15.9</v>
      </c>
      <c r="M219">
        <v>8.8000000000000007</v>
      </c>
      <c r="N219" s="4">
        <f t="shared" si="6"/>
        <v>1.9845585000000002E-2</v>
      </c>
      <c r="O219" s="4">
        <f t="shared" si="7"/>
        <v>0.17464114800000002</v>
      </c>
      <c r="P219">
        <v>75</v>
      </c>
      <c r="Q219">
        <v>4</v>
      </c>
      <c r="R219">
        <v>3</v>
      </c>
      <c r="S219">
        <v>3</v>
      </c>
      <c r="T219">
        <v>2</v>
      </c>
      <c r="U219">
        <v>2.5</v>
      </c>
      <c r="V219" t="s">
        <v>25</v>
      </c>
    </row>
    <row r="220" spans="1:22" hidden="1" x14ac:dyDescent="0.25">
      <c r="A220" t="s">
        <v>70</v>
      </c>
      <c r="B220">
        <v>1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13.7</v>
      </c>
      <c r="M220">
        <v>9.9</v>
      </c>
      <c r="N220" s="4">
        <f t="shared" si="6"/>
        <v>1.4733664999999996E-2</v>
      </c>
      <c r="O220" s="4">
        <f t="shared" si="7"/>
        <v>0.14586328349999997</v>
      </c>
      <c r="P220">
        <v>88</v>
      </c>
      <c r="Q220">
        <v>4</v>
      </c>
      <c r="R220">
        <v>3</v>
      </c>
      <c r="S220">
        <v>2.5</v>
      </c>
      <c r="T220">
        <v>2.5</v>
      </c>
      <c r="U220">
        <v>2.5</v>
      </c>
      <c r="V220" t="s">
        <v>38</v>
      </c>
    </row>
    <row r="221" spans="1:22" hidden="1" x14ac:dyDescent="0.25">
      <c r="A221" t="s">
        <v>70</v>
      </c>
      <c r="B221">
        <v>1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11.2</v>
      </c>
      <c r="M221">
        <v>9.1</v>
      </c>
      <c r="N221" s="4">
        <f t="shared" si="6"/>
        <v>9.8470399999999979E-3</v>
      </c>
      <c r="O221" s="4">
        <f t="shared" si="7"/>
        <v>8.9608063999999973E-2</v>
      </c>
      <c r="P221">
        <v>88</v>
      </c>
      <c r="Q221">
        <v>4</v>
      </c>
      <c r="R221">
        <v>3.5</v>
      </c>
      <c r="S221">
        <v>3</v>
      </c>
      <c r="T221">
        <v>3.5</v>
      </c>
      <c r="U221">
        <v>3</v>
      </c>
      <c r="V221" t="s">
        <v>25</v>
      </c>
    </row>
    <row r="222" spans="1:22" hidden="1" x14ac:dyDescent="0.25">
      <c r="A222" t="s">
        <v>70</v>
      </c>
      <c r="B222">
        <v>1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18.899999999999999</v>
      </c>
      <c r="M222">
        <v>11.8</v>
      </c>
      <c r="N222" s="4">
        <f t="shared" si="6"/>
        <v>2.8040984999999994E-2</v>
      </c>
      <c r="O222" s="4">
        <f t="shared" si="7"/>
        <v>0.33088362299999996</v>
      </c>
      <c r="P222">
        <v>75</v>
      </c>
      <c r="Q222">
        <v>5</v>
      </c>
      <c r="R222">
        <v>3</v>
      </c>
      <c r="S222">
        <v>2.5</v>
      </c>
      <c r="T222">
        <v>2.5</v>
      </c>
      <c r="U222">
        <v>2</v>
      </c>
      <c r="V222" t="s">
        <v>38</v>
      </c>
    </row>
    <row r="223" spans="1:22" hidden="1" x14ac:dyDescent="0.25">
      <c r="A223" t="s">
        <v>70</v>
      </c>
      <c r="B223">
        <v>1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11.6</v>
      </c>
      <c r="M223">
        <v>8.9</v>
      </c>
      <c r="N223" s="4">
        <f t="shared" si="6"/>
        <v>1.0562959999999998E-2</v>
      </c>
      <c r="O223" s="4">
        <f t="shared" si="7"/>
        <v>9.4010343999999982E-2</v>
      </c>
      <c r="P223">
        <v>100</v>
      </c>
      <c r="Q223">
        <v>4</v>
      </c>
      <c r="R223">
        <v>3</v>
      </c>
      <c r="S223">
        <v>4</v>
      </c>
      <c r="T223">
        <v>4</v>
      </c>
      <c r="U223">
        <v>4</v>
      </c>
      <c r="V223" t="s">
        <v>27</v>
      </c>
    </row>
    <row r="224" spans="1:22" hidden="1" x14ac:dyDescent="0.25">
      <c r="A224" t="s">
        <v>70</v>
      </c>
      <c r="B224">
        <v>1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8.6</v>
      </c>
      <c r="M224">
        <v>8.9</v>
      </c>
      <c r="N224" s="4">
        <f t="shared" si="6"/>
        <v>5.8058599999999995E-3</v>
      </c>
      <c r="O224" s="4">
        <f t="shared" si="7"/>
        <v>5.1672153999999998E-2</v>
      </c>
      <c r="P224">
        <v>100</v>
      </c>
      <c r="Q224">
        <v>3</v>
      </c>
      <c r="R224">
        <v>2.5</v>
      </c>
      <c r="S224">
        <v>2.8</v>
      </c>
      <c r="T224">
        <v>3</v>
      </c>
      <c r="U224">
        <v>2.8</v>
      </c>
      <c r="V224" t="s">
        <v>30</v>
      </c>
    </row>
    <row r="225" spans="1:22" hidden="1" x14ac:dyDescent="0.25">
      <c r="A225" t="s">
        <v>70</v>
      </c>
      <c r="B225">
        <v>1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13.4</v>
      </c>
      <c r="M225">
        <v>12.3</v>
      </c>
      <c r="N225" s="4">
        <f t="shared" si="6"/>
        <v>1.4095460000000002E-2</v>
      </c>
      <c r="O225" s="4">
        <f t="shared" si="7"/>
        <v>0.17337415800000003</v>
      </c>
      <c r="P225">
        <v>88</v>
      </c>
      <c r="Q225">
        <v>4</v>
      </c>
      <c r="R225">
        <v>3</v>
      </c>
      <c r="S225">
        <v>3.5</v>
      </c>
      <c r="T225">
        <v>3</v>
      </c>
      <c r="U225">
        <v>2.5</v>
      </c>
      <c r="V225" t="s">
        <v>27</v>
      </c>
    </row>
    <row r="226" spans="1:22" hidden="1" x14ac:dyDescent="0.25">
      <c r="A226" t="s">
        <v>70</v>
      </c>
      <c r="B226">
        <v>1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19.600000000000001</v>
      </c>
      <c r="M226">
        <v>11.8</v>
      </c>
      <c r="N226" s="4">
        <f t="shared" si="6"/>
        <v>3.0156560000000006E-2</v>
      </c>
      <c r="O226" s="4">
        <f t="shared" si="7"/>
        <v>0.35584740800000009</v>
      </c>
      <c r="P226">
        <v>63</v>
      </c>
      <c r="Q226">
        <v>5</v>
      </c>
      <c r="R226">
        <v>3</v>
      </c>
      <c r="S226">
        <v>3.5</v>
      </c>
      <c r="T226">
        <v>3</v>
      </c>
      <c r="U226">
        <v>2</v>
      </c>
      <c r="V226" t="s">
        <v>27</v>
      </c>
    </row>
    <row r="227" spans="1:22" hidden="1" x14ac:dyDescent="0.25">
      <c r="A227" t="s">
        <v>70</v>
      </c>
      <c r="B227">
        <v>1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11.1</v>
      </c>
      <c r="M227">
        <v>8.6999999999999993</v>
      </c>
      <c r="N227" s="4">
        <f t="shared" si="6"/>
        <v>9.671985000000001E-3</v>
      </c>
      <c r="O227" s="4">
        <f t="shared" si="7"/>
        <v>8.4146269499999996E-2</v>
      </c>
      <c r="P227">
        <v>88</v>
      </c>
      <c r="Q227">
        <v>3</v>
      </c>
      <c r="R227">
        <v>2</v>
      </c>
      <c r="S227">
        <v>3</v>
      </c>
      <c r="T227">
        <v>4</v>
      </c>
      <c r="U227">
        <v>4</v>
      </c>
      <c r="V227" t="s">
        <v>25</v>
      </c>
    </row>
    <row r="228" spans="1:22" hidden="1" x14ac:dyDescent="0.25">
      <c r="A228" t="s">
        <v>70</v>
      </c>
      <c r="B228">
        <v>1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10.8</v>
      </c>
      <c r="M228">
        <v>10</v>
      </c>
      <c r="N228" s="4">
        <f t="shared" si="6"/>
        <v>9.156240000000003E-3</v>
      </c>
      <c r="O228" s="4">
        <f t="shared" si="7"/>
        <v>9.156240000000003E-2</v>
      </c>
      <c r="P228">
        <v>75</v>
      </c>
      <c r="Q228">
        <v>3</v>
      </c>
      <c r="R228">
        <v>4</v>
      </c>
      <c r="S228">
        <v>3</v>
      </c>
      <c r="T228">
        <v>4</v>
      </c>
      <c r="U228">
        <v>3</v>
      </c>
      <c r="V228" t="s">
        <v>25</v>
      </c>
    </row>
    <row r="229" spans="1:22" hidden="1" x14ac:dyDescent="0.25">
      <c r="A229" t="s">
        <v>70</v>
      </c>
      <c r="B229">
        <v>1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11.2</v>
      </c>
      <c r="M229">
        <v>12.2</v>
      </c>
      <c r="N229" s="4">
        <f t="shared" si="6"/>
        <v>9.8470399999999979E-3</v>
      </c>
      <c r="O229" s="4">
        <f t="shared" si="7"/>
        <v>0.12013388799999997</v>
      </c>
      <c r="P229">
        <v>75</v>
      </c>
      <c r="Q229">
        <v>5</v>
      </c>
      <c r="R229">
        <v>3</v>
      </c>
      <c r="S229">
        <v>4</v>
      </c>
      <c r="T229">
        <v>3.5</v>
      </c>
      <c r="U229">
        <v>3.5</v>
      </c>
      <c r="V229" t="s">
        <v>25</v>
      </c>
    </row>
    <row r="230" spans="1:22" hidden="1" x14ac:dyDescent="0.25">
      <c r="A230" t="s">
        <v>70</v>
      </c>
      <c r="B230">
        <v>1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14</v>
      </c>
      <c r="M230">
        <v>13</v>
      </c>
      <c r="N230" s="4">
        <f t="shared" si="6"/>
        <v>1.5386000000000002E-2</v>
      </c>
      <c r="O230" s="4">
        <f t="shared" si="7"/>
        <v>0.20001800000000003</v>
      </c>
      <c r="P230">
        <v>63</v>
      </c>
      <c r="Q230">
        <v>5</v>
      </c>
      <c r="R230">
        <v>3</v>
      </c>
      <c r="S230">
        <v>3</v>
      </c>
      <c r="T230">
        <v>2</v>
      </c>
      <c r="U230">
        <v>2.5</v>
      </c>
      <c r="V230" t="s">
        <v>25</v>
      </c>
    </row>
    <row r="231" spans="1:22" hidden="1" x14ac:dyDescent="0.25">
      <c r="A231" t="s">
        <v>70</v>
      </c>
      <c r="B231">
        <v>1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9</v>
      </c>
      <c r="M231">
        <v>9.6</v>
      </c>
      <c r="N231" s="4">
        <f t="shared" si="6"/>
        <v>6.3584999999999996E-3</v>
      </c>
      <c r="O231" s="4">
        <f t="shared" si="7"/>
        <v>6.1041599999999994E-2</v>
      </c>
      <c r="P231">
        <v>75</v>
      </c>
      <c r="Q231">
        <v>4</v>
      </c>
      <c r="R231">
        <v>3</v>
      </c>
      <c r="S231">
        <v>4</v>
      </c>
      <c r="T231">
        <v>3</v>
      </c>
      <c r="U231">
        <v>2.5</v>
      </c>
      <c r="V231" t="s">
        <v>25</v>
      </c>
    </row>
    <row r="232" spans="1:22" hidden="1" x14ac:dyDescent="0.25">
      <c r="A232" t="s">
        <v>70</v>
      </c>
      <c r="B232">
        <v>1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14.4</v>
      </c>
      <c r="M232">
        <v>12.9</v>
      </c>
      <c r="N232" s="4">
        <f t="shared" si="6"/>
        <v>1.6277760000000006E-2</v>
      </c>
      <c r="O232" s="4">
        <f t="shared" si="7"/>
        <v>0.20998310400000009</v>
      </c>
      <c r="P232">
        <v>88</v>
      </c>
      <c r="Q232">
        <v>5</v>
      </c>
      <c r="R232">
        <v>3</v>
      </c>
      <c r="S232">
        <v>3</v>
      </c>
      <c r="T232">
        <v>3</v>
      </c>
      <c r="U232">
        <v>2.5</v>
      </c>
      <c r="V232" t="s">
        <v>25</v>
      </c>
    </row>
    <row r="233" spans="1:22" hidden="1" x14ac:dyDescent="0.25">
      <c r="A233" t="s">
        <v>70</v>
      </c>
      <c r="B233">
        <v>1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8.8000000000000007</v>
      </c>
      <c r="M233">
        <v>5.3</v>
      </c>
      <c r="N233" s="4">
        <f t="shared" si="6"/>
        <v>6.0790400000000017E-3</v>
      </c>
      <c r="O233" s="4">
        <f t="shared" si="7"/>
        <v>3.2218912000000009E-2</v>
      </c>
      <c r="P233">
        <v>63</v>
      </c>
      <c r="Q233">
        <v>3</v>
      </c>
      <c r="R233">
        <v>3</v>
      </c>
      <c r="S233">
        <v>3</v>
      </c>
      <c r="T233">
        <v>4</v>
      </c>
      <c r="U233">
        <v>4</v>
      </c>
      <c r="V233" t="s">
        <v>38</v>
      </c>
    </row>
    <row r="234" spans="1:22" hidden="1" x14ac:dyDescent="0.25">
      <c r="A234" t="s">
        <v>70</v>
      </c>
      <c r="B234">
        <v>1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37</v>
      </c>
      <c r="K234">
        <v>1524</v>
      </c>
      <c r="L234">
        <v>6.5</v>
      </c>
      <c r="M234">
        <v>7</v>
      </c>
      <c r="N234" s="4">
        <f t="shared" si="6"/>
        <v>3.3166250000000006E-3</v>
      </c>
      <c r="O234" s="4">
        <f t="shared" si="7"/>
        <v>2.3216375000000004E-2</v>
      </c>
      <c r="P234">
        <v>50</v>
      </c>
      <c r="Q234">
        <v>2.5</v>
      </c>
      <c r="R234">
        <v>2.5</v>
      </c>
      <c r="S234">
        <v>3</v>
      </c>
      <c r="T234">
        <v>3</v>
      </c>
      <c r="U234">
        <v>3</v>
      </c>
      <c r="V234" t="s">
        <v>30</v>
      </c>
    </row>
    <row r="235" spans="1:22" hidden="1" x14ac:dyDescent="0.25">
      <c r="A235" t="s">
        <v>70</v>
      </c>
      <c r="B235">
        <v>1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63</v>
      </c>
      <c r="K235">
        <v>1340</v>
      </c>
      <c r="L235">
        <v>5.7</v>
      </c>
      <c r="M235">
        <v>5.7</v>
      </c>
      <c r="N235" s="4">
        <f t="shared" si="6"/>
        <v>2.550465E-3</v>
      </c>
      <c r="O235" s="4">
        <f t="shared" si="7"/>
        <v>1.4537650500000001E-2</v>
      </c>
      <c r="P235">
        <v>100</v>
      </c>
      <c r="Q235">
        <v>3</v>
      </c>
      <c r="R235">
        <v>2</v>
      </c>
      <c r="S235">
        <v>3</v>
      </c>
      <c r="T235">
        <v>3</v>
      </c>
      <c r="U235">
        <v>3</v>
      </c>
      <c r="V235" t="s">
        <v>30</v>
      </c>
    </row>
    <row r="236" spans="1:22" hidden="1" x14ac:dyDescent="0.25">
      <c r="A236" t="s">
        <v>70</v>
      </c>
      <c r="B236">
        <v>1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60</v>
      </c>
      <c r="K236">
        <v>1595</v>
      </c>
      <c r="L236">
        <v>8</v>
      </c>
      <c r="M236">
        <v>4.9000000000000004</v>
      </c>
      <c r="N236" s="4">
        <f t="shared" si="6"/>
        <v>5.0240000000000007E-3</v>
      </c>
      <c r="O236" s="4">
        <f t="shared" si="7"/>
        <v>2.4617600000000007E-2</v>
      </c>
      <c r="P236">
        <v>88</v>
      </c>
      <c r="Q236">
        <v>3.5</v>
      </c>
      <c r="R236">
        <v>1.5</v>
      </c>
      <c r="S236">
        <v>4</v>
      </c>
      <c r="T236">
        <v>4</v>
      </c>
      <c r="U236">
        <v>4</v>
      </c>
      <c r="V236" t="s">
        <v>38</v>
      </c>
    </row>
    <row r="237" spans="1:22" hidden="1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55</v>
      </c>
      <c r="K237">
        <v>1094</v>
      </c>
      <c r="L237">
        <v>7.3</v>
      </c>
      <c r="M237">
        <v>6.8</v>
      </c>
      <c r="N237" s="4">
        <f t="shared" si="6"/>
        <v>4.1832649999999994E-3</v>
      </c>
      <c r="O237" s="4">
        <f t="shared" si="7"/>
        <v>2.8446201999999993E-2</v>
      </c>
      <c r="P237">
        <v>2.5</v>
      </c>
      <c r="Q237">
        <v>3.5</v>
      </c>
      <c r="R237">
        <v>3.5</v>
      </c>
      <c r="S237">
        <v>3.5</v>
      </c>
      <c r="T237">
        <v>3.5</v>
      </c>
      <c r="U237">
        <v>1.5</v>
      </c>
      <c r="V237" t="s">
        <v>50</v>
      </c>
    </row>
    <row r="238" spans="1:22" hidden="1" x14ac:dyDescent="0.25">
      <c r="A238" t="s">
        <v>70</v>
      </c>
      <c r="B238">
        <v>2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56</v>
      </c>
      <c r="K238">
        <v>1111</v>
      </c>
      <c r="L238">
        <v>6.9</v>
      </c>
      <c r="M238">
        <v>5.6</v>
      </c>
      <c r="N238" s="4">
        <f t="shared" si="6"/>
        <v>3.7373850000000006E-3</v>
      </c>
      <c r="O238" s="4">
        <f t="shared" si="7"/>
        <v>2.0929356000000003E-2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2</v>
      </c>
      <c r="V238" t="s">
        <v>50</v>
      </c>
    </row>
    <row r="239" spans="1:22" hidden="1" x14ac:dyDescent="0.25">
      <c r="A239" t="s">
        <v>70</v>
      </c>
      <c r="B239">
        <v>2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57</v>
      </c>
      <c r="K239">
        <v>1112</v>
      </c>
      <c r="L239">
        <v>7.4</v>
      </c>
      <c r="M239">
        <v>6.6</v>
      </c>
      <c r="N239" s="4">
        <f t="shared" si="6"/>
        <v>4.2986600000000019E-3</v>
      </c>
      <c r="O239" s="4">
        <f t="shared" si="7"/>
        <v>2.8371156000000012E-2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1</v>
      </c>
      <c r="V239" t="s">
        <v>50</v>
      </c>
    </row>
    <row r="240" spans="1:22" hidden="1" x14ac:dyDescent="0.25">
      <c r="A240" t="s">
        <v>70</v>
      </c>
      <c r="B240">
        <v>2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1113</v>
      </c>
      <c r="L240">
        <v>6.6</v>
      </c>
      <c r="M240">
        <v>5.4</v>
      </c>
      <c r="N240" s="4">
        <f t="shared" si="6"/>
        <v>3.4194600000000005E-3</v>
      </c>
      <c r="O240" s="4">
        <f t="shared" si="7"/>
        <v>1.8465084000000003E-2</v>
      </c>
      <c r="P240">
        <v>3</v>
      </c>
      <c r="Q240">
        <v>2</v>
      </c>
      <c r="R240">
        <v>3</v>
      </c>
      <c r="S240">
        <v>3</v>
      </c>
      <c r="T240">
        <v>3.5</v>
      </c>
      <c r="U240">
        <v>1.5</v>
      </c>
      <c r="V240" t="s">
        <v>50</v>
      </c>
    </row>
    <row r="241" spans="1:22" hidden="1" x14ac:dyDescent="0.25">
      <c r="A241" t="s">
        <v>70</v>
      </c>
      <c r="B241">
        <v>2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58</v>
      </c>
      <c r="K241">
        <v>1338</v>
      </c>
      <c r="L241">
        <v>7.3</v>
      </c>
      <c r="M241">
        <v>5.6</v>
      </c>
      <c r="N241" s="4">
        <f t="shared" si="6"/>
        <v>4.1832649999999994E-3</v>
      </c>
      <c r="O241" s="4">
        <f t="shared" si="7"/>
        <v>2.3426283999999995E-2</v>
      </c>
      <c r="P241">
        <v>3.5</v>
      </c>
      <c r="Q241">
        <v>3</v>
      </c>
      <c r="R241">
        <v>2.5</v>
      </c>
      <c r="S241">
        <v>2.5</v>
      </c>
      <c r="T241">
        <v>2.5</v>
      </c>
      <c r="U241">
        <v>1.5</v>
      </c>
      <c r="V241" t="s">
        <v>50</v>
      </c>
    </row>
    <row r="242" spans="1:22" hidden="1" x14ac:dyDescent="0.25">
      <c r="A242" t="s">
        <v>70</v>
      </c>
      <c r="B242">
        <v>2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59</v>
      </c>
      <c r="K242">
        <v>1978</v>
      </c>
      <c r="L242">
        <v>19.600000000000001</v>
      </c>
      <c r="M242">
        <v>10.3</v>
      </c>
      <c r="N242" s="4">
        <f t="shared" si="6"/>
        <v>3.0156560000000006E-2</v>
      </c>
      <c r="O242" s="4">
        <f t="shared" si="7"/>
        <v>0.31061256800000009</v>
      </c>
      <c r="P242">
        <v>3</v>
      </c>
      <c r="Q242">
        <v>3</v>
      </c>
      <c r="R242">
        <v>2.5</v>
      </c>
      <c r="S242">
        <v>2.5</v>
      </c>
      <c r="T242">
        <v>2</v>
      </c>
      <c r="U242">
        <v>2</v>
      </c>
      <c r="V242" t="s">
        <v>50</v>
      </c>
    </row>
    <row r="243" spans="1:22" hidden="1" x14ac:dyDescent="0.25">
      <c r="A243" t="s">
        <v>70</v>
      </c>
      <c r="B243">
        <v>2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1482</v>
      </c>
      <c r="L243">
        <v>15.4</v>
      </c>
      <c r="M243">
        <v>15.8</v>
      </c>
      <c r="N243" s="4">
        <f t="shared" si="6"/>
        <v>1.8617060000000001E-2</v>
      </c>
      <c r="O243" s="4">
        <f t="shared" si="7"/>
        <v>0.29414954800000004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3</v>
      </c>
      <c r="V243" t="s">
        <v>50</v>
      </c>
    </row>
    <row r="244" spans="1:22" hidden="1" x14ac:dyDescent="0.25">
      <c r="A244" t="s">
        <v>70</v>
      </c>
      <c r="B244">
        <v>2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26</v>
      </c>
      <c r="K244">
        <v>1339</v>
      </c>
      <c r="L244">
        <v>15</v>
      </c>
      <c r="M244">
        <v>11.6</v>
      </c>
      <c r="N244" s="4">
        <f t="shared" si="6"/>
        <v>1.7662500000000001E-2</v>
      </c>
      <c r="O244" s="4">
        <f t="shared" si="7"/>
        <v>0.20488500000000001</v>
      </c>
      <c r="P244">
        <v>4</v>
      </c>
      <c r="Q244">
        <v>3</v>
      </c>
      <c r="R244">
        <v>2</v>
      </c>
      <c r="S244">
        <v>2</v>
      </c>
      <c r="T244">
        <v>2</v>
      </c>
      <c r="U244">
        <v>3</v>
      </c>
      <c r="V244" t="s">
        <v>50</v>
      </c>
    </row>
    <row r="245" spans="1:22" hidden="1" x14ac:dyDescent="0.25">
      <c r="A245" t="s">
        <v>70</v>
      </c>
      <c r="B245">
        <v>2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2447</v>
      </c>
      <c r="L245">
        <v>13.9</v>
      </c>
      <c r="M245">
        <v>11.1</v>
      </c>
      <c r="N245" s="4">
        <f t="shared" si="6"/>
        <v>1.5166985000000004E-2</v>
      </c>
      <c r="O245" s="4">
        <f t="shared" si="7"/>
        <v>0.16835353350000004</v>
      </c>
      <c r="P245">
        <v>5</v>
      </c>
      <c r="Q245">
        <v>3</v>
      </c>
      <c r="R245">
        <v>3</v>
      </c>
      <c r="S245">
        <v>2.5</v>
      </c>
      <c r="T245">
        <v>2</v>
      </c>
      <c r="U245">
        <v>3</v>
      </c>
      <c r="V245" t="s">
        <v>50</v>
      </c>
    </row>
    <row r="246" spans="1:22" hidden="1" x14ac:dyDescent="0.25">
      <c r="A246" t="s">
        <v>70</v>
      </c>
      <c r="B246">
        <v>2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1786</v>
      </c>
      <c r="L246">
        <v>15.6</v>
      </c>
      <c r="M246">
        <v>12.1</v>
      </c>
      <c r="N246" s="4">
        <f t="shared" si="6"/>
        <v>1.9103760000000001E-2</v>
      </c>
      <c r="O246" s="4">
        <f t="shared" si="7"/>
        <v>0.23115549600000002</v>
      </c>
      <c r="P246">
        <v>4</v>
      </c>
      <c r="Q246">
        <v>3</v>
      </c>
      <c r="R246">
        <v>3.5</v>
      </c>
      <c r="S246">
        <v>3</v>
      </c>
      <c r="T246">
        <v>2</v>
      </c>
      <c r="U246">
        <v>3</v>
      </c>
      <c r="V246" t="s">
        <v>50</v>
      </c>
    </row>
    <row r="247" spans="1:22" hidden="1" x14ac:dyDescent="0.25">
      <c r="A247" t="s">
        <v>70</v>
      </c>
      <c r="B247">
        <v>2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32</v>
      </c>
      <c r="K247">
        <v>1596</v>
      </c>
      <c r="L247">
        <v>7.9</v>
      </c>
      <c r="M247">
        <v>8.6</v>
      </c>
      <c r="N247" s="4">
        <f t="shared" si="6"/>
        <v>4.8991850000000003E-3</v>
      </c>
      <c r="O247" s="4">
        <f t="shared" si="7"/>
        <v>4.2132991000000002E-2</v>
      </c>
      <c r="P247">
        <v>2.5</v>
      </c>
      <c r="Q247">
        <v>3</v>
      </c>
      <c r="R247">
        <v>2.5</v>
      </c>
      <c r="S247">
        <v>4</v>
      </c>
      <c r="T247">
        <v>3.5</v>
      </c>
      <c r="U247">
        <v>1</v>
      </c>
      <c r="V247" t="s">
        <v>50</v>
      </c>
    </row>
    <row r="248" spans="1:22" hidden="1" x14ac:dyDescent="0.25">
      <c r="A248" t="s">
        <v>70</v>
      </c>
      <c r="B248">
        <v>2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61</v>
      </c>
      <c r="K248">
        <v>1171</v>
      </c>
      <c r="L248">
        <v>6.6</v>
      </c>
      <c r="M248">
        <v>5.8</v>
      </c>
      <c r="N248" s="4">
        <f t="shared" si="6"/>
        <v>3.4194600000000005E-3</v>
      </c>
      <c r="O248" s="4">
        <f t="shared" si="7"/>
        <v>1.9832868000000003E-2</v>
      </c>
      <c r="P248">
        <v>2</v>
      </c>
      <c r="Q248">
        <v>3</v>
      </c>
      <c r="R248">
        <v>2.5</v>
      </c>
      <c r="S248">
        <v>2.5</v>
      </c>
      <c r="T248">
        <v>3</v>
      </c>
      <c r="U248">
        <v>0.5</v>
      </c>
      <c r="V248" t="s">
        <v>50</v>
      </c>
    </row>
    <row r="249" spans="1:22" hidden="1" x14ac:dyDescent="0.25">
      <c r="A249" t="s">
        <v>70</v>
      </c>
      <c r="B249">
        <v>2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34</v>
      </c>
      <c r="K249">
        <v>2469</v>
      </c>
      <c r="L249">
        <v>15.2</v>
      </c>
      <c r="M249">
        <v>12.3</v>
      </c>
      <c r="N249" s="4">
        <f t="shared" si="6"/>
        <v>1.8136639999999999E-2</v>
      </c>
      <c r="O249" s="4">
        <f t="shared" si="7"/>
        <v>0.22308067200000001</v>
      </c>
      <c r="P249">
        <v>5</v>
      </c>
      <c r="Q249">
        <v>3</v>
      </c>
      <c r="R249">
        <v>4</v>
      </c>
      <c r="S249">
        <v>3.5</v>
      </c>
      <c r="T249">
        <v>3</v>
      </c>
      <c r="U249">
        <v>4</v>
      </c>
      <c r="V249" t="s">
        <v>50</v>
      </c>
    </row>
    <row r="250" spans="1:22" hidden="1" x14ac:dyDescent="0.25">
      <c r="A250" t="s">
        <v>70</v>
      </c>
      <c r="B250">
        <v>2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1337</v>
      </c>
      <c r="L250">
        <v>17.100000000000001</v>
      </c>
      <c r="M250">
        <v>12.1</v>
      </c>
      <c r="N250" s="4">
        <f t="shared" si="6"/>
        <v>2.2954185000000002E-2</v>
      </c>
      <c r="O250" s="4">
        <f t="shared" si="7"/>
        <v>0.2777456385</v>
      </c>
      <c r="P250">
        <v>5</v>
      </c>
      <c r="Q250">
        <v>3</v>
      </c>
      <c r="R250">
        <v>3.5</v>
      </c>
      <c r="S250">
        <v>3</v>
      </c>
      <c r="T250">
        <v>3</v>
      </c>
      <c r="U250">
        <v>4</v>
      </c>
      <c r="V250" t="s">
        <v>50</v>
      </c>
    </row>
    <row r="251" spans="1:22" hidden="1" x14ac:dyDescent="0.25">
      <c r="A251" t="s">
        <v>70</v>
      </c>
      <c r="B251">
        <v>2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35</v>
      </c>
      <c r="K251">
        <v>1785</v>
      </c>
      <c r="L251">
        <v>5.5</v>
      </c>
      <c r="M251">
        <v>3.4</v>
      </c>
      <c r="N251" s="4">
        <f t="shared" si="6"/>
        <v>2.374625E-3</v>
      </c>
      <c r="O251" s="4">
        <f t="shared" si="7"/>
        <v>8.0737250000000003E-3</v>
      </c>
      <c r="P251">
        <v>2</v>
      </c>
      <c r="Q251">
        <v>1</v>
      </c>
      <c r="R251">
        <v>3</v>
      </c>
      <c r="S251">
        <v>2.5</v>
      </c>
      <c r="T251">
        <v>3</v>
      </c>
      <c r="U251">
        <v>1</v>
      </c>
      <c r="V251" t="s">
        <v>50</v>
      </c>
    </row>
    <row r="252" spans="1:22" hidden="1" x14ac:dyDescent="0.25">
      <c r="A252" t="s">
        <v>70</v>
      </c>
      <c r="B252">
        <v>2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36</v>
      </c>
      <c r="K252">
        <v>1598</v>
      </c>
      <c r="L252">
        <v>15.3</v>
      </c>
      <c r="M252">
        <v>12.7</v>
      </c>
      <c r="N252" s="4">
        <f t="shared" si="6"/>
        <v>1.8376065E-2</v>
      </c>
      <c r="O252" s="4">
        <f t="shared" si="7"/>
        <v>0.2333760255</v>
      </c>
      <c r="P252">
        <v>3</v>
      </c>
      <c r="Q252">
        <v>4</v>
      </c>
      <c r="R252">
        <v>2.5</v>
      </c>
      <c r="S252">
        <v>3</v>
      </c>
      <c r="T252">
        <v>2</v>
      </c>
      <c r="U252">
        <v>3</v>
      </c>
      <c r="V252" t="s">
        <v>50</v>
      </c>
    </row>
    <row r="253" spans="1:22" hidden="1" x14ac:dyDescent="0.25">
      <c r="A253" t="s">
        <v>70</v>
      </c>
      <c r="B253">
        <v>2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62</v>
      </c>
      <c r="K253">
        <v>2428</v>
      </c>
      <c r="L253">
        <v>10.9</v>
      </c>
      <c r="M253">
        <v>9.8000000000000007</v>
      </c>
      <c r="N253" s="4">
        <f t="shared" si="6"/>
        <v>9.3265850000000001E-3</v>
      </c>
      <c r="O253" s="4">
        <f t="shared" si="7"/>
        <v>9.1400533000000006E-2</v>
      </c>
      <c r="P253">
        <v>4</v>
      </c>
      <c r="Q253">
        <v>3</v>
      </c>
      <c r="R253">
        <v>2.5</v>
      </c>
      <c r="S253">
        <v>2</v>
      </c>
      <c r="T253">
        <v>3</v>
      </c>
      <c r="U253">
        <v>4</v>
      </c>
      <c r="V253" t="s">
        <v>50</v>
      </c>
    </row>
    <row r="254" spans="1:22" hidden="1" x14ac:dyDescent="0.25">
      <c r="A254" t="s">
        <v>70</v>
      </c>
      <c r="B254">
        <v>2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2430</v>
      </c>
      <c r="L254">
        <v>13</v>
      </c>
      <c r="M254">
        <v>10.4</v>
      </c>
      <c r="N254" s="4">
        <f t="shared" si="6"/>
        <v>1.3266500000000002E-2</v>
      </c>
      <c r="O254" s="4">
        <f t="shared" si="7"/>
        <v>0.13797160000000003</v>
      </c>
      <c r="P254">
        <v>4</v>
      </c>
      <c r="Q254">
        <v>3</v>
      </c>
      <c r="R254">
        <v>3.5</v>
      </c>
      <c r="S254">
        <v>2.5</v>
      </c>
      <c r="T254">
        <v>2</v>
      </c>
      <c r="U254">
        <v>4</v>
      </c>
      <c r="V254" t="s">
        <v>50</v>
      </c>
    </row>
    <row r="255" spans="1:22" hidden="1" x14ac:dyDescent="0.25">
      <c r="A255" t="s">
        <v>70</v>
      </c>
      <c r="B255">
        <v>2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2431</v>
      </c>
      <c r="L255">
        <v>10.6</v>
      </c>
      <c r="M255">
        <v>10.199999999999999</v>
      </c>
      <c r="N255" s="4">
        <f t="shared" si="6"/>
        <v>8.8202599999999999E-3</v>
      </c>
      <c r="O255" s="4">
        <f t="shared" si="7"/>
        <v>8.9966651999999994E-2</v>
      </c>
      <c r="P255">
        <v>4</v>
      </c>
      <c r="Q255">
        <v>3</v>
      </c>
      <c r="R255">
        <v>3.5</v>
      </c>
      <c r="S255">
        <v>2.5</v>
      </c>
      <c r="T255">
        <v>3</v>
      </c>
      <c r="U255">
        <v>3</v>
      </c>
      <c r="V255" t="s">
        <v>50</v>
      </c>
    </row>
    <row r="256" spans="1:22" hidden="1" x14ac:dyDescent="0.25">
      <c r="A256" t="s">
        <v>70</v>
      </c>
      <c r="B256">
        <v>2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10.3</v>
      </c>
      <c r="M256">
        <v>10</v>
      </c>
      <c r="N256" s="4">
        <f t="shared" si="6"/>
        <v>8.3280650000000025E-3</v>
      </c>
      <c r="O256" s="4">
        <f t="shared" si="7"/>
        <v>8.3280650000000025E-2</v>
      </c>
      <c r="P256">
        <v>4</v>
      </c>
      <c r="Q256">
        <v>3</v>
      </c>
      <c r="R256">
        <v>4</v>
      </c>
      <c r="S256">
        <v>3</v>
      </c>
      <c r="T256">
        <v>3</v>
      </c>
      <c r="U256">
        <v>3</v>
      </c>
      <c r="V256" t="s">
        <v>50</v>
      </c>
    </row>
    <row r="257" spans="1:22" hidden="1" x14ac:dyDescent="0.25">
      <c r="A257" t="s">
        <v>70</v>
      </c>
      <c r="B257">
        <v>2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3.2</v>
      </c>
      <c r="M257">
        <v>5.9</v>
      </c>
      <c r="N257" s="4">
        <f t="shared" si="6"/>
        <v>8.0384E-4</v>
      </c>
      <c r="O257" s="4">
        <f t="shared" si="7"/>
        <v>4.7426560000000005E-3</v>
      </c>
      <c r="P257">
        <v>1.5</v>
      </c>
      <c r="Q257">
        <v>3</v>
      </c>
      <c r="R257">
        <v>2</v>
      </c>
      <c r="S257">
        <v>2</v>
      </c>
      <c r="T257">
        <v>2</v>
      </c>
      <c r="U257">
        <v>0</v>
      </c>
      <c r="V257" t="s">
        <v>50</v>
      </c>
    </row>
    <row r="258" spans="1:22" hidden="1" x14ac:dyDescent="0.25">
      <c r="A258" t="s">
        <v>70</v>
      </c>
      <c r="B258">
        <v>2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15</v>
      </c>
      <c r="M258">
        <v>13</v>
      </c>
      <c r="N258" s="4">
        <f t="shared" si="6"/>
        <v>1.7662500000000001E-2</v>
      </c>
      <c r="O258" s="4">
        <f t="shared" si="7"/>
        <v>0.22961250000000002</v>
      </c>
      <c r="P258">
        <v>2.5</v>
      </c>
      <c r="Q258">
        <v>3</v>
      </c>
      <c r="R258">
        <v>4</v>
      </c>
      <c r="S258">
        <v>4</v>
      </c>
      <c r="T258">
        <v>4</v>
      </c>
      <c r="U258">
        <v>2</v>
      </c>
      <c r="V258" t="s">
        <v>50</v>
      </c>
    </row>
    <row r="259" spans="1:22" hidden="1" x14ac:dyDescent="0.25">
      <c r="A259" t="s">
        <v>70</v>
      </c>
      <c r="B259">
        <v>2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6.8</v>
      </c>
      <c r="M259">
        <v>5.6</v>
      </c>
      <c r="N259" s="4">
        <f t="shared" ref="N259:N322" si="8">3.14/4*((L259/100)^2)</f>
        <v>3.6298400000000005E-3</v>
      </c>
      <c r="O259" s="4">
        <f t="shared" ref="O259:O322" si="9">3.14/4*((L259/100)^2)*M259</f>
        <v>2.0327104000000002E-2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0</v>
      </c>
      <c r="V259" t="s">
        <v>50</v>
      </c>
    </row>
    <row r="260" spans="1:22" hidden="1" x14ac:dyDescent="0.25">
      <c r="A260" t="s">
        <v>70</v>
      </c>
      <c r="B260">
        <v>2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7.7</v>
      </c>
      <c r="M260">
        <v>6.1</v>
      </c>
      <c r="N260" s="4">
        <f t="shared" si="8"/>
        <v>4.6542650000000003E-3</v>
      </c>
      <c r="O260" s="4">
        <f t="shared" si="9"/>
        <v>2.8391016500000001E-2</v>
      </c>
      <c r="P260">
        <v>2</v>
      </c>
      <c r="Q260">
        <v>2</v>
      </c>
      <c r="R260">
        <v>2</v>
      </c>
      <c r="S260">
        <v>2</v>
      </c>
      <c r="T260">
        <v>3</v>
      </c>
      <c r="U260">
        <v>0.5</v>
      </c>
      <c r="V260" t="s">
        <v>50</v>
      </c>
    </row>
    <row r="261" spans="1:22" hidden="1" x14ac:dyDescent="0.25">
      <c r="A261" t="s">
        <v>70</v>
      </c>
      <c r="B261">
        <v>2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3.1</v>
      </c>
      <c r="M261">
        <v>2.9</v>
      </c>
      <c r="N261" s="4">
        <f t="shared" si="8"/>
        <v>7.5438499999999999E-4</v>
      </c>
      <c r="O261" s="4">
        <f t="shared" si="9"/>
        <v>2.1877164999999999E-3</v>
      </c>
      <c r="P261">
        <v>2</v>
      </c>
      <c r="Q261">
        <v>1.5</v>
      </c>
      <c r="R261">
        <v>3</v>
      </c>
      <c r="S261">
        <v>3</v>
      </c>
      <c r="T261">
        <v>3.5</v>
      </c>
      <c r="U261">
        <v>1</v>
      </c>
      <c r="V261" t="s">
        <v>50</v>
      </c>
    </row>
    <row r="262" spans="1:22" hidden="1" x14ac:dyDescent="0.25">
      <c r="A262" t="s">
        <v>70</v>
      </c>
      <c r="B262">
        <v>3</v>
      </c>
      <c r="C262" t="s">
        <v>71</v>
      </c>
      <c r="D262" t="s">
        <v>72</v>
      </c>
      <c r="E262" t="s">
        <v>73</v>
      </c>
      <c r="F262">
        <v>160</v>
      </c>
      <c r="G262">
        <v>1000</v>
      </c>
      <c r="H262">
        <v>-3</v>
      </c>
      <c r="I262">
        <v>1981</v>
      </c>
      <c r="J262" t="s">
        <v>55</v>
      </c>
      <c r="K262">
        <v>1094</v>
      </c>
      <c r="L262">
        <v>10.5</v>
      </c>
      <c r="M262">
        <v>6</v>
      </c>
      <c r="N262" s="4">
        <f t="shared" si="8"/>
        <v>8.6546249999999991E-3</v>
      </c>
      <c r="O262" s="4">
        <f t="shared" si="9"/>
        <v>5.1927749999999995E-2</v>
      </c>
      <c r="P262">
        <v>25</v>
      </c>
      <c r="Q262">
        <v>3</v>
      </c>
      <c r="R262">
        <v>3</v>
      </c>
      <c r="S262">
        <v>2</v>
      </c>
      <c r="T262">
        <v>3</v>
      </c>
      <c r="U262">
        <v>2.5</v>
      </c>
      <c r="V262" t="s">
        <v>30</v>
      </c>
    </row>
    <row r="263" spans="1:22" hidden="1" x14ac:dyDescent="0.25">
      <c r="A263" t="s">
        <v>70</v>
      </c>
      <c r="B263">
        <v>3</v>
      </c>
      <c r="C263" t="s">
        <v>71</v>
      </c>
      <c r="D263" t="s">
        <v>72</v>
      </c>
      <c r="E263" t="s">
        <v>73</v>
      </c>
      <c r="F263">
        <v>160</v>
      </c>
      <c r="G263">
        <v>1000</v>
      </c>
      <c r="H263">
        <v>-3</v>
      </c>
      <c r="I263">
        <v>1981</v>
      </c>
      <c r="J263" t="s">
        <v>56</v>
      </c>
      <c r="K263">
        <v>1111</v>
      </c>
      <c r="L263">
        <v>1.6</v>
      </c>
      <c r="M263">
        <v>1.8</v>
      </c>
      <c r="N263" s="4">
        <f t="shared" si="8"/>
        <v>2.0096E-4</v>
      </c>
      <c r="O263" s="4">
        <f t="shared" si="9"/>
        <v>3.6172800000000002E-4</v>
      </c>
      <c r="P263">
        <v>88</v>
      </c>
      <c r="Q263">
        <v>1</v>
      </c>
      <c r="R263">
        <v>2</v>
      </c>
      <c r="S263">
        <v>3</v>
      </c>
      <c r="T263">
        <v>3</v>
      </c>
      <c r="U263">
        <v>3</v>
      </c>
      <c r="V263" t="s">
        <v>50</v>
      </c>
    </row>
    <row r="264" spans="1:22" hidden="1" x14ac:dyDescent="0.25">
      <c r="A264" t="s">
        <v>70</v>
      </c>
      <c r="B264">
        <v>3</v>
      </c>
      <c r="C264" t="s">
        <v>71</v>
      </c>
      <c r="D264" t="s">
        <v>72</v>
      </c>
      <c r="E264" t="s">
        <v>73</v>
      </c>
      <c r="F264">
        <v>160</v>
      </c>
      <c r="G264">
        <v>1000</v>
      </c>
      <c r="H264">
        <v>-3</v>
      </c>
      <c r="I264">
        <v>1981</v>
      </c>
      <c r="J264" t="s">
        <v>57</v>
      </c>
      <c r="K264">
        <v>1112</v>
      </c>
      <c r="L264">
        <v>4</v>
      </c>
      <c r="M264">
        <v>3.2</v>
      </c>
      <c r="N264" s="4">
        <f t="shared" si="8"/>
        <v>1.2560000000000002E-3</v>
      </c>
      <c r="O264" s="4">
        <f t="shared" si="9"/>
        <v>4.0192000000000005E-3</v>
      </c>
      <c r="P264">
        <v>63</v>
      </c>
      <c r="Q264">
        <v>2</v>
      </c>
      <c r="R264">
        <v>1.5</v>
      </c>
      <c r="S264">
        <v>3</v>
      </c>
      <c r="T264">
        <v>3</v>
      </c>
      <c r="U264">
        <v>3</v>
      </c>
      <c r="V264" t="s">
        <v>30</v>
      </c>
    </row>
    <row r="265" spans="1:22" hidden="1" x14ac:dyDescent="0.25">
      <c r="A265" t="s">
        <v>70</v>
      </c>
      <c r="B265">
        <v>3</v>
      </c>
      <c r="C265" t="s">
        <v>71</v>
      </c>
      <c r="D265" t="s">
        <v>72</v>
      </c>
      <c r="E265" t="s">
        <v>73</v>
      </c>
      <c r="F265">
        <v>160</v>
      </c>
      <c r="G265">
        <v>1000</v>
      </c>
      <c r="H265">
        <v>-3</v>
      </c>
      <c r="I265">
        <v>1981</v>
      </c>
      <c r="J265" t="s">
        <v>57</v>
      </c>
      <c r="K265">
        <v>1113</v>
      </c>
      <c r="L265">
        <v>3.3</v>
      </c>
      <c r="M265">
        <v>2.7</v>
      </c>
      <c r="N265" s="4">
        <f t="shared" si="8"/>
        <v>8.5486500000000012E-4</v>
      </c>
      <c r="O265" s="4">
        <f t="shared" si="9"/>
        <v>2.3081355000000004E-3</v>
      </c>
      <c r="P265">
        <v>100</v>
      </c>
      <c r="Q265">
        <v>1.5</v>
      </c>
      <c r="R265">
        <v>1</v>
      </c>
      <c r="S265">
        <v>2</v>
      </c>
      <c r="T265">
        <v>3</v>
      </c>
      <c r="U265">
        <v>3</v>
      </c>
      <c r="V265" t="s">
        <v>50</v>
      </c>
    </row>
    <row r="266" spans="1:22" hidden="1" x14ac:dyDescent="0.25">
      <c r="A266" t="s">
        <v>70</v>
      </c>
      <c r="B266">
        <v>3</v>
      </c>
      <c r="C266" t="s">
        <v>71</v>
      </c>
      <c r="D266" t="s">
        <v>72</v>
      </c>
      <c r="E266" t="s">
        <v>73</v>
      </c>
      <c r="F266">
        <v>160</v>
      </c>
      <c r="G266">
        <v>1000</v>
      </c>
      <c r="H266">
        <v>-3</v>
      </c>
      <c r="I266">
        <v>1981</v>
      </c>
      <c r="J266" t="s">
        <v>58</v>
      </c>
      <c r="K266">
        <v>1338</v>
      </c>
      <c r="L266">
        <v>9.4</v>
      </c>
      <c r="M266">
        <v>8.5</v>
      </c>
      <c r="N266" s="4">
        <f t="shared" si="8"/>
        <v>6.9362600000000005E-3</v>
      </c>
      <c r="O266" s="4">
        <f t="shared" si="9"/>
        <v>5.8958210000000004E-2</v>
      </c>
      <c r="P266">
        <v>38</v>
      </c>
      <c r="Q266">
        <v>3</v>
      </c>
      <c r="R266">
        <v>3</v>
      </c>
      <c r="S266">
        <v>2</v>
      </c>
      <c r="T266">
        <v>1.5</v>
      </c>
      <c r="U266">
        <v>1</v>
      </c>
      <c r="V266" t="s">
        <v>30</v>
      </c>
    </row>
    <row r="267" spans="1:22" hidden="1" x14ac:dyDescent="0.25">
      <c r="A267" t="s">
        <v>70</v>
      </c>
      <c r="B267">
        <v>3</v>
      </c>
      <c r="C267" t="s">
        <v>71</v>
      </c>
      <c r="D267" t="s">
        <v>72</v>
      </c>
      <c r="E267" t="s">
        <v>73</v>
      </c>
      <c r="F267">
        <v>160</v>
      </c>
      <c r="G267">
        <v>1000</v>
      </c>
      <c r="H267">
        <v>-3</v>
      </c>
      <c r="I267">
        <v>1981</v>
      </c>
      <c r="J267" t="s">
        <v>59</v>
      </c>
      <c r="K267">
        <v>1978</v>
      </c>
      <c r="L267">
        <v>11</v>
      </c>
      <c r="M267">
        <v>8.1</v>
      </c>
      <c r="N267" s="4">
        <f t="shared" si="8"/>
        <v>9.4985E-3</v>
      </c>
      <c r="O267" s="4">
        <f t="shared" si="9"/>
        <v>7.6937850000000002E-2</v>
      </c>
      <c r="P267">
        <v>100</v>
      </c>
      <c r="Q267">
        <v>4</v>
      </c>
      <c r="R267">
        <v>3</v>
      </c>
      <c r="S267">
        <v>2</v>
      </c>
      <c r="T267">
        <v>2</v>
      </c>
      <c r="U267">
        <v>2</v>
      </c>
      <c r="V267" t="s">
        <v>27</v>
      </c>
    </row>
    <row r="268" spans="1:22" hidden="1" x14ac:dyDescent="0.25">
      <c r="A268" t="s">
        <v>70</v>
      </c>
      <c r="B268">
        <v>3</v>
      </c>
      <c r="C268" t="s">
        <v>71</v>
      </c>
      <c r="D268" t="s">
        <v>72</v>
      </c>
      <c r="E268" t="s">
        <v>73</v>
      </c>
      <c r="F268">
        <v>160</v>
      </c>
      <c r="G268">
        <v>1000</v>
      </c>
      <c r="H268">
        <v>-3</v>
      </c>
      <c r="I268">
        <v>1981</v>
      </c>
      <c r="J268" t="s">
        <v>59</v>
      </c>
      <c r="K268">
        <v>1482</v>
      </c>
      <c r="L268">
        <v>7.8</v>
      </c>
      <c r="M268">
        <v>5.6</v>
      </c>
      <c r="N268" s="4">
        <f t="shared" si="8"/>
        <v>4.7759400000000002E-3</v>
      </c>
      <c r="O268" s="4">
        <f t="shared" si="9"/>
        <v>2.6745264000000001E-2</v>
      </c>
      <c r="P268">
        <v>88</v>
      </c>
      <c r="Q268">
        <v>3</v>
      </c>
      <c r="R268">
        <v>3</v>
      </c>
      <c r="S268">
        <v>2</v>
      </c>
      <c r="T268">
        <v>2</v>
      </c>
      <c r="U268">
        <v>2</v>
      </c>
      <c r="V268" t="s">
        <v>25</v>
      </c>
    </row>
    <row r="269" spans="1:22" hidden="1" x14ac:dyDescent="0.25">
      <c r="A269" t="s">
        <v>70</v>
      </c>
      <c r="B269">
        <v>3</v>
      </c>
      <c r="C269" t="s">
        <v>71</v>
      </c>
      <c r="D269" t="s">
        <v>72</v>
      </c>
      <c r="E269" t="s">
        <v>73</v>
      </c>
      <c r="F269">
        <v>160</v>
      </c>
      <c r="G269">
        <v>1000</v>
      </c>
      <c r="H269">
        <v>-3</v>
      </c>
      <c r="I269">
        <v>1981</v>
      </c>
      <c r="J269" t="s">
        <v>26</v>
      </c>
      <c r="K269">
        <v>1339</v>
      </c>
      <c r="L269">
        <v>10.1</v>
      </c>
      <c r="M269">
        <v>9.5</v>
      </c>
      <c r="N269" s="4">
        <f t="shared" si="8"/>
        <v>8.0077849999999982E-3</v>
      </c>
      <c r="O269" s="4">
        <f t="shared" si="9"/>
        <v>7.6073957499999983E-2</v>
      </c>
      <c r="P269">
        <v>75</v>
      </c>
      <c r="Q269">
        <v>3</v>
      </c>
      <c r="R269">
        <v>3</v>
      </c>
      <c r="S269">
        <v>2</v>
      </c>
      <c r="T269">
        <v>2</v>
      </c>
      <c r="U269">
        <v>2</v>
      </c>
      <c r="V269" t="s">
        <v>38</v>
      </c>
    </row>
    <row r="270" spans="1:22" hidden="1" x14ac:dyDescent="0.25">
      <c r="A270" t="s">
        <v>70</v>
      </c>
      <c r="B270">
        <v>3</v>
      </c>
      <c r="C270" t="s">
        <v>71</v>
      </c>
      <c r="D270" t="s">
        <v>72</v>
      </c>
      <c r="E270" t="s">
        <v>73</v>
      </c>
      <c r="F270">
        <v>160</v>
      </c>
      <c r="G270">
        <v>1000</v>
      </c>
      <c r="H270">
        <v>-3</v>
      </c>
      <c r="I270">
        <v>1981</v>
      </c>
      <c r="J270" t="s">
        <v>26</v>
      </c>
      <c r="K270">
        <v>2447</v>
      </c>
      <c r="L270">
        <v>6.9</v>
      </c>
      <c r="M270">
        <v>7.3</v>
      </c>
      <c r="N270" s="4">
        <f t="shared" si="8"/>
        <v>3.7373850000000006E-3</v>
      </c>
      <c r="O270" s="4">
        <f t="shared" si="9"/>
        <v>2.7282910500000004E-2</v>
      </c>
      <c r="P270">
        <v>88</v>
      </c>
      <c r="Q270">
        <v>3.5</v>
      </c>
      <c r="R270">
        <v>3</v>
      </c>
      <c r="S270">
        <v>3</v>
      </c>
      <c r="T270">
        <v>3.5</v>
      </c>
      <c r="U270">
        <v>3</v>
      </c>
      <c r="V270" t="s">
        <v>25</v>
      </c>
    </row>
    <row r="271" spans="1:22" hidden="1" x14ac:dyDescent="0.25">
      <c r="A271" t="s">
        <v>70</v>
      </c>
      <c r="B271">
        <v>3</v>
      </c>
      <c r="C271" t="s">
        <v>71</v>
      </c>
      <c r="D271" t="s">
        <v>72</v>
      </c>
      <c r="E271" t="s">
        <v>73</v>
      </c>
      <c r="F271">
        <v>160</v>
      </c>
      <c r="G271">
        <v>1000</v>
      </c>
      <c r="H271">
        <v>-3</v>
      </c>
      <c r="I271">
        <v>1981</v>
      </c>
      <c r="J271" t="s">
        <v>26</v>
      </c>
      <c r="K271">
        <v>1786</v>
      </c>
      <c r="L271">
        <v>11.9</v>
      </c>
      <c r="M271">
        <v>9.6</v>
      </c>
      <c r="N271" s="4">
        <f t="shared" si="8"/>
        <v>1.1116385000000001E-2</v>
      </c>
      <c r="O271" s="4">
        <f t="shared" si="9"/>
        <v>0.106717296</v>
      </c>
      <c r="P271">
        <v>88</v>
      </c>
      <c r="Q271">
        <v>4</v>
      </c>
      <c r="R271">
        <v>3</v>
      </c>
      <c r="S271">
        <v>2.5</v>
      </c>
      <c r="T271">
        <v>2.5</v>
      </c>
      <c r="U271">
        <v>2.5</v>
      </c>
      <c r="V271" t="s">
        <v>25</v>
      </c>
    </row>
    <row r="272" spans="1:22" hidden="1" x14ac:dyDescent="0.25">
      <c r="A272" t="s">
        <v>70</v>
      </c>
      <c r="B272">
        <v>3</v>
      </c>
      <c r="C272" t="s">
        <v>71</v>
      </c>
      <c r="D272" t="s">
        <v>72</v>
      </c>
      <c r="E272" t="s">
        <v>73</v>
      </c>
      <c r="F272">
        <v>160</v>
      </c>
      <c r="G272">
        <v>1000</v>
      </c>
      <c r="H272">
        <v>-3</v>
      </c>
      <c r="I272">
        <v>1981</v>
      </c>
      <c r="J272" t="s">
        <v>32</v>
      </c>
      <c r="K272">
        <v>1596</v>
      </c>
      <c r="L272">
        <v>10.4</v>
      </c>
      <c r="M272">
        <v>9.4</v>
      </c>
      <c r="N272" s="4">
        <f t="shared" si="8"/>
        <v>8.4905600000000029E-3</v>
      </c>
      <c r="O272" s="4">
        <f t="shared" si="9"/>
        <v>7.9811264000000035E-2</v>
      </c>
      <c r="P272">
        <v>100</v>
      </c>
      <c r="Q272">
        <v>4</v>
      </c>
      <c r="R272">
        <v>3</v>
      </c>
      <c r="S272">
        <v>2</v>
      </c>
      <c r="T272">
        <v>3.5</v>
      </c>
      <c r="U272">
        <v>3</v>
      </c>
      <c r="V272" t="s">
        <v>27</v>
      </c>
    </row>
    <row r="273" spans="1:22" hidden="1" x14ac:dyDescent="0.25">
      <c r="A273" t="s">
        <v>70</v>
      </c>
      <c r="B273">
        <v>3</v>
      </c>
      <c r="C273" t="s">
        <v>71</v>
      </c>
      <c r="D273" t="s">
        <v>72</v>
      </c>
      <c r="E273" t="s">
        <v>73</v>
      </c>
      <c r="F273">
        <v>160</v>
      </c>
      <c r="G273">
        <v>1000</v>
      </c>
      <c r="H273">
        <v>-3</v>
      </c>
      <c r="I273">
        <v>1981</v>
      </c>
      <c r="J273" t="s">
        <v>61</v>
      </c>
      <c r="K273">
        <v>1171</v>
      </c>
      <c r="L273">
        <v>3.5</v>
      </c>
      <c r="M273">
        <v>2.9</v>
      </c>
      <c r="N273" s="4">
        <f t="shared" si="8"/>
        <v>9.6162500000000013E-4</v>
      </c>
      <c r="O273" s="4">
        <f t="shared" si="9"/>
        <v>2.7887125000000002E-3</v>
      </c>
      <c r="P273">
        <v>75</v>
      </c>
      <c r="Q273">
        <v>1</v>
      </c>
      <c r="R273">
        <v>1</v>
      </c>
      <c r="S273">
        <v>3</v>
      </c>
      <c r="T273">
        <v>3</v>
      </c>
      <c r="U273">
        <v>3</v>
      </c>
      <c r="V273" t="s">
        <v>50</v>
      </c>
    </row>
    <row r="274" spans="1:22" hidden="1" x14ac:dyDescent="0.25">
      <c r="A274" t="s">
        <v>70</v>
      </c>
      <c r="B274">
        <v>3</v>
      </c>
      <c r="C274" t="s">
        <v>71</v>
      </c>
      <c r="D274" t="s">
        <v>72</v>
      </c>
      <c r="E274" t="s">
        <v>73</v>
      </c>
      <c r="F274">
        <v>160</v>
      </c>
      <c r="G274">
        <v>1000</v>
      </c>
      <c r="H274">
        <v>-3</v>
      </c>
      <c r="I274">
        <v>1981</v>
      </c>
      <c r="J274" t="s">
        <v>34</v>
      </c>
      <c r="K274">
        <v>2469</v>
      </c>
      <c r="L274">
        <v>5.7</v>
      </c>
      <c r="M274">
        <v>5.6</v>
      </c>
      <c r="N274" s="4">
        <f t="shared" si="8"/>
        <v>2.550465E-3</v>
      </c>
      <c r="O274" s="4">
        <f t="shared" si="9"/>
        <v>1.4282603999999999E-2</v>
      </c>
      <c r="P274">
        <v>100</v>
      </c>
      <c r="Q274">
        <v>3</v>
      </c>
      <c r="R274">
        <v>2.5</v>
      </c>
      <c r="S274">
        <v>4</v>
      </c>
      <c r="T274">
        <v>5</v>
      </c>
      <c r="U274">
        <v>4</v>
      </c>
      <c r="V274" t="s">
        <v>25</v>
      </c>
    </row>
    <row r="275" spans="1:22" hidden="1" x14ac:dyDescent="0.25">
      <c r="A275" t="s">
        <v>70</v>
      </c>
      <c r="B275">
        <v>3</v>
      </c>
      <c r="C275" t="s">
        <v>71</v>
      </c>
      <c r="D275" t="s">
        <v>72</v>
      </c>
      <c r="E275" t="s">
        <v>73</v>
      </c>
      <c r="F275">
        <v>160</v>
      </c>
      <c r="G275">
        <v>1000</v>
      </c>
      <c r="H275">
        <v>-3</v>
      </c>
      <c r="I275">
        <v>1981</v>
      </c>
      <c r="J275" t="s">
        <v>34</v>
      </c>
      <c r="K275">
        <v>1337</v>
      </c>
      <c r="L275">
        <v>10.5</v>
      </c>
      <c r="M275">
        <v>7.5</v>
      </c>
      <c r="N275" s="4">
        <f t="shared" si="8"/>
        <v>8.6546249999999991E-3</v>
      </c>
      <c r="O275" s="4">
        <f t="shared" si="9"/>
        <v>6.4909687499999993E-2</v>
      </c>
      <c r="P275">
        <v>63</v>
      </c>
      <c r="Q275">
        <v>3.5</v>
      </c>
      <c r="R275">
        <v>2.5</v>
      </c>
      <c r="S275">
        <v>2.5</v>
      </c>
      <c r="T275">
        <v>2</v>
      </c>
      <c r="U275">
        <v>2.5</v>
      </c>
      <c r="V275" t="s">
        <v>25</v>
      </c>
    </row>
    <row r="276" spans="1:22" hidden="1" x14ac:dyDescent="0.25">
      <c r="A276" t="s">
        <v>70</v>
      </c>
      <c r="B276">
        <v>3</v>
      </c>
      <c r="C276" t="s">
        <v>71</v>
      </c>
      <c r="D276" t="s">
        <v>72</v>
      </c>
      <c r="E276" t="s">
        <v>73</v>
      </c>
      <c r="F276">
        <v>160</v>
      </c>
      <c r="G276">
        <v>1000</v>
      </c>
      <c r="H276">
        <v>-3</v>
      </c>
      <c r="I276">
        <v>1981</v>
      </c>
      <c r="J276" t="s">
        <v>35</v>
      </c>
      <c r="K276">
        <v>1785</v>
      </c>
      <c r="L276">
        <v>4.3</v>
      </c>
      <c r="M276">
        <v>3.2</v>
      </c>
      <c r="N276" s="4">
        <f t="shared" si="8"/>
        <v>1.4514649999999999E-3</v>
      </c>
      <c r="O276" s="4">
        <f t="shared" si="9"/>
        <v>4.6446880000000001E-3</v>
      </c>
      <c r="P276">
        <v>100</v>
      </c>
      <c r="Q276">
        <v>1.5</v>
      </c>
      <c r="R276">
        <v>1</v>
      </c>
      <c r="S276">
        <v>2.5</v>
      </c>
      <c r="T276">
        <v>3.5</v>
      </c>
      <c r="U276">
        <v>3</v>
      </c>
      <c r="V276" t="s">
        <v>50</v>
      </c>
    </row>
    <row r="277" spans="1:22" hidden="1" x14ac:dyDescent="0.25">
      <c r="A277" t="s">
        <v>70</v>
      </c>
      <c r="B277">
        <v>3</v>
      </c>
      <c r="C277" t="s">
        <v>71</v>
      </c>
      <c r="D277" t="s">
        <v>72</v>
      </c>
      <c r="E277" t="s">
        <v>73</v>
      </c>
      <c r="F277">
        <v>160</v>
      </c>
      <c r="G277">
        <v>1000</v>
      </c>
      <c r="H277">
        <v>-3</v>
      </c>
      <c r="I277">
        <v>1981</v>
      </c>
      <c r="J277" t="s">
        <v>36</v>
      </c>
      <c r="K277">
        <v>1598</v>
      </c>
      <c r="L277">
        <v>13.6</v>
      </c>
      <c r="M277">
        <v>7.3</v>
      </c>
      <c r="N277" s="4">
        <f t="shared" si="8"/>
        <v>1.4519360000000002E-2</v>
      </c>
      <c r="O277" s="4">
        <f t="shared" si="9"/>
        <v>0.10599132800000001</v>
      </c>
      <c r="P277">
        <v>38</v>
      </c>
      <c r="Q277">
        <v>3</v>
      </c>
      <c r="R277">
        <v>3</v>
      </c>
      <c r="S277">
        <v>2</v>
      </c>
      <c r="T277">
        <v>2.5</v>
      </c>
      <c r="U277">
        <v>2</v>
      </c>
      <c r="V277" t="s">
        <v>38</v>
      </c>
    </row>
    <row r="278" spans="1:22" hidden="1" x14ac:dyDescent="0.25">
      <c r="A278" t="s">
        <v>70</v>
      </c>
      <c r="B278">
        <v>3</v>
      </c>
      <c r="C278" t="s">
        <v>71</v>
      </c>
      <c r="D278" t="s">
        <v>72</v>
      </c>
      <c r="E278" t="s">
        <v>73</v>
      </c>
      <c r="F278">
        <v>160</v>
      </c>
      <c r="G278">
        <v>1000</v>
      </c>
      <c r="H278">
        <v>-3</v>
      </c>
      <c r="I278">
        <v>1981</v>
      </c>
      <c r="J278" t="s">
        <v>62</v>
      </c>
      <c r="K278">
        <v>2428</v>
      </c>
      <c r="L278">
        <v>12.3</v>
      </c>
      <c r="M278">
        <v>8.1999999999999993</v>
      </c>
      <c r="N278" s="4">
        <f t="shared" si="8"/>
        <v>1.1876265000000004E-2</v>
      </c>
      <c r="O278" s="4">
        <f t="shared" si="9"/>
        <v>9.7385373000000025E-2</v>
      </c>
      <c r="P278">
        <v>75</v>
      </c>
      <c r="Q278">
        <v>4</v>
      </c>
      <c r="R278">
        <v>3</v>
      </c>
      <c r="S278">
        <v>3</v>
      </c>
      <c r="T278">
        <v>2</v>
      </c>
      <c r="U278">
        <v>2</v>
      </c>
      <c r="V278" t="s">
        <v>27</v>
      </c>
    </row>
    <row r="279" spans="1:22" hidden="1" x14ac:dyDescent="0.25">
      <c r="A279" t="s">
        <v>70</v>
      </c>
      <c r="B279">
        <v>3</v>
      </c>
      <c r="C279" t="s">
        <v>71</v>
      </c>
      <c r="D279" t="s">
        <v>72</v>
      </c>
      <c r="E279" t="s">
        <v>73</v>
      </c>
      <c r="F279">
        <v>160</v>
      </c>
      <c r="G279">
        <v>1000</v>
      </c>
      <c r="H279">
        <v>-3</v>
      </c>
      <c r="I279">
        <v>1981</v>
      </c>
      <c r="J279" t="s">
        <v>62</v>
      </c>
      <c r="K279">
        <v>2430</v>
      </c>
      <c r="L279">
        <v>9.6999999999999993</v>
      </c>
      <c r="M279">
        <v>7.1</v>
      </c>
      <c r="N279" s="4">
        <f t="shared" si="8"/>
        <v>7.3860649999999981E-3</v>
      </c>
      <c r="O279" s="4">
        <f t="shared" si="9"/>
        <v>5.2441061499999983E-2</v>
      </c>
      <c r="P279">
        <v>100</v>
      </c>
      <c r="Q279">
        <v>4</v>
      </c>
      <c r="R279">
        <v>3</v>
      </c>
      <c r="S279">
        <v>2</v>
      </c>
      <c r="T279">
        <v>2.5</v>
      </c>
      <c r="U279">
        <v>2.5</v>
      </c>
      <c r="V279" t="s">
        <v>27</v>
      </c>
    </row>
    <row r="280" spans="1:22" hidden="1" x14ac:dyDescent="0.25">
      <c r="A280" t="s">
        <v>70</v>
      </c>
      <c r="B280">
        <v>3</v>
      </c>
      <c r="C280" t="s">
        <v>71</v>
      </c>
      <c r="D280" t="s">
        <v>72</v>
      </c>
      <c r="E280" t="s">
        <v>73</v>
      </c>
      <c r="F280">
        <v>160</v>
      </c>
      <c r="G280">
        <v>1000</v>
      </c>
      <c r="H280">
        <v>-3</v>
      </c>
      <c r="I280">
        <v>1981</v>
      </c>
      <c r="J280" t="s">
        <v>62</v>
      </c>
      <c r="K280">
        <v>1787</v>
      </c>
      <c r="L280">
        <v>13</v>
      </c>
      <c r="M280">
        <v>9</v>
      </c>
      <c r="N280" s="4">
        <f t="shared" si="8"/>
        <v>1.3266500000000002E-2</v>
      </c>
      <c r="O280" s="4">
        <f t="shared" si="9"/>
        <v>0.11939850000000002</v>
      </c>
      <c r="P280">
        <v>88</v>
      </c>
      <c r="Q280">
        <v>4</v>
      </c>
      <c r="R280">
        <v>3</v>
      </c>
      <c r="S280">
        <v>3.5</v>
      </c>
      <c r="T280">
        <v>3</v>
      </c>
      <c r="U280">
        <v>3</v>
      </c>
      <c r="V280" t="s">
        <v>27</v>
      </c>
    </row>
    <row r="281" spans="1:22" hidden="1" x14ac:dyDescent="0.25">
      <c r="A281" t="s">
        <v>70</v>
      </c>
      <c r="B281">
        <v>3</v>
      </c>
      <c r="C281" t="s">
        <v>71</v>
      </c>
      <c r="D281" t="s">
        <v>72</v>
      </c>
      <c r="E281" t="s">
        <v>73</v>
      </c>
      <c r="F281">
        <v>160</v>
      </c>
      <c r="G281">
        <v>1000</v>
      </c>
      <c r="H281">
        <v>-3</v>
      </c>
      <c r="I281">
        <v>1981</v>
      </c>
      <c r="J281" t="s">
        <v>69</v>
      </c>
      <c r="K281">
        <v>1780</v>
      </c>
      <c r="L281">
        <v>4.9000000000000004</v>
      </c>
      <c r="M281">
        <v>2.8</v>
      </c>
      <c r="N281" s="4">
        <f t="shared" si="8"/>
        <v>1.8847850000000004E-3</v>
      </c>
      <c r="O281" s="4">
        <f t="shared" si="9"/>
        <v>5.2773980000000009E-3</v>
      </c>
      <c r="P281">
        <v>63</v>
      </c>
      <c r="Q281">
        <v>2</v>
      </c>
      <c r="R281">
        <v>3</v>
      </c>
      <c r="S281">
        <v>3</v>
      </c>
      <c r="T281">
        <v>3.5</v>
      </c>
      <c r="U281">
        <v>3.5</v>
      </c>
      <c r="V281" t="s">
        <v>30</v>
      </c>
    </row>
    <row r="282" spans="1:22" hidden="1" x14ac:dyDescent="0.25">
      <c r="A282" t="s">
        <v>70</v>
      </c>
      <c r="B282">
        <v>3</v>
      </c>
      <c r="C282" t="s">
        <v>71</v>
      </c>
      <c r="D282" t="s">
        <v>72</v>
      </c>
      <c r="E282" t="s">
        <v>73</v>
      </c>
      <c r="F282">
        <v>160</v>
      </c>
      <c r="G282">
        <v>1000</v>
      </c>
      <c r="H282">
        <v>-3</v>
      </c>
      <c r="I282">
        <v>1981</v>
      </c>
      <c r="J282" t="s">
        <v>39</v>
      </c>
      <c r="K282">
        <v>2435</v>
      </c>
      <c r="L282">
        <v>6</v>
      </c>
      <c r="M282">
        <v>7</v>
      </c>
      <c r="N282" s="4">
        <f t="shared" si="8"/>
        <v>2.826E-3</v>
      </c>
      <c r="O282" s="4">
        <f t="shared" si="9"/>
        <v>1.9782000000000001E-2</v>
      </c>
      <c r="P282">
        <v>13</v>
      </c>
      <c r="Q282">
        <v>3</v>
      </c>
      <c r="R282">
        <v>3</v>
      </c>
      <c r="S282">
        <v>4</v>
      </c>
      <c r="T282">
        <v>4</v>
      </c>
      <c r="U282">
        <v>4</v>
      </c>
      <c r="V282" t="s">
        <v>30</v>
      </c>
    </row>
    <row r="283" spans="1:22" hidden="1" x14ac:dyDescent="0.25">
      <c r="A283" t="s">
        <v>70</v>
      </c>
      <c r="B283">
        <v>3</v>
      </c>
      <c r="C283" t="s">
        <v>71</v>
      </c>
      <c r="D283" t="s">
        <v>72</v>
      </c>
      <c r="E283" t="s">
        <v>73</v>
      </c>
      <c r="F283">
        <v>160</v>
      </c>
      <c r="G283">
        <v>1000</v>
      </c>
      <c r="H283">
        <v>-3</v>
      </c>
      <c r="I283">
        <v>1981</v>
      </c>
      <c r="J283" t="s">
        <v>37</v>
      </c>
      <c r="K283">
        <v>1524</v>
      </c>
      <c r="L283">
        <v>11.8</v>
      </c>
      <c r="M283">
        <v>7.4</v>
      </c>
      <c r="N283" s="4">
        <f t="shared" si="8"/>
        <v>1.0930340000000002E-2</v>
      </c>
      <c r="O283" s="4">
        <f t="shared" si="9"/>
        <v>8.0884516000000017E-2</v>
      </c>
      <c r="P283">
        <v>88</v>
      </c>
      <c r="Q283">
        <v>2.5</v>
      </c>
      <c r="R283">
        <v>2</v>
      </c>
      <c r="S283">
        <v>2.5</v>
      </c>
      <c r="T283">
        <v>3</v>
      </c>
      <c r="U283">
        <v>3</v>
      </c>
      <c r="V283" t="s">
        <v>38</v>
      </c>
    </row>
    <row r="284" spans="1:22" hidden="1" x14ac:dyDescent="0.25">
      <c r="A284" t="s">
        <v>70</v>
      </c>
      <c r="B284">
        <v>3</v>
      </c>
      <c r="C284" t="s">
        <v>71</v>
      </c>
      <c r="D284" t="s">
        <v>72</v>
      </c>
      <c r="E284" t="s">
        <v>73</v>
      </c>
      <c r="F284">
        <v>160</v>
      </c>
      <c r="G284">
        <v>1000</v>
      </c>
      <c r="H284">
        <v>-3</v>
      </c>
      <c r="I284">
        <v>1981</v>
      </c>
      <c r="J284" t="s">
        <v>63</v>
      </c>
      <c r="K284">
        <v>1340</v>
      </c>
      <c r="L284">
        <v>6.2</v>
      </c>
      <c r="M284">
        <v>5.3</v>
      </c>
      <c r="N284" s="4">
        <f t="shared" si="8"/>
        <v>3.01754E-3</v>
      </c>
      <c r="O284" s="4">
        <f t="shared" si="9"/>
        <v>1.5992961999999999E-2</v>
      </c>
      <c r="P284">
        <v>100</v>
      </c>
      <c r="Q284">
        <v>2</v>
      </c>
      <c r="R284">
        <v>2</v>
      </c>
      <c r="S284">
        <v>2.5</v>
      </c>
      <c r="T284">
        <v>2.5</v>
      </c>
      <c r="U284">
        <v>3</v>
      </c>
      <c r="V284" t="s">
        <v>30</v>
      </c>
    </row>
    <row r="285" spans="1:22" hidden="1" x14ac:dyDescent="0.25">
      <c r="A285" t="s">
        <v>70</v>
      </c>
      <c r="B285">
        <v>3</v>
      </c>
      <c r="C285" t="s">
        <v>71</v>
      </c>
      <c r="D285" t="s">
        <v>72</v>
      </c>
      <c r="E285" t="s">
        <v>73</v>
      </c>
      <c r="F285">
        <v>160</v>
      </c>
      <c r="G285">
        <v>1000</v>
      </c>
      <c r="H285">
        <v>-3</v>
      </c>
      <c r="I285">
        <v>1981</v>
      </c>
      <c r="J285" t="s">
        <v>60</v>
      </c>
      <c r="K285">
        <v>1595</v>
      </c>
      <c r="L285">
        <v>1.5</v>
      </c>
      <c r="M285">
        <v>1.8</v>
      </c>
      <c r="N285" s="4">
        <f t="shared" si="8"/>
        <v>1.76625E-4</v>
      </c>
      <c r="O285" s="4">
        <f t="shared" si="9"/>
        <v>3.1792499999999999E-4</v>
      </c>
      <c r="P285">
        <v>88</v>
      </c>
      <c r="Q285">
        <v>1.5</v>
      </c>
      <c r="R285">
        <v>1</v>
      </c>
      <c r="S285">
        <v>3</v>
      </c>
      <c r="T285">
        <v>4</v>
      </c>
      <c r="U285">
        <v>3</v>
      </c>
      <c r="V285" t="s">
        <v>30</v>
      </c>
    </row>
    <row r="286" spans="1:22" hidden="1" x14ac:dyDescent="0.25">
      <c r="A286" t="s">
        <v>74</v>
      </c>
      <c r="B286">
        <v>1</v>
      </c>
      <c r="C286" t="s">
        <v>66</v>
      </c>
      <c r="D286" t="s">
        <v>75</v>
      </c>
      <c r="E286" t="s">
        <v>68</v>
      </c>
      <c r="F286">
        <v>180</v>
      </c>
      <c r="G286">
        <v>1080</v>
      </c>
      <c r="H286">
        <v>-3</v>
      </c>
      <c r="I286">
        <v>1982</v>
      </c>
      <c r="J286" t="s">
        <v>56</v>
      </c>
      <c r="K286">
        <v>1111</v>
      </c>
      <c r="L286">
        <v>6.02</v>
      </c>
      <c r="M286">
        <v>3.63</v>
      </c>
      <c r="N286" s="4">
        <f t="shared" si="8"/>
        <v>2.8448713999999998E-3</v>
      </c>
      <c r="O286" s="4">
        <f t="shared" si="9"/>
        <v>1.0326883181999999E-2</v>
      </c>
      <c r="P286">
        <v>38</v>
      </c>
      <c r="Q286">
        <v>2.5</v>
      </c>
      <c r="R286">
        <v>3</v>
      </c>
      <c r="S286">
        <v>3</v>
      </c>
      <c r="T286">
        <v>3</v>
      </c>
      <c r="U286">
        <v>3</v>
      </c>
      <c r="V286" t="s">
        <v>30</v>
      </c>
    </row>
    <row r="287" spans="1:22" hidden="1" x14ac:dyDescent="0.25">
      <c r="A287" t="s">
        <v>74</v>
      </c>
      <c r="B287">
        <v>1</v>
      </c>
      <c r="C287" t="s">
        <v>66</v>
      </c>
      <c r="D287" t="s">
        <v>75</v>
      </c>
      <c r="E287" t="s">
        <v>68</v>
      </c>
      <c r="F287">
        <v>180</v>
      </c>
      <c r="G287">
        <v>1080</v>
      </c>
      <c r="H287">
        <v>-3</v>
      </c>
      <c r="I287">
        <v>1982</v>
      </c>
      <c r="J287" t="s">
        <v>57</v>
      </c>
      <c r="K287">
        <v>2620</v>
      </c>
      <c r="L287">
        <v>2.29</v>
      </c>
      <c r="M287">
        <v>3.2</v>
      </c>
      <c r="N287" s="4">
        <f t="shared" si="8"/>
        <v>4.1166185000000003E-4</v>
      </c>
      <c r="O287" s="4">
        <f t="shared" si="9"/>
        <v>1.3173179200000002E-3</v>
      </c>
      <c r="P287">
        <v>50</v>
      </c>
      <c r="Q287">
        <v>1</v>
      </c>
      <c r="R287">
        <v>1</v>
      </c>
      <c r="S287">
        <v>3</v>
      </c>
      <c r="T287">
        <v>3</v>
      </c>
      <c r="U287">
        <v>3</v>
      </c>
      <c r="V287" t="s">
        <v>50</v>
      </c>
    </row>
    <row r="288" spans="1:22" hidden="1" x14ac:dyDescent="0.25">
      <c r="A288" t="s">
        <v>74</v>
      </c>
      <c r="B288">
        <v>1</v>
      </c>
      <c r="C288" t="s">
        <v>66</v>
      </c>
      <c r="D288" t="s">
        <v>75</v>
      </c>
      <c r="E288" t="s">
        <v>68</v>
      </c>
      <c r="F288">
        <v>180</v>
      </c>
      <c r="G288">
        <v>1080</v>
      </c>
      <c r="H288">
        <v>-3</v>
      </c>
      <c r="I288">
        <v>1982</v>
      </c>
      <c r="J288" t="s">
        <v>57</v>
      </c>
      <c r="K288">
        <v>2621</v>
      </c>
      <c r="L288">
        <v>3.31</v>
      </c>
      <c r="M288">
        <v>4.34</v>
      </c>
      <c r="N288" s="4">
        <f t="shared" si="8"/>
        <v>8.6005384999999991E-4</v>
      </c>
      <c r="O288" s="4">
        <f t="shared" si="9"/>
        <v>3.7326337089999993E-3</v>
      </c>
      <c r="P288">
        <v>50</v>
      </c>
      <c r="Q288">
        <v>3</v>
      </c>
      <c r="R288">
        <v>2.5</v>
      </c>
      <c r="S288">
        <v>3</v>
      </c>
      <c r="T288">
        <v>3</v>
      </c>
      <c r="U288">
        <v>3</v>
      </c>
      <c r="V288" t="s">
        <v>30</v>
      </c>
    </row>
    <row r="289" spans="1:22" hidden="1" x14ac:dyDescent="0.25">
      <c r="A289" t="s">
        <v>74</v>
      </c>
      <c r="B289">
        <v>1</v>
      </c>
      <c r="C289" t="s">
        <v>66</v>
      </c>
      <c r="D289" t="s">
        <v>75</v>
      </c>
      <c r="E289" t="s">
        <v>68</v>
      </c>
      <c r="F289">
        <v>180</v>
      </c>
      <c r="G289">
        <v>1080</v>
      </c>
      <c r="H289">
        <v>-3</v>
      </c>
      <c r="I289">
        <v>1982</v>
      </c>
      <c r="J289" t="s">
        <v>59</v>
      </c>
      <c r="K289">
        <v>2426</v>
      </c>
      <c r="L289">
        <v>53.86</v>
      </c>
      <c r="M289">
        <v>5.01</v>
      </c>
      <c r="N289" s="4">
        <f t="shared" si="8"/>
        <v>0.22772061859999998</v>
      </c>
      <c r="O289" s="4">
        <f t="shared" si="9"/>
        <v>1.1408802991859999</v>
      </c>
      <c r="P289">
        <v>100</v>
      </c>
      <c r="Q289">
        <v>2.5</v>
      </c>
      <c r="R289">
        <v>3.5</v>
      </c>
      <c r="S289">
        <v>3</v>
      </c>
      <c r="T289">
        <v>3</v>
      </c>
      <c r="U289">
        <v>3</v>
      </c>
      <c r="V289" t="s">
        <v>30</v>
      </c>
    </row>
    <row r="290" spans="1:22" hidden="1" x14ac:dyDescent="0.25">
      <c r="A290" t="s">
        <v>74</v>
      </c>
      <c r="B290">
        <v>1</v>
      </c>
      <c r="C290" t="s">
        <v>66</v>
      </c>
      <c r="D290" t="s">
        <v>75</v>
      </c>
      <c r="E290" t="s">
        <v>68</v>
      </c>
      <c r="F290">
        <v>180</v>
      </c>
      <c r="G290">
        <v>1080</v>
      </c>
      <c r="H290">
        <v>-3</v>
      </c>
      <c r="I290">
        <v>1982</v>
      </c>
      <c r="J290" t="s">
        <v>59</v>
      </c>
      <c r="K290">
        <v>1482</v>
      </c>
      <c r="L290">
        <v>19.66</v>
      </c>
      <c r="M290">
        <v>12.21</v>
      </c>
      <c r="N290" s="4">
        <f t="shared" si="8"/>
        <v>3.0341474600000001E-2</v>
      </c>
      <c r="O290" s="4">
        <f t="shared" si="9"/>
        <v>0.37046940486600005</v>
      </c>
      <c r="P290">
        <v>100</v>
      </c>
      <c r="Q290">
        <v>4.5</v>
      </c>
      <c r="R290">
        <v>4</v>
      </c>
      <c r="S290">
        <v>4</v>
      </c>
      <c r="T290">
        <v>3</v>
      </c>
      <c r="U290">
        <v>2.7</v>
      </c>
      <c r="V290" t="s">
        <v>25</v>
      </c>
    </row>
    <row r="291" spans="1:22" hidden="1" x14ac:dyDescent="0.25">
      <c r="A291" t="s">
        <v>74</v>
      </c>
      <c r="B291">
        <v>1</v>
      </c>
      <c r="C291" t="s">
        <v>66</v>
      </c>
      <c r="D291" t="s">
        <v>75</v>
      </c>
      <c r="E291" t="s">
        <v>68</v>
      </c>
      <c r="F291">
        <v>180</v>
      </c>
      <c r="G291">
        <v>1080</v>
      </c>
      <c r="H291">
        <v>-3</v>
      </c>
      <c r="I291">
        <v>1982</v>
      </c>
      <c r="J291" t="s">
        <v>59</v>
      </c>
      <c r="K291">
        <v>2548</v>
      </c>
      <c r="L291">
        <v>22.23</v>
      </c>
      <c r="M291">
        <v>12.82</v>
      </c>
      <c r="N291" s="4">
        <f t="shared" si="8"/>
        <v>3.8792572649999996E-2</v>
      </c>
      <c r="O291" s="4">
        <f t="shared" si="9"/>
        <v>0.49732078137299995</v>
      </c>
      <c r="P291">
        <v>100</v>
      </c>
      <c r="Q291">
        <v>5</v>
      </c>
      <c r="R291">
        <v>4</v>
      </c>
      <c r="S291">
        <v>3</v>
      </c>
      <c r="T291">
        <v>3</v>
      </c>
      <c r="U291">
        <v>2</v>
      </c>
      <c r="V291" t="s">
        <v>25</v>
      </c>
    </row>
    <row r="292" spans="1:22" hidden="1" x14ac:dyDescent="0.25">
      <c r="A292" t="s">
        <v>74</v>
      </c>
      <c r="B292">
        <v>1</v>
      </c>
      <c r="C292" t="s">
        <v>66</v>
      </c>
      <c r="D292" t="s">
        <v>75</v>
      </c>
      <c r="E292" t="s">
        <v>68</v>
      </c>
      <c r="F292">
        <v>180</v>
      </c>
      <c r="G292">
        <v>1080</v>
      </c>
      <c r="H292">
        <v>-3</v>
      </c>
      <c r="I292">
        <v>1982</v>
      </c>
      <c r="J292" t="s">
        <v>26</v>
      </c>
      <c r="K292">
        <v>2552</v>
      </c>
      <c r="L292">
        <v>1.82</v>
      </c>
      <c r="M292">
        <v>2.4300000000000002</v>
      </c>
      <c r="N292" s="4">
        <f t="shared" si="8"/>
        <v>2.6002340000000004E-4</v>
      </c>
      <c r="O292" s="4">
        <f t="shared" si="9"/>
        <v>6.3185686200000011E-4</v>
      </c>
      <c r="P292">
        <v>13</v>
      </c>
      <c r="Q292">
        <v>1</v>
      </c>
      <c r="R292">
        <v>2.5</v>
      </c>
      <c r="S292">
        <v>3</v>
      </c>
      <c r="T292">
        <v>3</v>
      </c>
      <c r="U292">
        <v>3</v>
      </c>
      <c r="V292" t="s">
        <v>50</v>
      </c>
    </row>
    <row r="293" spans="1:22" hidden="1" x14ac:dyDescent="0.25">
      <c r="A293" t="s">
        <v>74</v>
      </c>
      <c r="B293">
        <v>1</v>
      </c>
      <c r="C293" t="s">
        <v>66</v>
      </c>
      <c r="D293" t="s">
        <v>75</v>
      </c>
      <c r="E293" t="s">
        <v>68</v>
      </c>
      <c r="F293">
        <v>180</v>
      </c>
      <c r="G293">
        <v>1080</v>
      </c>
      <c r="H293">
        <v>-3</v>
      </c>
      <c r="I293">
        <v>1982</v>
      </c>
      <c r="J293" t="s">
        <v>61</v>
      </c>
      <c r="K293">
        <v>2631</v>
      </c>
      <c r="L293">
        <v>6.97</v>
      </c>
      <c r="M293">
        <v>5.23</v>
      </c>
      <c r="N293" s="4">
        <f t="shared" si="8"/>
        <v>3.8136006499999999E-3</v>
      </c>
      <c r="O293" s="4">
        <f t="shared" si="9"/>
        <v>1.99451313995E-2</v>
      </c>
      <c r="P293">
        <v>25</v>
      </c>
      <c r="Q293">
        <v>2</v>
      </c>
      <c r="R293">
        <v>3</v>
      </c>
      <c r="S293">
        <v>2.5</v>
      </c>
      <c r="T293">
        <v>2</v>
      </c>
      <c r="U293">
        <v>3</v>
      </c>
      <c r="V293" t="s">
        <v>50</v>
      </c>
    </row>
    <row r="294" spans="1:22" hidden="1" x14ac:dyDescent="0.25">
      <c r="A294" t="s">
        <v>74</v>
      </c>
      <c r="B294">
        <v>1</v>
      </c>
      <c r="C294" t="s">
        <v>66</v>
      </c>
      <c r="D294" t="s">
        <v>75</v>
      </c>
      <c r="E294" t="s">
        <v>68</v>
      </c>
      <c r="F294">
        <v>180</v>
      </c>
      <c r="G294">
        <v>1080</v>
      </c>
      <c r="H294">
        <v>-3</v>
      </c>
      <c r="I294">
        <v>1982</v>
      </c>
      <c r="J294" t="s">
        <v>32</v>
      </c>
      <c r="K294">
        <v>1596</v>
      </c>
      <c r="L294">
        <v>12.21</v>
      </c>
      <c r="M294">
        <v>8.7200000000000006</v>
      </c>
      <c r="N294" s="4">
        <f t="shared" si="8"/>
        <v>1.1703101850000003E-2</v>
      </c>
      <c r="O294" s="4">
        <f t="shared" si="9"/>
        <v>0.10205104813200004</v>
      </c>
      <c r="P294">
        <v>75</v>
      </c>
      <c r="Q294">
        <v>3.3</v>
      </c>
      <c r="R294">
        <v>3.5</v>
      </c>
      <c r="S294">
        <v>3</v>
      </c>
      <c r="T294">
        <v>4</v>
      </c>
      <c r="U294">
        <v>3.5</v>
      </c>
      <c r="V294" t="s">
        <v>25</v>
      </c>
    </row>
    <row r="295" spans="1:22" hidden="1" x14ac:dyDescent="0.25">
      <c r="A295" t="s">
        <v>74</v>
      </c>
      <c r="B295">
        <v>1</v>
      </c>
      <c r="C295" t="s">
        <v>66</v>
      </c>
      <c r="D295" t="s">
        <v>75</v>
      </c>
      <c r="E295" t="s">
        <v>68</v>
      </c>
      <c r="F295">
        <v>180</v>
      </c>
      <c r="G295">
        <v>1080</v>
      </c>
      <c r="H295">
        <v>-3</v>
      </c>
      <c r="I295">
        <v>1982</v>
      </c>
      <c r="J295" t="s">
        <v>32</v>
      </c>
      <c r="K295">
        <v>2634</v>
      </c>
      <c r="L295">
        <v>6.6</v>
      </c>
      <c r="M295">
        <v>8.1</v>
      </c>
      <c r="N295" s="4">
        <f t="shared" si="8"/>
        <v>3.4194600000000005E-3</v>
      </c>
      <c r="O295" s="4">
        <f t="shared" si="9"/>
        <v>2.7697626000000003E-2</v>
      </c>
      <c r="P295">
        <v>50</v>
      </c>
      <c r="Q295">
        <v>2.8</v>
      </c>
      <c r="R295">
        <v>4</v>
      </c>
      <c r="S295">
        <v>3</v>
      </c>
      <c r="T295">
        <v>4</v>
      </c>
      <c r="U295">
        <v>3.5</v>
      </c>
      <c r="V295" t="s">
        <v>38</v>
      </c>
    </row>
    <row r="296" spans="1:22" hidden="1" x14ac:dyDescent="0.25">
      <c r="A296" t="s">
        <v>74</v>
      </c>
      <c r="B296">
        <v>1</v>
      </c>
      <c r="C296" t="s">
        <v>66</v>
      </c>
      <c r="D296" t="s">
        <v>75</v>
      </c>
      <c r="E296" t="s">
        <v>68</v>
      </c>
      <c r="F296">
        <v>180</v>
      </c>
      <c r="G296">
        <v>1080</v>
      </c>
      <c r="H296">
        <v>-3</v>
      </c>
      <c r="I296">
        <v>1982</v>
      </c>
      <c r="J296" t="s">
        <v>32</v>
      </c>
      <c r="K296">
        <v>2635</v>
      </c>
      <c r="L296">
        <v>7.48</v>
      </c>
      <c r="M296">
        <v>3.74</v>
      </c>
      <c r="N296" s="4">
        <f t="shared" si="8"/>
        <v>4.3921064000000008E-3</v>
      </c>
      <c r="O296" s="4">
        <f t="shared" si="9"/>
        <v>1.6426477936000005E-2</v>
      </c>
      <c r="P296">
        <v>25</v>
      </c>
      <c r="Q296">
        <v>3</v>
      </c>
      <c r="R296">
        <v>3.5</v>
      </c>
      <c r="S296">
        <v>3</v>
      </c>
      <c r="T296">
        <v>4</v>
      </c>
      <c r="U296">
        <v>3.5</v>
      </c>
      <c r="V296" t="s">
        <v>30</v>
      </c>
    </row>
    <row r="297" spans="1:22" hidden="1" x14ac:dyDescent="0.25">
      <c r="A297" t="s">
        <v>74</v>
      </c>
      <c r="B297">
        <v>1</v>
      </c>
      <c r="C297" t="s">
        <v>66</v>
      </c>
      <c r="D297" t="s">
        <v>75</v>
      </c>
      <c r="E297" t="s">
        <v>68</v>
      </c>
      <c r="F297">
        <v>180</v>
      </c>
      <c r="G297">
        <v>1080</v>
      </c>
      <c r="H297">
        <v>-3</v>
      </c>
      <c r="I297">
        <v>1982</v>
      </c>
      <c r="J297" t="s">
        <v>35</v>
      </c>
      <c r="K297">
        <v>1259</v>
      </c>
      <c r="L297">
        <v>9.65</v>
      </c>
      <c r="M297">
        <v>8.01</v>
      </c>
      <c r="N297" s="4">
        <f t="shared" si="8"/>
        <v>7.3101162500000009E-3</v>
      </c>
      <c r="O297" s="4">
        <f t="shared" si="9"/>
        <v>5.8554031162500006E-2</v>
      </c>
      <c r="P297">
        <v>100</v>
      </c>
      <c r="Q297">
        <v>3</v>
      </c>
      <c r="R297">
        <v>2</v>
      </c>
      <c r="S297">
        <v>3</v>
      </c>
      <c r="T297">
        <v>3.5</v>
      </c>
      <c r="U297">
        <v>3</v>
      </c>
      <c r="V297" t="s">
        <v>38</v>
      </c>
    </row>
    <row r="298" spans="1:22" hidden="1" x14ac:dyDescent="0.25">
      <c r="A298" t="s">
        <v>74</v>
      </c>
      <c r="B298">
        <v>1</v>
      </c>
      <c r="C298" t="s">
        <v>66</v>
      </c>
      <c r="D298" t="s">
        <v>75</v>
      </c>
      <c r="E298" t="s">
        <v>68</v>
      </c>
      <c r="F298">
        <v>180</v>
      </c>
      <c r="G298">
        <v>1080</v>
      </c>
      <c r="H298">
        <v>-3</v>
      </c>
      <c r="I298">
        <v>1982</v>
      </c>
      <c r="J298" t="s">
        <v>35</v>
      </c>
      <c r="K298">
        <v>1785</v>
      </c>
      <c r="L298">
        <v>3.53</v>
      </c>
      <c r="M298">
        <v>3.3</v>
      </c>
      <c r="N298" s="4">
        <f t="shared" si="8"/>
        <v>9.7818064999999994E-4</v>
      </c>
      <c r="O298" s="4">
        <f t="shared" si="9"/>
        <v>3.2279961449999998E-3</v>
      </c>
      <c r="P298">
        <v>75</v>
      </c>
      <c r="Q298">
        <v>1.8</v>
      </c>
      <c r="R298">
        <v>2</v>
      </c>
      <c r="S298">
        <v>2.5</v>
      </c>
      <c r="T298">
        <v>3</v>
      </c>
      <c r="U298">
        <v>3</v>
      </c>
      <c r="V298" t="s">
        <v>30</v>
      </c>
    </row>
    <row r="299" spans="1:22" hidden="1" x14ac:dyDescent="0.25">
      <c r="A299" t="s">
        <v>74</v>
      </c>
      <c r="B299">
        <v>1</v>
      </c>
      <c r="C299" t="s">
        <v>66</v>
      </c>
      <c r="D299" t="s">
        <v>75</v>
      </c>
      <c r="E299" t="s">
        <v>68</v>
      </c>
      <c r="F299">
        <v>180</v>
      </c>
      <c r="G299">
        <v>1080</v>
      </c>
      <c r="H299">
        <v>-3</v>
      </c>
      <c r="I299">
        <v>1982</v>
      </c>
      <c r="J299" t="s">
        <v>36</v>
      </c>
      <c r="K299">
        <v>2573</v>
      </c>
      <c r="L299">
        <v>15.02</v>
      </c>
      <c r="M299">
        <v>8.0399999999999991</v>
      </c>
      <c r="N299" s="4">
        <f t="shared" si="8"/>
        <v>1.7709631400000002E-2</v>
      </c>
      <c r="O299" s="4">
        <f t="shared" si="9"/>
        <v>0.14238543645599999</v>
      </c>
      <c r="P299">
        <v>75</v>
      </c>
      <c r="Q299">
        <v>3</v>
      </c>
      <c r="R299">
        <v>4</v>
      </c>
      <c r="S299">
        <v>3</v>
      </c>
      <c r="T299">
        <v>3.2</v>
      </c>
      <c r="U299">
        <v>2.5</v>
      </c>
      <c r="V299" t="s">
        <v>38</v>
      </c>
    </row>
    <row r="300" spans="1:22" hidden="1" x14ac:dyDescent="0.25">
      <c r="A300" t="s">
        <v>74</v>
      </c>
      <c r="B300">
        <v>1</v>
      </c>
      <c r="C300" t="s">
        <v>66</v>
      </c>
      <c r="D300" t="s">
        <v>75</v>
      </c>
      <c r="E300" t="s">
        <v>68</v>
      </c>
      <c r="F300">
        <v>180</v>
      </c>
      <c r="G300">
        <v>1080</v>
      </c>
      <c r="H300">
        <v>-3</v>
      </c>
      <c r="I300">
        <v>1982</v>
      </c>
      <c r="J300" t="s">
        <v>62</v>
      </c>
      <c r="K300">
        <v>2550</v>
      </c>
      <c r="L300">
        <v>11.27</v>
      </c>
      <c r="M300">
        <v>7.14</v>
      </c>
      <c r="N300" s="4">
        <f t="shared" si="8"/>
        <v>9.9705126499999991E-3</v>
      </c>
      <c r="O300" s="4">
        <f t="shared" si="9"/>
        <v>7.1189460320999987E-2</v>
      </c>
      <c r="P300">
        <v>75</v>
      </c>
      <c r="Q300">
        <v>2.5</v>
      </c>
      <c r="R300">
        <v>3</v>
      </c>
      <c r="S300">
        <v>3</v>
      </c>
      <c r="T300">
        <v>4</v>
      </c>
      <c r="U300">
        <v>3</v>
      </c>
      <c r="V300" t="s">
        <v>38</v>
      </c>
    </row>
    <row r="301" spans="1:22" hidden="1" x14ac:dyDescent="0.25">
      <c r="A301" t="s">
        <v>74</v>
      </c>
      <c r="B301">
        <v>1</v>
      </c>
      <c r="C301" t="s">
        <v>66</v>
      </c>
      <c r="D301" t="s">
        <v>75</v>
      </c>
      <c r="E301" t="s">
        <v>68</v>
      </c>
      <c r="F301">
        <v>180</v>
      </c>
      <c r="G301">
        <v>1080</v>
      </c>
      <c r="H301">
        <v>-3</v>
      </c>
      <c r="I301">
        <v>1982</v>
      </c>
      <c r="J301" t="s">
        <v>37</v>
      </c>
      <c r="K301">
        <v>2575</v>
      </c>
      <c r="L301">
        <v>2.72</v>
      </c>
      <c r="M301">
        <v>3.43</v>
      </c>
      <c r="N301" s="4">
        <f t="shared" si="8"/>
        <v>5.8077440000000008E-4</v>
      </c>
      <c r="O301" s="4">
        <f t="shared" si="9"/>
        <v>1.9920561920000004E-3</v>
      </c>
      <c r="P301">
        <v>50</v>
      </c>
      <c r="Q301">
        <v>1</v>
      </c>
      <c r="R301">
        <v>1</v>
      </c>
      <c r="S301">
        <v>2</v>
      </c>
      <c r="T301">
        <v>2</v>
      </c>
      <c r="U301">
        <v>3</v>
      </c>
      <c r="V301" t="s">
        <v>50</v>
      </c>
    </row>
    <row r="302" spans="1:22" hidden="1" x14ac:dyDescent="0.25">
      <c r="A302" t="s">
        <v>74</v>
      </c>
      <c r="B302">
        <v>1</v>
      </c>
      <c r="C302" t="s">
        <v>66</v>
      </c>
      <c r="D302" t="s">
        <v>75</v>
      </c>
      <c r="E302" t="s">
        <v>68</v>
      </c>
      <c r="F302">
        <v>180</v>
      </c>
      <c r="G302">
        <v>1080</v>
      </c>
      <c r="H302">
        <v>-3</v>
      </c>
      <c r="I302">
        <v>1982</v>
      </c>
      <c r="J302" t="s">
        <v>63</v>
      </c>
      <c r="K302">
        <v>1340</v>
      </c>
      <c r="L302">
        <v>2.1</v>
      </c>
      <c r="M302">
        <v>3.38</v>
      </c>
      <c r="N302" s="4">
        <f t="shared" si="8"/>
        <v>3.4618500000000005E-4</v>
      </c>
      <c r="O302" s="4">
        <f t="shared" si="9"/>
        <v>1.1701053000000002E-3</v>
      </c>
      <c r="P302">
        <v>50</v>
      </c>
      <c r="Q302">
        <v>1</v>
      </c>
      <c r="R302">
        <v>1</v>
      </c>
      <c r="S302">
        <v>3</v>
      </c>
      <c r="T302">
        <v>3</v>
      </c>
      <c r="U302">
        <v>3</v>
      </c>
      <c r="V302" t="s">
        <v>50</v>
      </c>
    </row>
    <row r="303" spans="1:22" hidden="1" x14ac:dyDescent="0.25">
      <c r="A303" t="s">
        <v>74</v>
      </c>
      <c r="B303">
        <v>2</v>
      </c>
      <c r="C303" t="s">
        <v>66</v>
      </c>
      <c r="D303" t="s">
        <v>75</v>
      </c>
      <c r="E303" t="s">
        <v>68</v>
      </c>
      <c r="F303">
        <v>180</v>
      </c>
      <c r="G303">
        <v>1080</v>
      </c>
      <c r="H303">
        <v>-3</v>
      </c>
      <c r="I303">
        <v>1982</v>
      </c>
      <c r="J303" t="s">
        <v>76</v>
      </c>
      <c r="K303">
        <v>1592</v>
      </c>
      <c r="L303">
        <v>7.5</v>
      </c>
      <c r="M303">
        <v>8.08</v>
      </c>
      <c r="N303" s="4">
        <f t="shared" si="8"/>
        <v>4.4156250000000003E-3</v>
      </c>
      <c r="O303" s="4">
        <f t="shared" si="9"/>
        <v>3.5678250000000002E-2</v>
      </c>
      <c r="P303">
        <v>25</v>
      </c>
      <c r="Q303">
        <v>2</v>
      </c>
      <c r="R303">
        <v>3</v>
      </c>
      <c r="S303">
        <v>3</v>
      </c>
      <c r="T303">
        <v>4</v>
      </c>
      <c r="U303">
        <v>4</v>
      </c>
      <c r="V303" t="s">
        <v>38</v>
      </c>
    </row>
    <row r="304" spans="1:22" hidden="1" x14ac:dyDescent="0.25">
      <c r="A304" t="s">
        <v>74</v>
      </c>
      <c r="B304">
        <v>2</v>
      </c>
      <c r="C304" t="s">
        <v>66</v>
      </c>
      <c r="D304" t="s">
        <v>75</v>
      </c>
      <c r="E304" t="s">
        <v>68</v>
      </c>
      <c r="F304">
        <v>180</v>
      </c>
      <c r="G304">
        <v>1080</v>
      </c>
      <c r="H304">
        <v>-3</v>
      </c>
      <c r="I304">
        <v>1982</v>
      </c>
      <c r="J304" t="s">
        <v>76</v>
      </c>
      <c r="K304">
        <v>2560</v>
      </c>
      <c r="L304">
        <v>4.3899999999999997</v>
      </c>
      <c r="M304">
        <v>5.19</v>
      </c>
      <c r="N304" s="4">
        <f t="shared" si="8"/>
        <v>1.5128598499999997E-3</v>
      </c>
      <c r="O304" s="4">
        <f t="shared" si="9"/>
        <v>7.8517426214999991E-3</v>
      </c>
      <c r="P304">
        <v>50</v>
      </c>
      <c r="Q304">
        <v>2.5</v>
      </c>
      <c r="R304">
        <v>3.5</v>
      </c>
      <c r="S304">
        <v>3</v>
      </c>
      <c r="T304">
        <v>4.5</v>
      </c>
      <c r="U304">
        <v>4</v>
      </c>
      <c r="V304" t="s">
        <v>38</v>
      </c>
    </row>
    <row r="305" spans="1:22" hidden="1" x14ac:dyDescent="0.25">
      <c r="A305" t="s">
        <v>74</v>
      </c>
      <c r="B305">
        <v>2</v>
      </c>
      <c r="C305" t="s">
        <v>66</v>
      </c>
      <c r="D305" t="s">
        <v>75</v>
      </c>
      <c r="E305" t="s">
        <v>68</v>
      </c>
      <c r="F305">
        <v>180</v>
      </c>
      <c r="G305">
        <v>1080</v>
      </c>
      <c r="H305">
        <v>-3</v>
      </c>
      <c r="I305">
        <v>1982</v>
      </c>
      <c r="J305" t="s">
        <v>56</v>
      </c>
      <c r="K305">
        <v>1111</v>
      </c>
      <c r="L305">
        <v>12.26</v>
      </c>
      <c r="M305">
        <v>6.81</v>
      </c>
      <c r="N305" s="4">
        <f t="shared" si="8"/>
        <v>1.1799146600000001E-2</v>
      </c>
      <c r="O305" s="4">
        <f t="shared" si="9"/>
        <v>8.0352188345999997E-2</v>
      </c>
      <c r="P305">
        <v>71</v>
      </c>
      <c r="Q305">
        <v>4.2</v>
      </c>
      <c r="R305">
        <v>3</v>
      </c>
      <c r="S305">
        <v>3</v>
      </c>
      <c r="T305">
        <v>2</v>
      </c>
      <c r="U305">
        <v>2</v>
      </c>
      <c r="V305" t="s">
        <v>38</v>
      </c>
    </row>
    <row r="306" spans="1:22" hidden="1" x14ac:dyDescent="0.25">
      <c r="A306" t="s">
        <v>74</v>
      </c>
      <c r="B306">
        <v>2</v>
      </c>
      <c r="C306" t="s">
        <v>66</v>
      </c>
      <c r="D306" t="s">
        <v>75</v>
      </c>
      <c r="E306" t="s">
        <v>68</v>
      </c>
      <c r="F306">
        <v>180</v>
      </c>
      <c r="G306">
        <v>1080</v>
      </c>
      <c r="H306">
        <v>-3</v>
      </c>
      <c r="I306">
        <v>1982</v>
      </c>
      <c r="J306" t="s">
        <v>57</v>
      </c>
      <c r="K306">
        <v>2620</v>
      </c>
      <c r="L306">
        <v>3.54</v>
      </c>
      <c r="M306">
        <v>3.43</v>
      </c>
      <c r="N306" s="4">
        <f t="shared" si="8"/>
        <v>9.8373060000000014E-4</v>
      </c>
      <c r="O306" s="4">
        <f t="shared" si="9"/>
        <v>3.3741959580000005E-3</v>
      </c>
      <c r="P306">
        <v>100</v>
      </c>
      <c r="Q306">
        <v>2.5</v>
      </c>
      <c r="R306">
        <v>2</v>
      </c>
      <c r="S306">
        <v>3.3</v>
      </c>
      <c r="T306">
        <v>3.3</v>
      </c>
      <c r="U306">
        <v>3.3</v>
      </c>
      <c r="V306" t="s">
        <v>30</v>
      </c>
    </row>
    <row r="307" spans="1:22" hidden="1" x14ac:dyDescent="0.25">
      <c r="A307" t="s">
        <v>74</v>
      </c>
      <c r="B307">
        <v>2</v>
      </c>
      <c r="C307" t="s">
        <v>66</v>
      </c>
      <c r="D307" t="s">
        <v>75</v>
      </c>
      <c r="E307" t="s">
        <v>68</v>
      </c>
      <c r="F307">
        <v>180</v>
      </c>
      <c r="G307">
        <v>1080</v>
      </c>
      <c r="H307">
        <v>-3</v>
      </c>
      <c r="I307">
        <v>1982</v>
      </c>
      <c r="J307" t="s">
        <v>57</v>
      </c>
      <c r="K307">
        <v>2621</v>
      </c>
      <c r="L307">
        <v>3.09</v>
      </c>
      <c r="M307">
        <v>2.63</v>
      </c>
      <c r="N307" s="4">
        <f t="shared" si="8"/>
        <v>7.4952584999999987E-4</v>
      </c>
      <c r="O307" s="4">
        <f t="shared" si="9"/>
        <v>1.9712529854999995E-3</v>
      </c>
      <c r="P307">
        <v>75</v>
      </c>
      <c r="Q307">
        <v>2.5</v>
      </c>
      <c r="R307">
        <v>2</v>
      </c>
      <c r="S307">
        <v>3.3</v>
      </c>
      <c r="T307">
        <v>3.3</v>
      </c>
      <c r="U307">
        <v>3.3</v>
      </c>
      <c r="V307" t="s">
        <v>30</v>
      </c>
    </row>
    <row r="308" spans="1:22" hidden="1" x14ac:dyDescent="0.25">
      <c r="A308" t="s">
        <v>74</v>
      </c>
      <c r="B308">
        <v>2</v>
      </c>
      <c r="C308" t="s">
        <v>66</v>
      </c>
      <c r="D308" t="s">
        <v>75</v>
      </c>
      <c r="E308" t="s">
        <v>68</v>
      </c>
      <c r="F308">
        <v>180</v>
      </c>
      <c r="G308">
        <v>1080</v>
      </c>
      <c r="H308">
        <v>-3</v>
      </c>
      <c r="I308">
        <v>1982</v>
      </c>
      <c r="J308" t="s">
        <v>59</v>
      </c>
      <c r="K308">
        <v>2548</v>
      </c>
      <c r="L308">
        <v>5.5</v>
      </c>
      <c r="M308">
        <v>4.8899999999999997</v>
      </c>
      <c r="N308" s="4">
        <f t="shared" si="8"/>
        <v>2.374625E-3</v>
      </c>
      <c r="O308" s="4">
        <f t="shared" si="9"/>
        <v>1.161191625E-2</v>
      </c>
      <c r="P308">
        <v>25</v>
      </c>
      <c r="Q308">
        <v>1.5</v>
      </c>
      <c r="R308">
        <v>3</v>
      </c>
      <c r="S308">
        <v>3</v>
      </c>
      <c r="T308">
        <v>3</v>
      </c>
      <c r="U308">
        <v>3</v>
      </c>
      <c r="V308" t="s">
        <v>30</v>
      </c>
    </row>
    <row r="309" spans="1:22" hidden="1" x14ac:dyDescent="0.25">
      <c r="A309" t="s">
        <v>74</v>
      </c>
      <c r="B309">
        <v>2</v>
      </c>
      <c r="C309" t="s">
        <v>66</v>
      </c>
      <c r="D309" t="s">
        <v>75</v>
      </c>
      <c r="E309" t="s">
        <v>68</v>
      </c>
      <c r="F309">
        <v>180</v>
      </c>
      <c r="G309">
        <v>1080</v>
      </c>
      <c r="H309">
        <v>-3</v>
      </c>
      <c r="I309">
        <v>1982</v>
      </c>
      <c r="J309" t="s">
        <v>61</v>
      </c>
      <c r="K309">
        <v>1171</v>
      </c>
      <c r="L309">
        <v>6.97</v>
      </c>
      <c r="M309">
        <v>8.9499999999999993</v>
      </c>
      <c r="N309" s="4">
        <f t="shared" si="8"/>
        <v>3.8136006499999999E-3</v>
      </c>
      <c r="O309" s="4">
        <f t="shared" si="9"/>
        <v>3.4131725817499993E-2</v>
      </c>
      <c r="P309">
        <v>75</v>
      </c>
      <c r="Q309">
        <v>2</v>
      </c>
      <c r="R309">
        <v>2</v>
      </c>
      <c r="S309">
        <v>3</v>
      </c>
      <c r="T309">
        <v>3</v>
      </c>
      <c r="U309">
        <v>3</v>
      </c>
      <c r="V309" t="s">
        <v>30</v>
      </c>
    </row>
    <row r="310" spans="1:22" hidden="1" x14ac:dyDescent="0.25">
      <c r="A310" t="s">
        <v>74</v>
      </c>
      <c r="B310">
        <v>2</v>
      </c>
      <c r="C310" t="s">
        <v>66</v>
      </c>
      <c r="D310" t="s">
        <v>75</v>
      </c>
      <c r="E310" t="s">
        <v>68</v>
      </c>
      <c r="F310">
        <v>180</v>
      </c>
      <c r="G310">
        <v>1080</v>
      </c>
      <c r="H310">
        <v>-3</v>
      </c>
      <c r="I310">
        <v>1982</v>
      </c>
      <c r="J310" t="s">
        <v>32</v>
      </c>
      <c r="K310">
        <v>1596</v>
      </c>
      <c r="L310">
        <v>5.73</v>
      </c>
      <c r="M310">
        <v>4.9800000000000004</v>
      </c>
      <c r="N310" s="4">
        <f t="shared" si="8"/>
        <v>2.5773826500000005E-3</v>
      </c>
      <c r="O310" s="4">
        <f t="shared" si="9"/>
        <v>1.2835365597000003E-2</v>
      </c>
      <c r="P310">
        <v>75</v>
      </c>
      <c r="Q310">
        <v>2.7</v>
      </c>
      <c r="R310">
        <v>3</v>
      </c>
      <c r="S310">
        <v>3</v>
      </c>
      <c r="T310">
        <v>4</v>
      </c>
      <c r="U310">
        <v>3</v>
      </c>
      <c r="V310" t="s">
        <v>30</v>
      </c>
    </row>
    <row r="311" spans="1:22" hidden="1" x14ac:dyDescent="0.25">
      <c r="A311" t="s">
        <v>74</v>
      </c>
      <c r="B311">
        <v>2</v>
      </c>
      <c r="C311" t="s">
        <v>66</v>
      </c>
      <c r="D311" t="s">
        <v>75</v>
      </c>
      <c r="E311" t="s">
        <v>68</v>
      </c>
      <c r="F311">
        <v>180</v>
      </c>
      <c r="G311">
        <v>1080</v>
      </c>
      <c r="H311">
        <v>-3</v>
      </c>
      <c r="I311">
        <v>1982</v>
      </c>
      <c r="J311" t="s">
        <v>32</v>
      </c>
      <c r="K311">
        <v>2569</v>
      </c>
      <c r="L311">
        <v>19.440000000000001</v>
      </c>
      <c r="M311">
        <v>15.38</v>
      </c>
      <c r="N311" s="4">
        <f t="shared" si="8"/>
        <v>2.966621760000001E-2</v>
      </c>
      <c r="O311" s="4">
        <f t="shared" si="9"/>
        <v>0.45626642668800016</v>
      </c>
      <c r="P311">
        <v>75</v>
      </c>
      <c r="Q311">
        <v>4.5</v>
      </c>
      <c r="R311">
        <v>3.5</v>
      </c>
      <c r="S311">
        <v>3.5</v>
      </c>
      <c r="T311">
        <v>4</v>
      </c>
      <c r="U311">
        <v>3</v>
      </c>
      <c r="V311" t="s">
        <v>27</v>
      </c>
    </row>
    <row r="312" spans="1:22" hidden="1" x14ac:dyDescent="0.25">
      <c r="A312" t="s">
        <v>74</v>
      </c>
      <c r="B312">
        <v>2</v>
      </c>
      <c r="C312" t="s">
        <v>66</v>
      </c>
      <c r="D312" t="s">
        <v>75</v>
      </c>
      <c r="E312" t="s">
        <v>68</v>
      </c>
      <c r="F312">
        <v>180</v>
      </c>
      <c r="G312">
        <v>1080</v>
      </c>
      <c r="H312">
        <v>-3</v>
      </c>
      <c r="I312">
        <v>1982</v>
      </c>
      <c r="J312" t="s">
        <v>32</v>
      </c>
      <c r="K312">
        <v>2634</v>
      </c>
      <c r="L312">
        <v>10.97</v>
      </c>
      <c r="M312">
        <v>9.9700000000000006</v>
      </c>
      <c r="N312" s="4">
        <f t="shared" si="8"/>
        <v>9.4467606500000002E-3</v>
      </c>
      <c r="O312" s="4">
        <f t="shared" si="9"/>
        <v>9.4184203680500012E-2</v>
      </c>
      <c r="P312">
        <v>75</v>
      </c>
      <c r="Q312">
        <v>3.5</v>
      </c>
      <c r="R312">
        <v>3</v>
      </c>
      <c r="S312">
        <v>3.2</v>
      </c>
      <c r="T312">
        <v>4</v>
      </c>
      <c r="U312">
        <v>3</v>
      </c>
      <c r="V312" t="s">
        <v>25</v>
      </c>
    </row>
    <row r="313" spans="1:22" hidden="1" x14ac:dyDescent="0.25">
      <c r="A313" t="s">
        <v>74</v>
      </c>
      <c r="B313">
        <v>2</v>
      </c>
      <c r="C313" t="s">
        <v>66</v>
      </c>
      <c r="D313" t="s">
        <v>75</v>
      </c>
      <c r="E313" t="s">
        <v>68</v>
      </c>
      <c r="F313">
        <v>180</v>
      </c>
      <c r="G313">
        <v>1080</v>
      </c>
      <c r="H313">
        <v>-3</v>
      </c>
      <c r="I313">
        <v>1982</v>
      </c>
      <c r="J313" t="s">
        <v>32</v>
      </c>
      <c r="K313">
        <v>2635</v>
      </c>
      <c r="L313">
        <v>5.86</v>
      </c>
      <c r="M313">
        <v>4.3600000000000003</v>
      </c>
      <c r="N313" s="4">
        <f t="shared" si="8"/>
        <v>2.6956586000000007E-3</v>
      </c>
      <c r="O313" s="4">
        <f t="shared" si="9"/>
        <v>1.1753071496000004E-2</v>
      </c>
      <c r="P313">
        <v>75</v>
      </c>
      <c r="Q313">
        <v>3</v>
      </c>
      <c r="R313">
        <v>3</v>
      </c>
      <c r="S313">
        <v>3</v>
      </c>
      <c r="T313">
        <v>4</v>
      </c>
      <c r="U313">
        <v>3</v>
      </c>
      <c r="V313" t="s">
        <v>38</v>
      </c>
    </row>
    <row r="314" spans="1:22" hidden="1" x14ac:dyDescent="0.25">
      <c r="A314" t="s">
        <v>74</v>
      </c>
      <c r="B314">
        <v>2</v>
      </c>
      <c r="C314" t="s">
        <v>66</v>
      </c>
      <c r="D314" t="s">
        <v>75</v>
      </c>
      <c r="E314" t="s">
        <v>68</v>
      </c>
      <c r="F314">
        <v>180</v>
      </c>
      <c r="G314">
        <v>1080</v>
      </c>
      <c r="H314">
        <v>-3</v>
      </c>
      <c r="I314">
        <v>1982</v>
      </c>
      <c r="J314" t="s">
        <v>62</v>
      </c>
      <c r="K314">
        <v>2550</v>
      </c>
      <c r="L314">
        <v>17.600000000000001</v>
      </c>
      <c r="M314">
        <v>14.08</v>
      </c>
      <c r="N314" s="4">
        <f t="shared" si="8"/>
        <v>2.4316160000000007E-2</v>
      </c>
      <c r="O314" s="4">
        <f t="shared" si="9"/>
        <v>0.3423715328000001</v>
      </c>
      <c r="P314">
        <v>50</v>
      </c>
      <c r="Q314">
        <v>5</v>
      </c>
      <c r="R314">
        <v>3.5</v>
      </c>
      <c r="S314">
        <v>4</v>
      </c>
      <c r="T314">
        <v>4</v>
      </c>
      <c r="U314">
        <v>3.5</v>
      </c>
      <c r="V314" t="s">
        <v>27</v>
      </c>
    </row>
    <row r="315" spans="1:22" hidden="1" x14ac:dyDescent="0.25">
      <c r="A315" t="s">
        <v>74</v>
      </c>
      <c r="B315">
        <v>2</v>
      </c>
      <c r="C315" t="s">
        <v>66</v>
      </c>
      <c r="D315" t="s">
        <v>75</v>
      </c>
      <c r="E315" t="s">
        <v>68</v>
      </c>
      <c r="F315">
        <v>180</v>
      </c>
      <c r="G315">
        <v>1080</v>
      </c>
      <c r="H315">
        <v>-3</v>
      </c>
      <c r="I315">
        <v>1982</v>
      </c>
      <c r="J315" t="s">
        <v>62</v>
      </c>
      <c r="K315">
        <v>2553</v>
      </c>
      <c r="L315">
        <v>6.34</v>
      </c>
      <c r="M315">
        <v>6.45</v>
      </c>
      <c r="N315" s="4">
        <f t="shared" si="8"/>
        <v>3.1553546000000002E-3</v>
      </c>
      <c r="O315" s="4">
        <f t="shared" si="9"/>
        <v>2.035203717E-2</v>
      </c>
      <c r="P315">
        <v>50</v>
      </c>
      <c r="Q315">
        <v>3</v>
      </c>
      <c r="R315">
        <v>3</v>
      </c>
      <c r="S315">
        <v>4</v>
      </c>
      <c r="T315">
        <v>4</v>
      </c>
      <c r="U315">
        <v>4</v>
      </c>
      <c r="V315" t="s">
        <v>38</v>
      </c>
    </row>
    <row r="316" spans="1:22" hidden="1" x14ac:dyDescent="0.25">
      <c r="A316" t="s">
        <v>74</v>
      </c>
      <c r="B316">
        <v>2</v>
      </c>
      <c r="C316" t="s">
        <v>66</v>
      </c>
      <c r="D316" t="s">
        <v>75</v>
      </c>
      <c r="E316" t="s">
        <v>68</v>
      </c>
      <c r="F316">
        <v>180</v>
      </c>
      <c r="G316">
        <v>1080</v>
      </c>
      <c r="H316">
        <v>-3</v>
      </c>
      <c r="I316">
        <v>1982</v>
      </c>
      <c r="J316" t="s">
        <v>62</v>
      </c>
      <c r="K316">
        <v>2574</v>
      </c>
      <c r="L316">
        <v>1.17</v>
      </c>
      <c r="M316">
        <v>2.34</v>
      </c>
      <c r="N316" s="4">
        <f t="shared" si="8"/>
        <v>1.0745864999999998E-4</v>
      </c>
      <c r="O316" s="4">
        <f t="shared" si="9"/>
        <v>2.5145324099999991E-4</v>
      </c>
      <c r="P316">
        <v>25</v>
      </c>
      <c r="Q316">
        <v>1</v>
      </c>
      <c r="R316">
        <v>3</v>
      </c>
      <c r="S316">
        <v>3</v>
      </c>
      <c r="T316">
        <v>3</v>
      </c>
      <c r="U316">
        <v>3</v>
      </c>
      <c r="V316" t="s">
        <v>50</v>
      </c>
    </row>
    <row r="317" spans="1:22" hidden="1" x14ac:dyDescent="0.25">
      <c r="A317" t="s">
        <v>74</v>
      </c>
      <c r="B317">
        <v>2</v>
      </c>
      <c r="C317" t="s">
        <v>66</v>
      </c>
      <c r="D317" t="s">
        <v>75</v>
      </c>
      <c r="E317" t="s">
        <v>68</v>
      </c>
      <c r="F317">
        <v>180</v>
      </c>
      <c r="G317">
        <v>1080</v>
      </c>
      <c r="H317">
        <v>-3</v>
      </c>
      <c r="I317">
        <v>1982</v>
      </c>
      <c r="J317" t="s">
        <v>37</v>
      </c>
      <c r="K317">
        <v>2575</v>
      </c>
      <c r="L317">
        <v>6.97</v>
      </c>
      <c r="M317">
        <v>5.32</v>
      </c>
      <c r="N317" s="4">
        <f t="shared" si="8"/>
        <v>3.8136006499999999E-3</v>
      </c>
      <c r="O317" s="4">
        <f t="shared" si="9"/>
        <v>2.0288355458E-2</v>
      </c>
      <c r="P317">
        <v>50</v>
      </c>
      <c r="Q317">
        <v>2</v>
      </c>
      <c r="R317">
        <v>3.5</v>
      </c>
      <c r="S317">
        <v>2</v>
      </c>
      <c r="T317">
        <v>3</v>
      </c>
      <c r="U317">
        <v>3</v>
      </c>
      <c r="V317" t="s">
        <v>50</v>
      </c>
    </row>
    <row r="318" spans="1:22" hidden="1" x14ac:dyDescent="0.25">
      <c r="A318" t="s">
        <v>74</v>
      </c>
      <c r="B318">
        <v>2</v>
      </c>
      <c r="C318" t="s">
        <v>66</v>
      </c>
      <c r="D318" t="s">
        <v>75</v>
      </c>
      <c r="E318" t="s">
        <v>68</v>
      </c>
      <c r="F318">
        <v>180</v>
      </c>
      <c r="G318">
        <v>1080</v>
      </c>
      <c r="H318">
        <v>-3</v>
      </c>
      <c r="I318">
        <v>1982</v>
      </c>
      <c r="J318" t="s">
        <v>63</v>
      </c>
      <c r="K318">
        <v>1340</v>
      </c>
      <c r="L318">
        <v>2.1</v>
      </c>
      <c r="M318">
        <v>3.85</v>
      </c>
      <c r="N318" s="4">
        <f t="shared" si="8"/>
        <v>3.4618500000000005E-4</v>
      </c>
      <c r="O318" s="4">
        <f t="shared" si="9"/>
        <v>1.3328122500000001E-3</v>
      </c>
      <c r="P318">
        <v>25</v>
      </c>
      <c r="Q318">
        <v>1</v>
      </c>
      <c r="R318">
        <v>2</v>
      </c>
      <c r="S318">
        <v>3</v>
      </c>
      <c r="T318">
        <v>3</v>
      </c>
      <c r="U318">
        <v>3</v>
      </c>
      <c r="V318" t="s">
        <v>50</v>
      </c>
    </row>
    <row r="319" spans="1:22" hidden="1" x14ac:dyDescent="0.25">
      <c r="A319" t="s">
        <v>74</v>
      </c>
      <c r="B319">
        <v>3</v>
      </c>
      <c r="C319" t="s">
        <v>66</v>
      </c>
      <c r="D319" t="s">
        <v>75</v>
      </c>
      <c r="E319" t="s">
        <v>68</v>
      </c>
      <c r="F319">
        <v>180</v>
      </c>
      <c r="G319">
        <v>1080</v>
      </c>
      <c r="H319">
        <v>-3</v>
      </c>
      <c r="I319">
        <v>1982</v>
      </c>
      <c r="J319" t="s">
        <v>76</v>
      </c>
      <c r="K319">
        <v>1592</v>
      </c>
      <c r="L319">
        <v>11.77</v>
      </c>
      <c r="M319">
        <v>8.08</v>
      </c>
      <c r="N319" s="4">
        <f t="shared" si="8"/>
        <v>1.0874832649999999E-2</v>
      </c>
      <c r="O319" s="4">
        <f t="shared" si="9"/>
        <v>8.7868647811999989E-2</v>
      </c>
      <c r="P319">
        <v>75</v>
      </c>
      <c r="Q319">
        <v>3</v>
      </c>
      <c r="R319">
        <v>4</v>
      </c>
      <c r="S319">
        <v>3</v>
      </c>
      <c r="T319">
        <v>4</v>
      </c>
      <c r="U319">
        <v>3</v>
      </c>
      <c r="V319" t="s">
        <v>27</v>
      </c>
    </row>
    <row r="320" spans="1:22" hidden="1" x14ac:dyDescent="0.25">
      <c r="A320" t="s">
        <v>74</v>
      </c>
      <c r="B320">
        <v>3</v>
      </c>
      <c r="C320" t="s">
        <v>66</v>
      </c>
      <c r="D320" t="s">
        <v>75</v>
      </c>
      <c r="E320" t="s">
        <v>68</v>
      </c>
      <c r="F320">
        <v>180</v>
      </c>
      <c r="G320">
        <v>1080</v>
      </c>
      <c r="H320">
        <v>-3</v>
      </c>
      <c r="I320">
        <v>1982</v>
      </c>
      <c r="J320" t="s">
        <v>56</v>
      </c>
      <c r="K320">
        <v>1111</v>
      </c>
      <c r="L320">
        <v>9.65</v>
      </c>
      <c r="M320">
        <v>6.24</v>
      </c>
      <c r="N320" s="4">
        <f t="shared" si="8"/>
        <v>7.3101162500000009E-3</v>
      </c>
      <c r="O320" s="4">
        <f t="shared" si="9"/>
        <v>4.5615125400000005E-2</v>
      </c>
      <c r="P320">
        <v>25</v>
      </c>
      <c r="Q320">
        <v>2.8</v>
      </c>
      <c r="R320">
        <v>3</v>
      </c>
      <c r="S320">
        <v>3</v>
      </c>
      <c r="T320">
        <v>3</v>
      </c>
      <c r="U320">
        <v>2.5</v>
      </c>
      <c r="V320" t="s">
        <v>30</v>
      </c>
    </row>
    <row r="321" spans="1:22" hidden="1" x14ac:dyDescent="0.25">
      <c r="A321" t="s">
        <v>74</v>
      </c>
      <c r="B321">
        <v>3</v>
      </c>
      <c r="C321" t="s">
        <v>66</v>
      </c>
      <c r="D321" t="s">
        <v>75</v>
      </c>
      <c r="E321" t="s">
        <v>68</v>
      </c>
      <c r="F321">
        <v>180</v>
      </c>
      <c r="G321">
        <v>1080</v>
      </c>
      <c r="H321">
        <v>-3</v>
      </c>
      <c r="I321">
        <v>1982</v>
      </c>
      <c r="J321" t="s">
        <v>58</v>
      </c>
      <c r="K321">
        <v>2638</v>
      </c>
      <c r="L321">
        <v>0.57999999999999996</v>
      </c>
      <c r="M321">
        <v>1.75</v>
      </c>
      <c r="N321" s="4">
        <f t="shared" si="8"/>
        <v>2.6407399999999997E-5</v>
      </c>
      <c r="O321" s="4">
        <f t="shared" si="9"/>
        <v>4.6212949999999996E-5</v>
      </c>
      <c r="P321">
        <v>25</v>
      </c>
      <c r="Q321">
        <v>1.5</v>
      </c>
      <c r="R321">
        <v>3</v>
      </c>
      <c r="S321">
        <v>3</v>
      </c>
      <c r="T321">
        <v>3</v>
      </c>
      <c r="U321">
        <v>3</v>
      </c>
      <c r="V321" t="s">
        <v>50</v>
      </c>
    </row>
    <row r="322" spans="1:22" hidden="1" x14ac:dyDescent="0.25">
      <c r="A322" t="s">
        <v>74</v>
      </c>
      <c r="B322">
        <v>3</v>
      </c>
      <c r="C322" t="s">
        <v>66</v>
      </c>
      <c r="D322" t="s">
        <v>75</v>
      </c>
      <c r="E322" t="s">
        <v>68</v>
      </c>
      <c r="F322">
        <v>180</v>
      </c>
      <c r="G322">
        <v>1080</v>
      </c>
      <c r="H322">
        <v>-3</v>
      </c>
      <c r="I322">
        <v>1982</v>
      </c>
      <c r="J322" t="s">
        <v>61</v>
      </c>
      <c r="K322">
        <v>1171</v>
      </c>
      <c r="L322">
        <v>11.62</v>
      </c>
      <c r="M322">
        <v>11.62</v>
      </c>
      <c r="N322" s="4">
        <f t="shared" si="8"/>
        <v>1.0599415399999999E-2</v>
      </c>
      <c r="O322" s="4">
        <f t="shared" si="9"/>
        <v>0.12316520694799998</v>
      </c>
      <c r="P322">
        <v>2</v>
      </c>
      <c r="Q322">
        <v>2</v>
      </c>
      <c r="R322">
        <v>2</v>
      </c>
      <c r="S322">
        <v>4</v>
      </c>
      <c r="T322">
        <v>3</v>
      </c>
      <c r="U322">
        <v>3</v>
      </c>
      <c r="V322" t="s">
        <v>30</v>
      </c>
    </row>
    <row r="323" spans="1:22" hidden="1" x14ac:dyDescent="0.25">
      <c r="A323" t="s">
        <v>74</v>
      </c>
      <c r="B323">
        <v>3</v>
      </c>
      <c r="C323" t="s">
        <v>66</v>
      </c>
      <c r="D323" t="s">
        <v>75</v>
      </c>
      <c r="E323" t="s">
        <v>68</v>
      </c>
      <c r="F323">
        <v>180</v>
      </c>
      <c r="G323">
        <v>1080</v>
      </c>
      <c r="H323">
        <v>-3</v>
      </c>
      <c r="I323">
        <v>1982</v>
      </c>
      <c r="J323" t="s">
        <v>61</v>
      </c>
      <c r="K323">
        <v>2631</v>
      </c>
      <c r="L323">
        <v>9.06</v>
      </c>
      <c r="M323">
        <v>6.97</v>
      </c>
      <c r="N323" s="4">
        <f t="shared" ref="N323:N386" si="10">3.14/4*((L323/100)^2)</f>
        <v>6.4435626000000001E-3</v>
      </c>
      <c r="O323" s="4">
        <f t="shared" ref="O323:O386" si="11">3.14/4*((L323/100)^2)*M323</f>
        <v>4.4911631321999997E-2</v>
      </c>
      <c r="P323">
        <v>25</v>
      </c>
      <c r="Q323">
        <v>1.3</v>
      </c>
      <c r="R323">
        <v>1</v>
      </c>
      <c r="S323">
        <v>2</v>
      </c>
      <c r="T323">
        <v>2</v>
      </c>
      <c r="U323">
        <v>3</v>
      </c>
      <c r="V323" t="s">
        <v>50</v>
      </c>
    </row>
    <row r="324" spans="1:22" hidden="1" x14ac:dyDescent="0.25">
      <c r="A324" t="s">
        <v>74</v>
      </c>
      <c r="B324">
        <v>3</v>
      </c>
      <c r="C324" t="s">
        <v>66</v>
      </c>
      <c r="D324" t="s">
        <v>75</v>
      </c>
      <c r="E324" t="s">
        <v>68</v>
      </c>
      <c r="F324">
        <v>180</v>
      </c>
      <c r="G324">
        <v>1080</v>
      </c>
      <c r="H324">
        <v>-3</v>
      </c>
      <c r="I324">
        <v>1982</v>
      </c>
      <c r="J324" t="s">
        <v>35</v>
      </c>
      <c r="K324">
        <v>1788</v>
      </c>
      <c r="L324">
        <v>15.31</v>
      </c>
      <c r="M324">
        <v>11.77</v>
      </c>
      <c r="N324" s="4">
        <f t="shared" si="10"/>
        <v>1.8400093850000004E-2</v>
      </c>
      <c r="O324" s="4">
        <f t="shared" si="11"/>
        <v>0.21656910461450005</v>
      </c>
      <c r="P324">
        <v>75</v>
      </c>
      <c r="Q324">
        <v>3</v>
      </c>
      <c r="R324">
        <v>2</v>
      </c>
      <c r="S324">
        <v>4</v>
      </c>
      <c r="T324">
        <v>4</v>
      </c>
      <c r="U324">
        <v>4</v>
      </c>
      <c r="V324" t="s">
        <v>27</v>
      </c>
    </row>
    <row r="325" spans="1:22" hidden="1" x14ac:dyDescent="0.25">
      <c r="A325" t="s">
        <v>74</v>
      </c>
      <c r="B325">
        <v>3</v>
      </c>
      <c r="C325" t="s">
        <v>66</v>
      </c>
      <c r="D325" t="s">
        <v>75</v>
      </c>
      <c r="E325" t="s">
        <v>68</v>
      </c>
      <c r="F325">
        <v>180</v>
      </c>
      <c r="G325">
        <v>1080</v>
      </c>
      <c r="H325">
        <v>-3</v>
      </c>
      <c r="I325">
        <v>1982</v>
      </c>
      <c r="J325" t="s">
        <v>35</v>
      </c>
      <c r="K325">
        <v>1259</v>
      </c>
      <c r="L325">
        <v>7.65</v>
      </c>
      <c r="M325">
        <v>8.24</v>
      </c>
      <c r="N325" s="4">
        <f t="shared" si="10"/>
        <v>4.5940162500000001E-3</v>
      </c>
      <c r="O325" s="4">
        <f t="shared" si="11"/>
        <v>3.78546939E-2</v>
      </c>
      <c r="P325">
        <v>25</v>
      </c>
      <c r="Q325">
        <v>2</v>
      </c>
      <c r="R325">
        <v>2</v>
      </c>
      <c r="S325">
        <v>4</v>
      </c>
      <c r="T325">
        <v>4</v>
      </c>
      <c r="U325">
        <v>4</v>
      </c>
      <c r="V325" t="s">
        <v>38</v>
      </c>
    </row>
    <row r="326" spans="1:22" hidden="1" x14ac:dyDescent="0.25">
      <c r="A326" t="s">
        <v>74</v>
      </c>
      <c r="B326">
        <v>3</v>
      </c>
      <c r="C326" t="s">
        <v>66</v>
      </c>
      <c r="D326" t="s">
        <v>75</v>
      </c>
      <c r="E326" t="s">
        <v>68</v>
      </c>
      <c r="F326">
        <v>180</v>
      </c>
      <c r="G326">
        <v>1080</v>
      </c>
      <c r="H326">
        <v>-3</v>
      </c>
      <c r="I326">
        <v>1982</v>
      </c>
      <c r="J326" t="s">
        <v>35</v>
      </c>
      <c r="K326">
        <v>2571</v>
      </c>
      <c r="L326">
        <v>6.42</v>
      </c>
      <c r="M326">
        <v>8.24</v>
      </c>
      <c r="N326" s="4">
        <f t="shared" si="10"/>
        <v>3.2354873999999997E-3</v>
      </c>
      <c r="O326" s="4">
        <f t="shared" si="11"/>
        <v>2.6660416175999999E-2</v>
      </c>
      <c r="P326">
        <v>25</v>
      </c>
      <c r="Q326">
        <v>3</v>
      </c>
      <c r="R326">
        <v>2</v>
      </c>
      <c r="S326">
        <v>4</v>
      </c>
      <c r="T326">
        <v>4</v>
      </c>
      <c r="U326">
        <v>4</v>
      </c>
      <c r="V326" t="s">
        <v>38</v>
      </c>
    </row>
    <row r="327" spans="1:22" hidden="1" x14ac:dyDescent="0.25">
      <c r="A327" t="s">
        <v>74</v>
      </c>
      <c r="B327">
        <v>3</v>
      </c>
      <c r="C327" t="s">
        <v>66</v>
      </c>
      <c r="D327" t="s">
        <v>75</v>
      </c>
      <c r="E327" t="s">
        <v>68</v>
      </c>
      <c r="F327">
        <v>180</v>
      </c>
      <c r="G327">
        <v>1080</v>
      </c>
      <c r="H327">
        <v>-3</v>
      </c>
      <c r="I327">
        <v>1982</v>
      </c>
      <c r="J327" t="s">
        <v>62</v>
      </c>
      <c r="K327">
        <v>2553</v>
      </c>
      <c r="L327">
        <v>19.13</v>
      </c>
      <c r="M327">
        <v>13.5</v>
      </c>
      <c r="N327" s="4">
        <f t="shared" si="10"/>
        <v>2.8727616650000003E-2</v>
      </c>
      <c r="O327" s="4">
        <f t="shared" si="11"/>
        <v>0.38782282477500002</v>
      </c>
      <c r="P327">
        <v>50</v>
      </c>
      <c r="Q327">
        <v>5</v>
      </c>
      <c r="R327">
        <v>4</v>
      </c>
      <c r="S327">
        <v>4</v>
      </c>
      <c r="T327">
        <v>4</v>
      </c>
      <c r="U327">
        <v>3</v>
      </c>
      <c r="V327" t="s">
        <v>27</v>
      </c>
    </row>
    <row r="328" spans="1:22" hidden="1" x14ac:dyDescent="0.25">
      <c r="A328" t="s">
        <v>74</v>
      </c>
      <c r="B328">
        <v>3</v>
      </c>
      <c r="C328" t="s">
        <v>66</v>
      </c>
      <c r="D328" t="s">
        <v>75</v>
      </c>
      <c r="E328" t="s">
        <v>68</v>
      </c>
      <c r="F328">
        <v>180</v>
      </c>
      <c r="G328">
        <v>1080</v>
      </c>
      <c r="H328">
        <v>-3</v>
      </c>
      <c r="I328">
        <v>1982</v>
      </c>
      <c r="J328" t="s">
        <v>62</v>
      </c>
      <c r="K328">
        <v>2574</v>
      </c>
      <c r="L328">
        <v>15.26</v>
      </c>
      <c r="M328">
        <v>14.08</v>
      </c>
      <c r="N328" s="4">
        <f t="shared" si="10"/>
        <v>1.8280106599999998E-2</v>
      </c>
      <c r="O328" s="4">
        <f t="shared" si="11"/>
        <v>0.25738390092799995</v>
      </c>
      <c r="P328">
        <v>25</v>
      </c>
      <c r="Q328">
        <v>3</v>
      </c>
      <c r="R328">
        <v>4</v>
      </c>
      <c r="S328">
        <v>4</v>
      </c>
      <c r="T328">
        <v>4</v>
      </c>
      <c r="U328">
        <v>3</v>
      </c>
      <c r="V328" t="s">
        <v>27</v>
      </c>
    </row>
    <row r="329" spans="1:22" hidden="1" x14ac:dyDescent="0.25">
      <c r="A329" t="s">
        <v>74</v>
      </c>
      <c r="B329">
        <v>3</v>
      </c>
      <c r="C329" t="s">
        <v>66</v>
      </c>
      <c r="D329" t="s">
        <v>75</v>
      </c>
      <c r="E329" t="s">
        <v>68</v>
      </c>
      <c r="F329">
        <v>180</v>
      </c>
      <c r="G329">
        <v>1080</v>
      </c>
      <c r="H329">
        <v>-3</v>
      </c>
      <c r="I329">
        <v>1982</v>
      </c>
      <c r="J329" t="s">
        <v>37</v>
      </c>
      <c r="K329">
        <v>2575</v>
      </c>
      <c r="L329">
        <v>4.84</v>
      </c>
      <c r="M329">
        <v>4.13</v>
      </c>
      <c r="N329" s="4">
        <f t="shared" si="10"/>
        <v>1.8389096000000001E-3</v>
      </c>
      <c r="O329" s="4">
        <f t="shared" si="11"/>
        <v>7.5946966480000006E-3</v>
      </c>
      <c r="P329">
        <v>50</v>
      </c>
      <c r="Q329">
        <v>2</v>
      </c>
      <c r="R329">
        <v>1.5</v>
      </c>
      <c r="S329">
        <v>3</v>
      </c>
      <c r="T329">
        <v>3</v>
      </c>
      <c r="U329">
        <v>3</v>
      </c>
      <c r="V329" t="s">
        <v>30</v>
      </c>
    </row>
    <row r="330" spans="1:22" hidden="1" x14ac:dyDescent="0.25">
      <c r="A330" t="s">
        <v>74</v>
      </c>
      <c r="B330">
        <v>3</v>
      </c>
      <c r="C330" t="s">
        <v>66</v>
      </c>
      <c r="D330" t="s">
        <v>75</v>
      </c>
      <c r="E330" t="s">
        <v>68</v>
      </c>
      <c r="F330">
        <v>180</v>
      </c>
      <c r="G330">
        <v>1080</v>
      </c>
      <c r="H330">
        <v>-3</v>
      </c>
      <c r="I330">
        <v>1982</v>
      </c>
      <c r="J330" t="s">
        <v>63</v>
      </c>
      <c r="K330">
        <v>1340</v>
      </c>
      <c r="L330">
        <v>7.58</v>
      </c>
      <c r="M330">
        <v>6.06</v>
      </c>
      <c r="N330" s="4">
        <f t="shared" si="10"/>
        <v>4.5103274000000007E-3</v>
      </c>
      <c r="O330" s="4">
        <f t="shared" si="11"/>
        <v>2.7332584044000002E-2</v>
      </c>
      <c r="P330">
        <v>38</v>
      </c>
      <c r="Q330">
        <v>2</v>
      </c>
      <c r="R330">
        <v>2</v>
      </c>
      <c r="S330">
        <v>3</v>
      </c>
      <c r="T330">
        <v>3</v>
      </c>
      <c r="U330">
        <v>3</v>
      </c>
      <c r="V330" t="s">
        <v>30</v>
      </c>
    </row>
    <row r="331" spans="1:22" hidden="1" x14ac:dyDescent="0.25">
      <c r="A331" t="s">
        <v>77</v>
      </c>
      <c r="B331">
        <v>1</v>
      </c>
      <c r="C331" t="s">
        <v>47</v>
      </c>
      <c r="D331" t="s">
        <v>78</v>
      </c>
      <c r="E331" t="s">
        <v>79</v>
      </c>
      <c r="F331">
        <v>150</v>
      </c>
      <c r="G331">
        <v>1250</v>
      </c>
      <c r="H331">
        <v>-3</v>
      </c>
      <c r="I331">
        <v>1983</v>
      </c>
      <c r="J331" t="s">
        <v>76</v>
      </c>
      <c r="K331">
        <v>1592</v>
      </c>
      <c r="L331">
        <v>24.24</v>
      </c>
      <c r="M331">
        <v>17.899999999999999</v>
      </c>
      <c r="N331" s="4">
        <f t="shared" si="10"/>
        <v>4.6124841599999987E-2</v>
      </c>
      <c r="O331" s="4">
        <f t="shared" si="11"/>
        <v>0.82563466463999968</v>
      </c>
      <c r="P331">
        <v>38</v>
      </c>
      <c r="Q331">
        <v>3.5</v>
      </c>
      <c r="R331">
        <v>3.5</v>
      </c>
      <c r="S331">
        <v>3</v>
      </c>
      <c r="T331">
        <v>3.3</v>
      </c>
      <c r="U331">
        <v>2.5</v>
      </c>
      <c r="V331" t="s">
        <v>25</v>
      </c>
    </row>
    <row r="332" spans="1:22" hidden="1" x14ac:dyDescent="0.25">
      <c r="A332" t="s">
        <v>77</v>
      </c>
      <c r="B332">
        <v>1</v>
      </c>
      <c r="C332" t="s">
        <v>47</v>
      </c>
      <c r="D332" t="s">
        <v>78</v>
      </c>
      <c r="E332" t="s">
        <v>79</v>
      </c>
      <c r="F332">
        <v>150</v>
      </c>
      <c r="G332">
        <v>1250</v>
      </c>
      <c r="H332">
        <v>-3</v>
      </c>
      <c r="I332">
        <v>1983</v>
      </c>
      <c r="J332" t="s">
        <v>76</v>
      </c>
      <c r="K332">
        <v>2560</v>
      </c>
      <c r="L332">
        <v>20.239999999999998</v>
      </c>
      <c r="M332">
        <v>14.6</v>
      </c>
      <c r="N332" s="4">
        <f t="shared" si="10"/>
        <v>3.2158121599999999E-2</v>
      </c>
      <c r="O332" s="4">
        <f t="shared" si="11"/>
        <v>0.46950857535999996</v>
      </c>
      <c r="P332">
        <v>63</v>
      </c>
      <c r="Q332">
        <v>3</v>
      </c>
      <c r="R332">
        <v>3.5</v>
      </c>
      <c r="S332">
        <v>3</v>
      </c>
      <c r="T332">
        <v>3.7</v>
      </c>
      <c r="U332">
        <v>2.5</v>
      </c>
      <c r="V332" t="s">
        <v>25</v>
      </c>
    </row>
    <row r="333" spans="1:22" hidden="1" x14ac:dyDescent="0.25">
      <c r="A333" t="s">
        <v>77</v>
      </c>
      <c r="B333">
        <v>1</v>
      </c>
      <c r="C333" t="s">
        <v>47</v>
      </c>
      <c r="D333" t="s">
        <v>78</v>
      </c>
      <c r="E333" t="s">
        <v>79</v>
      </c>
      <c r="F333">
        <v>150</v>
      </c>
      <c r="G333">
        <v>1250</v>
      </c>
      <c r="H333">
        <v>-3</v>
      </c>
      <c r="I333">
        <v>1983</v>
      </c>
      <c r="J333" t="s">
        <v>24</v>
      </c>
      <c r="K333">
        <v>2562</v>
      </c>
      <c r="L333">
        <v>17.399999999999999</v>
      </c>
      <c r="M333">
        <v>14.14</v>
      </c>
      <c r="N333" s="4">
        <f t="shared" si="10"/>
        <v>2.3766659999999998E-2</v>
      </c>
      <c r="O333" s="4">
        <f t="shared" si="11"/>
        <v>0.33606057239999998</v>
      </c>
      <c r="P333">
        <v>63</v>
      </c>
      <c r="Q333">
        <v>3.5</v>
      </c>
      <c r="R333">
        <v>4</v>
      </c>
      <c r="S333">
        <v>3.7</v>
      </c>
      <c r="T333">
        <v>4</v>
      </c>
      <c r="U333">
        <v>3.5</v>
      </c>
      <c r="V333" t="s">
        <v>25</v>
      </c>
    </row>
    <row r="334" spans="1:22" hidden="1" x14ac:dyDescent="0.25">
      <c r="A334" t="s">
        <v>77</v>
      </c>
      <c r="B334">
        <v>1</v>
      </c>
      <c r="C334" t="s">
        <v>47</v>
      </c>
      <c r="D334" t="s">
        <v>78</v>
      </c>
      <c r="E334" t="s">
        <v>79</v>
      </c>
      <c r="F334">
        <v>150</v>
      </c>
      <c r="G334">
        <v>1250</v>
      </c>
      <c r="H334">
        <v>-3</v>
      </c>
      <c r="I334">
        <v>1983</v>
      </c>
      <c r="J334" t="s">
        <v>80</v>
      </c>
      <c r="K334">
        <v>1252</v>
      </c>
      <c r="L334">
        <v>17.36</v>
      </c>
      <c r="M334">
        <v>15.64</v>
      </c>
      <c r="N334" s="4">
        <f t="shared" si="10"/>
        <v>2.3657513600000003E-2</v>
      </c>
      <c r="O334" s="4">
        <f t="shared" si="11"/>
        <v>0.37000351270400006</v>
      </c>
      <c r="P334">
        <v>50</v>
      </c>
      <c r="Q334">
        <v>3.5</v>
      </c>
      <c r="R334">
        <v>3.5</v>
      </c>
      <c r="S334">
        <v>2.5</v>
      </c>
      <c r="T334">
        <v>2.5</v>
      </c>
      <c r="U334">
        <v>2.5</v>
      </c>
      <c r="V334" t="s">
        <v>38</v>
      </c>
    </row>
    <row r="335" spans="1:22" hidden="1" x14ac:dyDescent="0.25">
      <c r="A335" t="s">
        <v>77</v>
      </c>
      <c r="B335">
        <v>1</v>
      </c>
      <c r="C335" t="s">
        <v>47</v>
      </c>
      <c r="D335" t="s">
        <v>78</v>
      </c>
      <c r="E335" t="s">
        <v>79</v>
      </c>
      <c r="F335">
        <v>150</v>
      </c>
      <c r="G335">
        <v>1250</v>
      </c>
      <c r="H335">
        <v>-3</v>
      </c>
      <c r="I335">
        <v>1983</v>
      </c>
      <c r="J335" t="s">
        <v>59</v>
      </c>
      <c r="K335">
        <v>2548</v>
      </c>
      <c r="L335">
        <v>41.04</v>
      </c>
      <c r="M335">
        <v>16.600000000000001</v>
      </c>
      <c r="N335" s="4">
        <f t="shared" si="10"/>
        <v>0.13221610559999999</v>
      </c>
      <c r="O335" s="4">
        <f t="shared" si="11"/>
        <v>2.1947873529600002</v>
      </c>
      <c r="P335">
        <v>50</v>
      </c>
      <c r="Q335">
        <v>3.3</v>
      </c>
      <c r="R335">
        <v>3</v>
      </c>
      <c r="S335">
        <v>2</v>
      </c>
      <c r="T335">
        <v>1.5</v>
      </c>
      <c r="U335">
        <v>1.5</v>
      </c>
      <c r="V335" t="s">
        <v>25</v>
      </c>
    </row>
    <row r="336" spans="1:22" hidden="1" x14ac:dyDescent="0.25">
      <c r="A336" t="s">
        <v>77</v>
      </c>
      <c r="B336">
        <v>1</v>
      </c>
      <c r="C336" t="s">
        <v>47</v>
      </c>
      <c r="D336" t="s">
        <v>78</v>
      </c>
      <c r="E336" t="s">
        <v>79</v>
      </c>
      <c r="F336">
        <v>150</v>
      </c>
      <c r="G336">
        <v>1250</v>
      </c>
      <c r="H336">
        <v>-3</v>
      </c>
      <c r="I336">
        <v>1983</v>
      </c>
      <c r="J336" t="s">
        <v>32</v>
      </c>
      <c r="K336">
        <v>1596</v>
      </c>
      <c r="L336">
        <v>15.02</v>
      </c>
      <c r="M336">
        <v>9.92</v>
      </c>
      <c r="N336" s="4">
        <f t="shared" si="10"/>
        <v>1.7709631400000002E-2</v>
      </c>
      <c r="O336" s="4">
        <f t="shared" si="11"/>
        <v>0.17567954348800002</v>
      </c>
      <c r="P336">
        <v>100</v>
      </c>
      <c r="Q336">
        <v>3.5</v>
      </c>
      <c r="R336">
        <v>4</v>
      </c>
      <c r="S336">
        <v>2.7</v>
      </c>
      <c r="T336">
        <v>4</v>
      </c>
      <c r="U336">
        <v>2.5</v>
      </c>
      <c r="V336" t="s">
        <v>25</v>
      </c>
    </row>
    <row r="337" spans="1:22" hidden="1" x14ac:dyDescent="0.25">
      <c r="A337" t="s">
        <v>77</v>
      </c>
      <c r="B337">
        <v>1</v>
      </c>
      <c r="C337" t="s">
        <v>47</v>
      </c>
      <c r="D337" t="s">
        <v>78</v>
      </c>
      <c r="E337" t="s">
        <v>79</v>
      </c>
      <c r="F337">
        <v>150</v>
      </c>
      <c r="G337">
        <v>1250</v>
      </c>
      <c r="H337">
        <v>-3</v>
      </c>
      <c r="I337">
        <v>1983</v>
      </c>
      <c r="J337" t="s">
        <v>32</v>
      </c>
      <c r="K337">
        <v>2569</v>
      </c>
      <c r="L337">
        <v>17.829999999999998</v>
      </c>
      <c r="M337">
        <v>11.8</v>
      </c>
      <c r="N337" s="4">
        <f t="shared" si="10"/>
        <v>2.4955848649999997E-2</v>
      </c>
      <c r="O337" s="4">
        <f t="shared" si="11"/>
        <v>0.29447901406999999</v>
      </c>
      <c r="P337">
        <v>50</v>
      </c>
      <c r="Q337">
        <v>3</v>
      </c>
      <c r="R337">
        <v>3</v>
      </c>
      <c r="S337">
        <v>3</v>
      </c>
      <c r="T337">
        <v>4</v>
      </c>
      <c r="U337">
        <v>2.5</v>
      </c>
      <c r="V337" t="s">
        <v>25</v>
      </c>
    </row>
    <row r="338" spans="1:22" hidden="1" x14ac:dyDescent="0.25">
      <c r="A338" t="s">
        <v>77</v>
      </c>
      <c r="B338">
        <v>1</v>
      </c>
      <c r="C338" t="s">
        <v>47</v>
      </c>
      <c r="D338" t="s">
        <v>78</v>
      </c>
      <c r="E338" t="s">
        <v>79</v>
      </c>
      <c r="F338">
        <v>150</v>
      </c>
      <c r="G338">
        <v>1250</v>
      </c>
      <c r="H338">
        <v>-3</v>
      </c>
      <c r="I338">
        <v>1983</v>
      </c>
      <c r="J338" t="s">
        <v>33</v>
      </c>
      <c r="K338">
        <v>2547</v>
      </c>
      <c r="L338">
        <v>20.8</v>
      </c>
      <c r="M338">
        <v>10.23</v>
      </c>
      <c r="N338" s="4">
        <f t="shared" si="10"/>
        <v>3.3962240000000012E-2</v>
      </c>
      <c r="O338" s="4">
        <f t="shared" si="11"/>
        <v>0.34743371520000016</v>
      </c>
      <c r="P338">
        <v>13</v>
      </c>
      <c r="Q338">
        <v>3</v>
      </c>
      <c r="R338">
        <v>3</v>
      </c>
      <c r="S338">
        <v>3</v>
      </c>
      <c r="T338">
        <v>2.5</v>
      </c>
      <c r="U338">
        <v>3</v>
      </c>
      <c r="V338" t="s">
        <v>38</v>
      </c>
    </row>
    <row r="339" spans="1:22" hidden="1" x14ac:dyDescent="0.25">
      <c r="A339" t="s">
        <v>77</v>
      </c>
      <c r="B339">
        <v>1</v>
      </c>
      <c r="C339" t="s">
        <v>47</v>
      </c>
      <c r="D339" t="s">
        <v>78</v>
      </c>
      <c r="E339" t="s">
        <v>79</v>
      </c>
      <c r="F339">
        <v>150</v>
      </c>
      <c r="G339">
        <v>1250</v>
      </c>
      <c r="H339">
        <v>-3</v>
      </c>
      <c r="I339">
        <v>1983</v>
      </c>
      <c r="J339" t="s">
        <v>33</v>
      </c>
      <c r="K339">
        <v>2568</v>
      </c>
      <c r="L339">
        <v>24.89</v>
      </c>
      <c r="M339">
        <v>16.71</v>
      </c>
      <c r="N339" s="4">
        <f t="shared" si="10"/>
        <v>4.8631699850000008E-2</v>
      </c>
      <c r="O339" s="4">
        <f t="shared" si="11"/>
        <v>0.8126357044935002</v>
      </c>
      <c r="P339">
        <v>63</v>
      </c>
      <c r="Q339">
        <v>3</v>
      </c>
      <c r="R339">
        <v>2.5</v>
      </c>
      <c r="S339">
        <v>2.7</v>
      </c>
      <c r="T339">
        <v>3</v>
      </c>
      <c r="U339">
        <v>2</v>
      </c>
      <c r="V339" t="s">
        <v>38</v>
      </c>
    </row>
    <row r="340" spans="1:22" hidden="1" x14ac:dyDescent="0.25">
      <c r="A340" t="s">
        <v>77</v>
      </c>
      <c r="B340">
        <v>1</v>
      </c>
      <c r="C340" t="s">
        <v>47</v>
      </c>
      <c r="D340" t="s">
        <v>78</v>
      </c>
      <c r="E340" t="s">
        <v>79</v>
      </c>
      <c r="F340">
        <v>150</v>
      </c>
      <c r="G340">
        <v>1250</v>
      </c>
      <c r="H340">
        <v>-3</v>
      </c>
      <c r="I340">
        <v>1983</v>
      </c>
      <c r="J340" t="s">
        <v>34</v>
      </c>
      <c r="K340">
        <v>1522</v>
      </c>
      <c r="L340">
        <v>19.13</v>
      </c>
      <c r="M340">
        <v>10.66</v>
      </c>
      <c r="N340" s="4">
        <f t="shared" si="10"/>
        <v>2.8727616650000003E-2</v>
      </c>
      <c r="O340" s="4">
        <f t="shared" si="11"/>
        <v>0.30623639348900006</v>
      </c>
      <c r="P340">
        <v>38</v>
      </c>
      <c r="Q340">
        <v>3.5</v>
      </c>
      <c r="R340">
        <v>3</v>
      </c>
      <c r="S340">
        <v>2.5</v>
      </c>
      <c r="T340">
        <v>2.5</v>
      </c>
      <c r="U340">
        <v>2</v>
      </c>
      <c r="V340" t="s">
        <v>25</v>
      </c>
    </row>
    <row r="341" spans="1:22" hidden="1" x14ac:dyDescent="0.25">
      <c r="A341" t="s">
        <v>77</v>
      </c>
      <c r="B341">
        <v>1</v>
      </c>
      <c r="C341" t="s">
        <v>47</v>
      </c>
      <c r="D341" t="s">
        <v>78</v>
      </c>
      <c r="E341" t="s">
        <v>79</v>
      </c>
      <c r="F341">
        <v>150</v>
      </c>
      <c r="G341">
        <v>1250</v>
      </c>
      <c r="H341">
        <v>-3</v>
      </c>
      <c r="I341">
        <v>1983</v>
      </c>
      <c r="J341" t="s">
        <v>34</v>
      </c>
      <c r="K341">
        <v>2570</v>
      </c>
      <c r="L341">
        <v>17.59</v>
      </c>
      <c r="M341">
        <v>12.2</v>
      </c>
      <c r="N341" s="4">
        <f t="shared" si="10"/>
        <v>2.4288535850000001E-2</v>
      </c>
      <c r="O341" s="4">
        <f t="shared" si="11"/>
        <v>0.29632013737000001</v>
      </c>
      <c r="P341">
        <v>50</v>
      </c>
      <c r="Q341">
        <v>3</v>
      </c>
      <c r="R341">
        <v>2.7</v>
      </c>
      <c r="S341">
        <v>3</v>
      </c>
      <c r="T341">
        <v>3.5</v>
      </c>
      <c r="U341">
        <v>2.7</v>
      </c>
      <c r="V341" t="s">
        <v>38</v>
      </c>
    </row>
    <row r="342" spans="1:22" hidden="1" x14ac:dyDescent="0.25">
      <c r="A342" t="s">
        <v>77</v>
      </c>
      <c r="B342">
        <v>1</v>
      </c>
      <c r="C342" t="s">
        <v>47</v>
      </c>
      <c r="D342" t="s">
        <v>78</v>
      </c>
      <c r="E342" t="s">
        <v>79</v>
      </c>
      <c r="F342">
        <v>150</v>
      </c>
      <c r="G342">
        <v>1250</v>
      </c>
      <c r="H342">
        <v>-3</v>
      </c>
      <c r="I342">
        <v>1983</v>
      </c>
      <c r="J342" t="s">
        <v>35</v>
      </c>
      <c r="K342">
        <v>2571</v>
      </c>
      <c r="L342">
        <v>19.350000000000001</v>
      </c>
      <c r="M342">
        <v>17.3</v>
      </c>
      <c r="N342" s="4">
        <f t="shared" si="10"/>
        <v>2.9392166250000004E-2</v>
      </c>
      <c r="O342" s="4">
        <f t="shared" si="11"/>
        <v>0.50848447612500014</v>
      </c>
      <c r="P342">
        <v>50</v>
      </c>
      <c r="Q342">
        <v>2.5</v>
      </c>
      <c r="R342">
        <v>2</v>
      </c>
      <c r="S342">
        <v>3.2</v>
      </c>
      <c r="T342">
        <v>4</v>
      </c>
      <c r="U342">
        <v>4</v>
      </c>
      <c r="V342" t="s">
        <v>38</v>
      </c>
    </row>
    <row r="343" spans="1:22" hidden="1" x14ac:dyDescent="0.25">
      <c r="A343" t="s">
        <v>77</v>
      </c>
      <c r="B343">
        <v>1</v>
      </c>
      <c r="C343" t="s">
        <v>47</v>
      </c>
      <c r="D343" t="s">
        <v>78</v>
      </c>
      <c r="E343" t="s">
        <v>79</v>
      </c>
      <c r="F343">
        <v>150</v>
      </c>
      <c r="G343">
        <v>1250</v>
      </c>
      <c r="H343">
        <v>-3</v>
      </c>
      <c r="I343">
        <v>1983</v>
      </c>
      <c r="J343" t="s">
        <v>36</v>
      </c>
      <c r="K343">
        <v>2573</v>
      </c>
      <c r="L343">
        <v>21.7</v>
      </c>
      <c r="M343">
        <v>17.420000000000002</v>
      </c>
      <c r="N343" s="4">
        <f t="shared" si="10"/>
        <v>3.6964865E-2</v>
      </c>
      <c r="O343" s="4">
        <f t="shared" si="11"/>
        <v>0.64392794830000011</v>
      </c>
      <c r="P343">
        <v>88</v>
      </c>
      <c r="Q343">
        <v>3</v>
      </c>
      <c r="R343">
        <v>3.5</v>
      </c>
      <c r="S343">
        <v>3</v>
      </c>
      <c r="T343">
        <v>3.3</v>
      </c>
      <c r="U343">
        <v>2.2999999999999998</v>
      </c>
      <c r="V343" t="s">
        <v>25</v>
      </c>
    </row>
    <row r="344" spans="1:22" hidden="1" x14ac:dyDescent="0.25">
      <c r="A344" t="s">
        <v>77</v>
      </c>
      <c r="B344">
        <v>1</v>
      </c>
      <c r="C344" t="s">
        <v>47</v>
      </c>
      <c r="D344" t="s">
        <v>78</v>
      </c>
      <c r="E344" t="s">
        <v>79</v>
      </c>
      <c r="F344">
        <v>150</v>
      </c>
      <c r="G344">
        <v>1250</v>
      </c>
      <c r="H344">
        <v>-3</v>
      </c>
      <c r="I344">
        <v>1983</v>
      </c>
      <c r="J344" t="s">
        <v>62</v>
      </c>
      <c r="K344">
        <v>2550</v>
      </c>
      <c r="L344">
        <v>7.84</v>
      </c>
      <c r="M344">
        <v>3.34</v>
      </c>
      <c r="N344" s="4">
        <f t="shared" si="10"/>
        <v>4.8250495999999999E-3</v>
      </c>
      <c r="O344" s="4">
        <f t="shared" si="11"/>
        <v>1.6115665663999999E-2</v>
      </c>
      <c r="P344">
        <v>38</v>
      </c>
      <c r="Q344">
        <v>2</v>
      </c>
      <c r="R344">
        <v>2.2999999999999998</v>
      </c>
      <c r="S344">
        <v>1.5</v>
      </c>
      <c r="T344">
        <v>2</v>
      </c>
      <c r="U344">
        <v>2</v>
      </c>
      <c r="V344" t="s">
        <v>30</v>
      </c>
    </row>
    <row r="345" spans="1:22" hidden="1" x14ac:dyDescent="0.25">
      <c r="A345" t="s">
        <v>77</v>
      </c>
      <c r="B345">
        <v>1</v>
      </c>
      <c r="C345" t="s">
        <v>47</v>
      </c>
      <c r="D345" t="s">
        <v>78</v>
      </c>
      <c r="E345" t="s">
        <v>79</v>
      </c>
      <c r="F345">
        <v>150</v>
      </c>
      <c r="G345">
        <v>1250</v>
      </c>
      <c r="H345">
        <v>-3</v>
      </c>
      <c r="I345">
        <v>1983</v>
      </c>
      <c r="J345" t="s">
        <v>62</v>
      </c>
      <c r="K345">
        <v>2553</v>
      </c>
      <c r="L345">
        <v>25.57</v>
      </c>
      <c r="M345">
        <v>17.43</v>
      </c>
      <c r="N345" s="4">
        <f t="shared" si="10"/>
        <v>5.1325254649999992E-2</v>
      </c>
      <c r="O345" s="4">
        <f t="shared" si="11"/>
        <v>0.89459918854949982</v>
      </c>
      <c r="P345">
        <v>50</v>
      </c>
      <c r="Q345">
        <v>3.7</v>
      </c>
      <c r="R345">
        <v>3</v>
      </c>
      <c r="S345">
        <v>2.7</v>
      </c>
      <c r="T345">
        <v>3</v>
      </c>
      <c r="U345">
        <v>2</v>
      </c>
      <c r="V345" t="s">
        <v>38</v>
      </c>
    </row>
    <row r="346" spans="1:22" hidden="1" x14ac:dyDescent="0.25">
      <c r="A346" t="s">
        <v>77</v>
      </c>
      <c r="B346">
        <v>1</v>
      </c>
      <c r="C346" t="s">
        <v>47</v>
      </c>
      <c r="D346" t="s">
        <v>78</v>
      </c>
      <c r="E346" t="s">
        <v>79</v>
      </c>
      <c r="F346">
        <v>150</v>
      </c>
      <c r="G346">
        <v>1250</v>
      </c>
      <c r="H346">
        <v>-3</v>
      </c>
      <c r="I346">
        <v>1983</v>
      </c>
      <c r="J346" t="s">
        <v>37</v>
      </c>
      <c r="K346">
        <v>2575</v>
      </c>
      <c r="L346">
        <v>6.87</v>
      </c>
      <c r="M346">
        <v>9.4</v>
      </c>
      <c r="N346" s="4">
        <f t="shared" si="10"/>
        <v>3.7049566499999997E-3</v>
      </c>
      <c r="O346" s="4">
        <f t="shared" si="11"/>
        <v>3.4826592509999997E-2</v>
      </c>
      <c r="P346">
        <v>50</v>
      </c>
      <c r="Q346">
        <v>1.5</v>
      </c>
      <c r="R346">
        <v>3</v>
      </c>
      <c r="S346">
        <v>2</v>
      </c>
      <c r="T346">
        <v>2</v>
      </c>
      <c r="U346">
        <v>2</v>
      </c>
      <c r="V346" t="s">
        <v>50</v>
      </c>
    </row>
    <row r="347" spans="1:22" hidden="1" x14ac:dyDescent="0.25">
      <c r="A347" t="s">
        <v>77</v>
      </c>
      <c r="B347">
        <v>1</v>
      </c>
      <c r="C347" t="s">
        <v>47</v>
      </c>
      <c r="D347" t="s">
        <v>78</v>
      </c>
      <c r="E347" t="s">
        <v>79</v>
      </c>
      <c r="F347">
        <v>150</v>
      </c>
      <c r="G347">
        <v>1250</v>
      </c>
      <c r="H347">
        <v>-3</v>
      </c>
      <c r="I347">
        <v>1983</v>
      </c>
      <c r="J347" t="s">
        <v>26</v>
      </c>
      <c r="K347">
        <v>2552</v>
      </c>
      <c r="L347">
        <v>31.87</v>
      </c>
      <c r="M347">
        <v>20.52</v>
      </c>
      <c r="N347" s="4">
        <f t="shared" si="10"/>
        <v>7.9732206649999998E-2</v>
      </c>
      <c r="O347" s="4">
        <f t="shared" si="11"/>
        <v>1.6361048804579998</v>
      </c>
      <c r="P347">
        <v>25</v>
      </c>
      <c r="Q347">
        <v>3.7</v>
      </c>
      <c r="R347">
        <v>3.5</v>
      </c>
      <c r="S347">
        <v>2.5</v>
      </c>
      <c r="T347">
        <v>2.5</v>
      </c>
      <c r="U347">
        <v>1.5</v>
      </c>
      <c r="V347" t="s">
        <v>38</v>
      </c>
    </row>
    <row r="348" spans="1:22" hidden="1" x14ac:dyDescent="0.25">
      <c r="A348" t="s">
        <v>77</v>
      </c>
      <c r="B348">
        <v>1</v>
      </c>
      <c r="C348" t="s">
        <v>47</v>
      </c>
      <c r="D348" t="s">
        <v>78</v>
      </c>
      <c r="E348" t="s">
        <v>79</v>
      </c>
      <c r="F348">
        <v>150</v>
      </c>
      <c r="G348">
        <v>1250</v>
      </c>
      <c r="H348">
        <v>-3</v>
      </c>
      <c r="I348">
        <v>1983</v>
      </c>
      <c r="J348" t="s">
        <v>62</v>
      </c>
      <c r="K348">
        <v>2574</v>
      </c>
      <c r="L348">
        <v>15.11</v>
      </c>
      <c r="M348">
        <v>15.54</v>
      </c>
      <c r="N348" s="4">
        <f t="shared" si="10"/>
        <v>1.7922499849999995E-2</v>
      </c>
      <c r="O348" s="4">
        <f t="shared" si="11"/>
        <v>0.27851564766899989</v>
      </c>
      <c r="P348">
        <v>75</v>
      </c>
      <c r="Q348">
        <v>3.7</v>
      </c>
      <c r="R348">
        <v>3</v>
      </c>
      <c r="S348">
        <v>3.3</v>
      </c>
      <c r="T348">
        <v>3.5</v>
      </c>
      <c r="U348">
        <v>3.5</v>
      </c>
      <c r="V348" t="s">
        <v>25</v>
      </c>
    </row>
    <row r="349" spans="1:22" hidden="1" x14ac:dyDescent="0.25">
      <c r="A349" t="s">
        <v>77</v>
      </c>
      <c r="B349">
        <v>1</v>
      </c>
      <c r="C349" t="s">
        <v>47</v>
      </c>
      <c r="D349" t="s">
        <v>78</v>
      </c>
      <c r="E349" t="s">
        <v>79</v>
      </c>
      <c r="F349">
        <v>150</v>
      </c>
      <c r="G349">
        <v>1250</v>
      </c>
      <c r="H349">
        <v>-3</v>
      </c>
      <c r="I349">
        <v>1983</v>
      </c>
      <c r="J349" t="s">
        <v>32</v>
      </c>
      <c r="K349">
        <v>2634</v>
      </c>
      <c r="L349">
        <v>21.72</v>
      </c>
      <c r="M349">
        <v>14.75</v>
      </c>
      <c r="N349" s="4">
        <f t="shared" si="10"/>
        <v>3.7033034399999991E-2</v>
      </c>
      <c r="O349" s="4">
        <f t="shared" si="11"/>
        <v>0.54623725739999984</v>
      </c>
      <c r="P349">
        <v>38</v>
      </c>
      <c r="Q349">
        <v>3</v>
      </c>
      <c r="R349">
        <v>3</v>
      </c>
      <c r="S349">
        <v>3</v>
      </c>
      <c r="T349">
        <v>4</v>
      </c>
      <c r="U349">
        <v>2.2999999999999998</v>
      </c>
      <c r="V349" t="s">
        <v>25</v>
      </c>
    </row>
    <row r="350" spans="1:22" hidden="1" x14ac:dyDescent="0.25">
      <c r="A350" t="s">
        <v>77</v>
      </c>
      <c r="B350">
        <v>2</v>
      </c>
      <c r="C350" t="s">
        <v>47</v>
      </c>
      <c r="D350" t="s">
        <v>78</v>
      </c>
      <c r="E350" t="s">
        <v>79</v>
      </c>
      <c r="F350">
        <v>150</v>
      </c>
      <c r="G350">
        <v>1250</v>
      </c>
      <c r="H350">
        <v>-3</v>
      </c>
      <c r="I350">
        <v>1983</v>
      </c>
      <c r="J350" t="s">
        <v>76</v>
      </c>
      <c r="K350">
        <v>1592</v>
      </c>
      <c r="L350">
        <v>24.95</v>
      </c>
      <c r="M350">
        <v>19.690000000000001</v>
      </c>
      <c r="N350" s="4">
        <f t="shared" si="10"/>
        <v>4.8866446250000001E-2</v>
      </c>
      <c r="O350" s="4">
        <f t="shared" si="11"/>
        <v>0.96218032666250008</v>
      </c>
      <c r="P350">
        <v>50</v>
      </c>
      <c r="Q350">
        <v>3.5</v>
      </c>
      <c r="R350">
        <v>3</v>
      </c>
      <c r="S350">
        <v>2.7</v>
      </c>
      <c r="T350">
        <v>3</v>
      </c>
      <c r="U350">
        <v>2.7</v>
      </c>
      <c r="V350" t="s">
        <v>25</v>
      </c>
    </row>
    <row r="351" spans="1:22" hidden="1" x14ac:dyDescent="0.25">
      <c r="A351" t="s">
        <v>77</v>
      </c>
      <c r="B351">
        <v>2</v>
      </c>
      <c r="C351" t="s">
        <v>47</v>
      </c>
      <c r="D351" t="s">
        <v>78</v>
      </c>
      <c r="E351" t="s">
        <v>79</v>
      </c>
      <c r="F351">
        <v>150</v>
      </c>
      <c r="G351">
        <v>1250</v>
      </c>
      <c r="H351">
        <v>-3</v>
      </c>
      <c r="I351">
        <v>1983</v>
      </c>
      <c r="J351" t="s">
        <v>76</v>
      </c>
      <c r="K351">
        <v>2560</v>
      </c>
      <c r="L351">
        <v>17.350000000000001</v>
      </c>
      <c r="M351">
        <v>16.11</v>
      </c>
      <c r="N351" s="4">
        <f t="shared" si="10"/>
        <v>2.3630266250000004E-2</v>
      </c>
      <c r="O351" s="4">
        <f t="shared" si="11"/>
        <v>0.38068358928750007</v>
      </c>
      <c r="P351">
        <v>38</v>
      </c>
      <c r="Q351">
        <v>3</v>
      </c>
      <c r="R351">
        <v>3</v>
      </c>
      <c r="S351">
        <v>2.5</v>
      </c>
      <c r="T351">
        <v>3.5</v>
      </c>
      <c r="U351">
        <v>2.5</v>
      </c>
      <c r="V351" t="s">
        <v>25</v>
      </c>
    </row>
    <row r="352" spans="1:22" hidden="1" x14ac:dyDescent="0.25">
      <c r="A352" t="s">
        <v>77</v>
      </c>
      <c r="B352">
        <v>2</v>
      </c>
      <c r="C352" t="s">
        <v>47</v>
      </c>
      <c r="D352" t="s">
        <v>78</v>
      </c>
      <c r="E352" t="s">
        <v>79</v>
      </c>
      <c r="F352">
        <v>150</v>
      </c>
      <c r="G352">
        <v>1250</v>
      </c>
      <c r="H352">
        <v>-3</v>
      </c>
      <c r="I352">
        <v>1983</v>
      </c>
      <c r="J352" t="s">
        <v>24</v>
      </c>
      <c r="K352">
        <v>2562</v>
      </c>
      <c r="L352">
        <v>18.809999999999999</v>
      </c>
      <c r="M352">
        <v>19.09</v>
      </c>
      <c r="N352" s="4">
        <f t="shared" si="10"/>
        <v>2.7774563849999996E-2</v>
      </c>
      <c r="O352" s="4">
        <f t="shared" si="11"/>
        <v>0.53021642389649992</v>
      </c>
      <c r="P352">
        <v>75</v>
      </c>
      <c r="Q352">
        <v>3</v>
      </c>
      <c r="R352">
        <v>3</v>
      </c>
      <c r="S352">
        <v>3.5</v>
      </c>
      <c r="T352">
        <v>4</v>
      </c>
      <c r="U352">
        <v>3</v>
      </c>
      <c r="V352" t="s">
        <v>27</v>
      </c>
    </row>
    <row r="353" spans="1:22" hidden="1" x14ac:dyDescent="0.25">
      <c r="A353" t="s">
        <v>77</v>
      </c>
      <c r="B353">
        <v>2</v>
      </c>
      <c r="C353" t="s">
        <v>47</v>
      </c>
      <c r="D353" t="s">
        <v>78</v>
      </c>
      <c r="E353" t="s">
        <v>79</v>
      </c>
      <c r="F353">
        <v>150</v>
      </c>
      <c r="G353">
        <v>1250</v>
      </c>
      <c r="H353">
        <v>-3</v>
      </c>
      <c r="I353">
        <v>1983</v>
      </c>
      <c r="J353" t="s">
        <v>80</v>
      </c>
      <c r="K353">
        <v>1252</v>
      </c>
      <c r="L353">
        <v>15.35</v>
      </c>
      <c r="M353">
        <v>11.87</v>
      </c>
      <c r="N353" s="4">
        <f t="shared" si="10"/>
        <v>1.849636625E-2</v>
      </c>
      <c r="O353" s="4">
        <f t="shared" si="11"/>
        <v>0.21955186738749999</v>
      </c>
      <c r="P353">
        <v>75</v>
      </c>
      <c r="Q353">
        <v>2.9</v>
      </c>
      <c r="R353">
        <v>2.7</v>
      </c>
      <c r="S353">
        <v>2.5</v>
      </c>
      <c r="T353">
        <v>3</v>
      </c>
      <c r="U353">
        <v>2.5</v>
      </c>
      <c r="V353" t="s">
        <v>38</v>
      </c>
    </row>
    <row r="354" spans="1:22" hidden="1" x14ac:dyDescent="0.25">
      <c r="A354" t="s">
        <v>77</v>
      </c>
      <c r="B354">
        <v>2</v>
      </c>
      <c r="C354" t="s">
        <v>47</v>
      </c>
      <c r="D354" t="s">
        <v>78</v>
      </c>
      <c r="E354" t="s">
        <v>79</v>
      </c>
      <c r="F354">
        <v>150</v>
      </c>
      <c r="G354">
        <v>1250</v>
      </c>
      <c r="H354">
        <v>-3</v>
      </c>
      <c r="I354">
        <v>1983</v>
      </c>
      <c r="J354" t="s">
        <v>59</v>
      </c>
      <c r="K354">
        <v>2548</v>
      </c>
      <c r="L354">
        <v>22.6</v>
      </c>
      <c r="M354">
        <v>12.61</v>
      </c>
      <c r="N354" s="4">
        <f t="shared" si="10"/>
        <v>4.0094660000000004E-2</v>
      </c>
      <c r="O354" s="4">
        <f t="shared" si="11"/>
        <v>0.50559366260000005</v>
      </c>
      <c r="P354">
        <v>63</v>
      </c>
      <c r="Q354">
        <v>3.5</v>
      </c>
      <c r="R354">
        <v>3</v>
      </c>
      <c r="S354">
        <v>2</v>
      </c>
      <c r="T354">
        <v>2</v>
      </c>
      <c r="U354">
        <v>1.5</v>
      </c>
      <c r="V354" t="s">
        <v>38</v>
      </c>
    </row>
    <row r="355" spans="1:22" hidden="1" x14ac:dyDescent="0.25">
      <c r="A355" t="s">
        <v>77</v>
      </c>
      <c r="B355">
        <v>2</v>
      </c>
      <c r="C355" t="s">
        <v>47</v>
      </c>
      <c r="D355" t="s">
        <v>78</v>
      </c>
      <c r="E355" t="s">
        <v>79</v>
      </c>
      <c r="F355">
        <v>150</v>
      </c>
      <c r="G355">
        <v>1250</v>
      </c>
      <c r="H355">
        <v>-3</v>
      </c>
      <c r="I355">
        <v>1983</v>
      </c>
      <c r="J355" t="s">
        <v>32</v>
      </c>
      <c r="K355">
        <v>1596</v>
      </c>
      <c r="L355">
        <v>21.45</v>
      </c>
      <c r="M355">
        <v>16.760000000000002</v>
      </c>
      <c r="N355" s="4">
        <f t="shared" si="10"/>
        <v>3.6118046250000001E-2</v>
      </c>
      <c r="O355" s="4">
        <f t="shared" si="11"/>
        <v>0.60533845515000007</v>
      </c>
      <c r="P355">
        <v>75</v>
      </c>
      <c r="Q355">
        <v>3</v>
      </c>
      <c r="R355">
        <v>3.2</v>
      </c>
      <c r="S355">
        <v>3.3</v>
      </c>
      <c r="T355">
        <v>3.5</v>
      </c>
      <c r="U355">
        <v>3</v>
      </c>
      <c r="V355" t="s">
        <v>25</v>
      </c>
    </row>
    <row r="356" spans="1:22" hidden="1" x14ac:dyDescent="0.25">
      <c r="A356" t="s">
        <v>77</v>
      </c>
      <c r="B356">
        <v>2</v>
      </c>
      <c r="C356" t="s">
        <v>47</v>
      </c>
      <c r="D356" t="s">
        <v>78</v>
      </c>
      <c r="E356" t="s">
        <v>79</v>
      </c>
      <c r="F356">
        <v>150</v>
      </c>
      <c r="G356">
        <v>1250</v>
      </c>
      <c r="H356">
        <v>-3</v>
      </c>
      <c r="I356">
        <v>1983</v>
      </c>
      <c r="J356" t="s">
        <v>32</v>
      </c>
      <c r="K356">
        <v>2569</v>
      </c>
      <c r="L356">
        <v>15.15</v>
      </c>
      <c r="M356">
        <v>15.82</v>
      </c>
      <c r="N356" s="4">
        <f t="shared" si="10"/>
        <v>1.8017516250000001E-2</v>
      </c>
      <c r="O356" s="4">
        <f t="shared" si="11"/>
        <v>0.28503710707500002</v>
      </c>
      <c r="P356">
        <v>75</v>
      </c>
      <c r="Q356">
        <v>3</v>
      </c>
      <c r="R356">
        <v>3</v>
      </c>
      <c r="S356">
        <v>3.1</v>
      </c>
      <c r="T356">
        <v>3.4</v>
      </c>
      <c r="U356">
        <v>3</v>
      </c>
      <c r="V356" t="s">
        <v>25</v>
      </c>
    </row>
    <row r="357" spans="1:22" hidden="1" x14ac:dyDescent="0.25">
      <c r="A357" t="s">
        <v>77</v>
      </c>
      <c r="B357">
        <v>2</v>
      </c>
      <c r="C357" t="s">
        <v>47</v>
      </c>
      <c r="D357" t="s">
        <v>78</v>
      </c>
      <c r="E357" t="s">
        <v>79</v>
      </c>
      <c r="F357">
        <v>150</v>
      </c>
      <c r="G357">
        <v>1250</v>
      </c>
      <c r="H357">
        <v>-3</v>
      </c>
      <c r="I357">
        <v>1983</v>
      </c>
      <c r="J357" t="s">
        <v>33</v>
      </c>
      <c r="K357">
        <v>2568</v>
      </c>
      <c r="L357">
        <v>20.46</v>
      </c>
      <c r="M357">
        <v>19.260000000000002</v>
      </c>
      <c r="N357" s="4">
        <f t="shared" si="10"/>
        <v>3.2861010600000004E-2</v>
      </c>
      <c r="O357" s="4">
        <f t="shared" si="11"/>
        <v>0.63290306415600017</v>
      </c>
      <c r="P357">
        <v>50</v>
      </c>
      <c r="Q357">
        <v>3</v>
      </c>
      <c r="R357">
        <v>2.2000000000000002</v>
      </c>
      <c r="S357">
        <v>3.3</v>
      </c>
      <c r="T357">
        <v>3.3</v>
      </c>
      <c r="U357">
        <v>3</v>
      </c>
      <c r="V357" t="s">
        <v>25</v>
      </c>
    </row>
    <row r="358" spans="1:22" hidden="1" x14ac:dyDescent="0.25">
      <c r="A358" t="s">
        <v>77</v>
      </c>
      <c r="B358">
        <v>2</v>
      </c>
      <c r="C358" t="s">
        <v>47</v>
      </c>
      <c r="D358" t="s">
        <v>78</v>
      </c>
      <c r="E358" t="s">
        <v>79</v>
      </c>
      <c r="F358">
        <v>150</v>
      </c>
      <c r="G358">
        <v>1250</v>
      </c>
      <c r="H358">
        <v>-3</v>
      </c>
      <c r="I358">
        <v>1983</v>
      </c>
      <c r="J358" t="s">
        <v>34</v>
      </c>
      <c r="K358">
        <v>1522</v>
      </c>
      <c r="L358">
        <v>20.8</v>
      </c>
      <c r="M358">
        <v>15.41</v>
      </c>
      <c r="N358" s="4">
        <f t="shared" si="10"/>
        <v>3.3962240000000012E-2</v>
      </c>
      <c r="O358" s="4">
        <f t="shared" si="11"/>
        <v>0.52335811840000024</v>
      </c>
      <c r="P358">
        <v>25</v>
      </c>
      <c r="Q358">
        <v>3.5</v>
      </c>
      <c r="R358">
        <v>2.8</v>
      </c>
      <c r="S358">
        <v>3.3</v>
      </c>
      <c r="T358">
        <v>3.2</v>
      </c>
      <c r="U358">
        <v>3.5</v>
      </c>
      <c r="V358" t="s">
        <v>25</v>
      </c>
    </row>
    <row r="359" spans="1:22" hidden="1" x14ac:dyDescent="0.25">
      <c r="A359" t="s">
        <v>77</v>
      </c>
      <c r="B359">
        <v>2</v>
      </c>
      <c r="C359" t="s">
        <v>47</v>
      </c>
      <c r="D359" t="s">
        <v>78</v>
      </c>
      <c r="E359" t="s">
        <v>79</v>
      </c>
      <c r="F359">
        <v>150</v>
      </c>
      <c r="G359">
        <v>1250</v>
      </c>
      <c r="H359">
        <v>-3</v>
      </c>
      <c r="I359">
        <v>1983</v>
      </c>
      <c r="J359" t="s">
        <v>34</v>
      </c>
      <c r="K359">
        <v>2570</v>
      </c>
      <c r="L359">
        <v>22.98</v>
      </c>
      <c r="M359">
        <v>19.899999999999999</v>
      </c>
      <c r="N359" s="4">
        <f t="shared" si="10"/>
        <v>4.1454311399999999E-2</v>
      </c>
      <c r="O359" s="4">
        <f t="shared" si="11"/>
        <v>0.82494079685999988</v>
      </c>
      <c r="P359">
        <v>50</v>
      </c>
      <c r="Q359">
        <v>4</v>
      </c>
      <c r="R359">
        <v>2.7</v>
      </c>
      <c r="S359">
        <v>3.5</v>
      </c>
      <c r="T359">
        <v>3.3</v>
      </c>
      <c r="U359">
        <v>3.5</v>
      </c>
      <c r="V359" t="s">
        <v>27</v>
      </c>
    </row>
    <row r="360" spans="1:22" hidden="1" x14ac:dyDescent="0.25">
      <c r="A360" t="s">
        <v>77</v>
      </c>
      <c r="B360">
        <v>2</v>
      </c>
      <c r="C360" t="s">
        <v>47</v>
      </c>
      <c r="D360" t="s">
        <v>78</v>
      </c>
      <c r="E360" t="s">
        <v>79</v>
      </c>
      <c r="F360">
        <v>150</v>
      </c>
      <c r="G360">
        <v>1250</v>
      </c>
      <c r="H360">
        <v>-3</v>
      </c>
      <c r="I360">
        <v>1983</v>
      </c>
      <c r="J360" t="s">
        <v>35</v>
      </c>
      <c r="K360">
        <v>1788</v>
      </c>
      <c r="L360">
        <v>16.989999999999998</v>
      </c>
      <c r="M360">
        <v>16.52</v>
      </c>
      <c r="N360" s="4">
        <f t="shared" si="10"/>
        <v>2.265981785E-2</v>
      </c>
      <c r="O360" s="4">
        <f t="shared" si="11"/>
        <v>0.37434019088199999</v>
      </c>
      <c r="P360">
        <v>25</v>
      </c>
      <c r="Q360">
        <v>3</v>
      </c>
      <c r="R360">
        <v>2.7</v>
      </c>
      <c r="S360">
        <v>3.2</v>
      </c>
      <c r="T360">
        <v>3.7</v>
      </c>
      <c r="U360">
        <v>3.2</v>
      </c>
      <c r="V360" t="s">
        <v>38</v>
      </c>
    </row>
    <row r="361" spans="1:22" hidden="1" x14ac:dyDescent="0.25">
      <c r="A361" t="s">
        <v>77</v>
      </c>
      <c r="B361">
        <v>2</v>
      </c>
      <c r="C361" t="s">
        <v>47</v>
      </c>
      <c r="D361" t="s">
        <v>78</v>
      </c>
      <c r="E361" t="s">
        <v>79</v>
      </c>
      <c r="F361">
        <v>150</v>
      </c>
      <c r="G361">
        <v>1250</v>
      </c>
      <c r="H361">
        <v>-3</v>
      </c>
      <c r="I361">
        <v>1983</v>
      </c>
      <c r="J361" t="s">
        <v>35</v>
      </c>
      <c r="K361">
        <v>2571</v>
      </c>
      <c r="L361">
        <v>19.670000000000002</v>
      </c>
      <c r="M361">
        <v>20.14</v>
      </c>
      <c r="N361" s="4">
        <f t="shared" si="10"/>
        <v>3.0372348650000006E-2</v>
      </c>
      <c r="O361" s="4">
        <f t="shared" si="11"/>
        <v>0.61169910181100018</v>
      </c>
      <c r="P361">
        <v>50</v>
      </c>
      <c r="Q361">
        <v>3</v>
      </c>
      <c r="R361">
        <v>2</v>
      </c>
      <c r="S361">
        <v>3.3</v>
      </c>
      <c r="T361">
        <v>3.7</v>
      </c>
      <c r="U361">
        <v>4</v>
      </c>
      <c r="V361" t="s">
        <v>25</v>
      </c>
    </row>
    <row r="362" spans="1:22" hidden="1" x14ac:dyDescent="0.25">
      <c r="A362" t="s">
        <v>77</v>
      </c>
      <c r="B362">
        <v>2</v>
      </c>
      <c r="C362" t="s">
        <v>47</v>
      </c>
      <c r="D362" t="s">
        <v>78</v>
      </c>
      <c r="E362" t="s">
        <v>79</v>
      </c>
      <c r="F362">
        <v>150</v>
      </c>
      <c r="G362">
        <v>1250</v>
      </c>
      <c r="H362">
        <v>-3</v>
      </c>
      <c r="I362">
        <v>1983</v>
      </c>
      <c r="J362" t="s">
        <v>81</v>
      </c>
      <c r="K362">
        <v>2750</v>
      </c>
      <c r="L362">
        <v>29.47</v>
      </c>
      <c r="M362">
        <v>14.67</v>
      </c>
      <c r="N362" s="4">
        <f t="shared" si="10"/>
        <v>6.8175750649999978E-2</v>
      </c>
      <c r="O362" s="4">
        <f t="shared" si="11"/>
        <v>1.0001382620354997</v>
      </c>
      <c r="P362">
        <v>88</v>
      </c>
      <c r="Q362">
        <v>4</v>
      </c>
      <c r="R362">
        <v>4</v>
      </c>
      <c r="S362">
        <v>3</v>
      </c>
      <c r="T362">
        <v>3</v>
      </c>
      <c r="U362">
        <v>1.7</v>
      </c>
      <c r="V362" t="s">
        <v>27</v>
      </c>
    </row>
    <row r="363" spans="1:22" hidden="1" x14ac:dyDescent="0.25">
      <c r="A363" t="s">
        <v>77</v>
      </c>
      <c r="B363">
        <v>2</v>
      </c>
      <c r="C363" t="s">
        <v>47</v>
      </c>
      <c r="D363" t="s">
        <v>78</v>
      </c>
      <c r="E363" t="s">
        <v>79</v>
      </c>
      <c r="F363">
        <v>150</v>
      </c>
      <c r="G363">
        <v>1250</v>
      </c>
      <c r="H363">
        <v>-3</v>
      </c>
      <c r="I363">
        <v>1983</v>
      </c>
      <c r="J363" t="s">
        <v>36</v>
      </c>
      <c r="K363">
        <v>2573</v>
      </c>
      <c r="L363">
        <v>23.29</v>
      </c>
      <c r="M363">
        <v>17.739999999999998</v>
      </c>
      <c r="N363" s="4">
        <f t="shared" si="10"/>
        <v>4.258029185E-2</v>
      </c>
      <c r="O363" s="4">
        <f t="shared" si="11"/>
        <v>0.75537437741899993</v>
      </c>
      <c r="P363">
        <v>75</v>
      </c>
      <c r="Q363">
        <v>3</v>
      </c>
      <c r="R363">
        <v>3</v>
      </c>
      <c r="S363">
        <v>3</v>
      </c>
      <c r="T363">
        <v>3.5</v>
      </c>
      <c r="U363">
        <v>2.5</v>
      </c>
      <c r="V363" t="s">
        <v>27</v>
      </c>
    </row>
    <row r="364" spans="1:22" hidden="1" x14ac:dyDescent="0.25">
      <c r="A364" t="s">
        <v>77</v>
      </c>
      <c r="B364">
        <v>2</v>
      </c>
      <c r="C364" t="s">
        <v>47</v>
      </c>
      <c r="D364" t="s">
        <v>78</v>
      </c>
      <c r="E364" t="s">
        <v>79</v>
      </c>
      <c r="F364">
        <v>150</v>
      </c>
      <c r="G364">
        <v>1250</v>
      </c>
      <c r="H364">
        <v>-3</v>
      </c>
      <c r="I364">
        <v>1983</v>
      </c>
      <c r="J364" t="s">
        <v>62</v>
      </c>
      <c r="K364">
        <v>2550</v>
      </c>
      <c r="L364">
        <v>24.55</v>
      </c>
      <c r="M364">
        <v>15.98</v>
      </c>
      <c r="N364" s="4">
        <f t="shared" si="10"/>
        <v>4.7312146249999999E-2</v>
      </c>
      <c r="O364" s="4">
        <f t="shared" si="11"/>
        <v>0.75604809707499998</v>
      </c>
      <c r="P364">
        <v>13</v>
      </c>
      <c r="Q364">
        <v>3</v>
      </c>
      <c r="R364">
        <v>2.7</v>
      </c>
      <c r="S364">
        <v>4</v>
      </c>
      <c r="T364">
        <v>3.3</v>
      </c>
      <c r="U364">
        <v>3</v>
      </c>
      <c r="V364" t="s">
        <v>38</v>
      </c>
    </row>
    <row r="365" spans="1:22" hidden="1" x14ac:dyDescent="0.25">
      <c r="A365" t="s">
        <v>77</v>
      </c>
      <c r="B365">
        <v>2</v>
      </c>
      <c r="C365" t="s">
        <v>47</v>
      </c>
      <c r="D365" t="s">
        <v>78</v>
      </c>
      <c r="E365" t="s">
        <v>79</v>
      </c>
      <c r="F365">
        <v>150</v>
      </c>
      <c r="G365">
        <v>1250</v>
      </c>
      <c r="H365">
        <v>-3</v>
      </c>
      <c r="I365">
        <v>1983</v>
      </c>
      <c r="J365" t="s">
        <v>62</v>
      </c>
      <c r="K365">
        <v>2553</v>
      </c>
      <c r="L365">
        <v>23.53</v>
      </c>
      <c r="M365">
        <v>21.06</v>
      </c>
      <c r="N365" s="4">
        <f t="shared" si="10"/>
        <v>4.3462380650000007E-2</v>
      </c>
      <c r="O365" s="4">
        <f t="shared" si="11"/>
        <v>0.91531773648900006</v>
      </c>
      <c r="P365">
        <v>50</v>
      </c>
      <c r="Q365">
        <v>4.5</v>
      </c>
      <c r="R365">
        <v>3.5</v>
      </c>
      <c r="S365">
        <v>3.3</v>
      </c>
      <c r="T365">
        <v>3.2</v>
      </c>
      <c r="U365">
        <v>2.8</v>
      </c>
      <c r="V365" t="s">
        <v>25</v>
      </c>
    </row>
    <row r="366" spans="1:22" hidden="1" x14ac:dyDescent="0.25">
      <c r="A366" t="s">
        <v>77</v>
      </c>
      <c r="B366">
        <v>2</v>
      </c>
      <c r="C366" t="s">
        <v>47</v>
      </c>
      <c r="D366" t="s">
        <v>78</v>
      </c>
      <c r="E366" t="s">
        <v>79</v>
      </c>
      <c r="F366">
        <v>150</v>
      </c>
      <c r="G366">
        <v>1250</v>
      </c>
      <c r="H366">
        <v>-3</v>
      </c>
      <c r="I366">
        <v>1983</v>
      </c>
      <c r="J366" t="s">
        <v>37</v>
      </c>
      <c r="K366">
        <v>2575</v>
      </c>
      <c r="L366">
        <v>3.62</v>
      </c>
      <c r="M366">
        <v>6.03</v>
      </c>
      <c r="N366" s="4">
        <f t="shared" si="10"/>
        <v>1.0286954000000002E-3</v>
      </c>
      <c r="O366" s="4">
        <f t="shared" si="11"/>
        <v>6.2030332620000017E-3</v>
      </c>
      <c r="P366">
        <v>25</v>
      </c>
      <c r="Q366">
        <v>1</v>
      </c>
      <c r="R366">
        <v>3</v>
      </c>
      <c r="S366">
        <v>2.5</v>
      </c>
      <c r="T366">
        <v>2.5</v>
      </c>
      <c r="U366">
        <v>3</v>
      </c>
      <c r="V366" t="s">
        <v>50</v>
      </c>
    </row>
    <row r="367" spans="1:22" hidden="1" x14ac:dyDescent="0.25">
      <c r="A367" t="s">
        <v>77</v>
      </c>
      <c r="B367">
        <v>2</v>
      </c>
      <c r="C367" t="s">
        <v>47</v>
      </c>
      <c r="D367" t="s">
        <v>78</v>
      </c>
      <c r="E367" t="s">
        <v>79</v>
      </c>
      <c r="F367">
        <v>150</v>
      </c>
      <c r="G367">
        <v>1250</v>
      </c>
      <c r="H367">
        <v>-3</v>
      </c>
      <c r="I367">
        <v>1983</v>
      </c>
      <c r="J367" t="s">
        <v>26</v>
      </c>
      <c r="K367">
        <v>2552</v>
      </c>
      <c r="L367">
        <v>31.73</v>
      </c>
      <c r="M367">
        <v>18.88</v>
      </c>
      <c r="N367" s="4">
        <f t="shared" si="10"/>
        <v>7.9033242650000016E-2</v>
      </c>
      <c r="O367" s="4">
        <f t="shared" si="11"/>
        <v>1.4921476212320002</v>
      </c>
      <c r="P367">
        <v>63</v>
      </c>
      <c r="Q367">
        <v>3.8</v>
      </c>
      <c r="R367">
        <v>3.2</v>
      </c>
      <c r="S367">
        <v>3</v>
      </c>
      <c r="T367">
        <v>3</v>
      </c>
      <c r="U367">
        <v>2</v>
      </c>
      <c r="V367" t="s">
        <v>25</v>
      </c>
    </row>
    <row r="368" spans="1:22" hidden="1" x14ac:dyDescent="0.25">
      <c r="A368" t="s">
        <v>77</v>
      </c>
      <c r="B368">
        <v>2</v>
      </c>
      <c r="C368" t="s">
        <v>47</v>
      </c>
      <c r="D368" t="s">
        <v>78</v>
      </c>
      <c r="E368" t="s">
        <v>79</v>
      </c>
      <c r="F368">
        <v>150</v>
      </c>
      <c r="G368">
        <v>1250</v>
      </c>
      <c r="H368">
        <v>-3</v>
      </c>
      <c r="I368">
        <v>1983</v>
      </c>
      <c r="J368" t="s">
        <v>34</v>
      </c>
      <c r="K368">
        <v>2458</v>
      </c>
      <c r="L368">
        <v>18.88</v>
      </c>
      <c r="M368">
        <v>10.53</v>
      </c>
      <c r="N368" s="4">
        <f t="shared" si="10"/>
        <v>2.7981670400000002E-2</v>
      </c>
      <c r="O368" s="4">
        <f t="shared" si="11"/>
        <v>0.29464698931200001</v>
      </c>
      <c r="P368">
        <v>63</v>
      </c>
      <c r="Q368">
        <v>3.5</v>
      </c>
      <c r="R368">
        <v>3</v>
      </c>
      <c r="S368">
        <v>2</v>
      </c>
      <c r="T368">
        <v>2</v>
      </c>
      <c r="U368">
        <v>1.5</v>
      </c>
      <c r="V368" t="s">
        <v>38</v>
      </c>
    </row>
    <row r="369" spans="1:22" hidden="1" x14ac:dyDescent="0.25">
      <c r="A369" t="s">
        <v>77</v>
      </c>
      <c r="B369">
        <v>2</v>
      </c>
      <c r="C369" t="s">
        <v>47</v>
      </c>
      <c r="D369" t="s">
        <v>78</v>
      </c>
      <c r="E369" t="s">
        <v>79</v>
      </c>
      <c r="F369">
        <v>150</v>
      </c>
      <c r="G369">
        <v>1250</v>
      </c>
      <c r="H369">
        <v>-3</v>
      </c>
      <c r="I369">
        <v>1983</v>
      </c>
      <c r="J369" t="s">
        <v>62</v>
      </c>
      <c r="K369">
        <v>2574</v>
      </c>
      <c r="L369">
        <v>24.4</v>
      </c>
      <c r="M369">
        <v>20.329999999999998</v>
      </c>
      <c r="N369" s="4">
        <f t="shared" si="10"/>
        <v>4.6735760000000001E-2</v>
      </c>
      <c r="O369" s="4">
        <f t="shared" si="11"/>
        <v>0.95013800079999999</v>
      </c>
      <c r="P369">
        <v>75</v>
      </c>
      <c r="Q369">
        <v>4.5</v>
      </c>
      <c r="R369">
        <v>3.5</v>
      </c>
      <c r="S369">
        <v>3.3</v>
      </c>
      <c r="T369">
        <v>3.2</v>
      </c>
      <c r="U369">
        <v>2.8</v>
      </c>
      <c r="V369" t="s">
        <v>25</v>
      </c>
    </row>
    <row r="370" spans="1:22" hidden="1" x14ac:dyDescent="0.25">
      <c r="A370" t="s">
        <v>77</v>
      </c>
      <c r="B370">
        <v>3</v>
      </c>
      <c r="C370" t="s">
        <v>47</v>
      </c>
      <c r="D370" t="s">
        <v>78</v>
      </c>
      <c r="E370" t="s">
        <v>79</v>
      </c>
      <c r="F370">
        <v>150</v>
      </c>
      <c r="G370">
        <v>1250</v>
      </c>
      <c r="H370">
        <v>-3</v>
      </c>
      <c r="I370">
        <v>1983</v>
      </c>
      <c r="J370" t="s">
        <v>76</v>
      </c>
      <c r="K370">
        <v>1592</v>
      </c>
      <c r="L370">
        <v>18.399999999999999</v>
      </c>
      <c r="M370">
        <v>14.18</v>
      </c>
      <c r="N370" s="4">
        <f t="shared" si="10"/>
        <v>2.657696E-2</v>
      </c>
      <c r="O370" s="4">
        <f t="shared" si="11"/>
        <v>0.37686129279999997</v>
      </c>
      <c r="P370">
        <v>50</v>
      </c>
      <c r="Q370">
        <v>3.5</v>
      </c>
      <c r="R370">
        <v>3.2</v>
      </c>
      <c r="S370">
        <v>2</v>
      </c>
      <c r="T370">
        <v>2.5</v>
      </c>
      <c r="U370">
        <v>1.5</v>
      </c>
      <c r="V370" t="s">
        <v>25</v>
      </c>
    </row>
    <row r="371" spans="1:22" hidden="1" x14ac:dyDescent="0.25">
      <c r="A371" t="s">
        <v>77</v>
      </c>
      <c r="B371">
        <v>3</v>
      </c>
      <c r="C371" t="s">
        <v>47</v>
      </c>
      <c r="D371" t="s">
        <v>78</v>
      </c>
      <c r="E371" t="s">
        <v>79</v>
      </c>
      <c r="F371">
        <v>150</v>
      </c>
      <c r="G371">
        <v>1250</v>
      </c>
      <c r="H371">
        <v>-3</v>
      </c>
      <c r="I371">
        <v>1983</v>
      </c>
      <c r="J371" t="s">
        <v>76</v>
      </c>
      <c r="K371">
        <v>2560</v>
      </c>
      <c r="L371">
        <v>18.59</v>
      </c>
      <c r="M371">
        <v>8.26</v>
      </c>
      <c r="N371" s="4">
        <f t="shared" si="10"/>
        <v>2.7128665850000004E-2</v>
      </c>
      <c r="O371" s="4">
        <f t="shared" si="11"/>
        <v>0.22408277992100004</v>
      </c>
      <c r="P371">
        <v>13</v>
      </c>
      <c r="Q371">
        <v>2.5</v>
      </c>
      <c r="R371">
        <v>3.5</v>
      </c>
      <c r="S371">
        <v>2</v>
      </c>
      <c r="T371">
        <v>2</v>
      </c>
      <c r="U371">
        <v>2</v>
      </c>
      <c r="V371" t="s">
        <v>38</v>
      </c>
    </row>
    <row r="372" spans="1:22" hidden="1" x14ac:dyDescent="0.25">
      <c r="A372" t="s">
        <v>77</v>
      </c>
      <c r="B372">
        <v>3</v>
      </c>
      <c r="C372" t="s">
        <v>47</v>
      </c>
      <c r="D372" t="s">
        <v>78</v>
      </c>
      <c r="E372" t="s">
        <v>79</v>
      </c>
      <c r="F372">
        <v>150</v>
      </c>
      <c r="G372">
        <v>1250</v>
      </c>
      <c r="H372">
        <v>-3</v>
      </c>
      <c r="I372">
        <v>1983</v>
      </c>
      <c r="J372" t="s">
        <v>24</v>
      </c>
      <c r="K372">
        <v>2562</v>
      </c>
      <c r="L372">
        <v>14.87</v>
      </c>
      <c r="M372">
        <v>15.56</v>
      </c>
      <c r="N372" s="4">
        <f t="shared" si="10"/>
        <v>1.7357676650000001E-2</v>
      </c>
      <c r="O372" s="4">
        <f t="shared" si="11"/>
        <v>0.27008544867400003</v>
      </c>
      <c r="P372">
        <v>38</v>
      </c>
      <c r="Q372">
        <v>3.5</v>
      </c>
      <c r="R372">
        <v>3.5</v>
      </c>
      <c r="S372">
        <v>3.3</v>
      </c>
      <c r="T372">
        <v>3.3</v>
      </c>
      <c r="U372">
        <v>3</v>
      </c>
      <c r="V372" t="s">
        <v>25</v>
      </c>
    </row>
    <row r="373" spans="1:22" hidden="1" x14ac:dyDescent="0.25">
      <c r="A373" t="s">
        <v>77</v>
      </c>
      <c r="B373">
        <v>3</v>
      </c>
      <c r="C373" t="s">
        <v>47</v>
      </c>
      <c r="D373" t="s">
        <v>78</v>
      </c>
      <c r="E373" t="s">
        <v>79</v>
      </c>
      <c r="F373">
        <v>150</v>
      </c>
      <c r="G373">
        <v>1250</v>
      </c>
      <c r="H373">
        <v>-3</v>
      </c>
      <c r="I373">
        <v>1983</v>
      </c>
      <c r="J373" t="s">
        <v>59</v>
      </c>
      <c r="K373">
        <v>2548</v>
      </c>
      <c r="L373">
        <v>41.51</v>
      </c>
      <c r="M373">
        <v>14.6</v>
      </c>
      <c r="N373" s="4">
        <f t="shared" si="10"/>
        <v>0.13526178784999998</v>
      </c>
      <c r="O373" s="4">
        <f t="shared" si="11"/>
        <v>1.9748221026099997</v>
      </c>
      <c r="P373">
        <v>25</v>
      </c>
      <c r="Q373">
        <v>3</v>
      </c>
      <c r="R373">
        <v>3</v>
      </c>
      <c r="S373">
        <v>1.5</v>
      </c>
      <c r="T373">
        <v>1.5</v>
      </c>
      <c r="U373">
        <v>1</v>
      </c>
      <c r="V373" t="s">
        <v>38</v>
      </c>
    </row>
    <row r="374" spans="1:22" hidden="1" x14ac:dyDescent="0.25">
      <c r="A374" t="s">
        <v>77</v>
      </c>
      <c r="B374">
        <v>3</v>
      </c>
      <c r="C374" t="s">
        <v>47</v>
      </c>
      <c r="D374" t="s">
        <v>78</v>
      </c>
      <c r="E374" t="s">
        <v>79</v>
      </c>
      <c r="F374">
        <v>150</v>
      </c>
      <c r="G374">
        <v>1250</v>
      </c>
      <c r="H374">
        <v>-3</v>
      </c>
      <c r="I374">
        <v>1983</v>
      </c>
      <c r="J374" t="s">
        <v>32</v>
      </c>
      <c r="K374">
        <v>1596</v>
      </c>
      <c r="L374">
        <v>19.04</v>
      </c>
      <c r="M374">
        <v>14.75</v>
      </c>
      <c r="N374" s="4">
        <f t="shared" si="10"/>
        <v>2.8457945599999996E-2</v>
      </c>
      <c r="O374" s="4">
        <f t="shared" si="11"/>
        <v>0.41975469759999995</v>
      </c>
      <c r="P374">
        <v>50</v>
      </c>
      <c r="Q374">
        <v>3.5</v>
      </c>
      <c r="R374">
        <v>4</v>
      </c>
      <c r="S374">
        <v>2.5</v>
      </c>
      <c r="T374">
        <v>2.5</v>
      </c>
      <c r="U374">
        <v>2</v>
      </c>
      <c r="V374" t="s">
        <v>25</v>
      </c>
    </row>
    <row r="375" spans="1:22" hidden="1" x14ac:dyDescent="0.25">
      <c r="A375" t="s">
        <v>77</v>
      </c>
      <c r="B375">
        <v>3</v>
      </c>
      <c r="C375" t="s">
        <v>47</v>
      </c>
      <c r="D375" t="s">
        <v>78</v>
      </c>
      <c r="E375" t="s">
        <v>79</v>
      </c>
      <c r="F375">
        <v>150</v>
      </c>
      <c r="G375">
        <v>1250</v>
      </c>
      <c r="H375">
        <v>-3</v>
      </c>
      <c r="I375">
        <v>1983</v>
      </c>
      <c r="J375" t="s">
        <v>32</v>
      </c>
      <c r="K375">
        <v>2569</v>
      </c>
      <c r="L375">
        <v>15.55</v>
      </c>
      <c r="M375">
        <v>12.87</v>
      </c>
      <c r="N375" s="4">
        <f t="shared" si="10"/>
        <v>1.898149625E-2</v>
      </c>
      <c r="O375" s="4">
        <f t="shared" si="11"/>
        <v>0.24429185673749998</v>
      </c>
      <c r="P375">
        <v>63</v>
      </c>
      <c r="Q375">
        <v>3</v>
      </c>
      <c r="R375">
        <v>3</v>
      </c>
      <c r="S375">
        <v>2.5</v>
      </c>
      <c r="T375">
        <v>3</v>
      </c>
      <c r="U375">
        <v>2</v>
      </c>
      <c r="V375" t="s">
        <v>25</v>
      </c>
    </row>
    <row r="376" spans="1:22" hidden="1" x14ac:dyDescent="0.25">
      <c r="A376" t="s">
        <v>77</v>
      </c>
      <c r="B376">
        <v>3</v>
      </c>
      <c r="C376" t="s">
        <v>47</v>
      </c>
      <c r="D376" t="s">
        <v>78</v>
      </c>
      <c r="E376" t="s">
        <v>79</v>
      </c>
      <c r="F376">
        <v>150</v>
      </c>
      <c r="G376">
        <v>1250</v>
      </c>
      <c r="H376">
        <v>-3</v>
      </c>
      <c r="I376">
        <v>1983</v>
      </c>
      <c r="J376" t="s">
        <v>33</v>
      </c>
      <c r="K376">
        <v>2547</v>
      </c>
      <c r="L376">
        <v>25.4</v>
      </c>
      <c r="M376">
        <v>18.75</v>
      </c>
      <c r="N376" s="4">
        <f t="shared" si="10"/>
        <v>5.0645060000000006E-2</v>
      </c>
      <c r="O376" s="4">
        <f t="shared" si="11"/>
        <v>0.94959487500000006</v>
      </c>
      <c r="P376">
        <v>13</v>
      </c>
      <c r="Q376">
        <v>3.7</v>
      </c>
      <c r="R376">
        <v>2.7</v>
      </c>
      <c r="S376">
        <v>2</v>
      </c>
      <c r="T376">
        <v>2.5</v>
      </c>
      <c r="U376">
        <v>2.2999999999999998</v>
      </c>
      <c r="V376" t="s">
        <v>38</v>
      </c>
    </row>
    <row r="377" spans="1:22" hidden="1" x14ac:dyDescent="0.25">
      <c r="A377" t="s">
        <v>77</v>
      </c>
      <c r="B377">
        <v>3</v>
      </c>
      <c r="C377" t="s">
        <v>47</v>
      </c>
      <c r="D377" t="s">
        <v>78</v>
      </c>
      <c r="E377" t="s">
        <v>79</v>
      </c>
      <c r="F377">
        <v>150</v>
      </c>
      <c r="G377">
        <v>1250</v>
      </c>
      <c r="H377">
        <v>-3</v>
      </c>
      <c r="I377">
        <v>1983</v>
      </c>
      <c r="J377" t="s">
        <v>33</v>
      </c>
      <c r="K377">
        <v>2568</v>
      </c>
      <c r="L377">
        <v>47.73</v>
      </c>
      <c r="M377">
        <v>18.55</v>
      </c>
      <c r="N377" s="4">
        <f t="shared" si="10"/>
        <v>0.17883500264999996</v>
      </c>
      <c r="O377" s="4">
        <f t="shared" si="11"/>
        <v>3.3173892991574996</v>
      </c>
      <c r="P377">
        <v>13</v>
      </c>
      <c r="Q377">
        <v>3.5</v>
      </c>
      <c r="R377">
        <v>2.7</v>
      </c>
      <c r="S377">
        <v>2</v>
      </c>
      <c r="T377">
        <v>2</v>
      </c>
      <c r="U377">
        <v>2</v>
      </c>
      <c r="V377" t="s">
        <v>25</v>
      </c>
    </row>
    <row r="378" spans="1:22" hidden="1" x14ac:dyDescent="0.25">
      <c r="A378" t="s">
        <v>77</v>
      </c>
      <c r="B378">
        <v>3</v>
      </c>
      <c r="C378" t="s">
        <v>47</v>
      </c>
      <c r="D378" t="s">
        <v>78</v>
      </c>
      <c r="E378" t="s">
        <v>79</v>
      </c>
      <c r="F378">
        <v>150</v>
      </c>
      <c r="G378">
        <v>1250</v>
      </c>
      <c r="H378">
        <v>-3</v>
      </c>
      <c r="I378">
        <v>1983</v>
      </c>
      <c r="J378" t="s">
        <v>34</v>
      </c>
      <c r="K378">
        <v>1522</v>
      </c>
      <c r="L378">
        <v>21.7</v>
      </c>
      <c r="M378">
        <v>17.329999999999998</v>
      </c>
      <c r="N378" s="4">
        <f t="shared" si="10"/>
        <v>3.6964865E-2</v>
      </c>
      <c r="O378" s="4">
        <f t="shared" si="11"/>
        <v>0.6406011104499999</v>
      </c>
      <c r="P378">
        <v>25</v>
      </c>
      <c r="Q378">
        <v>3.3</v>
      </c>
      <c r="R378">
        <v>3</v>
      </c>
      <c r="S378">
        <v>3</v>
      </c>
      <c r="T378">
        <v>3</v>
      </c>
      <c r="U378">
        <v>3</v>
      </c>
      <c r="V378" t="s">
        <v>25</v>
      </c>
    </row>
    <row r="379" spans="1:22" hidden="1" x14ac:dyDescent="0.25">
      <c r="A379" t="s">
        <v>77</v>
      </c>
      <c r="B379">
        <v>3</v>
      </c>
      <c r="C379" t="s">
        <v>47</v>
      </c>
      <c r="D379" t="s">
        <v>78</v>
      </c>
      <c r="E379" t="s">
        <v>79</v>
      </c>
      <c r="F379">
        <v>150</v>
      </c>
      <c r="G379">
        <v>1250</v>
      </c>
      <c r="H379">
        <v>-3</v>
      </c>
      <c r="I379">
        <v>1983</v>
      </c>
      <c r="J379" t="s">
        <v>34</v>
      </c>
      <c r="K379">
        <v>2570</v>
      </c>
      <c r="L379">
        <v>34.67</v>
      </c>
      <c r="M379">
        <v>15.41</v>
      </c>
      <c r="N379" s="4">
        <f t="shared" si="10"/>
        <v>9.4357698650000002E-2</v>
      </c>
      <c r="O379" s="4">
        <f t="shared" si="11"/>
        <v>1.4540521361965</v>
      </c>
      <c r="P379">
        <v>13</v>
      </c>
      <c r="Q379">
        <v>4</v>
      </c>
      <c r="R379">
        <v>3</v>
      </c>
      <c r="S379">
        <v>2.5</v>
      </c>
      <c r="T379">
        <v>2.5</v>
      </c>
      <c r="U379">
        <v>2</v>
      </c>
      <c r="V379" t="s">
        <v>38</v>
      </c>
    </row>
    <row r="380" spans="1:22" hidden="1" x14ac:dyDescent="0.25">
      <c r="A380" t="s">
        <v>77</v>
      </c>
      <c r="B380">
        <v>3</v>
      </c>
      <c r="C380" t="s">
        <v>47</v>
      </c>
      <c r="D380" t="s">
        <v>78</v>
      </c>
      <c r="E380" t="s">
        <v>79</v>
      </c>
      <c r="F380">
        <v>150</v>
      </c>
      <c r="G380">
        <v>1250</v>
      </c>
      <c r="H380">
        <v>-3</v>
      </c>
      <c r="I380">
        <v>1983</v>
      </c>
      <c r="J380" t="s">
        <v>35</v>
      </c>
      <c r="K380">
        <v>1788</v>
      </c>
      <c r="L380">
        <v>7.4</v>
      </c>
      <c r="M380">
        <v>13.38</v>
      </c>
      <c r="N380" s="4">
        <f t="shared" si="10"/>
        <v>4.2986600000000019E-3</v>
      </c>
      <c r="O380" s="4">
        <f t="shared" si="11"/>
        <v>5.7516070800000027E-2</v>
      </c>
      <c r="P380">
        <v>25</v>
      </c>
      <c r="Q380">
        <v>1</v>
      </c>
      <c r="R380">
        <v>2</v>
      </c>
      <c r="S380">
        <v>3.2</v>
      </c>
      <c r="T380">
        <v>3</v>
      </c>
      <c r="U380">
        <v>3</v>
      </c>
      <c r="V380" t="s">
        <v>50</v>
      </c>
    </row>
    <row r="381" spans="1:22" hidden="1" x14ac:dyDescent="0.25">
      <c r="A381" t="s">
        <v>77</v>
      </c>
      <c r="B381">
        <v>3</v>
      </c>
      <c r="C381" t="s">
        <v>47</v>
      </c>
      <c r="D381" t="s">
        <v>78</v>
      </c>
      <c r="E381" t="s">
        <v>79</v>
      </c>
      <c r="F381">
        <v>150</v>
      </c>
      <c r="G381">
        <v>1250</v>
      </c>
      <c r="H381">
        <v>-3</v>
      </c>
      <c r="I381">
        <v>1983</v>
      </c>
      <c r="J381" t="s">
        <v>35</v>
      </c>
      <c r="K381">
        <v>2571</v>
      </c>
      <c r="L381">
        <v>22.03</v>
      </c>
      <c r="M381">
        <v>19.34</v>
      </c>
      <c r="N381" s="4">
        <f t="shared" si="10"/>
        <v>3.8097690650000016E-2</v>
      </c>
      <c r="O381" s="4">
        <f t="shared" si="11"/>
        <v>0.73680933717100028</v>
      </c>
      <c r="P381">
        <v>50</v>
      </c>
      <c r="Q381">
        <v>4</v>
      </c>
      <c r="R381">
        <v>2.5</v>
      </c>
      <c r="S381">
        <v>3.3</v>
      </c>
      <c r="T381">
        <v>3.3</v>
      </c>
      <c r="U381">
        <v>3</v>
      </c>
      <c r="V381" t="s">
        <v>27</v>
      </c>
    </row>
    <row r="382" spans="1:22" hidden="1" x14ac:dyDescent="0.25">
      <c r="A382" t="s">
        <v>77</v>
      </c>
      <c r="B382">
        <v>3</v>
      </c>
      <c r="C382" t="s">
        <v>47</v>
      </c>
      <c r="D382" t="s">
        <v>78</v>
      </c>
      <c r="E382" t="s">
        <v>79</v>
      </c>
      <c r="F382">
        <v>150</v>
      </c>
      <c r="G382">
        <v>1250</v>
      </c>
      <c r="H382">
        <v>-3</v>
      </c>
      <c r="I382">
        <v>1983</v>
      </c>
      <c r="J382" t="s">
        <v>81</v>
      </c>
      <c r="K382">
        <v>2750</v>
      </c>
      <c r="L382">
        <v>32.75</v>
      </c>
      <c r="M382">
        <v>16.37</v>
      </c>
      <c r="N382" s="4">
        <f t="shared" si="10"/>
        <v>8.4196156250000015E-2</v>
      </c>
      <c r="O382" s="4">
        <f t="shared" si="11"/>
        <v>1.3782910778125004</v>
      </c>
      <c r="P382">
        <v>50</v>
      </c>
      <c r="Q382">
        <v>4</v>
      </c>
      <c r="R382">
        <v>4</v>
      </c>
      <c r="S382">
        <v>2</v>
      </c>
      <c r="T382">
        <v>2</v>
      </c>
      <c r="U382">
        <v>2</v>
      </c>
      <c r="V382" t="s">
        <v>27</v>
      </c>
    </row>
    <row r="383" spans="1:22" hidden="1" x14ac:dyDescent="0.25">
      <c r="A383" t="s">
        <v>77</v>
      </c>
      <c r="B383">
        <v>3</v>
      </c>
      <c r="C383" t="s">
        <v>47</v>
      </c>
      <c r="D383" t="s">
        <v>78</v>
      </c>
      <c r="E383" t="s">
        <v>79</v>
      </c>
      <c r="F383">
        <v>150</v>
      </c>
      <c r="G383">
        <v>1250</v>
      </c>
      <c r="H383">
        <v>-3</v>
      </c>
      <c r="I383">
        <v>1983</v>
      </c>
      <c r="J383" t="s">
        <v>36</v>
      </c>
      <c r="K383">
        <v>2573</v>
      </c>
      <c r="L383">
        <v>27.4</v>
      </c>
      <c r="M383">
        <v>17.899999999999999</v>
      </c>
      <c r="N383" s="4">
        <f t="shared" si="10"/>
        <v>5.8934659999999986E-2</v>
      </c>
      <c r="O383" s="4">
        <f t="shared" si="11"/>
        <v>1.0549304139999998</v>
      </c>
      <c r="P383">
        <v>38</v>
      </c>
      <c r="Q383">
        <v>3</v>
      </c>
      <c r="R383">
        <v>3.3</v>
      </c>
      <c r="S383">
        <v>2.5</v>
      </c>
      <c r="T383">
        <v>3</v>
      </c>
      <c r="U383">
        <v>2</v>
      </c>
      <c r="V383" t="s">
        <v>25</v>
      </c>
    </row>
    <row r="384" spans="1:22" hidden="1" x14ac:dyDescent="0.25">
      <c r="A384" t="s">
        <v>77</v>
      </c>
      <c r="B384">
        <v>3</v>
      </c>
      <c r="C384" t="s">
        <v>47</v>
      </c>
      <c r="D384" t="s">
        <v>78</v>
      </c>
      <c r="E384" t="s">
        <v>79</v>
      </c>
      <c r="F384">
        <v>150</v>
      </c>
      <c r="G384">
        <v>1250</v>
      </c>
      <c r="H384">
        <v>-3</v>
      </c>
      <c r="I384">
        <v>1983</v>
      </c>
      <c r="J384" t="s">
        <v>62</v>
      </c>
      <c r="K384">
        <v>2550</v>
      </c>
      <c r="L384">
        <v>23.1</v>
      </c>
      <c r="M384">
        <v>18.59</v>
      </c>
      <c r="N384" s="4">
        <f t="shared" si="10"/>
        <v>4.1888385000000007E-2</v>
      </c>
      <c r="O384" s="4">
        <f t="shared" si="11"/>
        <v>0.77870507715000015</v>
      </c>
      <c r="P384">
        <v>63</v>
      </c>
      <c r="Q384">
        <v>4</v>
      </c>
      <c r="R384">
        <v>3.5</v>
      </c>
      <c r="S384">
        <v>3.3</v>
      </c>
      <c r="T384">
        <v>3.3</v>
      </c>
      <c r="U384">
        <v>3</v>
      </c>
      <c r="V384" t="s">
        <v>25</v>
      </c>
    </row>
    <row r="385" spans="1:22" hidden="1" x14ac:dyDescent="0.25">
      <c r="A385" t="s">
        <v>77</v>
      </c>
      <c r="B385">
        <v>3</v>
      </c>
      <c r="C385" t="s">
        <v>47</v>
      </c>
      <c r="D385" t="s">
        <v>78</v>
      </c>
      <c r="E385" t="s">
        <v>79</v>
      </c>
      <c r="F385">
        <v>150</v>
      </c>
      <c r="G385">
        <v>1250</v>
      </c>
      <c r="H385">
        <v>-3</v>
      </c>
      <c r="I385">
        <v>1983</v>
      </c>
      <c r="J385" t="s">
        <v>62</v>
      </c>
      <c r="K385">
        <v>2553</v>
      </c>
      <c r="L385">
        <v>20.34</v>
      </c>
      <c r="M385">
        <v>18.45</v>
      </c>
      <c r="N385" s="4">
        <f t="shared" si="10"/>
        <v>3.2476674600000005E-2</v>
      </c>
      <c r="O385" s="4">
        <f t="shared" si="11"/>
        <v>0.59919464637000008</v>
      </c>
      <c r="P385">
        <v>75</v>
      </c>
      <c r="Q385">
        <v>3.5</v>
      </c>
      <c r="R385">
        <v>3</v>
      </c>
      <c r="S385">
        <v>3.3</v>
      </c>
      <c r="T385">
        <v>3.3</v>
      </c>
      <c r="U385">
        <v>3</v>
      </c>
      <c r="V385" t="s">
        <v>25</v>
      </c>
    </row>
    <row r="386" spans="1:22" hidden="1" x14ac:dyDescent="0.25">
      <c r="A386" t="s">
        <v>77</v>
      </c>
      <c r="B386">
        <v>3</v>
      </c>
      <c r="C386" t="s">
        <v>47</v>
      </c>
      <c r="D386" t="s">
        <v>78</v>
      </c>
      <c r="E386" t="s">
        <v>79</v>
      </c>
      <c r="F386">
        <v>150</v>
      </c>
      <c r="G386">
        <v>1250</v>
      </c>
      <c r="H386">
        <v>-3</v>
      </c>
      <c r="I386">
        <v>1983</v>
      </c>
      <c r="J386" t="s">
        <v>37</v>
      </c>
      <c r="K386">
        <v>2575</v>
      </c>
      <c r="L386">
        <v>5.18</v>
      </c>
      <c r="M386">
        <v>4.82</v>
      </c>
      <c r="N386" s="4">
        <f t="shared" si="10"/>
        <v>2.1063434000000002E-3</v>
      </c>
      <c r="O386" s="4">
        <f t="shared" si="11"/>
        <v>1.0152575188000001E-2</v>
      </c>
      <c r="P386">
        <v>38</v>
      </c>
      <c r="Q386">
        <v>1</v>
      </c>
      <c r="R386">
        <v>2</v>
      </c>
      <c r="S386">
        <v>2</v>
      </c>
      <c r="T386">
        <v>2</v>
      </c>
      <c r="U386">
        <v>2</v>
      </c>
      <c r="V386" t="s">
        <v>50</v>
      </c>
    </row>
    <row r="387" spans="1:22" hidden="1" x14ac:dyDescent="0.25">
      <c r="A387" t="s">
        <v>77</v>
      </c>
      <c r="B387">
        <v>3</v>
      </c>
      <c r="C387" t="s">
        <v>47</v>
      </c>
      <c r="D387" t="s">
        <v>78</v>
      </c>
      <c r="E387" t="s">
        <v>79</v>
      </c>
      <c r="F387">
        <v>150</v>
      </c>
      <c r="G387">
        <v>1250</v>
      </c>
      <c r="H387">
        <v>-3</v>
      </c>
      <c r="I387">
        <v>1983</v>
      </c>
      <c r="J387" t="s">
        <v>26</v>
      </c>
      <c r="K387">
        <v>2552</v>
      </c>
      <c r="L387">
        <v>15.05</v>
      </c>
      <c r="M387">
        <v>9.0500000000000007</v>
      </c>
      <c r="N387" s="4">
        <f t="shared" ref="N387:N450" si="12">3.14/4*((L387/100)^2)</f>
        <v>1.7780446249999998E-2</v>
      </c>
      <c r="O387" s="4">
        <f t="shared" ref="O387:O450" si="13">3.14/4*((L387/100)^2)*M387</f>
        <v>0.1609130385625</v>
      </c>
      <c r="P387">
        <v>25</v>
      </c>
      <c r="Q387">
        <v>4</v>
      </c>
      <c r="R387">
        <v>4</v>
      </c>
      <c r="S387">
        <v>2</v>
      </c>
      <c r="T387">
        <v>1.5</v>
      </c>
      <c r="U387">
        <v>1</v>
      </c>
      <c r="V387" t="s">
        <v>38</v>
      </c>
    </row>
    <row r="388" spans="1:22" hidden="1" x14ac:dyDescent="0.25">
      <c r="A388" t="s">
        <v>77</v>
      </c>
      <c r="B388">
        <v>3</v>
      </c>
      <c r="C388" t="s">
        <v>47</v>
      </c>
      <c r="D388" t="s">
        <v>78</v>
      </c>
      <c r="E388" t="s">
        <v>79</v>
      </c>
      <c r="F388">
        <v>150</v>
      </c>
      <c r="G388">
        <v>1250</v>
      </c>
      <c r="H388">
        <v>-3</v>
      </c>
      <c r="I388">
        <v>1983</v>
      </c>
      <c r="J388" t="s">
        <v>62</v>
      </c>
      <c r="K388">
        <v>2574</v>
      </c>
      <c r="L388">
        <v>22.08</v>
      </c>
      <c r="M388">
        <v>21.79</v>
      </c>
      <c r="N388" s="4">
        <f t="shared" si="12"/>
        <v>3.8270822400000001E-2</v>
      </c>
      <c r="O388" s="4">
        <f t="shared" si="13"/>
        <v>0.833921220096</v>
      </c>
      <c r="P388">
        <v>50</v>
      </c>
      <c r="Q388">
        <v>3.5</v>
      </c>
      <c r="R388">
        <v>3</v>
      </c>
      <c r="S388">
        <v>3.3</v>
      </c>
      <c r="T388">
        <v>3.3</v>
      </c>
      <c r="U388">
        <v>3</v>
      </c>
      <c r="V388" t="s">
        <v>25</v>
      </c>
    </row>
    <row r="389" spans="1:22" hidden="1" x14ac:dyDescent="0.25">
      <c r="A389" t="s">
        <v>77</v>
      </c>
      <c r="B389">
        <v>3</v>
      </c>
      <c r="C389" t="s">
        <v>47</v>
      </c>
      <c r="D389" t="s">
        <v>78</v>
      </c>
      <c r="E389" t="s">
        <v>79</v>
      </c>
      <c r="F389">
        <v>150</v>
      </c>
      <c r="G389">
        <v>1250</v>
      </c>
      <c r="H389">
        <v>-3</v>
      </c>
      <c r="I389">
        <v>1983</v>
      </c>
      <c r="J389" t="s">
        <v>32</v>
      </c>
      <c r="K389">
        <v>2634</v>
      </c>
      <c r="L389">
        <v>26.28</v>
      </c>
      <c r="M389">
        <v>20.11</v>
      </c>
      <c r="N389" s="4">
        <f t="shared" si="12"/>
        <v>5.4215114400000014E-2</v>
      </c>
      <c r="O389" s="4">
        <f t="shared" si="13"/>
        <v>1.0902659505840002</v>
      </c>
      <c r="P389">
        <v>25</v>
      </c>
      <c r="Q389">
        <v>3.1</v>
      </c>
      <c r="R389">
        <v>3</v>
      </c>
      <c r="S389">
        <v>3</v>
      </c>
      <c r="T389">
        <v>3</v>
      </c>
      <c r="U389">
        <v>2</v>
      </c>
      <c r="V389" t="s">
        <v>25</v>
      </c>
    </row>
    <row r="390" spans="1:22" hidden="1" x14ac:dyDescent="0.25">
      <c r="A390" t="s">
        <v>82</v>
      </c>
      <c r="B390">
        <v>1</v>
      </c>
      <c r="C390" t="s">
        <v>66</v>
      </c>
      <c r="D390" t="s">
        <v>67</v>
      </c>
      <c r="E390" t="s">
        <v>68</v>
      </c>
      <c r="F390">
        <v>180</v>
      </c>
      <c r="G390">
        <v>1080</v>
      </c>
      <c r="H390">
        <v>-3</v>
      </c>
      <c r="I390">
        <v>1983</v>
      </c>
      <c r="J390" t="s">
        <v>24</v>
      </c>
      <c r="K390">
        <v>2562</v>
      </c>
      <c r="L390">
        <v>17.41</v>
      </c>
      <c r="M390">
        <v>12.44</v>
      </c>
      <c r="N390" s="4">
        <f t="shared" si="12"/>
        <v>2.3793985850000001E-2</v>
      </c>
      <c r="O390" s="4">
        <f t="shared" si="13"/>
        <v>0.29599718397399999</v>
      </c>
      <c r="P390">
        <v>50</v>
      </c>
      <c r="Q390">
        <v>3.5</v>
      </c>
      <c r="R390">
        <v>3.3</v>
      </c>
      <c r="S390">
        <v>3</v>
      </c>
      <c r="T390">
        <v>3.5</v>
      </c>
      <c r="U390">
        <v>3</v>
      </c>
      <c r="V390" t="s">
        <v>25</v>
      </c>
    </row>
    <row r="391" spans="1:22" hidden="1" x14ac:dyDescent="0.25">
      <c r="A391" t="s">
        <v>82</v>
      </c>
      <c r="B391">
        <v>1</v>
      </c>
      <c r="C391" t="s">
        <v>66</v>
      </c>
      <c r="D391" t="s">
        <v>67</v>
      </c>
      <c r="E391" t="s">
        <v>68</v>
      </c>
      <c r="F391">
        <v>180</v>
      </c>
      <c r="G391">
        <v>1080</v>
      </c>
      <c r="H391">
        <v>-3</v>
      </c>
      <c r="I391">
        <v>1983</v>
      </c>
      <c r="J391" t="s">
        <v>80</v>
      </c>
      <c r="K391">
        <v>1252</v>
      </c>
      <c r="L391">
        <v>12.96</v>
      </c>
      <c r="M391">
        <v>11.21</v>
      </c>
      <c r="N391" s="4">
        <f t="shared" si="12"/>
        <v>1.3184985600000004E-2</v>
      </c>
      <c r="O391" s="4">
        <f t="shared" si="13"/>
        <v>0.14780368857600007</v>
      </c>
      <c r="P391">
        <v>88</v>
      </c>
      <c r="Q391">
        <v>4</v>
      </c>
      <c r="R391">
        <v>4</v>
      </c>
      <c r="S391">
        <v>2.5</v>
      </c>
      <c r="T391">
        <v>2</v>
      </c>
      <c r="U391">
        <v>2</v>
      </c>
      <c r="V391" t="s">
        <v>38</v>
      </c>
    </row>
    <row r="392" spans="1:22" hidden="1" x14ac:dyDescent="0.25">
      <c r="A392" t="s">
        <v>82</v>
      </c>
      <c r="B392">
        <v>1</v>
      </c>
      <c r="C392" t="s">
        <v>66</v>
      </c>
      <c r="D392" t="s">
        <v>67</v>
      </c>
      <c r="E392" t="s">
        <v>68</v>
      </c>
      <c r="F392">
        <v>180</v>
      </c>
      <c r="G392">
        <v>1080</v>
      </c>
      <c r="H392">
        <v>-3</v>
      </c>
      <c r="I392">
        <v>1983</v>
      </c>
      <c r="J392" t="s">
        <v>24</v>
      </c>
      <c r="K392">
        <v>1</v>
      </c>
      <c r="L392">
        <v>6.77</v>
      </c>
      <c r="M392">
        <v>7.19</v>
      </c>
      <c r="N392" s="4">
        <f t="shared" si="12"/>
        <v>3.5978826499999997E-3</v>
      </c>
      <c r="O392" s="4">
        <f t="shared" si="13"/>
        <v>2.5868776253499998E-2</v>
      </c>
      <c r="P392">
        <v>75</v>
      </c>
      <c r="Q392">
        <v>3</v>
      </c>
      <c r="R392">
        <v>3</v>
      </c>
      <c r="S392">
        <v>2.7</v>
      </c>
      <c r="T392">
        <v>3</v>
      </c>
      <c r="U392">
        <v>3</v>
      </c>
      <c r="V392" t="s">
        <v>38</v>
      </c>
    </row>
    <row r="393" spans="1:22" hidden="1" x14ac:dyDescent="0.25">
      <c r="A393" t="s">
        <v>82</v>
      </c>
      <c r="B393">
        <v>1</v>
      </c>
      <c r="C393" t="s">
        <v>66</v>
      </c>
      <c r="D393" t="s">
        <v>67</v>
      </c>
      <c r="E393" t="s">
        <v>68</v>
      </c>
      <c r="F393">
        <v>180</v>
      </c>
      <c r="G393">
        <v>1080</v>
      </c>
      <c r="H393">
        <v>-3</v>
      </c>
      <c r="I393">
        <v>1983</v>
      </c>
      <c r="J393" t="s">
        <v>59</v>
      </c>
      <c r="K393">
        <v>2548</v>
      </c>
      <c r="L393">
        <v>2.95</v>
      </c>
      <c r="M393">
        <v>4.43</v>
      </c>
      <c r="N393" s="4">
        <f t="shared" si="12"/>
        <v>6.8314625000000012E-4</v>
      </c>
      <c r="O393" s="4">
        <f t="shared" si="13"/>
        <v>3.0263378875000002E-3</v>
      </c>
      <c r="P393">
        <v>13</v>
      </c>
      <c r="Q393">
        <v>1</v>
      </c>
      <c r="R393">
        <v>2</v>
      </c>
      <c r="S393">
        <v>3</v>
      </c>
      <c r="T393">
        <v>3</v>
      </c>
      <c r="U393">
        <v>3</v>
      </c>
      <c r="V393" t="s">
        <v>50</v>
      </c>
    </row>
    <row r="394" spans="1:22" hidden="1" x14ac:dyDescent="0.25">
      <c r="A394" t="s">
        <v>82</v>
      </c>
      <c r="B394">
        <v>1</v>
      </c>
      <c r="C394" t="s">
        <v>66</v>
      </c>
      <c r="D394" t="s">
        <v>67</v>
      </c>
      <c r="E394" t="s">
        <v>68</v>
      </c>
      <c r="F394">
        <v>180</v>
      </c>
      <c r="G394">
        <v>1080</v>
      </c>
      <c r="H394">
        <v>-3</v>
      </c>
      <c r="I394">
        <v>1983</v>
      </c>
      <c r="J394" t="s">
        <v>32</v>
      </c>
      <c r="K394">
        <v>1596</v>
      </c>
      <c r="L394">
        <v>7.68</v>
      </c>
      <c r="M394">
        <v>6.56</v>
      </c>
      <c r="N394" s="4">
        <f t="shared" si="12"/>
        <v>4.6301183999999992E-3</v>
      </c>
      <c r="O394" s="4">
        <f t="shared" si="13"/>
        <v>3.0373576703999993E-2</v>
      </c>
      <c r="P394">
        <v>50</v>
      </c>
      <c r="Q394">
        <v>3</v>
      </c>
      <c r="R394">
        <v>3.5</v>
      </c>
      <c r="S394">
        <v>3.5</v>
      </c>
      <c r="T394">
        <v>4</v>
      </c>
      <c r="U394">
        <v>4</v>
      </c>
      <c r="V394" t="s">
        <v>38</v>
      </c>
    </row>
    <row r="395" spans="1:22" hidden="1" x14ac:dyDescent="0.25">
      <c r="A395" t="s">
        <v>82</v>
      </c>
      <c r="B395">
        <v>1</v>
      </c>
      <c r="C395" t="s">
        <v>66</v>
      </c>
      <c r="D395" t="s">
        <v>67</v>
      </c>
      <c r="E395" t="s">
        <v>68</v>
      </c>
      <c r="F395">
        <v>180</v>
      </c>
      <c r="G395">
        <v>1080</v>
      </c>
      <c r="H395">
        <v>-3</v>
      </c>
      <c r="I395">
        <v>1983</v>
      </c>
      <c r="J395" t="s">
        <v>32</v>
      </c>
      <c r="K395">
        <v>2569</v>
      </c>
      <c r="L395">
        <v>16.690000000000001</v>
      </c>
      <c r="M395">
        <v>11.67</v>
      </c>
      <c r="N395" s="4">
        <f t="shared" si="12"/>
        <v>2.1866653850000004E-2</v>
      </c>
      <c r="O395" s="4">
        <f t="shared" si="13"/>
        <v>0.25518385042950004</v>
      </c>
      <c r="P395">
        <v>75</v>
      </c>
      <c r="Q395">
        <v>3</v>
      </c>
      <c r="R395">
        <v>3.8</v>
      </c>
      <c r="S395">
        <v>3.4</v>
      </c>
      <c r="T395">
        <v>4</v>
      </c>
      <c r="U395">
        <v>3.5</v>
      </c>
      <c r="V395" t="s">
        <v>38</v>
      </c>
    </row>
    <row r="396" spans="1:22" hidden="1" x14ac:dyDescent="0.25">
      <c r="A396" t="s">
        <v>82</v>
      </c>
      <c r="B396">
        <v>1</v>
      </c>
      <c r="C396" t="s">
        <v>66</v>
      </c>
      <c r="D396" t="s">
        <v>67</v>
      </c>
      <c r="E396" t="s">
        <v>68</v>
      </c>
      <c r="F396">
        <v>180</v>
      </c>
      <c r="G396">
        <v>1080</v>
      </c>
      <c r="H396">
        <v>-3</v>
      </c>
      <c r="I396">
        <v>1983</v>
      </c>
      <c r="J396" t="s">
        <v>34</v>
      </c>
      <c r="K396">
        <v>2458</v>
      </c>
      <c r="L396">
        <v>8.4600000000000009</v>
      </c>
      <c r="M396">
        <v>7.05</v>
      </c>
      <c r="N396" s="4">
        <f t="shared" si="12"/>
        <v>5.6183706000000021E-3</v>
      </c>
      <c r="O396" s="4">
        <f t="shared" si="13"/>
        <v>3.9609512730000011E-2</v>
      </c>
      <c r="P396">
        <v>13</v>
      </c>
      <c r="Q396">
        <v>2</v>
      </c>
      <c r="R396">
        <v>3</v>
      </c>
      <c r="S396">
        <v>3</v>
      </c>
      <c r="T396">
        <v>3</v>
      </c>
      <c r="U396">
        <v>3</v>
      </c>
      <c r="V396" t="s">
        <v>30</v>
      </c>
    </row>
    <row r="397" spans="1:22" hidden="1" x14ac:dyDescent="0.25">
      <c r="A397" t="s">
        <v>82</v>
      </c>
      <c r="B397">
        <v>1</v>
      </c>
      <c r="C397" t="s">
        <v>66</v>
      </c>
      <c r="D397" t="s">
        <v>67</v>
      </c>
      <c r="E397" t="s">
        <v>68</v>
      </c>
      <c r="F397">
        <v>180</v>
      </c>
      <c r="G397">
        <v>1080</v>
      </c>
      <c r="H397">
        <v>-3</v>
      </c>
      <c r="I397">
        <v>1983</v>
      </c>
      <c r="J397" t="s">
        <v>35</v>
      </c>
      <c r="K397">
        <v>1788</v>
      </c>
      <c r="L397">
        <v>5.35</v>
      </c>
      <c r="M397">
        <v>5.9</v>
      </c>
      <c r="N397" s="4">
        <f t="shared" si="12"/>
        <v>2.24686625E-3</v>
      </c>
      <c r="O397" s="4">
        <f t="shared" si="13"/>
        <v>1.3256510875E-2</v>
      </c>
      <c r="P397">
        <v>25</v>
      </c>
      <c r="Q397">
        <v>2</v>
      </c>
      <c r="R397">
        <v>1.8</v>
      </c>
      <c r="S397">
        <v>2</v>
      </c>
      <c r="T397">
        <v>2.5</v>
      </c>
      <c r="U397">
        <v>3</v>
      </c>
      <c r="V397" t="s">
        <v>30</v>
      </c>
    </row>
    <row r="398" spans="1:22" hidden="1" x14ac:dyDescent="0.25">
      <c r="A398" t="s">
        <v>82</v>
      </c>
      <c r="B398">
        <v>1</v>
      </c>
      <c r="C398" t="s">
        <v>66</v>
      </c>
      <c r="D398" t="s">
        <v>67</v>
      </c>
      <c r="E398" t="s">
        <v>68</v>
      </c>
      <c r="F398">
        <v>180</v>
      </c>
      <c r="G398">
        <v>1080</v>
      </c>
      <c r="H398">
        <v>-3</v>
      </c>
      <c r="I398">
        <v>1983</v>
      </c>
      <c r="J398" t="s">
        <v>35</v>
      </c>
      <c r="K398">
        <v>2571</v>
      </c>
      <c r="L398">
        <v>14.82</v>
      </c>
      <c r="M398">
        <v>14.23</v>
      </c>
      <c r="N398" s="4">
        <f t="shared" si="12"/>
        <v>1.7241143399999999E-2</v>
      </c>
      <c r="O398" s="4">
        <f t="shared" si="13"/>
        <v>0.24534147058199998</v>
      </c>
      <c r="P398">
        <v>50</v>
      </c>
      <c r="Q398">
        <v>3</v>
      </c>
      <c r="R398">
        <v>1.7</v>
      </c>
      <c r="S398">
        <v>4</v>
      </c>
      <c r="T398">
        <v>4</v>
      </c>
      <c r="U398">
        <v>3.5</v>
      </c>
      <c r="V398" t="s">
        <v>25</v>
      </c>
    </row>
    <row r="399" spans="1:22" hidden="1" x14ac:dyDescent="0.25">
      <c r="A399" t="s">
        <v>82</v>
      </c>
      <c r="B399">
        <v>1</v>
      </c>
      <c r="C399" t="s">
        <v>66</v>
      </c>
      <c r="D399" t="s">
        <v>67</v>
      </c>
      <c r="E399" t="s">
        <v>68</v>
      </c>
      <c r="F399">
        <v>180</v>
      </c>
      <c r="G399">
        <v>1080</v>
      </c>
      <c r="H399">
        <v>-3</v>
      </c>
      <c r="I399">
        <v>1983</v>
      </c>
      <c r="J399" t="s">
        <v>81</v>
      </c>
      <c r="K399">
        <v>2750</v>
      </c>
      <c r="L399">
        <v>9.19</v>
      </c>
      <c r="M399">
        <v>7.81</v>
      </c>
      <c r="N399" s="4">
        <f t="shared" si="12"/>
        <v>6.6298038499999993E-3</v>
      </c>
      <c r="O399" s="4">
        <f t="shared" si="13"/>
        <v>5.1778768068499993E-2</v>
      </c>
      <c r="P399">
        <v>50</v>
      </c>
      <c r="Q399">
        <v>2.8</v>
      </c>
      <c r="R399">
        <v>3</v>
      </c>
      <c r="S399">
        <v>3</v>
      </c>
      <c r="T399">
        <v>4</v>
      </c>
      <c r="U399">
        <v>3</v>
      </c>
      <c r="V399" t="s">
        <v>50</v>
      </c>
    </row>
    <row r="400" spans="1:22" hidden="1" x14ac:dyDescent="0.25">
      <c r="A400" t="s">
        <v>82</v>
      </c>
      <c r="B400">
        <v>1</v>
      </c>
      <c r="C400" t="s">
        <v>66</v>
      </c>
      <c r="D400" t="s">
        <v>67</v>
      </c>
      <c r="E400" t="s">
        <v>68</v>
      </c>
      <c r="F400">
        <v>180</v>
      </c>
      <c r="G400">
        <v>1080</v>
      </c>
      <c r="H400">
        <v>-3</v>
      </c>
      <c r="I400">
        <v>1983</v>
      </c>
      <c r="J400" t="s">
        <v>36</v>
      </c>
      <c r="K400">
        <v>2573</v>
      </c>
      <c r="L400">
        <v>5.19</v>
      </c>
      <c r="M400">
        <v>4.4400000000000004</v>
      </c>
      <c r="N400" s="4">
        <f t="shared" si="12"/>
        <v>2.1144838500000004E-3</v>
      </c>
      <c r="O400" s="4">
        <f t="shared" si="13"/>
        <v>9.3883082940000029E-3</v>
      </c>
      <c r="P400">
        <v>13</v>
      </c>
      <c r="Q400">
        <v>1.5</v>
      </c>
      <c r="R400">
        <v>2.5</v>
      </c>
      <c r="S400">
        <v>3</v>
      </c>
      <c r="T400">
        <v>3</v>
      </c>
      <c r="U400">
        <v>3</v>
      </c>
      <c r="V400" t="s">
        <v>50</v>
      </c>
    </row>
    <row r="401" spans="1:22" hidden="1" x14ac:dyDescent="0.25">
      <c r="A401" t="s">
        <v>82</v>
      </c>
      <c r="B401">
        <v>1</v>
      </c>
      <c r="C401" t="s">
        <v>66</v>
      </c>
      <c r="D401" t="s">
        <v>67</v>
      </c>
      <c r="E401" t="s">
        <v>68</v>
      </c>
      <c r="F401">
        <v>180</v>
      </c>
      <c r="G401">
        <v>1080</v>
      </c>
      <c r="H401">
        <v>-3</v>
      </c>
      <c r="I401">
        <v>1983</v>
      </c>
      <c r="J401" t="s">
        <v>62</v>
      </c>
      <c r="K401">
        <v>2553</v>
      </c>
      <c r="L401">
        <v>9.73</v>
      </c>
      <c r="M401">
        <v>11.04</v>
      </c>
      <c r="N401" s="4">
        <f t="shared" si="12"/>
        <v>7.4318226500000003E-3</v>
      </c>
      <c r="O401" s="4">
        <f t="shared" si="13"/>
        <v>8.2047322056000002E-2</v>
      </c>
      <c r="P401">
        <v>75</v>
      </c>
      <c r="Q401">
        <v>3</v>
      </c>
      <c r="R401">
        <v>3</v>
      </c>
      <c r="S401">
        <v>3.5</v>
      </c>
      <c r="T401">
        <v>4</v>
      </c>
      <c r="U401">
        <v>3.5</v>
      </c>
      <c r="V401" t="s">
        <v>25</v>
      </c>
    </row>
    <row r="402" spans="1:22" hidden="1" x14ac:dyDescent="0.25">
      <c r="A402" t="s">
        <v>82</v>
      </c>
      <c r="B402">
        <v>1</v>
      </c>
      <c r="C402" t="s">
        <v>66</v>
      </c>
      <c r="D402" t="s">
        <v>67</v>
      </c>
      <c r="E402" t="s">
        <v>68</v>
      </c>
      <c r="F402">
        <v>180</v>
      </c>
      <c r="G402">
        <v>1080</v>
      </c>
      <c r="H402">
        <v>-3</v>
      </c>
      <c r="I402">
        <v>1983</v>
      </c>
      <c r="J402" t="s">
        <v>37</v>
      </c>
      <c r="K402">
        <v>2575</v>
      </c>
      <c r="L402">
        <v>13.54</v>
      </c>
      <c r="M402">
        <v>8.81</v>
      </c>
      <c r="N402" s="4">
        <f t="shared" si="12"/>
        <v>1.4391530599999999E-2</v>
      </c>
      <c r="O402" s="4">
        <f t="shared" si="13"/>
        <v>0.126789384586</v>
      </c>
      <c r="P402">
        <v>88</v>
      </c>
      <c r="Q402">
        <v>2.7</v>
      </c>
      <c r="R402">
        <v>2</v>
      </c>
      <c r="S402">
        <v>2.5</v>
      </c>
      <c r="T402">
        <v>3</v>
      </c>
      <c r="U402">
        <v>3</v>
      </c>
      <c r="V402" t="s">
        <v>38</v>
      </c>
    </row>
    <row r="403" spans="1:22" hidden="1" x14ac:dyDescent="0.25">
      <c r="A403" t="s">
        <v>82</v>
      </c>
      <c r="B403">
        <v>1</v>
      </c>
      <c r="C403" t="s">
        <v>66</v>
      </c>
      <c r="D403" t="s">
        <v>67</v>
      </c>
      <c r="E403" t="s">
        <v>68</v>
      </c>
      <c r="F403">
        <v>180</v>
      </c>
      <c r="G403">
        <v>1080</v>
      </c>
      <c r="H403">
        <v>-3</v>
      </c>
      <c r="I403">
        <v>1983</v>
      </c>
      <c r="J403" t="s">
        <v>26</v>
      </c>
      <c r="K403">
        <v>2552</v>
      </c>
      <c r="L403">
        <v>5.78</v>
      </c>
      <c r="M403">
        <v>7.21</v>
      </c>
      <c r="N403" s="4">
        <f t="shared" si="12"/>
        <v>2.6225594000000001E-3</v>
      </c>
      <c r="O403" s="4">
        <f t="shared" si="13"/>
        <v>1.8908653274000001E-2</v>
      </c>
      <c r="P403">
        <v>13</v>
      </c>
      <c r="Q403">
        <v>1.5</v>
      </c>
      <c r="R403">
        <v>3</v>
      </c>
      <c r="S403">
        <v>4</v>
      </c>
      <c r="T403">
        <v>4</v>
      </c>
      <c r="U403">
        <v>4</v>
      </c>
      <c r="V403" t="s">
        <v>50</v>
      </c>
    </row>
    <row r="404" spans="1:22" hidden="1" x14ac:dyDescent="0.25">
      <c r="A404" t="s">
        <v>82</v>
      </c>
      <c r="B404">
        <v>2</v>
      </c>
      <c r="C404" t="s">
        <v>66</v>
      </c>
      <c r="D404" t="s">
        <v>67</v>
      </c>
      <c r="E404" t="s">
        <v>68</v>
      </c>
      <c r="F404">
        <v>180</v>
      </c>
      <c r="G404">
        <v>1080</v>
      </c>
      <c r="H404">
        <v>-3</v>
      </c>
      <c r="I404">
        <v>1983</v>
      </c>
      <c r="J404" t="s">
        <v>80</v>
      </c>
      <c r="K404">
        <v>1252</v>
      </c>
      <c r="L404">
        <v>5.36</v>
      </c>
      <c r="M404">
        <v>4.6100000000000003</v>
      </c>
      <c r="N404" s="4">
        <f t="shared" si="12"/>
        <v>2.2552736000000006E-3</v>
      </c>
      <c r="O404" s="4">
        <f t="shared" si="13"/>
        <v>1.0396811296000003E-2</v>
      </c>
      <c r="P404">
        <v>63</v>
      </c>
      <c r="Q404">
        <v>3</v>
      </c>
      <c r="R404">
        <v>3</v>
      </c>
      <c r="S404">
        <v>2</v>
      </c>
      <c r="T404">
        <v>2</v>
      </c>
      <c r="U404">
        <v>3</v>
      </c>
      <c r="V404" t="s">
        <v>30</v>
      </c>
    </row>
    <row r="405" spans="1:22" hidden="1" x14ac:dyDescent="0.25">
      <c r="A405" t="s">
        <v>82</v>
      </c>
      <c r="B405">
        <v>2</v>
      </c>
      <c r="C405" t="s">
        <v>66</v>
      </c>
      <c r="D405" t="s">
        <v>67</v>
      </c>
      <c r="E405" t="s">
        <v>68</v>
      </c>
      <c r="F405">
        <v>180</v>
      </c>
      <c r="G405">
        <v>1080</v>
      </c>
      <c r="H405">
        <v>-3</v>
      </c>
      <c r="I405">
        <v>1983</v>
      </c>
      <c r="J405" t="s">
        <v>24</v>
      </c>
      <c r="K405">
        <v>1</v>
      </c>
      <c r="L405">
        <v>11.88</v>
      </c>
      <c r="M405">
        <v>9.81</v>
      </c>
      <c r="N405" s="4">
        <f t="shared" si="12"/>
        <v>1.1079050400000002E-2</v>
      </c>
      <c r="O405" s="4">
        <f t="shared" si="13"/>
        <v>0.10868548442400003</v>
      </c>
      <c r="P405">
        <v>63</v>
      </c>
      <c r="Q405">
        <v>3</v>
      </c>
      <c r="R405">
        <v>4</v>
      </c>
      <c r="S405">
        <v>2.5</v>
      </c>
      <c r="T405">
        <v>2.5</v>
      </c>
      <c r="U405">
        <v>2.5</v>
      </c>
      <c r="V405" t="s">
        <v>38</v>
      </c>
    </row>
    <row r="406" spans="1:22" hidden="1" x14ac:dyDescent="0.25">
      <c r="A406" t="s">
        <v>82</v>
      </c>
      <c r="B406">
        <v>2</v>
      </c>
      <c r="C406" t="s">
        <v>66</v>
      </c>
      <c r="D406" t="s">
        <v>67</v>
      </c>
      <c r="E406" t="s">
        <v>68</v>
      </c>
      <c r="F406">
        <v>180</v>
      </c>
      <c r="G406">
        <v>1080</v>
      </c>
      <c r="H406">
        <v>-3</v>
      </c>
      <c r="I406">
        <v>1983</v>
      </c>
      <c r="J406" t="s">
        <v>59</v>
      </c>
      <c r="K406">
        <v>1482</v>
      </c>
      <c r="L406">
        <v>14.03</v>
      </c>
      <c r="M406">
        <v>9.9</v>
      </c>
      <c r="N406" s="4">
        <f t="shared" si="12"/>
        <v>1.5452010649999997E-2</v>
      </c>
      <c r="O406" s="4">
        <f t="shared" si="13"/>
        <v>0.15297490543499997</v>
      </c>
      <c r="P406">
        <v>63</v>
      </c>
      <c r="Q406">
        <v>3.5</v>
      </c>
      <c r="R406">
        <v>4</v>
      </c>
      <c r="S406">
        <v>3.5</v>
      </c>
      <c r="T406">
        <v>3</v>
      </c>
      <c r="U406">
        <v>3</v>
      </c>
      <c r="V406" t="s">
        <v>25</v>
      </c>
    </row>
    <row r="407" spans="1:22" hidden="1" x14ac:dyDescent="0.25">
      <c r="A407" t="s">
        <v>82</v>
      </c>
      <c r="B407">
        <v>2</v>
      </c>
      <c r="C407" t="s">
        <v>66</v>
      </c>
      <c r="D407" t="s">
        <v>67</v>
      </c>
      <c r="E407" t="s">
        <v>68</v>
      </c>
      <c r="F407">
        <v>180</v>
      </c>
      <c r="G407">
        <v>1080</v>
      </c>
      <c r="H407">
        <v>-3</v>
      </c>
      <c r="I407">
        <v>1983</v>
      </c>
      <c r="J407" t="s">
        <v>59</v>
      </c>
      <c r="K407">
        <v>2548</v>
      </c>
      <c r="L407">
        <v>23.63</v>
      </c>
      <c r="M407">
        <v>11.82</v>
      </c>
      <c r="N407" s="4">
        <f t="shared" si="12"/>
        <v>4.3832586649999991E-2</v>
      </c>
      <c r="O407" s="4">
        <f t="shared" si="13"/>
        <v>0.51810117420299995</v>
      </c>
      <c r="P407">
        <v>88</v>
      </c>
      <c r="Q407">
        <v>4.5</v>
      </c>
      <c r="R407">
        <v>4</v>
      </c>
      <c r="S407">
        <v>3</v>
      </c>
      <c r="T407">
        <v>2.5</v>
      </c>
      <c r="U407">
        <v>2</v>
      </c>
      <c r="V407" t="s">
        <v>25</v>
      </c>
    </row>
    <row r="408" spans="1:22" hidden="1" x14ac:dyDescent="0.25">
      <c r="A408" t="s">
        <v>82</v>
      </c>
      <c r="B408">
        <v>2</v>
      </c>
      <c r="C408" t="s">
        <v>66</v>
      </c>
      <c r="D408" t="s">
        <v>67</v>
      </c>
      <c r="E408" t="s">
        <v>68</v>
      </c>
      <c r="F408">
        <v>180</v>
      </c>
      <c r="G408">
        <v>1080</v>
      </c>
      <c r="H408">
        <v>-3</v>
      </c>
      <c r="I408">
        <v>1983</v>
      </c>
      <c r="J408" t="s">
        <v>26</v>
      </c>
      <c r="K408">
        <v>2552</v>
      </c>
      <c r="L408">
        <v>10.39</v>
      </c>
      <c r="M408">
        <v>8.66</v>
      </c>
      <c r="N408" s="4">
        <f t="shared" si="12"/>
        <v>8.4742398500000007E-3</v>
      </c>
      <c r="O408" s="4">
        <f t="shared" si="13"/>
        <v>7.338691710100001E-2</v>
      </c>
      <c r="P408">
        <v>38</v>
      </c>
      <c r="Q408">
        <v>3</v>
      </c>
      <c r="R408">
        <v>3.5</v>
      </c>
      <c r="S408">
        <v>3</v>
      </c>
      <c r="T408">
        <v>4</v>
      </c>
      <c r="U408">
        <v>3</v>
      </c>
      <c r="V408" t="s">
        <v>38</v>
      </c>
    </row>
    <row r="409" spans="1:22" hidden="1" x14ac:dyDescent="0.25">
      <c r="A409" t="s">
        <v>82</v>
      </c>
      <c r="B409">
        <v>2</v>
      </c>
      <c r="C409" t="s">
        <v>66</v>
      </c>
      <c r="D409" t="s">
        <v>67</v>
      </c>
      <c r="E409" t="s">
        <v>68</v>
      </c>
      <c r="F409">
        <v>180</v>
      </c>
      <c r="G409">
        <v>1080</v>
      </c>
      <c r="H409">
        <v>-3</v>
      </c>
      <c r="I409">
        <v>1983</v>
      </c>
      <c r="J409" t="s">
        <v>32</v>
      </c>
      <c r="K409">
        <v>1596</v>
      </c>
      <c r="L409">
        <v>7.83</v>
      </c>
      <c r="M409">
        <v>6.79</v>
      </c>
      <c r="N409" s="4">
        <f t="shared" si="12"/>
        <v>4.8127486499999995E-3</v>
      </c>
      <c r="O409" s="4">
        <f t="shared" si="13"/>
        <v>3.2678563333499999E-2</v>
      </c>
      <c r="P409">
        <v>100</v>
      </c>
      <c r="Q409">
        <v>3</v>
      </c>
      <c r="R409">
        <v>3</v>
      </c>
      <c r="S409">
        <v>3.5</v>
      </c>
      <c r="T409">
        <v>4.5</v>
      </c>
      <c r="U409">
        <v>3.5</v>
      </c>
      <c r="V409" t="s">
        <v>25</v>
      </c>
    </row>
    <row r="410" spans="1:22" hidden="1" x14ac:dyDescent="0.25">
      <c r="A410" t="s">
        <v>82</v>
      </c>
      <c r="B410">
        <v>2</v>
      </c>
      <c r="C410" t="s">
        <v>66</v>
      </c>
      <c r="D410" t="s">
        <v>67</v>
      </c>
      <c r="E410" t="s">
        <v>68</v>
      </c>
      <c r="F410">
        <v>180</v>
      </c>
      <c r="G410">
        <v>1080</v>
      </c>
      <c r="H410">
        <v>-3</v>
      </c>
      <c r="I410">
        <v>1983</v>
      </c>
      <c r="J410" t="s">
        <v>32</v>
      </c>
      <c r="K410">
        <v>2569</v>
      </c>
      <c r="L410">
        <v>11.23</v>
      </c>
      <c r="M410">
        <v>10.34</v>
      </c>
      <c r="N410" s="4">
        <f t="shared" si="12"/>
        <v>9.8998626500000023E-3</v>
      </c>
      <c r="O410" s="4">
        <f t="shared" si="13"/>
        <v>0.10236457980100003</v>
      </c>
      <c r="P410">
        <v>50</v>
      </c>
      <c r="Q410">
        <v>3</v>
      </c>
      <c r="R410">
        <v>3.5</v>
      </c>
      <c r="S410">
        <v>3.3</v>
      </c>
      <c r="T410">
        <v>4</v>
      </c>
      <c r="U410">
        <v>3.5</v>
      </c>
      <c r="V410" t="s">
        <v>25</v>
      </c>
    </row>
    <row r="411" spans="1:22" hidden="1" x14ac:dyDescent="0.25">
      <c r="A411" t="s">
        <v>82</v>
      </c>
      <c r="B411">
        <v>2</v>
      </c>
      <c r="C411" t="s">
        <v>66</v>
      </c>
      <c r="D411" t="s">
        <v>67</v>
      </c>
      <c r="E411" t="s">
        <v>68</v>
      </c>
      <c r="F411">
        <v>180</v>
      </c>
      <c r="G411">
        <v>1080</v>
      </c>
      <c r="H411">
        <v>-3</v>
      </c>
      <c r="I411">
        <v>1983</v>
      </c>
      <c r="J411" t="s">
        <v>33</v>
      </c>
      <c r="K411">
        <v>2547</v>
      </c>
      <c r="L411">
        <v>9.1300000000000008</v>
      </c>
      <c r="M411">
        <v>8.01</v>
      </c>
      <c r="N411" s="4">
        <f t="shared" si="12"/>
        <v>6.5435166500000018E-3</v>
      </c>
      <c r="O411" s="4">
        <f t="shared" si="13"/>
        <v>5.2413568366500012E-2</v>
      </c>
      <c r="P411">
        <v>75</v>
      </c>
      <c r="Q411">
        <v>2.8</v>
      </c>
      <c r="R411">
        <v>2</v>
      </c>
      <c r="S411">
        <v>3.3</v>
      </c>
      <c r="T411">
        <v>3.3</v>
      </c>
      <c r="U411">
        <v>3</v>
      </c>
      <c r="V411" t="s">
        <v>38</v>
      </c>
    </row>
    <row r="412" spans="1:22" hidden="1" x14ac:dyDescent="0.25">
      <c r="A412" t="s">
        <v>82</v>
      </c>
      <c r="B412">
        <v>2</v>
      </c>
      <c r="C412" t="s">
        <v>66</v>
      </c>
      <c r="D412" t="s">
        <v>67</v>
      </c>
      <c r="E412" t="s">
        <v>68</v>
      </c>
      <c r="F412">
        <v>180</v>
      </c>
      <c r="G412">
        <v>1080</v>
      </c>
      <c r="H412">
        <v>-3</v>
      </c>
      <c r="I412">
        <v>1983</v>
      </c>
      <c r="J412" t="s">
        <v>33</v>
      </c>
      <c r="K412">
        <v>2568</v>
      </c>
      <c r="L412">
        <v>11.66</v>
      </c>
      <c r="M412">
        <v>8.57</v>
      </c>
      <c r="N412" s="4">
        <f t="shared" si="12"/>
        <v>1.06725146E-2</v>
      </c>
      <c r="O412" s="4">
        <f t="shared" si="13"/>
        <v>9.1463450122000009E-2</v>
      </c>
      <c r="P412">
        <v>75</v>
      </c>
      <c r="Q412">
        <v>3</v>
      </c>
      <c r="R412">
        <v>2.5</v>
      </c>
      <c r="S412">
        <v>2.5</v>
      </c>
      <c r="T412">
        <v>2.5</v>
      </c>
      <c r="U412">
        <v>2.5</v>
      </c>
      <c r="V412" t="s">
        <v>30</v>
      </c>
    </row>
    <row r="413" spans="1:22" hidden="1" x14ac:dyDescent="0.25">
      <c r="A413" t="s">
        <v>82</v>
      </c>
      <c r="B413">
        <v>2</v>
      </c>
      <c r="C413" t="s">
        <v>66</v>
      </c>
      <c r="D413" t="s">
        <v>67</v>
      </c>
      <c r="E413" t="s">
        <v>68</v>
      </c>
      <c r="F413">
        <v>180</v>
      </c>
      <c r="G413">
        <v>1080</v>
      </c>
      <c r="H413">
        <v>-3</v>
      </c>
      <c r="I413">
        <v>1983</v>
      </c>
      <c r="J413" t="s">
        <v>34</v>
      </c>
      <c r="K413">
        <v>2570</v>
      </c>
      <c r="L413">
        <v>3.81</v>
      </c>
      <c r="M413">
        <v>4.93</v>
      </c>
      <c r="N413" s="4">
        <f t="shared" si="12"/>
        <v>1.1395138500000001E-3</v>
      </c>
      <c r="O413" s="4">
        <f t="shared" si="13"/>
        <v>5.6178032805000002E-3</v>
      </c>
      <c r="P413">
        <v>13</v>
      </c>
      <c r="Q413">
        <v>2</v>
      </c>
      <c r="R413">
        <v>2.5</v>
      </c>
      <c r="S413">
        <v>3</v>
      </c>
      <c r="T413">
        <v>4</v>
      </c>
      <c r="U413">
        <v>3</v>
      </c>
      <c r="V413" t="s">
        <v>50</v>
      </c>
    </row>
    <row r="414" spans="1:22" hidden="1" x14ac:dyDescent="0.25">
      <c r="A414" t="s">
        <v>82</v>
      </c>
      <c r="B414">
        <v>2</v>
      </c>
      <c r="C414" t="s">
        <v>66</v>
      </c>
      <c r="D414" t="s">
        <v>67</v>
      </c>
      <c r="E414" t="s">
        <v>68</v>
      </c>
      <c r="F414">
        <v>180</v>
      </c>
      <c r="G414">
        <v>1080</v>
      </c>
      <c r="H414">
        <v>-3</v>
      </c>
      <c r="I414">
        <v>1983</v>
      </c>
      <c r="J414" t="s">
        <v>35</v>
      </c>
      <c r="K414">
        <v>1788</v>
      </c>
      <c r="L414">
        <v>16.16</v>
      </c>
      <c r="M414">
        <v>10.98</v>
      </c>
      <c r="N414" s="4">
        <f t="shared" si="12"/>
        <v>2.0499929600000001E-2</v>
      </c>
      <c r="O414" s="4">
        <f t="shared" si="13"/>
        <v>0.22508922700800002</v>
      </c>
      <c r="P414">
        <v>13</v>
      </c>
      <c r="Q414">
        <v>3.5</v>
      </c>
      <c r="R414">
        <v>2.5</v>
      </c>
      <c r="S414">
        <v>3</v>
      </c>
      <c r="T414">
        <v>4</v>
      </c>
      <c r="U414">
        <v>3</v>
      </c>
      <c r="V414" t="s">
        <v>25</v>
      </c>
    </row>
    <row r="415" spans="1:22" hidden="1" x14ac:dyDescent="0.25">
      <c r="A415" t="s">
        <v>82</v>
      </c>
      <c r="B415">
        <v>2</v>
      </c>
      <c r="C415" t="s">
        <v>66</v>
      </c>
      <c r="D415" t="s">
        <v>67</v>
      </c>
      <c r="E415" t="s">
        <v>68</v>
      </c>
      <c r="F415">
        <v>180</v>
      </c>
      <c r="G415">
        <v>1080</v>
      </c>
      <c r="H415">
        <v>-3</v>
      </c>
      <c r="I415">
        <v>1983</v>
      </c>
      <c r="J415" t="s">
        <v>35</v>
      </c>
      <c r="K415">
        <v>2571</v>
      </c>
      <c r="L415">
        <v>8.83</v>
      </c>
      <c r="M415">
        <v>7.91</v>
      </c>
      <c r="N415" s="4">
        <f t="shared" si="12"/>
        <v>6.1205586500000008E-3</v>
      </c>
      <c r="O415" s="4">
        <f t="shared" si="13"/>
        <v>4.8413618921500007E-2</v>
      </c>
      <c r="P415">
        <v>63</v>
      </c>
      <c r="Q415">
        <v>3.5</v>
      </c>
      <c r="R415">
        <v>2.5</v>
      </c>
      <c r="S415">
        <v>3.5</v>
      </c>
      <c r="T415">
        <v>4</v>
      </c>
      <c r="U415">
        <v>4</v>
      </c>
      <c r="V415" t="s">
        <v>25</v>
      </c>
    </row>
    <row r="416" spans="1:22" hidden="1" x14ac:dyDescent="0.25">
      <c r="A416" t="s">
        <v>82</v>
      </c>
      <c r="B416">
        <v>2</v>
      </c>
      <c r="C416" t="s">
        <v>66</v>
      </c>
      <c r="D416" t="s">
        <v>67</v>
      </c>
      <c r="E416" t="s">
        <v>68</v>
      </c>
      <c r="F416">
        <v>180</v>
      </c>
      <c r="G416">
        <v>1080</v>
      </c>
      <c r="H416">
        <v>-3</v>
      </c>
      <c r="I416">
        <v>1983</v>
      </c>
      <c r="J416" t="s">
        <v>81</v>
      </c>
      <c r="K416">
        <v>2750</v>
      </c>
      <c r="L416">
        <v>1.38</v>
      </c>
      <c r="M416">
        <v>1.53</v>
      </c>
      <c r="N416" s="4">
        <f t="shared" si="12"/>
        <v>1.4949540000000001E-4</v>
      </c>
      <c r="O416" s="4">
        <f t="shared" si="13"/>
        <v>2.28727962E-4</v>
      </c>
      <c r="P416">
        <v>13</v>
      </c>
      <c r="Q416">
        <v>1</v>
      </c>
      <c r="R416">
        <v>1</v>
      </c>
      <c r="S416">
        <v>3</v>
      </c>
      <c r="T416">
        <v>3</v>
      </c>
      <c r="U416">
        <v>3</v>
      </c>
      <c r="V416" t="s">
        <v>50</v>
      </c>
    </row>
    <row r="417" spans="1:22" hidden="1" x14ac:dyDescent="0.25">
      <c r="A417" t="s">
        <v>82</v>
      </c>
      <c r="B417">
        <v>2</v>
      </c>
      <c r="C417" t="s">
        <v>66</v>
      </c>
      <c r="D417" t="s">
        <v>67</v>
      </c>
      <c r="E417" t="s">
        <v>68</v>
      </c>
      <c r="F417">
        <v>180</v>
      </c>
      <c r="G417">
        <v>1080</v>
      </c>
      <c r="H417">
        <v>-3</v>
      </c>
      <c r="I417">
        <v>1983</v>
      </c>
      <c r="J417" t="s">
        <v>36</v>
      </c>
      <c r="K417">
        <v>2573</v>
      </c>
      <c r="L417">
        <v>1.48</v>
      </c>
      <c r="M417">
        <v>2.96</v>
      </c>
      <c r="N417" s="4">
        <f t="shared" si="12"/>
        <v>1.7194640000000002E-4</v>
      </c>
      <c r="O417" s="4">
        <f t="shared" si="13"/>
        <v>5.0896134400000008E-4</v>
      </c>
      <c r="P417">
        <v>13</v>
      </c>
      <c r="Q417">
        <v>1</v>
      </c>
      <c r="R417">
        <v>3</v>
      </c>
      <c r="S417">
        <v>3</v>
      </c>
      <c r="T417">
        <v>3</v>
      </c>
      <c r="U417">
        <v>3</v>
      </c>
      <c r="V417" t="s">
        <v>50</v>
      </c>
    </row>
    <row r="418" spans="1:22" hidden="1" x14ac:dyDescent="0.25">
      <c r="A418" t="s">
        <v>82</v>
      </c>
      <c r="B418">
        <v>2</v>
      </c>
      <c r="C418" t="s">
        <v>66</v>
      </c>
      <c r="D418" t="s">
        <v>67</v>
      </c>
      <c r="E418" t="s">
        <v>68</v>
      </c>
      <c r="F418">
        <v>180</v>
      </c>
      <c r="G418">
        <v>1080</v>
      </c>
      <c r="H418">
        <v>-3</v>
      </c>
      <c r="I418">
        <v>1983</v>
      </c>
      <c r="J418" t="s">
        <v>62</v>
      </c>
      <c r="K418">
        <v>2550</v>
      </c>
      <c r="L418">
        <v>9.15</v>
      </c>
      <c r="M418">
        <v>8.42</v>
      </c>
      <c r="N418" s="4">
        <f t="shared" si="12"/>
        <v>6.5722162499999995E-3</v>
      </c>
      <c r="O418" s="4">
        <f t="shared" si="13"/>
        <v>5.5338060824999993E-2</v>
      </c>
      <c r="P418">
        <v>25</v>
      </c>
      <c r="Q418">
        <v>3</v>
      </c>
      <c r="R418">
        <v>3.5</v>
      </c>
      <c r="S418">
        <v>3.5</v>
      </c>
      <c r="T418">
        <v>4</v>
      </c>
      <c r="U418">
        <v>4</v>
      </c>
      <c r="V418" t="s">
        <v>38</v>
      </c>
    </row>
    <row r="419" spans="1:22" hidden="1" x14ac:dyDescent="0.25">
      <c r="A419" t="s">
        <v>82</v>
      </c>
      <c r="B419">
        <v>2</v>
      </c>
      <c r="C419" t="s">
        <v>66</v>
      </c>
      <c r="D419" t="s">
        <v>67</v>
      </c>
      <c r="E419" t="s">
        <v>68</v>
      </c>
      <c r="F419">
        <v>180</v>
      </c>
      <c r="G419">
        <v>1080</v>
      </c>
      <c r="H419">
        <v>-3</v>
      </c>
      <c r="I419">
        <v>1983</v>
      </c>
      <c r="J419" t="s">
        <v>62</v>
      </c>
      <c r="K419">
        <v>2553</v>
      </c>
      <c r="L419">
        <v>4.79</v>
      </c>
      <c r="M419">
        <v>4.3600000000000003</v>
      </c>
      <c r="N419" s="4">
        <f t="shared" si="12"/>
        <v>1.8011118499999998E-3</v>
      </c>
      <c r="O419" s="4">
        <f t="shared" si="13"/>
        <v>7.8528476659999995E-3</v>
      </c>
      <c r="P419">
        <v>38</v>
      </c>
      <c r="Q419">
        <v>2</v>
      </c>
      <c r="R419">
        <v>3.5</v>
      </c>
      <c r="S419">
        <v>3.5</v>
      </c>
      <c r="T419">
        <v>4</v>
      </c>
      <c r="U419">
        <v>3.5</v>
      </c>
      <c r="V419" t="s">
        <v>30</v>
      </c>
    </row>
    <row r="420" spans="1:22" hidden="1" x14ac:dyDescent="0.25">
      <c r="A420" t="s">
        <v>82</v>
      </c>
      <c r="B420">
        <v>2</v>
      </c>
      <c r="C420" t="s">
        <v>66</v>
      </c>
      <c r="D420" t="s">
        <v>67</v>
      </c>
      <c r="E420" t="s">
        <v>68</v>
      </c>
      <c r="F420">
        <v>180</v>
      </c>
      <c r="G420">
        <v>1080</v>
      </c>
      <c r="H420">
        <v>-3</v>
      </c>
      <c r="I420">
        <v>1983</v>
      </c>
      <c r="J420" t="s">
        <v>37</v>
      </c>
      <c r="K420">
        <v>2575</v>
      </c>
      <c r="L420">
        <v>6.7</v>
      </c>
      <c r="M420">
        <v>6.83</v>
      </c>
      <c r="N420" s="4">
        <f t="shared" si="12"/>
        <v>3.5238650000000006E-3</v>
      </c>
      <c r="O420" s="4">
        <f t="shared" si="13"/>
        <v>2.4067997950000003E-2</v>
      </c>
      <c r="P420">
        <v>75</v>
      </c>
      <c r="Q420">
        <v>2.7</v>
      </c>
      <c r="R420">
        <v>2.7</v>
      </c>
      <c r="S420">
        <v>3</v>
      </c>
      <c r="T420">
        <v>3.5</v>
      </c>
      <c r="U420">
        <v>3.5</v>
      </c>
      <c r="V420" t="s">
        <v>30</v>
      </c>
    </row>
    <row r="421" spans="1:22" hidden="1" x14ac:dyDescent="0.25">
      <c r="A421" t="s">
        <v>82</v>
      </c>
      <c r="B421">
        <v>3</v>
      </c>
      <c r="C421" t="s">
        <v>66</v>
      </c>
      <c r="D421" t="s">
        <v>67</v>
      </c>
      <c r="E421" t="s">
        <v>68</v>
      </c>
      <c r="F421">
        <v>180</v>
      </c>
      <c r="G421">
        <v>1080</v>
      </c>
      <c r="H421">
        <v>-3</v>
      </c>
      <c r="I421">
        <v>1983</v>
      </c>
      <c r="J421" t="s">
        <v>76</v>
      </c>
      <c r="K421">
        <v>1592</v>
      </c>
      <c r="L421">
        <v>15.73</v>
      </c>
      <c r="M421">
        <v>10.67</v>
      </c>
      <c r="N421" s="4">
        <f t="shared" si="12"/>
        <v>1.9423482650000001E-2</v>
      </c>
      <c r="O421" s="4">
        <f t="shared" si="13"/>
        <v>0.2072485598755</v>
      </c>
      <c r="P421">
        <v>75</v>
      </c>
      <c r="Q421">
        <v>3</v>
      </c>
      <c r="R421">
        <v>4</v>
      </c>
      <c r="S421">
        <v>3</v>
      </c>
      <c r="T421">
        <v>4</v>
      </c>
      <c r="U421">
        <v>3</v>
      </c>
      <c r="V421" t="s">
        <v>27</v>
      </c>
    </row>
    <row r="422" spans="1:22" hidden="1" x14ac:dyDescent="0.25">
      <c r="A422" t="s">
        <v>82</v>
      </c>
      <c r="B422">
        <v>3</v>
      </c>
      <c r="C422" t="s">
        <v>66</v>
      </c>
      <c r="D422" t="s">
        <v>67</v>
      </c>
      <c r="E422" t="s">
        <v>68</v>
      </c>
      <c r="F422">
        <v>180</v>
      </c>
      <c r="G422">
        <v>1080</v>
      </c>
      <c r="H422">
        <v>-3</v>
      </c>
      <c r="I422">
        <v>1983</v>
      </c>
      <c r="J422" t="s">
        <v>76</v>
      </c>
      <c r="K422">
        <v>2560</v>
      </c>
      <c r="L422">
        <v>13.13</v>
      </c>
      <c r="M422">
        <v>11.49</v>
      </c>
      <c r="N422" s="4">
        <f t="shared" si="12"/>
        <v>1.3533156649999999E-2</v>
      </c>
      <c r="O422" s="4">
        <f t="shared" si="13"/>
        <v>0.15549596990849998</v>
      </c>
      <c r="P422">
        <v>88</v>
      </c>
      <c r="Q422">
        <v>3</v>
      </c>
      <c r="R422">
        <v>4</v>
      </c>
      <c r="S422">
        <v>3</v>
      </c>
      <c r="T422">
        <v>4</v>
      </c>
      <c r="U422">
        <v>4</v>
      </c>
      <c r="V422" t="s">
        <v>27</v>
      </c>
    </row>
    <row r="423" spans="1:22" hidden="1" x14ac:dyDescent="0.25">
      <c r="A423" t="s">
        <v>82</v>
      </c>
      <c r="B423">
        <v>3</v>
      </c>
      <c r="C423" t="s">
        <v>66</v>
      </c>
      <c r="D423" t="s">
        <v>67</v>
      </c>
      <c r="E423" t="s">
        <v>68</v>
      </c>
      <c r="F423">
        <v>180</v>
      </c>
      <c r="G423">
        <v>1080</v>
      </c>
      <c r="H423">
        <v>-3</v>
      </c>
      <c r="I423">
        <v>1983</v>
      </c>
      <c r="J423" t="s">
        <v>24</v>
      </c>
      <c r="K423">
        <v>2562</v>
      </c>
      <c r="L423">
        <v>9.94</v>
      </c>
      <c r="M423">
        <v>7.46</v>
      </c>
      <c r="N423" s="4">
        <f t="shared" si="12"/>
        <v>7.7560825999999986E-3</v>
      </c>
      <c r="O423" s="4">
        <f t="shared" si="13"/>
        <v>5.7860376195999992E-2</v>
      </c>
      <c r="P423">
        <v>50</v>
      </c>
      <c r="Q423">
        <v>3</v>
      </c>
      <c r="R423">
        <v>4</v>
      </c>
      <c r="S423">
        <v>3</v>
      </c>
      <c r="T423">
        <v>4</v>
      </c>
      <c r="U423">
        <v>3</v>
      </c>
      <c r="V423" t="s">
        <v>38</v>
      </c>
    </row>
    <row r="424" spans="1:22" hidden="1" x14ac:dyDescent="0.25">
      <c r="A424" t="s">
        <v>82</v>
      </c>
      <c r="B424">
        <v>3</v>
      </c>
      <c r="C424" t="s">
        <v>66</v>
      </c>
      <c r="D424" t="s">
        <v>67</v>
      </c>
      <c r="E424" t="s">
        <v>68</v>
      </c>
      <c r="F424">
        <v>180</v>
      </c>
      <c r="G424">
        <v>1080</v>
      </c>
      <c r="H424">
        <v>-3</v>
      </c>
      <c r="I424">
        <v>1983</v>
      </c>
      <c r="J424" t="s">
        <v>80</v>
      </c>
      <c r="K424">
        <v>1252</v>
      </c>
      <c r="L424">
        <v>5.86</v>
      </c>
      <c r="M424">
        <v>5.61</v>
      </c>
      <c r="N424" s="4">
        <f t="shared" si="12"/>
        <v>2.6956586000000007E-3</v>
      </c>
      <c r="O424" s="4">
        <f t="shared" si="13"/>
        <v>1.5122644746000004E-2</v>
      </c>
      <c r="P424">
        <v>50</v>
      </c>
      <c r="Q424">
        <v>3</v>
      </c>
      <c r="R424">
        <v>4</v>
      </c>
      <c r="S424">
        <v>2.5</v>
      </c>
      <c r="T424">
        <v>2.5</v>
      </c>
      <c r="U424">
        <v>3</v>
      </c>
      <c r="V424" t="s">
        <v>30</v>
      </c>
    </row>
    <row r="425" spans="1:22" hidden="1" x14ac:dyDescent="0.25">
      <c r="A425" t="s">
        <v>82</v>
      </c>
      <c r="B425">
        <v>3</v>
      </c>
      <c r="C425" t="s">
        <v>66</v>
      </c>
      <c r="D425" t="s">
        <v>67</v>
      </c>
      <c r="E425" t="s">
        <v>68</v>
      </c>
      <c r="F425">
        <v>180</v>
      </c>
      <c r="G425">
        <v>1080</v>
      </c>
      <c r="H425">
        <v>-3</v>
      </c>
      <c r="I425">
        <v>1983</v>
      </c>
      <c r="J425" t="s">
        <v>24</v>
      </c>
      <c r="K425">
        <v>1</v>
      </c>
      <c r="L425">
        <v>9.1199999999999992</v>
      </c>
      <c r="M425">
        <v>9.67</v>
      </c>
      <c r="N425" s="4">
        <f t="shared" si="12"/>
        <v>6.5291903999999991E-3</v>
      </c>
      <c r="O425" s="4">
        <f t="shared" si="13"/>
        <v>6.3137271167999998E-2</v>
      </c>
      <c r="P425">
        <v>50</v>
      </c>
      <c r="Q425">
        <v>3</v>
      </c>
      <c r="R425">
        <v>4</v>
      </c>
      <c r="S425">
        <v>3</v>
      </c>
      <c r="T425">
        <v>3</v>
      </c>
      <c r="U425">
        <v>3</v>
      </c>
      <c r="V425" t="s">
        <v>38</v>
      </c>
    </row>
    <row r="426" spans="1:22" hidden="1" x14ac:dyDescent="0.25">
      <c r="A426" t="s">
        <v>82</v>
      </c>
      <c r="B426">
        <v>3</v>
      </c>
      <c r="C426" t="s">
        <v>66</v>
      </c>
      <c r="D426" t="s">
        <v>67</v>
      </c>
      <c r="E426" t="s">
        <v>68</v>
      </c>
      <c r="F426">
        <v>180</v>
      </c>
      <c r="G426">
        <v>1080</v>
      </c>
      <c r="H426">
        <v>-3</v>
      </c>
      <c r="I426">
        <v>1983</v>
      </c>
      <c r="J426" t="s">
        <v>59</v>
      </c>
      <c r="K426">
        <v>1482</v>
      </c>
      <c r="L426">
        <v>6.94</v>
      </c>
      <c r="M426">
        <v>5.17</v>
      </c>
      <c r="N426" s="4">
        <f t="shared" si="12"/>
        <v>3.7808426000000006E-3</v>
      </c>
      <c r="O426" s="4">
        <f t="shared" si="13"/>
        <v>1.9546956242000004E-2</v>
      </c>
      <c r="P426">
        <v>38</v>
      </c>
      <c r="Q426">
        <v>2.5</v>
      </c>
      <c r="R426">
        <v>3</v>
      </c>
      <c r="S426">
        <v>3</v>
      </c>
      <c r="T426">
        <v>4</v>
      </c>
      <c r="U426">
        <v>3.5</v>
      </c>
      <c r="V426" t="s">
        <v>30</v>
      </c>
    </row>
    <row r="427" spans="1:22" hidden="1" x14ac:dyDescent="0.25">
      <c r="A427" t="s">
        <v>82</v>
      </c>
      <c r="B427">
        <v>3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59</v>
      </c>
      <c r="K427">
        <v>2548</v>
      </c>
      <c r="L427">
        <v>16.25</v>
      </c>
      <c r="M427">
        <v>13.29</v>
      </c>
      <c r="N427" s="4">
        <f t="shared" si="12"/>
        <v>2.0728906250000002E-2</v>
      </c>
      <c r="O427" s="4">
        <f t="shared" si="13"/>
        <v>0.27548716406250001</v>
      </c>
      <c r="P427">
        <v>13</v>
      </c>
      <c r="Q427">
        <v>3</v>
      </c>
      <c r="R427">
        <v>4</v>
      </c>
      <c r="S427">
        <v>4</v>
      </c>
      <c r="T427">
        <v>3.5</v>
      </c>
      <c r="U427">
        <v>3</v>
      </c>
      <c r="V427" t="s">
        <v>38</v>
      </c>
    </row>
    <row r="428" spans="1:22" hidden="1" x14ac:dyDescent="0.25">
      <c r="A428" t="s">
        <v>82</v>
      </c>
      <c r="B428">
        <v>3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26</v>
      </c>
      <c r="K428">
        <v>2552</v>
      </c>
      <c r="L428">
        <v>1.59</v>
      </c>
      <c r="M428">
        <v>2.89</v>
      </c>
      <c r="N428" s="4">
        <f t="shared" si="12"/>
        <v>1.9845585000000002E-4</v>
      </c>
      <c r="O428" s="4">
        <f t="shared" si="13"/>
        <v>5.7353740650000005E-4</v>
      </c>
      <c r="P428">
        <v>38</v>
      </c>
      <c r="Q428">
        <v>2.5</v>
      </c>
      <c r="R428">
        <v>3</v>
      </c>
      <c r="S428">
        <v>3</v>
      </c>
      <c r="T428">
        <v>3</v>
      </c>
      <c r="U428">
        <v>3</v>
      </c>
      <c r="V428" t="s">
        <v>30</v>
      </c>
    </row>
    <row r="429" spans="1:22" hidden="1" x14ac:dyDescent="0.25">
      <c r="A429" t="s">
        <v>82</v>
      </c>
      <c r="B429">
        <v>3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32</v>
      </c>
      <c r="K429">
        <v>2569</v>
      </c>
      <c r="L429">
        <v>5.32</v>
      </c>
      <c r="M429">
        <v>5.91</v>
      </c>
      <c r="N429" s="4">
        <f t="shared" si="12"/>
        <v>2.2217384000000006E-3</v>
      </c>
      <c r="O429" s="4">
        <f t="shared" si="13"/>
        <v>1.3130473944000003E-2</v>
      </c>
      <c r="P429">
        <v>50</v>
      </c>
      <c r="Q429">
        <v>3</v>
      </c>
      <c r="R429">
        <v>4</v>
      </c>
      <c r="S429">
        <v>3.5</v>
      </c>
      <c r="T429">
        <v>4</v>
      </c>
      <c r="U429">
        <v>3.5</v>
      </c>
      <c r="V429" t="s">
        <v>38</v>
      </c>
    </row>
    <row r="430" spans="1:22" hidden="1" x14ac:dyDescent="0.25">
      <c r="A430" t="s">
        <v>82</v>
      </c>
      <c r="B430">
        <v>3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33</v>
      </c>
      <c r="K430">
        <v>2547</v>
      </c>
      <c r="L430">
        <v>24.73</v>
      </c>
      <c r="M430">
        <v>14.19</v>
      </c>
      <c r="N430" s="4">
        <f t="shared" si="12"/>
        <v>4.8008472650000002E-2</v>
      </c>
      <c r="O430" s="4">
        <f t="shared" si="13"/>
        <v>0.68124022690349995</v>
      </c>
      <c r="P430">
        <v>88</v>
      </c>
      <c r="Q430">
        <v>4.5</v>
      </c>
      <c r="R430">
        <v>3</v>
      </c>
      <c r="S430">
        <v>3</v>
      </c>
      <c r="T430">
        <v>3</v>
      </c>
      <c r="U430">
        <v>2.8</v>
      </c>
      <c r="V430" t="s">
        <v>27</v>
      </c>
    </row>
    <row r="431" spans="1:22" hidden="1" x14ac:dyDescent="0.25">
      <c r="A431" t="s">
        <v>82</v>
      </c>
      <c r="B431">
        <v>3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33</v>
      </c>
      <c r="K431">
        <v>2568</v>
      </c>
      <c r="L431">
        <v>9.1300000000000008</v>
      </c>
      <c r="M431">
        <v>7.02</v>
      </c>
      <c r="N431" s="4">
        <f t="shared" si="12"/>
        <v>6.5435166500000018E-3</v>
      </c>
      <c r="O431" s="4">
        <f t="shared" si="13"/>
        <v>4.5935486883000011E-2</v>
      </c>
      <c r="P431">
        <v>13</v>
      </c>
      <c r="Q431">
        <v>2.8</v>
      </c>
      <c r="R431">
        <v>2.5</v>
      </c>
      <c r="S431">
        <v>3</v>
      </c>
      <c r="T431">
        <v>3</v>
      </c>
      <c r="U431">
        <v>2.5</v>
      </c>
      <c r="V431" t="s">
        <v>30</v>
      </c>
    </row>
    <row r="432" spans="1:22" hidden="1" x14ac:dyDescent="0.25">
      <c r="A432" t="s">
        <v>82</v>
      </c>
      <c r="B432">
        <v>3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34</v>
      </c>
      <c r="K432">
        <v>1522</v>
      </c>
      <c r="L432">
        <v>1.41</v>
      </c>
      <c r="M432">
        <v>2.82</v>
      </c>
      <c r="N432" s="4">
        <f t="shared" si="12"/>
        <v>1.5606585000000001E-4</v>
      </c>
      <c r="O432" s="4">
        <f t="shared" si="13"/>
        <v>4.4010569700000002E-4</v>
      </c>
      <c r="P432">
        <v>13</v>
      </c>
      <c r="Q432">
        <v>1</v>
      </c>
      <c r="R432">
        <v>3</v>
      </c>
      <c r="S432">
        <v>3</v>
      </c>
      <c r="T432">
        <v>3</v>
      </c>
      <c r="U432">
        <v>3</v>
      </c>
      <c r="V432" t="s">
        <v>50</v>
      </c>
    </row>
    <row r="433" spans="1:22" hidden="1" x14ac:dyDescent="0.25">
      <c r="A433" t="s">
        <v>82</v>
      </c>
      <c r="B433">
        <v>3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2.11</v>
      </c>
      <c r="M433">
        <v>3.1</v>
      </c>
      <c r="N433" s="4">
        <f t="shared" si="12"/>
        <v>3.4948984999999988E-4</v>
      </c>
      <c r="O433" s="4">
        <f t="shared" si="13"/>
        <v>1.0834185349999997E-3</v>
      </c>
      <c r="P433">
        <v>38</v>
      </c>
      <c r="Q433">
        <v>1.3</v>
      </c>
      <c r="R433">
        <v>3</v>
      </c>
      <c r="S433">
        <v>3</v>
      </c>
      <c r="T433">
        <v>3</v>
      </c>
      <c r="U433">
        <v>3</v>
      </c>
      <c r="V433" t="s">
        <v>50</v>
      </c>
    </row>
    <row r="434" spans="1:22" hidden="1" x14ac:dyDescent="0.25">
      <c r="A434" t="s">
        <v>82</v>
      </c>
      <c r="B434">
        <v>3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34</v>
      </c>
      <c r="K434">
        <v>2570</v>
      </c>
      <c r="L434">
        <v>21.43</v>
      </c>
      <c r="M434">
        <v>14.1</v>
      </c>
      <c r="N434" s="4">
        <f t="shared" si="12"/>
        <v>3.6050724649999998E-2</v>
      </c>
      <c r="O434" s="4">
        <f t="shared" si="13"/>
        <v>0.50831521756499998</v>
      </c>
      <c r="P434">
        <v>38</v>
      </c>
      <c r="Q434">
        <v>4</v>
      </c>
      <c r="R434">
        <v>3.5</v>
      </c>
      <c r="S434">
        <v>3</v>
      </c>
      <c r="T434">
        <v>3.5</v>
      </c>
      <c r="U434">
        <v>3</v>
      </c>
      <c r="V434" t="s">
        <v>25</v>
      </c>
    </row>
    <row r="435" spans="1:22" hidden="1" x14ac:dyDescent="0.25">
      <c r="A435" t="s">
        <v>82</v>
      </c>
      <c r="B435">
        <v>3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8.75</v>
      </c>
      <c r="M435">
        <v>7.27</v>
      </c>
      <c r="N435" s="4">
        <f t="shared" si="12"/>
        <v>6.0101562499999999E-3</v>
      </c>
      <c r="O435" s="4">
        <f t="shared" si="13"/>
        <v>4.3693835937499995E-2</v>
      </c>
      <c r="P435">
        <v>38</v>
      </c>
      <c r="Q435">
        <v>3.5</v>
      </c>
      <c r="R435">
        <v>2.5</v>
      </c>
      <c r="S435">
        <v>3</v>
      </c>
      <c r="T435">
        <v>4</v>
      </c>
      <c r="U435">
        <v>3.3</v>
      </c>
      <c r="V435" t="s">
        <v>30</v>
      </c>
    </row>
    <row r="436" spans="1:22" hidden="1" x14ac:dyDescent="0.25">
      <c r="A436" t="s">
        <v>82</v>
      </c>
      <c r="B436">
        <v>3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3.37</v>
      </c>
      <c r="M436">
        <v>3.68</v>
      </c>
      <c r="N436" s="4">
        <f t="shared" si="12"/>
        <v>8.9151664999999997E-4</v>
      </c>
      <c r="O436" s="4">
        <f t="shared" si="13"/>
        <v>3.2807812720000002E-3</v>
      </c>
      <c r="P436">
        <v>50</v>
      </c>
      <c r="Q436">
        <v>2</v>
      </c>
      <c r="R436">
        <v>2.5</v>
      </c>
      <c r="S436">
        <v>3</v>
      </c>
      <c r="T436">
        <v>4</v>
      </c>
      <c r="U436">
        <v>3</v>
      </c>
      <c r="V436" t="s">
        <v>30</v>
      </c>
    </row>
    <row r="437" spans="1:22" hidden="1" x14ac:dyDescent="0.25">
      <c r="A437" t="s">
        <v>82</v>
      </c>
      <c r="B437">
        <v>3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62</v>
      </c>
      <c r="K437">
        <v>2553</v>
      </c>
      <c r="L437">
        <v>8.1300000000000008</v>
      </c>
      <c r="M437">
        <v>7.99</v>
      </c>
      <c r="N437" s="4">
        <f t="shared" si="12"/>
        <v>5.188606650000001E-3</v>
      </c>
      <c r="O437" s="4">
        <f t="shared" si="13"/>
        <v>4.1456967133500007E-2</v>
      </c>
      <c r="P437">
        <v>88</v>
      </c>
      <c r="Q437">
        <v>3</v>
      </c>
      <c r="R437">
        <v>3</v>
      </c>
      <c r="S437">
        <v>3.5</v>
      </c>
      <c r="T437">
        <v>4</v>
      </c>
      <c r="U437">
        <v>4</v>
      </c>
      <c r="V437" t="s">
        <v>38</v>
      </c>
    </row>
    <row r="438" spans="1:22" hidden="1" x14ac:dyDescent="0.25">
      <c r="A438" t="s">
        <v>82</v>
      </c>
      <c r="B438">
        <v>3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37</v>
      </c>
      <c r="K438">
        <v>2575</v>
      </c>
      <c r="L438">
        <v>2.63</v>
      </c>
      <c r="M438">
        <v>4.5999999999999996</v>
      </c>
      <c r="N438" s="4">
        <f t="shared" si="12"/>
        <v>5.4297665000000003E-4</v>
      </c>
      <c r="O438" s="4">
        <f t="shared" si="13"/>
        <v>2.49769259E-3</v>
      </c>
      <c r="P438">
        <v>38</v>
      </c>
      <c r="Q438">
        <v>2</v>
      </c>
      <c r="R438">
        <v>1.5</v>
      </c>
      <c r="S438">
        <v>3</v>
      </c>
      <c r="T438">
        <v>3</v>
      </c>
      <c r="U438">
        <v>3</v>
      </c>
      <c r="V438" t="s">
        <v>50</v>
      </c>
    </row>
    <row r="439" spans="1:22" hidden="1" x14ac:dyDescent="0.25">
      <c r="A439" t="s">
        <v>83</v>
      </c>
      <c r="B439">
        <v>1</v>
      </c>
      <c r="C439" t="s">
        <v>71</v>
      </c>
      <c r="D439" t="s">
        <v>84</v>
      </c>
      <c r="E439" t="s">
        <v>85</v>
      </c>
      <c r="F439">
        <v>220</v>
      </c>
      <c r="G439">
        <v>1050</v>
      </c>
      <c r="H439">
        <v>-2</v>
      </c>
      <c r="I439">
        <v>1983</v>
      </c>
      <c r="J439" t="s">
        <v>76</v>
      </c>
      <c r="K439">
        <v>1592</v>
      </c>
      <c r="L439">
        <v>23.59</v>
      </c>
      <c r="M439">
        <v>9.8699999999999992</v>
      </c>
      <c r="N439" s="4">
        <f t="shared" si="12"/>
        <v>4.3684315850000002E-2</v>
      </c>
      <c r="O439" s="4">
        <f t="shared" si="13"/>
        <v>0.43116419743949996</v>
      </c>
      <c r="P439">
        <v>75</v>
      </c>
      <c r="Q439">
        <v>3</v>
      </c>
      <c r="R439">
        <v>4</v>
      </c>
      <c r="S439">
        <v>3</v>
      </c>
      <c r="T439">
        <v>4</v>
      </c>
      <c r="U439">
        <v>3</v>
      </c>
      <c r="V439" t="s">
        <v>25</v>
      </c>
    </row>
    <row r="440" spans="1:22" hidden="1" x14ac:dyDescent="0.25">
      <c r="A440" t="s">
        <v>83</v>
      </c>
      <c r="B440">
        <v>1</v>
      </c>
      <c r="C440" t="s">
        <v>71</v>
      </c>
      <c r="D440" t="s">
        <v>84</v>
      </c>
      <c r="E440" t="s">
        <v>85</v>
      </c>
      <c r="F440">
        <v>220</v>
      </c>
      <c r="G440">
        <v>1050</v>
      </c>
      <c r="H440">
        <v>-2</v>
      </c>
      <c r="I440">
        <v>1983</v>
      </c>
      <c r="J440" t="s">
        <v>76</v>
      </c>
      <c r="K440">
        <v>2560</v>
      </c>
      <c r="L440">
        <v>20.72</v>
      </c>
      <c r="M440">
        <v>8.67</v>
      </c>
      <c r="N440" s="4">
        <f t="shared" si="12"/>
        <v>3.3701494400000004E-2</v>
      </c>
      <c r="O440" s="4">
        <f t="shared" si="13"/>
        <v>0.29219195644800006</v>
      </c>
      <c r="P440">
        <v>100</v>
      </c>
      <c r="Q440">
        <v>3.5</v>
      </c>
      <c r="R440">
        <v>3.5</v>
      </c>
      <c r="S440">
        <v>2.5</v>
      </c>
      <c r="T440">
        <v>4</v>
      </c>
      <c r="U440">
        <v>4</v>
      </c>
      <c r="V440" t="s">
        <v>27</v>
      </c>
    </row>
    <row r="441" spans="1:22" hidden="1" x14ac:dyDescent="0.25">
      <c r="A441" t="s">
        <v>83</v>
      </c>
      <c r="B441">
        <v>1</v>
      </c>
      <c r="C441" t="s">
        <v>71</v>
      </c>
      <c r="D441" t="s">
        <v>84</v>
      </c>
      <c r="E441" t="s">
        <v>85</v>
      </c>
      <c r="F441">
        <v>220</v>
      </c>
      <c r="G441">
        <v>1050</v>
      </c>
      <c r="H441">
        <v>-2</v>
      </c>
      <c r="I441">
        <v>1983</v>
      </c>
      <c r="J441" t="s">
        <v>24</v>
      </c>
      <c r="K441">
        <v>2562</v>
      </c>
      <c r="L441">
        <v>19.64</v>
      </c>
      <c r="M441">
        <v>11.02</v>
      </c>
      <c r="N441" s="4">
        <f t="shared" si="12"/>
        <v>3.0279773600000011E-2</v>
      </c>
      <c r="O441" s="4">
        <f t="shared" si="13"/>
        <v>0.33368310507200011</v>
      </c>
      <c r="P441">
        <v>100</v>
      </c>
      <c r="Q441">
        <v>4</v>
      </c>
      <c r="R441">
        <v>3</v>
      </c>
      <c r="S441">
        <v>3</v>
      </c>
      <c r="T441">
        <v>3</v>
      </c>
      <c r="U441">
        <v>3</v>
      </c>
      <c r="V441" t="s">
        <v>25</v>
      </c>
    </row>
    <row r="442" spans="1:22" hidden="1" x14ac:dyDescent="0.25">
      <c r="A442" t="s">
        <v>83</v>
      </c>
      <c r="B442">
        <v>1</v>
      </c>
      <c r="C442" t="s">
        <v>71</v>
      </c>
      <c r="D442" t="s">
        <v>84</v>
      </c>
      <c r="E442" t="s">
        <v>85</v>
      </c>
      <c r="F442">
        <v>220</v>
      </c>
      <c r="G442">
        <v>1050</v>
      </c>
      <c r="H442">
        <v>-2</v>
      </c>
      <c r="I442">
        <v>1983</v>
      </c>
      <c r="J442" t="s">
        <v>80</v>
      </c>
      <c r="K442">
        <v>1252</v>
      </c>
      <c r="L442">
        <v>14.13</v>
      </c>
      <c r="M442">
        <v>8.85</v>
      </c>
      <c r="N442" s="4">
        <f t="shared" si="12"/>
        <v>1.5673066650000001E-2</v>
      </c>
      <c r="O442" s="4">
        <f t="shared" si="13"/>
        <v>0.13870663985250001</v>
      </c>
      <c r="P442">
        <v>100</v>
      </c>
      <c r="Q442">
        <v>3</v>
      </c>
      <c r="R442">
        <v>2.5</v>
      </c>
      <c r="S442">
        <v>1.5</v>
      </c>
      <c r="T442">
        <v>2</v>
      </c>
      <c r="U442">
        <v>2</v>
      </c>
      <c r="V442" t="s">
        <v>30</v>
      </c>
    </row>
    <row r="443" spans="1:22" hidden="1" x14ac:dyDescent="0.25">
      <c r="A443" t="s">
        <v>83</v>
      </c>
      <c r="B443">
        <v>1</v>
      </c>
      <c r="C443" t="s">
        <v>71</v>
      </c>
      <c r="D443" t="s">
        <v>84</v>
      </c>
      <c r="E443" t="s">
        <v>85</v>
      </c>
      <c r="F443">
        <v>220</v>
      </c>
      <c r="G443">
        <v>1050</v>
      </c>
      <c r="H443">
        <v>-2</v>
      </c>
      <c r="I443">
        <v>1983</v>
      </c>
      <c r="J443" t="s">
        <v>59</v>
      </c>
      <c r="K443">
        <v>1482</v>
      </c>
      <c r="L443">
        <v>22.62</v>
      </c>
      <c r="M443">
        <v>8.83</v>
      </c>
      <c r="N443" s="4">
        <f t="shared" si="12"/>
        <v>4.0165655400000007E-2</v>
      </c>
      <c r="O443" s="4">
        <f t="shared" si="13"/>
        <v>0.35466273718200009</v>
      </c>
      <c r="P443">
        <v>88</v>
      </c>
      <c r="Q443">
        <v>2</v>
      </c>
      <c r="R443">
        <v>3</v>
      </c>
      <c r="S443">
        <v>3</v>
      </c>
      <c r="T443">
        <v>3</v>
      </c>
      <c r="U443">
        <v>3</v>
      </c>
      <c r="V443" t="s">
        <v>30</v>
      </c>
    </row>
    <row r="444" spans="1:22" hidden="1" x14ac:dyDescent="0.25">
      <c r="A444" t="s">
        <v>83</v>
      </c>
      <c r="B444">
        <v>1</v>
      </c>
      <c r="C444" t="s">
        <v>71</v>
      </c>
      <c r="D444" t="s">
        <v>84</v>
      </c>
      <c r="E444" t="s">
        <v>85</v>
      </c>
      <c r="F444">
        <v>220</v>
      </c>
      <c r="G444">
        <v>1050</v>
      </c>
      <c r="H444">
        <v>-2</v>
      </c>
      <c r="I444">
        <v>1983</v>
      </c>
      <c r="J444" t="s">
        <v>59</v>
      </c>
      <c r="K444">
        <v>2548</v>
      </c>
      <c r="L444">
        <v>15.98</v>
      </c>
      <c r="M444">
        <v>6.24</v>
      </c>
      <c r="N444" s="4">
        <f t="shared" si="12"/>
        <v>2.0045791399999999E-2</v>
      </c>
      <c r="O444" s="4">
        <f t="shared" si="13"/>
        <v>0.12508573833600001</v>
      </c>
      <c r="P444">
        <v>63</v>
      </c>
      <c r="Q444">
        <v>3.5</v>
      </c>
      <c r="R444">
        <v>4</v>
      </c>
      <c r="S444">
        <v>2.8</v>
      </c>
      <c r="T444">
        <v>2.8</v>
      </c>
      <c r="U444">
        <v>2.5</v>
      </c>
      <c r="V444" t="s">
        <v>38</v>
      </c>
    </row>
    <row r="445" spans="1:22" hidden="1" x14ac:dyDescent="0.25">
      <c r="A445" t="s">
        <v>83</v>
      </c>
      <c r="B445">
        <v>1</v>
      </c>
      <c r="C445" t="s">
        <v>71</v>
      </c>
      <c r="D445" t="s">
        <v>84</v>
      </c>
      <c r="E445" t="s">
        <v>85</v>
      </c>
      <c r="F445">
        <v>220</v>
      </c>
      <c r="G445">
        <v>1050</v>
      </c>
      <c r="H445">
        <v>-2</v>
      </c>
      <c r="I445">
        <v>1983</v>
      </c>
      <c r="J445" t="s">
        <v>32</v>
      </c>
      <c r="K445">
        <v>1596</v>
      </c>
      <c r="L445">
        <v>16.18</v>
      </c>
      <c r="M445">
        <v>7.67</v>
      </c>
      <c r="N445" s="4">
        <f t="shared" si="12"/>
        <v>2.0550703400000002E-2</v>
      </c>
      <c r="O445" s="4">
        <f t="shared" si="13"/>
        <v>0.15762389507800001</v>
      </c>
      <c r="P445">
        <v>88</v>
      </c>
      <c r="Q445">
        <v>3.5</v>
      </c>
      <c r="R445">
        <v>3</v>
      </c>
      <c r="S445">
        <v>2.5</v>
      </c>
      <c r="T445">
        <v>4</v>
      </c>
      <c r="U445">
        <v>3</v>
      </c>
      <c r="V445" t="s">
        <v>27</v>
      </c>
    </row>
    <row r="446" spans="1:22" hidden="1" x14ac:dyDescent="0.25">
      <c r="A446" t="s">
        <v>83</v>
      </c>
      <c r="B446">
        <v>1</v>
      </c>
      <c r="C446" t="s">
        <v>71</v>
      </c>
      <c r="D446" t="s">
        <v>84</v>
      </c>
      <c r="E446" t="s">
        <v>85</v>
      </c>
      <c r="F446">
        <v>220</v>
      </c>
      <c r="G446">
        <v>1050</v>
      </c>
      <c r="H446">
        <v>-2</v>
      </c>
      <c r="I446">
        <v>1983</v>
      </c>
      <c r="J446" t="s">
        <v>32</v>
      </c>
      <c r="K446">
        <v>2569</v>
      </c>
      <c r="L446">
        <v>18.440000000000001</v>
      </c>
      <c r="M446">
        <v>8.74</v>
      </c>
      <c r="N446" s="4">
        <f t="shared" si="12"/>
        <v>2.6692637600000003E-2</v>
      </c>
      <c r="O446" s="4">
        <f t="shared" si="13"/>
        <v>0.23329365262400004</v>
      </c>
      <c r="P446">
        <v>100</v>
      </c>
      <c r="Q446">
        <v>3.5</v>
      </c>
      <c r="R446">
        <v>3.5</v>
      </c>
      <c r="S446">
        <v>2.8</v>
      </c>
      <c r="T446">
        <v>4</v>
      </c>
      <c r="U446">
        <v>2.8</v>
      </c>
      <c r="V446" t="s">
        <v>25</v>
      </c>
    </row>
    <row r="447" spans="1:22" hidden="1" x14ac:dyDescent="0.25">
      <c r="A447" t="s">
        <v>83</v>
      </c>
      <c r="B447">
        <v>1</v>
      </c>
      <c r="C447" t="s">
        <v>71</v>
      </c>
      <c r="D447" t="s">
        <v>84</v>
      </c>
      <c r="E447" t="s">
        <v>85</v>
      </c>
      <c r="F447">
        <v>220</v>
      </c>
      <c r="G447">
        <v>1050</v>
      </c>
      <c r="H447">
        <v>-2</v>
      </c>
      <c r="I447">
        <v>1983</v>
      </c>
      <c r="J447" t="s">
        <v>33</v>
      </c>
      <c r="K447">
        <v>2547</v>
      </c>
      <c r="L447">
        <v>21.25</v>
      </c>
      <c r="M447">
        <v>9.6199999999999992</v>
      </c>
      <c r="N447" s="4">
        <f t="shared" si="12"/>
        <v>3.5447656250000001E-2</v>
      </c>
      <c r="O447" s="4">
        <f t="shared" si="13"/>
        <v>0.341006453125</v>
      </c>
      <c r="P447">
        <v>100</v>
      </c>
      <c r="Q447">
        <v>3.5</v>
      </c>
      <c r="R447">
        <v>2.5</v>
      </c>
      <c r="S447">
        <v>3</v>
      </c>
      <c r="T447">
        <v>3</v>
      </c>
      <c r="U447">
        <v>2</v>
      </c>
      <c r="V447" t="s">
        <v>25</v>
      </c>
    </row>
    <row r="448" spans="1:22" hidden="1" x14ac:dyDescent="0.25">
      <c r="A448" t="s">
        <v>83</v>
      </c>
      <c r="B448">
        <v>1</v>
      </c>
      <c r="C448" t="s">
        <v>71</v>
      </c>
      <c r="D448" t="s">
        <v>84</v>
      </c>
      <c r="E448" t="s">
        <v>85</v>
      </c>
      <c r="F448">
        <v>220</v>
      </c>
      <c r="G448">
        <v>1050</v>
      </c>
      <c r="H448">
        <v>-2</v>
      </c>
      <c r="I448">
        <v>1983</v>
      </c>
      <c r="J448" t="s">
        <v>33</v>
      </c>
      <c r="K448">
        <v>2568</v>
      </c>
      <c r="L448">
        <v>16.7</v>
      </c>
      <c r="M448">
        <v>7.64</v>
      </c>
      <c r="N448" s="4">
        <f t="shared" si="12"/>
        <v>2.1892864999999997E-2</v>
      </c>
      <c r="O448" s="4">
        <f t="shared" si="13"/>
        <v>0.16726148859999998</v>
      </c>
      <c r="P448">
        <v>100</v>
      </c>
      <c r="Q448">
        <v>3.5</v>
      </c>
      <c r="R448">
        <v>2.8</v>
      </c>
      <c r="S448">
        <v>3</v>
      </c>
      <c r="T448">
        <v>3</v>
      </c>
      <c r="U448">
        <v>2</v>
      </c>
      <c r="V448" t="s">
        <v>25</v>
      </c>
    </row>
    <row r="449" spans="1:22" hidden="1" x14ac:dyDescent="0.25">
      <c r="A449" t="s">
        <v>83</v>
      </c>
      <c r="B449">
        <v>1</v>
      </c>
      <c r="C449" t="s">
        <v>71</v>
      </c>
      <c r="D449" t="s">
        <v>84</v>
      </c>
      <c r="E449" t="s">
        <v>85</v>
      </c>
      <c r="F449">
        <v>220</v>
      </c>
      <c r="G449">
        <v>1050</v>
      </c>
      <c r="H449">
        <v>-2</v>
      </c>
      <c r="I449">
        <v>1983</v>
      </c>
      <c r="J449" t="s">
        <v>34</v>
      </c>
      <c r="K449">
        <v>1522</v>
      </c>
      <c r="L449">
        <v>15.73</v>
      </c>
      <c r="M449">
        <v>7.8</v>
      </c>
      <c r="N449" s="4">
        <f t="shared" si="12"/>
        <v>1.9423482650000001E-2</v>
      </c>
      <c r="O449" s="4">
        <f t="shared" si="13"/>
        <v>0.15150316467</v>
      </c>
      <c r="P449">
        <v>88</v>
      </c>
      <c r="Q449">
        <v>3.5</v>
      </c>
      <c r="R449">
        <v>2.8</v>
      </c>
      <c r="S449">
        <v>3</v>
      </c>
      <c r="T449">
        <v>3.5</v>
      </c>
      <c r="U449">
        <v>3.5</v>
      </c>
      <c r="V449" t="s">
        <v>27</v>
      </c>
    </row>
    <row r="450" spans="1:22" hidden="1" x14ac:dyDescent="0.25">
      <c r="A450" t="s">
        <v>83</v>
      </c>
      <c r="B450">
        <v>1</v>
      </c>
      <c r="C450" t="s">
        <v>71</v>
      </c>
      <c r="D450" t="s">
        <v>84</v>
      </c>
      <c r="E450" t="s">
        <v>85</v>
      </c>
      <c r="F450">
        <v>220</v>
      </c>
      <c r="G450">
        <v>1050</v>
      </c>
      <c r="H450">
        <v>-2</v>
      </c>
      <c r="I450">
        <v>1983</v>
      </c>
      <c r="J450" t="s">
        <v>34</v>
      </c>
      <c r="K450">
        <v>2570</v>
      </c>
      <c r="L450">
        <v>16.55</v>
      </c>
      <c r="M450">
        <v>8.2100000000000009</v>
      </c>
      <c r="N450" s="4">
        <f t="shared" si="12"/>
        <v>2.1501346250000001E-2</v>
      </c>
      <c r="O450" s="4">
        <f t="shared" si="13"/>
        <v>0.17652605271250002</v>
      </c>
      <c r="P450">
        <v>100</v>
      </c>
      <c r="Q450">
        <v>3.5</v>
      </c>
      <c r="R450">
        <v>3</v>
      </c>
      <c r="S450">
        <v>3.5</v>
      </c>
      <c r="T450">
        <v>3.3</v>
      </c>
      <c r="U450">
        <v>3</v>
      </c>
      <c r="V450" t="s">
        <v>25</v>
      </c>
    </row>
    <row r="451" spans="1:22" hidden="1" x14ac:dyDescent="0.25">
      <c r="A451" t="s">
        <v>83</v>
      </c>
      <c r="B451">
        <v>1</v>
      </c>
      <c r="C451" t="s">
        <v>71</v>
      </c>
      <c r="D451" t="s">
        <v>84</v>
      </c>
      <c r="E451" t="s">
        <v>85</v>
      </c>
      <c r="F451">
        <v>220</v>
      </c>
      <c r="G451">
        <v>1050</v>
      </c>
      <c r="H451">
        <v>-2</v>
      </c>
      <c r="I451">
        <v>1983</v>
      </c>
      <c r="J451" t="s">
        <v>35</v>
      </c>
      <c r="K451">
        <v>2571</v>
      </c>
      <c r="L451">
        <v>13.67</v>
      </c>
      <c r="M451">
        <v>5.24</v>
      </c>
      <c r="N451" s="4">
        <f t="shared" ref="N451:N514" si="14">3.14/4*((L451/100)^2)</f>
        <v>1.466920865E-2</v>
      </c>
      <c r="O451" s="4">
        <f t="shared" ref="O451:O514" si="15">3.14/4*((L451/100)^2)*M451</f>
        <v>7.6866653325999998E-2</v>
      </c>
      <c r="P451">
        <v>63</v>
      </c>
      <c r="Q451">
        <v>2.5</v>
      </c>
      <c r="R451">
        <v>2</v>
      </c>
      <c r="S451">
        <v>2.5</v>
      </c>
      <c r="T451">
        <v>3.3</v>
      </c>
      <c r="U451">
        <v>3</v>
      </c>
      <c r="V451" t="s">
        <v>25</v>
      </c>
    </row>
    <row r="452" spans="1:22" hidden="1" x14ac:dyDescent="0.25">
      <c r="A452" t="s">
        <v>83</v>
      </c>
      <c r="B452">
        <v>1</v>
      </c>
      <c r="C452" t="s">
        <v>71</v>
      </c>
      <c r="D452" t="s">
        <v>84</v>
      </c>
      <c r="E452" t="s">
        <v>85</v>
      </c>
      <c r="F452">
        <v>220</v>
      </c>
      <c r="G452">
        <v>1050</v>
      </c>
      <c r="H452">
        <v>-2</v>
      </c>
      <c r="I452">
        <v>1983</v>
      </c>
      <c r="J452" t="s">
        <v>81</v>
      </c>
      <c r="K452">
        <v>2750</v>
      </c>
      <c r="L452">
        <v>12.8</v>
      </c>
      <c r="M452">
        <v>7.25</v>
      </c>
      <c r="N452" s="4">
        <f t="shared" si="14"/>
        <v>1.286144E-2</v>
      </c>
      <c r="O452" s="4">
        <f t="shared" si="15"/>
        <v>9.3245439999999999E-2</v>
      </c>
      <c r="P452">
        <v>50</v>
      </c>
      <c r="Q452">
        <v>2.2999999999999998</v>
      </c>
      <c r="R452">
        <v>4.5</v>
      </c>
      <c r="S452">
        <v>2.5</v>
      </c>
      <c r="T452">
        <v>3</v>
      </c>
      <c r="U452">
        <v>3</v>
      </c>
      <c r="V452" t="s">
        <v>38</v>
      </c>
    </row>
    <row r="453" spans="1:22" hidden="1" x14ac:dyDescent="0.25">
      <c r="A453" t="s">
        <v>83</v>
      </c>
      <c r="B453">
        <v>1</v>
      </c>
      <c r="C453" t="s">
        <v>71</v>
      </c>
      <c r="D453" t="s">
        <v>84</v>
      </c>
      <c r="E453" t="s">
        <v>85</v>
      </c>
      <c r="F453">
        <v>220</v>
      </c>
      <c r="G453">
        <v>1050</v>
      </c>
      <c r="H453">
        <v>-2</v>
      </c>
      <c r="I453">
        <v>1983</v>
      </c>
      <c r="J453" t="s">
        <v>62</v>
      </c>
      <c r="K453">
        <v>2553</v>
      </c>
      <c r="L453">
        <v>20.82</v>
      </c>
      <c r="M453">
        <v>11.37</v>
      </c>
      <c r="N453" s="4">
        <f t="shared" si="14"/>
        <v>3.4027583399999999E-2</v>
      </c>
      <c r="O453" s="4">
        <f t="shared" si="15"/>
        <v>0.38689362325799997</v>
      </c>
      <c r="P453">
        <v>88</v>
      </c>
      <c r="Q453">
        <v>2.5</v>
      </c>
      <c r="R453">
        <v>3.3</v>
      </c>
      <c r="S453">
        <v>3.3</v>
      </c>
      <c r="T453">
        <v>3</v>
      </c>
      <c r="U453">
        <v>2.2999999999999998</v>
      </c>
      <c r="V453" t="s">
        <v>38</v>
      </c>
    </row>
    <row r="454" spans="1:22" hidden="1" x14ac:dyDescent="0.25">
      <c r="A454" t="s">
        <v>83</v>
      </c>
      <c r="B454">
        <v>1</v>
      </c>
      <c r="C454" t="s">
        <v>71</v>
      </c>
      <c r="D454" t="s">
        <v>84</v>
      </c>
      <c r="E454" t="s">
        <v>85</v>
      </c>
      <c r="F454">
        <v>220</v>
      </c>
      <c r="G454">
        <v>1050</v>
      </c>
      <c r="H454">
        <v>-2</v>
      </c>
      <c r="I454">
        <v>1983</v>
      </c>
      <c r="J454" t="s">
        <v>37</v>
      </c>
      <c r="K454">
        <v>2575</v>
      </c>
      <c r="L454">
        <v>6.65</v>
      </c>
      <c r="M454">
        <v>5.08</v>
      </c>
      <c r="N454" s="4">
        <f t="shared" si="14"/>
        <v>3.4714662500000006E-3</v>
      </c>
      <c r="O454" s="4">
        <f t="shared" si="15"/>
        <v>1.7635048550000004E-2</v>
      </c>
      <c r="P454">
        <v>88</v>
      </c>
      <c r="Q454">
        <v>2.5</v>
      </c>
      <c r="R454">
        <v>2.5</v>
      </c>
      <c r="S454">
        <v>2.5</v>
      </c>
      <c r="T454">
        <v>3</v>
      </c>
      <c r="U454">
        <v>3</v>
      </c>
      <c r="V454" t="s">
        <v>38</v>
      </c>
    </row>
    <row r="455" spans="1:22" hidden="1" x14ac:dyDescent="0.25">
      <c r="A455" t="s">
        <v>83</v>
      </c>
      <c r="B455">
        <v>1</v>
      </c>
      <c r="C455" t="s">
        <v>71</v>
      </c>
      <c r="D455" t="s">
        <v>84</v>
      </c>
      <c r="E455" t="s">
        <v>85</v>
      </c>
      <c r="F455">
        <v>220</v>
      </c>
      <c r="G455">
        <v>1050</v>
      </c>
      <c r="H455">
        <v>-2</v>
      </c>
      <c r="I455">
        <v>1983</v>
      </c>
      <c r="J455" t="s">
        <v>26</v>
      </c>
      <c r="K455">
        <v>2552</v>
      </c>
      <c r="L455">
        <v>18.88</v>
      </c>
      <c r="M455">
        <v>9.59</v>
      </c>
      <c r="N455" s="4">
        <f t="shared" si="14"/>
        <v>2.7981670400000002E-2</v>
      </c>
      <c r="O455" s="4">
        <f t="shared" si="15"/>
        <v>0.26834421913600004</v>
      </c>
      <c r="P455">
        <v>75</v>
      </c>
      <c r="Q455">
        <v>3</v>
      </c>
      <c r="R455">
        <v>3</v>
      </c>
      <c r="S455">
        <v>3</v>
      </c>
      <c r="T455">
        <v>3.3</v>
      </c>
      <c r="U455">
        <v>3</v>
      </c>
      <c r="V455" t="s">
        <v>25</v>
      </c>
    </row>
    <row r="456" spans="1:22" hidden="1" x14ac:dyDescent="0.25">
      <c r="A456" t="s">
        <v>83</v>
      </c>
      <c r="B456">
        <v>2</v>
      </c>
      <c r="C456" t="s">
        <v>71</v>
      </c>
      <c r="D456" t="s">
        <v>84</v>
      </c>
      <c r="E456" t="s">
        <v>85</v>
      </c>
      <c r="F456">
        <v>220</v>
      </c>
      <c r="G456">
        <v>1050</v>
      </c>
      <c r="H456">
        <v>-2</v>
      </c>
      <c r="I456">
        <v>1983</v>
      </c>
      <c r="J456" t="s">
        <v>76</v>
      </c>
      <c r="K456">
        <v>1592</v>
      </c>
      <c r="L456">
        <v>24.3</v>
      </c>
      <c r="M456">
        <v>10.49</v>
      </c>
      <c r="N456" s="4">
        <f t="shared" si="14"/>
        <v>4.6353464999999996E-2</v>
      </c>
      <c r="O456" s="4">
        <f t="shared" si="15"/>
        <v>0.48624784784999997</v>
      </c>
      <c r="P456">
        <v>50</v>
      </c>
      <c r="Q456">
        <v>3.5</v>
      </c>
      <c r="R456">
        <v>3</v>
      </c>
      <c r="S456">
        <v>3</v>
      </c>
      <c r="T456">
        <v>4</v>
      </c>
      <c r="U456">
        <v>2.5</v>
      </c>
      <c r="V456" t="s">
        <v>25</v>
      </c>
    </row>
    <row r="457" spans="1:22" hidden="1" x14ac:dyDescent="0.25">
      <c r="A457" t="s">
        <v>83</v>
      </c>
      <c r="B457">
        <v>2</v>
      </c>
      <c r="C457" t="s">
        <v>71</v>
      </c>
      <c r="D457" t="s">
        <v>84</v>
      </c>
      <c r="E457" t="s">
        <v>85</v>
      </c>
      <c r="F457">
        <v>220</v>
      </c>
      <c r="G457">
        <v>1050</v>
      </c>
      <c r="H457">
        <v>-2</v>
      </c>
      <c r="I457">
        <v>1983</v>
      </c>
      <c r="J457" t="s">
        <v>76</v>
      </c>
      <c r="K457">
        <v>2560</v>
      </c>
      <c r="L457">
        <v>16.5</v>
      </c>
      <c r="M457">
        <v>7.08</v>
      </c>
      <c r="N457" s="4">
        <f t="shared" si="14"/>
        <v>2.1371625000000002E-2</v>
      </c>
      <c r="O457" s="4">
        <f t="shared" si="15"/>
        <v>0.151311105</v>
      </c>
      <c r="P457">
        <v>75</v>
      </c>
      <c r="Q457">
        <v>3</v>
      </c>
      <c r="R457">
        <v>3.5</v>
      </c>
      <c r="S457">
        <v>2.5</v>
      </c>
      <c r="T457">
        <v>4</v>
      </c>
      <c r="U457">
        <v>3</v>
      </c>
      <c r="V457" t="s">
        <v>25</v>
      </c>
    </row>
    <row r="458" spans="1:22" hidden="1" x14ac:dyDescent="0.25">
      <c r="A458" t="s">
        <v>83</v>
      </c>
      <c r="B458">
        <v>2</v>
      </c>
      <c r="C458" t="s">
        <v>71</v>
      </c>
      <c r="D458" t="s">
        <v>84</v>
      </c>
      <c r="E458" t="s">
        <v>85</v>
      </c>
      <c r="F458">
        <v>220</v>
      </c>
      <c r="G458">
        <v>1050</v>
      </c>
      <c r="H458">
        <v>-2</v>
      </c>
      <c r="I458">
        <v>1983</v>
      </c>
      <c r="J458" t="s">
        <v>24</v>
      </c>
      <c r="K458">
        <v>2562</v>
      </c>
      <c r="L458">
        <v>17.62</v>
      </c>
      <c r="M458">
        <v>9.9</v>
      </c>
      <c r="N458" s="4">
        <f t="shared" si="14"/>
        <v>2.4371455400000009E-2</v>
      </c>
      <c r="O458" s="4">
        <f t="shared" si="15"/>
        <v>0.24127740846000009</v>
      </c>
      <c r="P458">
        <v>88</v>
      </c>
      <c r="Q458">
        <v>3.3</v>
      </c>
      <c r="R458">
        <v>3.3</v>
      </c>
      <c r="S458">
        <v>3</v>
      </c>
      <c r="T458">
        <v>3.5</v>
      </c>
      <c r="U458">
        <v>3.3</v>
      </c>
      <c r="V458" t="s">
        <v>25</v>
      </c>
    </row>
    <row r="459" spans="1:22" hidden="1" x14ac:dyDescent="0.25">
      <c r="A459" t="s">
        <v>83</v>
      </c>
      <c r="B459">
        <v>2</v>
      </c>
      <c r="C459" t="s">
        <v>71</v>
      </c>
      <c r="D459" t="s">
        <v>84</v>
      </c>
      <c r="E459" t="s">
        <v>85</v>
      </c>
      <c r="F459">
        <v>220</v>
      </c>
      <c r="G459">
        <v>1050</v>
      </c>
      <c r="H459">
        <v>-2</v>
      </c>
      <c r="I459">
        <v>1983</v>
      </c>
      <c r="J459" t="s">
        <v>80</v>
      </c>
      <c r="K459">
        <v>1252</v>
      </c>
      <c r="L459">
        <v>12.52</v>
      </c>
      <c r="M459">
        <v>9.23</v>
      </c>
      <c r="N459" s="4">
        <f t="shared" si="14"/>
        <v>1.2304906400000001E-2</v>
      </c>
      <c r="O459" s="4">
        <f t="shared" si="15"/>
        <v>0.11357428607200001</v>
      </c>
      <c r="P459">
        <v>100</v>
      </c>
      <c r="Q459">
        <v>3</v>
      </c>
      <c r="R459">
        <v>2.8</v>
      </c>
      <c r="S459">
        <v>2</v>
      </c>
      <c r="T459">
        <v>2.8</v>
      </c>
      <c r="U459">
        <v>2</v>
      </c>
      <c r="V459" t="s">
        <v>30</v>
      </c>
    </row>
    <row r="460" spans="1:22" hidden="1" x14ac:dyDescent="0.25">
      <c r="A460" t="s">
        <v>83</v>
      </c>
      <c r="B460">
        <v>2</v>
      </c>
      <c r="C460" t="s">
        <v>71</v>
      </c>
      <c r="D460" t="s">
        <v>84</v>
      </c>
      <c r="E460" t="s">
        <v>85</v>
      </c>
      <c r="F460">
        <v>220</v>
      </c>
      <c r="G460">
        <v>1050</v>
      </c>
      <c r="H460">
        <v>-2</v>
      </c>
      <c r="I460">
        <v>1983</v>
      </c>
      <c r="J460" t="s">
        <v>59</v>
      </c>
      <c r="K460">
        <v>1482</v>
      </c>
      <c r="L460">
        <v>21.8</v>
      </c>
      <c r="M460">
        <v>8.52</v>
      </c>
      <c r="N460" s="4">
        <f t="shared" si="14"/>
        <v>3.730634E-2</v>
      </c>
      <c r="O460" s="4">
        <f t="shared" si="15"/>
        <v>0.31785001679999997</v>
      </c>
      <c r="P460">
        <v>100</v>
      </c>
      <c r="Q460">
        <v>2</v>
      </c>
      <c r="R460">
        <v>3</v>
      </c>
      <c r="S460">
        <v>3</v>
      </c>
      <c r="T460">
        <v>3</v>
      </c>
      <c r="U460">
        <v>3</v>
      </c>
      <c r="V460" t="s">
        <v>50</v>
      </c>
    </row>
    <row r="461" spans="1:22" hidden="1" x14ac:dyDescent="0.25">
      <c r="A461" t="s">
        <v>83</v>
      </c>
      <c r="B461">
        <v>2</v>
      </c>
      <c r="C461" t="s">
        <v>71</v>
      </c>
      <c r="D461" t="s">
        <v>84</v>
      </c>
      <c r="E461" t="s">
        <v>85</v>
      </c>
      <c r="F461">
        <v>220</v>
      </c>
      <c r="G461">
        <v>1050</v>
      </c>
      <c r="H461">
        <v>-2</v>
      </c>
      <c r="I461">
        <v>1983</v>
      </c>
      <c r="J461" t="s">
        <v>59</v>
      </c>
      <c r="K461">
        <v>2548</v>
      </c>
      <c r="L461">
        <v>13.7</v>
      </c>
      <c r="M461">
        <v>5.35</v>
      </c>
      <c r="N461" s="4">
        <f t="shared" si="14"/>
        <v>1.4733664999999996E-2</v>
      </c>
      <c r="O461" s="4">
        <f t="shared" si="15"/>
        <v>7.882510774999997E-2</v>
      </c>
      <c r="P461">
        <v>88</v>
      </c>
      <c r="Q461">
        <v>4</v>
      </c>
      <c r="R461">
        <v>3</v>
      </c>
      <c r="S461">
        <v>2</v>
      </c>
      <c r="T461">
        <v>3</v>
      </c>
      <c r="U461">
        <v>1.5</v>
      </c>
      <c r="V461" t="s">
        <v>25</v>
      </c>
    </row>
    <row r="462" spans="1:22" hidden="1" x14ac:dyDescent="0.25">
      <c r="A462" t="s">
        <v>83</v>
      </c>
      <c r="B462">
        <v>2</v>
      </c>
      <c r="C462" t="s">
        <v>71</v>
      </c>
      <c r="D462" t="s">
        <v>84</v>
      </c>
      <c r="E462" t="s">
        <v>85</v>
      </c>
      <c r="F462">
        <v>220</v>
      </c>
      <c r="G462">
        <v>1050</v>
      </c>
      <c r="H462">
        <v>-2</v>
      </c>
      <c r="I462">
        <v>1983</v>
      </c>
      <c r="J462" t="s">
        <v>32</v>
      </c>
      <c r="K462">
        <v>1596</v>
      </c>
      <c r="L462">
        <v>10.97</v>
      </c>
      <c r="M462">
        <v>5.2</v>
      </c>
      <c r="N462" s="4">
        <f t="shared" si="14"/>
        <v>9.4467606500000002E-3</v>
      </c>
      <c r="O462" s="4">
        <f t="shared" si="15"/>
        <v>4.9123155380000005E-2</v>
      </c>
      <c r="P462">
        <v>50</v>
      </c>
      <c r="Q462">
        <v>3.3</v>
      </c>
      <c r="R462">
        <v>3</v>
      </c>
      <c r="S462">
        <v>3.3</v>
      </c>
      <c r="T462">
        <v>4</v>
      </c>
      <c r="U462">
        <v>3.5</v>
      </c>
      <c r="V462" t="s">
        <v>25</v>
      </c>
    </row>
    <row r="463" spans="1:22" hidden="1" x14ac:dyDescent="0.25">
      <c r="A463" t="s">
        <v>83</v>
      </c>
      <c r="B463">
        <v>2</v>
      </c>
      <c r="C463" t="s">
        <v>71</v>
      </c>
      <c r="D463" t="s">
        <v>84</v>
      </c>
      <c r="E463" t="s">
        <v>85</v>
      </c>
      <c r="F463">
        <v>220</v>
      </c>
      <c r="G463">
        <v>1050</v>
      </c>
      <c r="H463">
        <v>-2</v>
      </c>
      <c r="I463">
        <v>1983</v>
      </c>
      <c r="J463" t="s">
        <v>32</v>
      </c>
      <c r="K463">
        <v>2569</v>
      </c>
      <c r="L463">
        <v>20.86</v>
      </c>
      <c r="M463">
        <v>9.89</v>
      </c>
      <c r="N463" s="4">
        <f t="shared" si="14"/>
        <v>3.4158458600000004E-2</v>
      </c>
      <c r="O463" s="4">
        <f t="shared" si="15"/>
        <v>0.33782715555400006</v>
      </c>
      <c r="P463">
        <v>25</v>
      </c>
      <c r="Q463">
        <v>1.5</v>
      </c>
      <c r="R463">
        <v>3</v>
      </c>
      <c r="S463">
        <v>3</v>
      </c>
      <c r="T463">
        <v>3</v>
      </c>
      <c r="U463">
        <v>3</v>
      </c>
      <c r="V463" t="s">
        <v>50</v>
      </c>
    </row>
    <row r="464" spans="1:22" hidden="1" x14ac:dyDescent="0.25">
      <c r="A464" t="s">
        <v>83</v>
      </c>
      <c r="B464">
        <v>2</v>
      </c>
      <c r="C464" t="s">
        <v>71</v>
      </c>
      <c r="D464" t="s">
        <v>84</v>
      </c>
      <c r="E464" t="s">
        <v>85</v>
      </c>
      <c r="F464">
        <v>220</v>
      </c>
      <c r="G464">
        <v>1050</v>
      </c>
      <c r="H464">
        <v>-2</v>
      </c>
      <c r="I464">
        <v>1983</v>
      </c>
      <c r="J464" t="s">
        <v>33</v>
      </c>
      <c r="K464">
        <v>2547</v>
      </c>
      <c r="L464">
        <v>20.309999999999999</v>
      </c>
      <c r="M464">
        <v>9.27</v>
      </c>
      <c r="N464" s="4">
        <f t="shared" si="14"/>
        <v>3.2380943849999996E-2</v>
      </c>
      <c r="O464" s="4">
        <f t="shared" si="15"/>
        <v>0.30017134948949997</v>
      </c>
      <c r="P464">
        <v>100</v>
      </c>
      <c r="Q464">
        <v>4</v>
      </c>
      <c r="R464">
        <v>2.5</v>
      </c>
      <c r="S464">
        <v>2.8</v>
      </c>
      <c r="T464">
        <v>2.5</v>
      </c>
      <c r="U464">
        <v>2.5</v>
      </c>
      <c r="V464" t="s">
        <v>25</v>
      </c>
    </row>
    <row r="465" spans="1:22" hidden="1" x14ac:dyDescent="0.25">
      <c r="A465" t="s">
        <v>83</v>
      </c>
      <c r="B465">
        <v>2</v>
      </c>
      <c r="C465" t="s">
        <v>71</v>
      </c>
      <c r="D465" t="s">
        <v>84</v>
      </c>
      <c r="E465" t="s">
        <v>85</v>
      </c>
      <c r="F465">
        <v>220</v>
      </c>
      <c r="G465">
        <v>1050</v>
      </c>
      <c r="H465">
        <v>-2</v>
      </c>
      <c r="I465">
        <v>1983</v>
      </c>
      <c r="J465" t="s">
        <v>33</v>
      </c>
      <c r="K465">
        <v>2568</v>
      </c>
      <c r="L465">
        <v>20.29</v>
      </c>
      <c r="M465">
        <v>9.27</v>
      </c>
      <c r="N465" s="4">
        <f t="shared" si="14"/>
        <v>3.2317201849999998E-2</v>
      </c>
      <c r="O465" s="4">
        <f t="shared" si="15"/>
        <v>0.29958046114949999</v>
      </c>
      <c r="P465">
        <v>88</v>
      </c>
      <c r="Q465">
        <v>2</v>
      </c>
      <c r="R465">
        <v>2.5</v>
      </c>
      <c r="S465">
        <v>3</v>
      </c>
      <c r="T465">
        <v>3</v>
      </c>
      <c r="U465">
        <v>2</v>
      </c>
      <c r="V465" t="s">
        <v>30</v>
      </c>
    </row>
    <row r="466" spans="1:22" hidden="1" x14ac:dyDescent="0.25">
      <c r="A466" t="s">
        <v>83</v>
      </c>
      <c r="B466">
        <v>2</v>
      </c>
      <c r="C466" t="s">
        <v>71</v>
      </c>
      <c r="D466" t="s">
        <v>84</v>
      </c>
      <c r="E466" t="s">
        <v>85</v>
      </c>
      <c r="F466">
        <v>220</v>
      </c>
      <c r="G466">
        <v>1050</v>
      </c>
      <c r="H466">
        <v>-2</v>
      </c>
      <c r="I466">
        <v>1983</v>
      </c>
      <c r="J466" t="s">
        <v>34</v>
      </c>
      <c r="K466">
        <v>1522</v>
      </c>
      <c r="L466">
        <v>7.6</v>
      </c>
      <c r="M466">
        <v>3.76</v>
      </c>
      <c r="N466" s="4">
        <f t="shared" si="14"/>
        <v>4.5341599999999998E-3</v>
      </c>
      <c r="O466" s="4">
        <f t="shared" si="15"/>
        <v>1.7048441599999999E-2</v>
      </c>
      <c r="P466">
        <v>63</v>
      </c>
      <c r="Q466">
        <v>2</v>
      </c>
      <c r="R466">
        <v>3</v>
      </c>
      <c r="S466">
        <v>3</v>
      </c>
      <c r="T466">
        <v>3</v>
      </c>
      <c r="U466">
        <v>3</v>
      </c>
      <c r="V466" t="s">
        <v>50</v>
      </c>
    </row>
    <row r="467" spans="1:22" hidden="1" x14ac:dyDescent="0.25">
      <c r="A467" t="s">
        <v>83</v>
      </c>
      <c r="B467">
        <v>2</v>
      </c>
      <c r="C467" t="s">
        <v>71</v>
      </c>
      <c r="D467" t="s">
        <v>84</v>
      </c>
      <c r="E467" t="s">
        <v>85</v>
      </c>
      <c r="F467">
        <v>220</v>
      </c>
      <c r="G467">
        <v>1050</v>
      </c>
      <c r="H467">
        <v>-2</v>
      </c>
      <c r="I467">
        <v>1983</v>
      </c>
      <c r="J467" t="s">
        <v>34</v>
      </c>
      <c r="K467">
        <v>2570</v>
      </c>
      <c r="L467">
        <v>19.010000000000002</v>
      </c>
      <c r="M467">
        <v>9.41</v>
      </c>
      <c r="N467" s="4">
        <f t="shared" si="14"/>
        <v>2.8368337850000005E-2</v>
      </c>
      <c r="O467" s="4">
        <f t="shared" si="15"/>
        <v>0.26694605916850006</v>
      </c>
      <c r="P467">
        <v>75</v>
      </c>
      <c r="Q467">
        <v>3.5</v>
      </c>
      <c r="R467">
        <v>3</v>
      </c>
      <c r="S467">
        <v>3.5</v>
      </c>
      <c r="T467">
        <v>3.5</v>
      </c>
      <c r="U467">
        <v>3.5</v>
      </c>
      <c r="V467" t="s">
        <v>25</v>
      </c>
    </row>
    <row r="468" spans="1:22" hidden="1" x14ac:dyDescent="0.25">
      <c r="A468" t="s">
        <v>83</v>
      </c>
      <c r="B468">
        <v>2</v>
      </c>
      <c r="C468" t="s">
        <v>71</v>
      </c>
      <c r="D468" t="s">
        <v>84</v>
      </c>
      <c r="E468" t="s">
        <v>85</v>
      </c>
      <c r="F468">
        <v>220</v>
      </c>
      <c r="G468">
        <v>1050</v>
      </c>
      <c r="H468">
        <v>-2</v>
      </c>
      <c r="I468">
        <v>1983</v>
      </c>
      <c r="J468" t="s">
        <v>35</v>
      </c>
      <c r="K468">
        <v>2571</v>
      </c>
      <c r="L468">
        <v>16.149999999999999</v>
      </c>
      <c r="M468">
        <v>6.19</v>
      </c>
      <c r="N468" s="4">
        <f t="shared" si="14"/>
        <v>2.0474566249999993E-2</v>
      </c>
      <c r="O468" s="4">
        <f t="shared" si="15"/>
        <v>0.12673756508749995</v>
      </c>
      <c r="P468">
        <v>100</v>
      </c>
      <c r="Q468">
        <v>3</v>
      </c>
      <c r="R468">
        <v>2.2999999999999998</v>
      </c>
      <c r="S468">
        <v>3</v>
      </c>
      <c r="T468">
        <v>4</v>
      </c>
      <c r="U468">
        <v>4</v>
      </c>
      <c r="V468" t="s">
        <v>25</v>
      </c>
    </row>
    <row r="469" spans="1:22" hidden="1" x14ac:dyDescent="0.25">
      <c r="A469" t="s">
        <v>83</v>
      </c>
      <c r="B469">
        <v>2</v>
      </c>
      <c r="C469" t="s">
        <v>71</v>
      </c>
      <c r="D469" t="s">
        <v>84</v>
      </c>
      <c r="E469" t="s">
        <v>85</v>
      </c>
      <c r="F469">
        <v>220</v>
      </c>
      <c r="G469">
        <v>1050</v>
      </c>
      <c r="H469">
        <v>-2</v>
      </c>
      <c r="I469">
        <v>1983</v>
      </c>
      <c r="J469" t="s">
        <v>81</v>
      </c>
      <c r="K469">
        <v>2750</v>
      </c>
      <c r="L469">
        <v>14.5</v>
      </c>
      <c r="M469">
        <v>8.17</v>
      </c>
      <c r="N469" s="4">
        <f t="shared" si="14"/>
        <v>1.6504624999999998E-2</v>
      </c>
      <c r="O469" s="4">
        <f t="shared" si="15"/>
        <v>0.13484278624999999</v>
      </c>
      <c r="P469">
        <v>88</v>
      </c>
      <c r="Q469">
        <v>1</v>
      </c>
      <c r="R469">
        <v>3</v>
      </c>
      <c r="S469">
        <v>3</v>
      </c>
      <c r="T469">
        <v>3</v>
      </c>
      <c r="U469">
        <v>3</v>
      </c>
      <c r="V469" t="s">
        <v>50</v>
      </c>
    </row>
    <row r="470" spans="1:22" hidden="1" x14ac:dyDescent="0.25">
      <c r="A470" t="s">
        <v>83</v>
      </c>
      <c r="B470">
        <v>2</v>
      </c>
      <c r="C470" t="s">
        <v>71</v>
      </c>
      <c r="D470" t="s">
        <v>84</v>
      </c>
      <c r="E470" t="s">
        <v>85</v>
      </c>
      <c r="F470">
        <v>220</v>
      </c>
      <c r="G470">
        <v>1050</v>
      </c>
      <c r="H470">
        <v>-2</v>
      </c>
      <c r="I470">
        <v>1983</v>
      </c>
      <c r="J470" t="s">
        <v>62</v>
      </c>
      <c r="K470">
        <v>2553</v>
      </c>
      <c r="L470">
        <v>11.28</v>
      </c>
      <c r="M470">
        <v>6.41</v>
      </c>
      <c r="N470" s="4">
        <f t="shared" si="14"/>
        <v>9.9882144000000006E-3</v>
      </c>
      <c r="O470" s="4">
        <f t="shared" si="15"/>
        <v>6.4024454304E-2</v>
      </c>
      <c r="P470">
        <v>50</v>
      </c>
      <c r="Q470">
        <v>4</v>
      </c>
      <c r="R470">
        <v>3.5</v>
      </c>
      <c r="S470">
        <v>3.5</v>
      </c>
      <c r="T470">
        <v>3.5</v>
      </c>
      <c r="U470">
        <v>3</v>
      </c>
      <c r="V470" t="s">
        <v>25</v>
      </c>
    </row>
    <row r="471" spans="1:22" hidden="1" x14ac:dyDescent="0.25">
      <c r="A471" t="s">
        <v>83</v>
      </c>
      <c r="B471">
        <v>2</v>
      </c>
      <c r="C471" t="s">
        <v>71</v>
      </c>
      <c r="D471" t="s">
        <v>84</v>
      </c>
      <c r="E471" t="s">
        <v>85</v>
      </c>
      <c r="F471">
        <v>220</v>
      </c>
      <c r="G471">
        <v>1050</v>
      </c>
      <c r="H471">
        <v>-2</v>
      </c>
      <c r="I471">
        <v>1983</v>
      </c>
      <c r="J471" t="s">
        <v>37</v>
      </c>
      <c r="K471">
        <v>2575</v>
      </c>
      <c r="L471">
        <v>13.31</v>
      </c>
      <c r="M471">
        <v>8.75</v>
      </c>
      <c r="N471" s="4">
        <f t="shared" si="14"/>
        <v>1.390675385E-2</v>
      </c>
      <c r="O471" s="4">
        <f t="shared" si="15"/>
        <v>0.12168409618750001</v>
      </c>
      <c r="P471">
        <v>75</v>
      </c>
      <c r="Q471">
        <v>2.8</v>
      </c>
      <c r="R471">
        <v>3</v>
      </c>
      <c r="S471">
        <v>2.5</v>
      </c>
      <c r="T471">
        <v>3</v>
      </c>
      <c r="U471">
        <v>2.5</v>
      </c>
      <c r="V471" t="s">
        <v>30</v>
      </c>
    </row>
    <row r="472" spans="1:22" hidden="1" x14ac:dyDescent="0.25">
      <c r="A472" t="s">
        <v>83</v>
      </c>
      <c r="B472">
        <v>2</v>
      </c>
      <c r="C472" t="s">
        <v>71</v>
      </c>
      <c r="D472" t="s">
        <v>84</v>
      </c>
      <c r="E472" t="s">
        <v>85</v>
      </c>
      <c r="F472">
        <v>220</v>
      </c>
      <c r="G472">
        <v>1050</v>
      </c>
      <c r="H472">
        <v>-2</v>
      </c>
      <c r="I472">
        <v>1983</v>
      </c>
      <c r="J472" t="s">
        <v>26</v>
      </c>
      <c r="K472">
        <v>2552</v>
      </c>
      <c r="L472">
        <v>14.89</v>
      </c>
      <c r="M472">
        <v>7.56</v>
      </c>
      <c r="N472" s="4">
        <f t="shared" si="14"/>
        <v>1.7404399850000002E-2</v>
      </c>
      <c r="O472" s="4">
        <f t="shared" si="15"/>
        <v>0.13157726286599999</v>
      </c>
      <c r="P472">
        <v>50</v>
      </c>
      <c r="Q472">
        <v>4</v>
      </c>
      <c r="R472">
        <v>4</v>
      </c>
      <c r="S472">
        <v>2</v>
      </c>
      <c r="T472">
        <v>3</v>
      </c>
      <c r="U472">
        <v>2</v>
      </c>
      <c r="V472" t="s">
        <v>25</v>
      </c>
    </row>
    <row r="473" spans="1:22" hidden="1" x14ac:dyDescent="0.25">
      <c r="A473" t="s">
        <v>83</v>
      </c>
      <c r="B473">
        <v>3</v>
      </c>
      <c r="C473" t="s">
        <v>71</v>
      </c>
      <c r="D473" t="s">
        <v>84</v>
      </c>
      <c r="E473" t="s">
        <v>85</v>
      </c>
      <c r="F473">
        <v>220</v>
      </c>
      <c r="G473">
        <v>1050</v>
      </c>
      <c r="H473">
        <v>-2</v>
      </c>
      <c r="I473">
        <v>1983</v>
      </c>
      <c r="J473" t="s">
        <v>76</v>
      </c>
      <c r="K473">
        <v>1592</v>
      </c>
      <c r="L473">
        <v>19.34</v>
      </c>
      <c r="M473">
        <v>8.3000000000000007</v>
      </c>
      <c r="N473" s="4">
        <f t="shared" si="14"/>
        <v>2.9361794599999998E-2</v>
      </c>
      <c r="O473" s="4">
        <f t="shared" si="15"/>
        <v>0.24370289517999999</v>
      </c>
      <c r="P473">
        <v>100</v>
      </c>
      <c r="Q473">
        <v>3.5</v>
      </c>
      <c r="R473">
        <v>3.5</v>
      </c>
      <c r="S473">
        <v>2.5</v>
      </c>
      <c r="T473">
        <v>3.5</v>
      </c>
      <c r="U473">
        <v>2.5</v>
      </c>
      <c r="V473" t="s">
        <v>25</v>
      </c>
    </row>
    <row r="474" spans="1:22" hidden="1" x14ac:dyDescent="0.25">
      <c r="A474" t="s">
        <v>83</v>
      </c>
      <c r="B474">
        <v>3</v>
      </c>
      <c r="C474" t="s">
        <v>71</v>
      </c>
      <c r="D474" t="s">
        <v>84</v>
      </c>
      <c r="E474" t="s">
        <v>85</v>
      </c>
      <c r="F474">
        <v>220</v>
      </c>
      <c r="G474">
        <v>1050</v>
      </c>
      <c r="H474">
        <v>-2</v>
      </c>
      <c r="I474">
        <v>1983</v>
      </c>
      <c r="J474" t="s">
        <v>76</v>
      </c>
      <c r="K474">
        <v>2560</v>
      </c>
      <c r="L474">
        <v>21.27</v>
      </c>
      <c r="M474">
        <v>9.1300000000000008</v>
      </c>
      <c r="N474" s="4">
        <f t="shared" si="14"/>
        <v>3.5514412650000007E-2</v>
      </c>
      <c r="O474" s="4">
        <f t="shared" si="15"/>
        <v>0.32424658749450008</v>
      </c>
      <c r="P474">
        <v>88</v>
      </c>
      <c r="Q474">
        <v>3.3</v>
      </c>
      <c r="R474">
        <v>3.5</v>
      </c>
      <c r="S474">
        <v>2.5</v>
      </c>
      <c r="T474">
        <v>3.3</v>
      </c>
      <c r="U474">
        <v>3</v>
      </c>
      <c r="V474" t="s">
        <v>25</v>
      </c>
    </row>
    <row r="475" spans="1:22" hidden="1" x14ac:dyDescent="0.25">
      <c r="A475" t="s">
        <v>83</v>
      </c>
      <c r="B475">
        <v>3</v>
      </c>
      <c r="C475" t="s">
        <v>71</v>
      </c>
      <c r="D475" t="s">
        <v>84</v>
      </c>
      <c r="E475" t="s">
        <v>85</v>
      </c>
      <c r="F475">
        <v>220</v>
      </c>
      <c r="G475">
        <v>1050</v>
      </c>
      <c r="H475">
        <v>-2</v>
      </c>
      <c r="I475">
        <v>1983</v>
      </c>
      <c r="J475" t="s">
        <v>24</v>
      </c>
      <c r="K475">
        <v>2562</v>
      </c>
      <c r="L475">
        <v>17.62</v>
      </c>
      <c r="M475">
        <v>9.9</v>
      </c>
      <c r="N475" s="4">
        <f t="shared" si="14"/>
        <v>2.4371455400000009E-2</v>
      </c>
      <c r="O475" s="4">
        <f t="shared" si="15"/>
        <v>0.24127740846000009</v>
      </c>
      <c r="P475">
        <v>100</v>
      </c>
      <c r="Q475">
        <v>3.5</v>
      </c>
      <c r="R475">
        <v>3</v>
      </c>
      <c r="S475">
        <v>3</v>
      </c>
      <c r="T475">
        <v>3.3</v>
      </c>
      <c r="U475">
        <v>3.3</v>
      </c>
      <c r="V475" t="s">
        <v>25</v>
      </c>
    </row>
    <row r="476" spans="1:22" hidden="1" x14ac:dyDescent="0.25">
      <c r="A476" t="s">
        <v>83</v>
      </c>
      <c r="B476">
        <v>3</v>
      </c>
      <c r="C476" t="s">
        <v>71</v>
      </c>
      <c r="D476" t="s">
        <v>84</v>
      </c>
      <c r="E476" t="s">
        <v>85</v>
      </c>
      <c r="F476">
        <v>220</v>
      </c>
      <c r="G476">
        <v>1050</v>
      </c>
      <c r="H476">
        <v>-2</v>
      </c>
      <c r="I476">
        <v>1983</v>
      </c>
      <c r="J476" t="s">
        <v>80</v>
      </c>
      <c r="K476">
        <v>1252</v>
      </c>
      <c r="L476">
        <v>10.36</v>
      </c>
      <c r="M476">
        <v>7.54</v>
      </c>
      <c r="N476" s="4">
        <f t="shared" si="14"/>
        <v>8.425373600000001E-3</v>
      </c>
      <c r="O476" s="4">
        <f t="shared" si="15"/>
        <v>6.3527316944000004E-2</v>
      </c>
      <c r="P476">
        <v>100</v>
      </c>
      <c r="Q476">
        <v>2.7</v>
      </c>
      <c r="R476">
        <v>3</v>
      </c>
      <c r="S476">
        <v>2</v>
      </c>
      <c r="T476">
        <v>2</v>
      </c>
      <c r="U476">
        <v>2</v>
      </c>
      <c r="V476" t="s">
        <v>30</v>
      </c>
    </row>
    <row r="477" spans="1:22" hidden="1" x14ac:dyDescent="0.25">
      <c r="A477" t="s">
        <v>83</v>
      </c>
      <c r="B477">
        <v>3</v>
      </c>
      <c r="C477" t="s">
        <v>71</v>
      </c>
      <c r="D477" t="s">
        <v>84</v>
      </c>
      <c r="E477" t="s">
        <v>85</v>
      </c>
      <c r="F477">
        <v>220</v>
      </c>
      <c r="G477">
        <v>1050</v>
      </c>
      <c r="H477">
        <v>-2</v>
      </c>
      <c r="I477">
        <v>1983</v>
      </c>
      <c r="J477" t="s">
        <v>59</v>
      </c>
      <c r="K477">
        <v>1482</v>
      </c>
      <c r="L477">
        <v>22.38</v>
      </c>
      <c r="M477">
        <v>8.74</v>
      </c>
      <c r="N477" s="4">
        <f t="shared" si="14"/>
        <v>3.9317855400000004E-2</v>
      </c>
      <c r="O477" s="4">
        <f t="shared" si="15"/>
        <v>0.34363805619600002</v>
      </c>
      <c r="P477">
        <v>100</v>
      </c>
      <c r="Q477">
        <v>3.7</v>
      </c>
      <c r="R477">
        <v>3</v>
      </c>
      <c r="S477">
        <v>3.2</v>
      </c>
      <c r="T477">
        <v>3.3</v>
      </c>
      <c r="U477">
        <v>2.6</v>
      </c>
      <c r="V477" t="s">
        <v>25</v>
      </c>
    </row>
    <row r="478" spans="1:22" hidden="1" x14ac:dyDescent="0.25">
      <c r="A478" t="s">
        <v>83</v>
      </c>
      <c r="B478">
        <v>3</v>
      </c>
      <c r="C478" t="s">
        <v>71</v>
      </c>
      <c r="D478" t="s">
        <v>84</v>
      </c>
      <c r="E478" t="s">
        <v>85</v>
      </c>
      <c r="F478">
        <v>220</v>
      </c>
      <c r="G478">
        <v>1050</v>
      </c>
      <c r="H478">
        <v>-2</v>
      </c>
      <c r="I478">
        <v>1983</v>
      </c>
      <c r="J478" t="s">
        <v>59</v>
      </c>
      <c r="K478">
        <v>2548</v>
      </c>
      <c r="L478">
        <v>6.34</v>
      </c>
      <c r="M478">
        <v>3.65</v>
      </c>
      <c r="N478" s="4">
        <f t="shared" si="14"/>
        <v>3.1553546000000002E-3</v>
      </c>
      <c r="O478" s="4">
        <f t="shared" si="15"/>
        <v>1.151704429E-2</v>
      </c>
      <c r="P478">
        <v>100</v>
      </c>
      <c r="Q478">
        <v>3</v>
      </c>
      <c r="R478">
        <v>3</v>
      </c>
      <c r="S478">
        <v>2</v>
      </c>
      <c r="T478">
        <v>2.5</v>
      </c>
      <c r="U478">
        <v>2.5</v>
      </c>
      <c r="V478" t="s">
        <v>30</v>
      </c>
    </row>
    <row r="479" spans="1:22" hidden="1" x14ac:dyDescent="0.25">
      <c r="A479" t="s">
        <v>83</v>
      </c>
      <c r="B479">
        <v>3</v>
      </c>
      <c r="C479" t="s">
        <v>71</v>
      </c>
      <c r="D479" t="s">
        <v>84</v>
      </c>
      <c r="E479" t="s">
        <v>85</v>
      </c>
      <c r="F479">
        <v>220</v>
      </c>
      <c r="G479">
        <v>1050</v>
      </c>
      <c r="H479">
        <v>-2</v>
      </c>
      <c r="I479">
        <v>1983</v>
      </c>
      <c r="J479" t="s">
        <v>32</v>
      </c>
      <c r="K479">
        <v>1596</v>
      </c>
      <c r="L479">
        <v>14.77</v>
      </c>
      <c r="M479">
        <v>7</v>
      </c>
      <c r="N479" s="4">
        <f t="shared" si="14"/>
        <v>1.7125002650000002E-2</v>
      </c>
      <c r="O479" s="4">
        <f t="shared" si="15"/>
        <v>0.11987501855000002</v>
      </c>
      <c r="P479">
        <v>100</v>
      </c>
      <c r="Q479">
        <v>3</v>
      </c>
      <c r="R479">
        <v>4</v>
      </c>
      <c r="S479">
        <v>2</v>
      </c>
      <c r="T479">
        <v>3.5</v>
      </c>
      <c r="U479">
        <v>3</v>
      </c>
      <c r="V479" t="s">
        <v>25</v>
      </c>
    </row>
    <row r="480" spans="1:22" hidden="1" x14ac:dyDescent="0.25">
      <c r="A480" t="s">
        <v>83</v>
      </c>
      <c r="B480">
        <v>3</v>
      </c>
      <c r="C480" t="s">
        <v>71</v>
      </c>
      <c r="D480" t="s">
        <v>84</v>
      </c>
      <c r="E480" t="s">
        <v>85</v>
      </c>
      <c r="F480">
        <v>220</v>
      </c>
      <c r="G480">
        <v>1050</v>
      </c>
      <c r="H480">
        <v>-2</v>
      </c>
      <c r="I480">
        <v>1983</v>
      </c>
      <c r="J480" t="s">
        <v>32</v>
      </c>
      <c r="K480">
        <v>2569</v>
      </c>
      <c r="L480">
        <v>10.11</v>
      </c>
      <c r="M480">
        <v>4.79</v>
      </c>
      <c r="N480" s="4">
        <f t="shared" si="14"/>
        <v>8.02364985E-3</v>
      </c>
      <c r="O480" s="4">
        <f t="shared" si="15"/>
        <v>3.8433282781500003E-2</v>
      </c>
      <c r="P480">
        <v>100</v>
      </c>
      <c r="Q480">
        <v>2.7</v>
      </c>
      <c r="R480">
        <v>3.5</v>
      </c>
      <c r="S480">
        <v>2.8</v>
      </c>
      <c r="T480">
        <v>4</v>
      </c>
      <c r="U480">
        <v>4</v>
      </c>
      <c r="V480" t="s">
        <v>25</v>
      </c>
    </row>
    <row r="481" spans="1:22" hidden="1" x14ac:dyDescent="0.25">
      <c r="A481" t="s">
        <v>83</v>
      </c>
      <c r="B481">
        <v>3</v>
      </c>
      <c r="C481" t="s">
        <v>71</v>
      </c>
      <c r="D481" t="s">
        <v>84</v>
      </c>
      <c r="E481" t="s">
        <v>85</v>
      </c>
      <c r="F481">
        <v>220</v>
      </c>
      <c r="G481">
        <v>1050</v>
      </c>
      <c r="H481">
        <v>-2</v>
      </c>
      <c r="I481">
        <v>1983</v>
      </c>
      <c r="J481" t="s">
        <v>33</v>
      </c>
      <c r="K481">
        <v>2547</v>
      </c>
      <c r="L481">
        <v>18.16</v>
      </c>
      <c r="M481">
        <v>8.2899999999999991</v>
      </c>
      <c r="N481" s="4">
        <f t="shared" si="14"/>
        <v>2.5888169600000004E-2</v>
      </c>
      <c r="O481" s="4">
        <f t="shared" si="15"/>
        <v>0.214612925984</v>
      </c>
      <c r="P481">
        <v>75</v>
      </c>
      <c r="Q481">
        <v>4</v>
      </c>
      <c r="R481">
        <v>2.2999999999999998</v>
      </c>
      <c r="S481">
        <v>3.3</v>
      </c>
      <c r="T481">
        <v>3.3</v>
      </c>
      <c r="U481">
        <v>3</v>
      </c>
      <c r="V481" t="s">
        <v>25</v>
      </c>
    </row>
    <row r="482" spans="1:22" hidden="1" x14ac:dyDescent="0.25">
      <c r="A482" t="s">
        <v>83</v>
      </c>
      <c r="B482">
        <v>3</v>
      </c>
      <c r="C482" t="s">
        <v>71</v>
      </c>
      <c r="D482" t="s">
        <v>84</v>
      </c>
      <c r="E482" t="s">
        <v>85</v>
      </c>
      <c r="F482">
        <v>220</v>
      </c>
      <c r="G482">
        <v>1050</v>
      </c>
      <c r="H482">
        <v>-2</v>
      </c>
      <c r="I482">
        <v>1983</v>
      </c>
      <c r="J482" t="s">
        <v>33</v>
      </c>
      <c r="K482">
        <v>2568</v>
      </c>
      <c r="L482">
        <v>21.09</v>
      </c>
      <c r="M482">
        <v>9.6300000000000008</v>
      </c>
      <c r="N482" s="4">
        <f t="shared" si="14"/>
        <v>3.4915865850000005E-2</v>
      </c>
      <c r="O482" s="4">
        <f t="shared" si="15"/>
        <v>0.3362397881355001</v>
      </c>
      <c r="P482">
        <v>63</v>
      </c>
      <c r="Q482">
        <v>4</v>
      </c>
      <c r="R482">
        <v>3</v>
      </c>
      <c r="S482">
        <v>4</v>
      </c>
      <c r="T482">
        <v>3.3</v>
      </c>
      <c r="U482">
        <v>3</v>
      </c>
      <c r="V482" t="s">
        <v>25</v>
      </c>
    </row>
    <row r="483" spans="1:22" hidden="1" x14ac:dyDescent="0.25">
      <c r="A483" t="s">
        <v>83</v>
      </c>
      <c r="B483">
        <v>3</v>
      </c>
      <c r="C483" t="s">
        <v>71</v>
      </c>
      <c r="D483" t="s">
        <v>84</v>
      </c>
      <c r="E483" t="s">
        <v>85</v>
      </c>
      <c r="F483">
        <v>220</v>
      </c>
      <c r="G483">
        <v>1050</v>
      </c>
      <c r="H483">
        <v>-2</v>
      </c>
      <c r="I483">
        <v>1983</v>
      </c>
      <c r="J483" t="s">
        <v>34</v>
      </c>
      <c r="K483">
        <v>1522</v>
      </c>
      <c r="L483">
        <v>17.84</v>
      </c>
      <c r="M483">
        <v>8.83</v>
      </c>
      <c r="N483" s="4">
        <f t="shared" si="14"/>
        <v>2.4983849600000003E-2</v>
      </c>
      <c r="O483" s="4">
        <f t="shared" si="15"/>
        <v>0.22060739196800003</v>
      </c>
      <c r="P483">
        <v>88</v>
      </c>
      <c r="Q483">
        <v>3.5</v>
      </c>
      <c r="R483">
        <v>3</v>
      </c>
      <c r="S483">
        <v>3</v>
      </c>
      <c r="T483">
        <v>3</v>
      </c>
      <c r="U483">
        <v>2.7</v>
      </c>
      <c r="V483" t="s">
        <v>25</v>
      </c>
    </row>
    <row r="484" spans="1:22" hidden="1" x14ac:dyDescent="0.25">
      <c r="A484" t="s">
        <v>83</v>
      </c>
      <c r="B484">
        <v>3</v>
      </c>
      <c r="C484" t="s">
        <v>71</v>
      </c>
      <c r="D484" t="s">
        <v>84</v>
      </c>
      <c r="E484" t="s">
        <v>85</v>
      </c>
      <c r="F484">
        <v>220</v>
      </c>
      <c r="G484">
        <v>1050</v>
      </c>
      <c r="H484">
        <v>-2</v>
      </c>
      <c r="I484">
        <v>1983</v>
      </c>
      <c r="J484" t="s">
        <v>34</v>
      </c>
      <c r="K484">
        <v>2570</v>
      </c>
      <c r="L484">
        <v>18.3</v>
      </c>
      <c r="M484">
        <v>9.06</v>
      </c>
      <c r="N484" s="4">
        <f t="shared" si="14"/>
        <v>2.6288864999999998E-2</v>
      </c>
      <c r="O484" s="4">
        <f t="shared" si="15"/>
        <v>0.23817711689999999</v>
      </c>
      <c r="P484">
        <v>50</v>
      </c>
      <c r="Q484">
        <v>3.5</v>
      </c>
      <c r="R484">
        <v>3</v>
      </c>
      <c r="S484">
        <v>2.5</v>
      </c>
      <c r="T484">
        <v>3</v>
      </c>
      <c r="U484">
        <v>2.5</v>
      </c>
      <c r="V484" t="s">
        <v>38</v>
      </c>
    </row>
    <row r="485" spans="1:22" hidden="1" x14ac:dyDescent="0.25">
      <c r="A485" t="s">
        <v>83</v>
      </c>
      <c r="B485">
        <v>3</v>
      </c>
      <c r="C485" t="s">
        <v>71</v>
      </c>
      <c r="D485" t="s">
        <v>84</v>
      </c>
      <c r="E485" t="s">
        <v>85</v>
      </c>
      <c r="F485">
        <v>220</v>
      </c>
      <c r="G485">
        <v>1050</v>
      </c>
      <c r="H485">
        <v>-2</v>
      </c>
      <c r="I485">
        <v>1983</v>
      </c>
      <c r="J485" t="s">
        <v>35</v>
      </c>
      <c r="K485">
        <v>2571</v>
      </c>
      <c r="L485">
        <v>14.53</v>
      </c>
      <c r="M485">
        <v>5.57</v>
      </c>
      <c r="N485" s="4">
        <f t="shared" si="14"/>
        <v>1.6572990649999998E-2</v>
      </c>
      <c r="O485" s="4">
        <f t="shared" si="15"/>
        <v>9.2311557920499984E-2</v>
      </c>
      <c r="P485">
        <v>100</v>
      </c>
      <c r="Q485">
        <v>3</v>
      </c>
      <c r="R485">
        <v>2</v>
      </c>
      <c r="S485">
        <v>3</v>
      </c>
      <c r="T485">
        <v>4</v>
      </c>
      <c r="U485">
        <v>3.5</v>
      </c>
      <c r="V485" t="s">
        <v>38</v>
      </c>
    </row>
    <row r="486" spans="1:22" hidden="1" x14ac:dyDescent="0.25">
      <c r="A486" t="s">
        <v>83</v>
      </c>
      <c r="B486">
        <v>3</v>
      </c>
      <c r="C486" t="s">
        <v>71</v>
      </c>
      <c r="D486" t="s">
        <v>84</v>
      </c>
      <c r="E486" t="s">
        <v>85</v>
      </c>
      <c r="F486">
        <v>220</v>
      </c>
      <c r="G486">
        <v>1050</v>
      </c>
      <c r="H486">
        <v>-2</v>
      </c>
      <c r="I486">
        <v>1983</v>
      </c>
      <c r="J486" t="s">
        <v>81</v>
      </c>
      <c r="K486">
        <v>2750</v>
      </c>
      <c r="L486">
        <v>13.26</v>
      </c>
      <c r="M486">
        <v>8.94</v>
      </c>
      <c r="N486" s="4">
        <f t="shared" si="14"/>
        <v>1.38024666E-2</v>
      </c>
      <c r="O486" s="4">
        <f t="shared" si="15"/>
        <v>0.12339405140399999</v>
      </c>
      <c r="P486">
        <v>100</v>
      </c>
      <c r="Q486">
        <v>4</v>
      </c>
      <c r="R486">
        <v>4</v>
      </c>
      <c r="S486">
        <v>3</v>
      </c>
      <c r="T486">
        <v>3.5</v>
      </c>
      <c r="U486">
        <v>3.5</v>
      </c>
      <c r="V486" t="s">
        <v>25</v>
      </c>
    </row>
    <row r="487" spans="1:22" hidden="1" x14ac:dyDescent="0.25">
      <c r="A487" t="s">
        <v>83</v>
      </c>
      <c r="B487">
        <v>3</v>
      </c>
      <c r="C487" t="s">
        <v>71</v>
      </c>
      <c r="D487" t="s">
        <v>84</v>
      </c>
      <c r="E487" t="s">
        <v>85</v>
      </c>
      <c r="F487">
        <v>220</v>
      </c>
      <c r="G487">
        <v>1050</v>
      </c>
      <c r="H487">
        <v>-2</v>
      </c>
      <c r="I487">
        <v>1983</v>
      </c>
      <c r="J487" t="s">
        <v>62</v>
      </c>
      <c r="K487">
        <v>2553</v>
      </c>
      <c r="L487">
        <v>11.55</v>
      </c>
      <c r="M487">
        <v>6.56</v>
      </c>
      <c r="N487" s="4">
        <f t="shared" si="14"/>
        <v>1.0472096250000002E-2</v>
      </c>
      <c r="O487" s="4">
        <f t="shared" si="15"/>
        <v>6.8696951400000011E-2</v>
      </c>
      <c r="P487">
        <v>100</v>
      </c>
      <c r="Q487">
        <v>3</v>
      </c>
      <c r="R487">
        <v>2.7</v>
      </c>
      <c r="S487">
        <v>3.3</v>
      </c>
      <c r="T487">
        <v>4</v>
      </c>
      <c r="U487">
        <v>4</v>
      </c>
      <c r="V487" t="s">
        <v>25</v>
      </c>
    </row>
    <row r="488" spans="1:22" hidden="1" x14ac:dyDescent="0.25">
      <c r="A488" t="s">
        <v>83</v>
      </c>
      <c r="B488">
        <v>3</v>
      </c>
      <c r="C488" t="s">
        <v>71</v>
      </c>
      <c r="D488" t="s">
        <v>84</v>
      </c>
      <c r="E488" t="s">
        <v>85</v>
      </c>
      <c r="F488">
        <v>220</v>
      </c>
      <c r="G488">
        <v>1050</v>
      </c>
      <c r="H488">
        <v>-2</v>
      </c>
      <c r="I488">
        <v>1983</v>
      </c>
      <c r="J488" t="s">
        <v>37</v>
      </c>
      <c r="K488">
        <v>2575</v>
      </c>
      <c r="L488">
        <v>15.93</v>
      </c>
      <c r="M488">
        <v>9.1</v>
      </c>
      <c r="N488" s="4">
        <f t="shared" si="14"/>
        <v>1.992054465E-2</v>
      </c>
      <c r="O488" s="4">
        <f t="shared" si="15"/>
        <v>0.18127695631499999</v>
      </c>
      <c r="P488">
        <v>88</v>
      </c>
      <c r="Q488">
        <v>3</v>
      </c>
      <c r="R488">
        <v>3</v>
      </c>
      <c r="S488">
        <v>2</v>
      </c>
      <c r="T488">
        <v>2.5</v>
      </c>
      <c r="U488">
        <v>2.5</v>
      </c>
      <c r="V488" t="s">
        <v>30</v>
      </c>
    </row>
    <row r="489" spans="1:22" hidden="1" x14ac:dyDescent="0.25">
      <c r="A489" t="s">
        <v>83</v>
      </c>
      <c r="B489">
        <v>3</v>
      </c>
      <c r="C489" t="s">
        <v>71</v>
      </c>
      <c r="D489" t="s">
        <v>84</v>
      </c>
      <c r="E489" t="s">
        <v>85</v>
      </c>
      <c r="F489">
        <v>220</v>
      </c>
      <c r="G489">
        <v>1050</v>
      </c>
      <c r="H489">
        <v>-2</v>
      </c>
      <c r="I489">
        <v>1983</v>
      </c>
      <c r="J489" t="s">
        <v>26</v>
      </c>
      <c r="K489">
        <v>2552</v>
      </c>
      <c r="L489">
        <v>14.25</v>
      </c>
      <c r="M489">
        <v>7.23</v>
      </c>
      <c r="N489" s="4">
        <f t="shared" si="14"/>
        <v>1.5940406250000001E-2</v>
      </c>
      <c r="O489" s="4">
        <f t="shared" si="15"/>
        <v>0.11524913718750002</v>
      </c>
      <c r="P489">
        <v>63</v>
      </c>
      <c r="Q489">
        <v>4</v>
      </c>
      <c r="R489">
        <v>3</v>
      </c>
      <c r="S489">
        <v>3</v>
      </c>
      <c r="T489">
        <v>2.8</v>
      </c>
      <c r="U489">
        <v>2</v>
      </c>
      <c r="V489" t="s">
        <v>38</v>
      </c>
    </row>
    <row r="490" spans="1:22" hidden="1" x14ac:dyDescent="0.25">
      <c r="A490" t="s">
        <v>83</v>
      </c>
      <c r="B490">
        <v>3</v>
      </c>
      <c r="C490" t="s">
        <v>71</v>
      </c>
      <c r="D490" t="s">
        <v>84</v>
      </c>
      <c r="E490" t="s">
        <v>85</v>
      </c>
      <c r="F490">
        <v>220</v>
      </c>
      <c r="G490">
        <v>1050</v>
      </c>
      <c r="H490">
        <v>-2</v>
      </c>
      <c r="I490">
        <v>1983</v>
      </c>
      <c r="J490" t="s">
        <v>26</v>
      </c>
      <c r="K490">
        <v>2751</v>
      </c>
      <c r="L490">
        <v>12.35</v>
      </c>
      <c r="M490">
        <v>6.27</v>
      </c>
      <c r="N490" s="4">
        <f t="shared" si="14"/>
        <v>1.1973016250000001E-2</v>
      </c>
      <c r="O490" s="4">
        <f t="shared" si="15"/>
        <v>7.5070811887500005E-2</v>
      </c>
      <c r="P490">
        <v>71</v>
      </c>
      <c r="Q490">
        <v>4</v>
      </c>
      <c r="R490">
        <v>4</v>
      </c>
      <c r="S490">
        <v>2.5</v>
      </c>
      <c r="T490">
        <v>3.5</v>
      </c>
      <c r="U490">
        <v>2.5</v>
      </c>
      <c r="V490" t="s">
        <v>25</v>
      </c>
    </row>
    <row r="491" spans="1:22" hidden="1" x14ac:dyDescent="0.25">
      <c r="A491" t="s">
        <v>83</v>
      </c>
      <c r="B491">
        <v>3</v>
      </c>
      <c r="C491" t="s">
        <v>71</v>
      </c>
      <c r="D491" t="s">
        <v>84</v>
      </c>
      <c r="E491" t="s">
        <v>85</v>
      </c>
      <c r="F491">
        <v>220</v>
      </c>
      <c r="G491">
        <v>1050</v>
      </c>
      <c r="H491">
        <v>-2</v>
      </c>
      <c r="I491">
        <v>1983</v>
      </c>
      <c r="J491" t="s">
        <v>62</v>
      </c>
      <c r="K491">
        <v>2574</v>
      </c>
      <c r="L491">
        <v>7.22</v>
      </c>
      <c r="M491">
        <v>4.0999999999999996</v>
      </c>
      <c r="N491" s="4">
        <f t="shared" si="14"/>
        <v>4.0920794000000003E-3</v>
      </c>
      <c r="O491" s="4">
        <f t="shared" si="15"/>
        <v>1.6777525540000001E-2</v>
      </c>
      <c r="P491">
        <v>57</v>
      </c>
      <c r="Q491">
        <v>3</v>
      </c>
      <c r="R491">
        <v>3</v>
      </c>
      <c r="S491">
        <v>2</v>
      </c>
      <c r="T491">
        <v>3</v>
      </c>
      <c r="U491">
        <v>2</v>
      </c>
      <c r="V491" t="s">
        <v>38</v>
      </c>
    </row>
    <row r="492" spans="1:22" hidden="1" x14ac:dyDescent="0.25">
      <c r="A492" t="s">
        <v>86</v>
      </c>
      <c r="B492">
        <v>1</v>
      </c>
      <c r="C492" t="s">
        <v>71</v>
      </c>
      <c r="D492" t="s">
        <v>87</v>
      </c>
      <c r="E492" t="s">
        <v>88</v>
      </c>
      <c r="F492">
        <v>300</v>
      </c>
      <c r="G492">
        <v>1200</v>
      </c>
      <c r="H492">
        <v>-3</v>
      </c>
      <c r="I492">
        <v>1982</v>
      </c>
      <c r="J492" t="s">
        <v>76</v>
      </c>
      <c r="K492">
        <v>1592</v>
      </c>
      <c r="L492">
        <v>10.4</v>
      </c>
      <c r="M492">
        <v>5.77</v>
      </c>
      <c r="N492" s="4">
        <f t="shared" si="14"/>
        <v>8.4905600000000029E-3</v>
      </c>
      <c r="O492" s="4">
        <f t="shared" si="15"/>
        <v>4.8990531200000013E-2</v>
      </c>
      <c r="P492">
        <v>75</v>
      </c>
      <c r="Q492">
        <v>3</v>
      </c>
      <c r="R492">
        <v>3</v>
      </c>
      <c r="S492">
        <v>2</v>
      </c>
      <c r="T492">
        <v>3</v>
      </c>
      <c r="U492">
        <v>2</v>
      </c>
      <c r="V492" t="s">
        <v>38</v>
      </c>
    </row>
    <row r="493" spans="1:22" hidden="1" x14ac:dyDescent="0.25">
      <c r="A493" t="s">
        <v>86</v>
      </c>
      <c r="B493">
        <v>1</v>
      </c>
      <c r="C493" t="s">
        <v>71</v>
      </c>
      <c r="D493" t="s">
        <v>87</v>
      </c>
      <c r="E493" t="s">
        <v>88</v>
      </c>
      <c r="F493">
        <v>300</v>
      </c>
      <c r="G493">
        <v>1200</v>
      </c>
      <c r="H493">
        <v>-3</v>
      </c>
      <c r="I493">
        <v>1982</v>
      </c>
      <c r="J493" t="s">
        <v>76</v>
      </c>
      <c r="K493">
        <v>2560</v>
      </c>
      <c r="L493">
        <v>11.66</v>
      </c>
      <c r="M493">
        <v>7.27</v>
      </c>
      <c r="N493" s="4">
        <f t="shared" si="14"/>
        <v>1.06725146E-2</v>
      </c>
      <c r="O493" s="4">
        <f t="shared" si="15"/>
        <v>7.7589181142000002E-2</v>
      </c>
      <c r="P493">
        <v>100</v>
      </c>
      <c r="Q493">
        <v>3</v>
      </c>
      <c r="R493">
        <v>3</v>
      </c>
      <c r="S493">
        <v>2</v>
      </c>
      <c r="T493">
        <v>3</v>
      </c>
      <c r="U493">
        <v>2</v>
      </c>
      <c r="V493" t="s">
        <v>38</v>
      </c>
    </row>
    <row r="494" spans="1:22" hidden="1" x14ac:dyDescent="0.25">
      <c r="A494" t="s">
        <v>86</v>
      </c>
      <c r="B494">
        <v>1</v>
      </c>
      <c r="C494" t="s">
        <v>71</v>
      </c>
      <c r="D494" t="s">
        <v>87</v>
      </c>
      <c r="E494" t="s">
        <v>88</v>
      </c>
      <c r="F494">
        <v>300</v>
      </c>
      <c r="G494">
        <v>1200</v>
      </c>
      <c r="H494">
        <v>-3</v>
      </c>
      <c r="I494">
        <v>1982</v>
      </c>
      <c r="J494" t="s">
        <v>56</v>
      </c>
      <c r="K494">
        <v>1111</v>
      </c>
      <c r="L494">
        <v>10.99</v>
      </c>
      <c r="M494">
        <v>7.2</v>
      </c>
      <c r="N494" s="4">
        <f t="shared" si="14"/>
        <v>9.4812378500000009E-3</v>
      </c>
      <c r="O494" s="4">
        <f t="shared" si="15"/>
        <v>6.8264912520000012E-2</v>
      </c>
      <c r="P494">
        <v>100</v>
      </c>
      <c r="Q494">
        <v>2</v>
      </c>
      <c r="R494">
        <v>3</v>
      </c>
      <c r="S494">
        <v>3</v>
      </c>
      <c r="T494">
        <v>3</v>
      </c>
      <c r="U494">
        <v>3</v>
      </c>
      <c r="V494" t="s">
        <v>38</v>
      </c>
    </row>
    <row r="495" spans="1:22" hidden="1" x14ac:dyDescent="0.25">
      <c r="A495" t="s">
        <v>86</v>
      </c>
      <c r="B495">
        <v>1</v>
      </c>
      <c r="C495" t="s">
        <v>71</v>
      </c>
      <c r="D495" t="s">
        <v>87</v>
      </c>
      <c r="E495" t="s">
        <v>88</v>
      </c>
      <c r="F495">
        <v>300</v>
      </c>
      <c r="G495">
        <v>1200</v>
      </c>
      <c r="H495">
        <v>-3</v>
      </c>
      <c r="I495">
        <v>1982</v>
      </c>
      <c r="J495" t="s">
        <v>57</v>
      </c>
      <c r="K495">
        <v>2620</v>
      </c>
      <c r="L495">
        <v>7.87</v>
      </c>
      <c r="M495">
        <v>6.25</v>
      </c>
      <c r="N495" s="4">
        <f t="shared" si="14"/>
        <v>4.8620466500000009E-3</v>
      </c>
      <c r="O495" s="4">
        <f t="shared" si="15"/>
        <v>3.0387791562500006E-2</v>
      </c>
      <c r="P495">
        <v>100</v>
      </c>
      <c r="Q495">
        <v>3.5</v>
      </c>
      <c r="R495">
        <v>1.5</v>
      </c>
      <c r="S495">
        <v>2</v>
      </c>
      <c r="T495">
        <v>2</v>
      </c>
      <c r="U495">
        <v>2</v>
      </c>
      <c r="V495" t="s">
        <v>30</v>
      </c>
    </row>
    <row r="496" spans="1:22" hidden="1" x14ac:dyDescent="0.25">
      <c r="A496" t="s">
        <v>86</v>
      </c>
      <c r="B496">
        <v>1</v>
      </c>
      <c r="C496" t="s">
        <v>71</v>
      </c>
      <c r="D496" t="s">
        <v>87</v>
      </c>
      <c r="E496" t="s">
        <v>88</v>
      </c>
      <c r="F496">
        <v>300</v>
      </c>
      <c r="G496">
        <v>1200</v>
      </c>
      <c r="H496">
        <v>-3</v>
      </c>
      <c r="I496">
        <v>1982</v>
      </c>
      <c r="J496" t="s">
        <v>57</v>
      </c>
      <c r="K496">
        <v>2621</v>
      </c>
      <c r="L496">
        <v>7.64</v>
      </c>
      <c r="M496">
        <v>6.72</v>
      </c>
      <c r="N496" s="4">
        <f t="shared" si="14"/>
        <v>4.5820135999999996E-3</v>
      </c>
      <c r="O496" s="4">
        <f t="shared" si="15"/>
        <v>3.0791131391999994E-2</v>
      </c>
      <c r="P496">
        <v>100</v>
      </c>
      <c r="Q496">
        <v>3.5</v>
      </c>
      <c r="R496">
        <v>2</v>
      </c>
      <c r="S496">
        <v>2</v>
      </c>
      <c r="T496">
        <v>2</v>
      </c>
      <c r="U496">
        <v>2</v>
      </c>
      <c r="V496" t="s">
        <v>30</v>
      </c>
    </row>
    <row r="497" spans="1:22" hidden="1" x14ac:dyDescent="0.25">
      <c r="A497" t="s">
        <v>86</v>
      </c>
      <c r="B497">
        <v>1</v>
      </c>
      <c r="C497" t="s">
        <v>71</v>
      </c>
      <c r="D497" t="s">
        <v>87</v>
      </c>
      <c r="E497" t="s">
        <v>88</v>
      </c>
      <c r="F497">
        <v>300</v>
      </c>
      <c r="G497">
        <v>1200</v>
      </c>
      <c r="H497">
        <v>-3</v>
      </c>
      <c r="I497">
        <v>1982</v>
      </c>
      <c r="J497" t="s">
        <v>58</v>
      </c>
      <c r="K497">
        <v>2638</v>
      </c>
      <c r="L497">
        <v>1.27</v>
      </c>
      <c r="M497">
        <v>1.74</v>
      </c>
      <c r="N497" s="4">
        <f t="shared" si="14"/>
        <v>1.2661264999999999E-4</v>
      </c>
      <c r="O497" s="4">
        <f t="shared" si="15"/>
        <v>2.2030601099999998E-4</v>
      </c>
      <c r="P497">
        <v>50</v>
      </c>
      <c r="Q497">
        <v>1</v>
      </c>
      <c r="R497">
        <v>3</v>
      </c>
      <c r="S497">
        <v>2</v>
      </c>
      <c r="T497">
        <v>3</v>
      </c>
      <c r="U497">
        <v>3</v>
      </c>
      <c r="V497" t="s">
        <v>50</v>
      </c>
    </row>
    <row r="498" spans="1:22" hidden="1" x14ac:dyDescent="0.25">
      <c r="A498" t="s">
        <v>86</v>
      </c>
      <c r="B498">
        <v>1</v>
      </c>
      <c r="C498" t="s">
        <v>71</v>
      </c>
      <c r="D498" t="s">
        <v>87</v>
      </c>
      <c r="E498" t="s">
        <v>88</v>
      </c>
      <c r="F498">
        <v>300</v>
      </c>
      <c r="G498">
        <v>1200</v>
      </c>
      <c r="H498">
        <v>-3</v>
      </c>
      <c r="I498">
        <v>1982</v>
      </c>
      <c r="J498" t="s">
        <v>59</v>
      </c>
      <c r="K498">
        <v>2426</v>
      </c>
      <c r="L498">
        <v>11.85</v>
      </c>
      <c r="M498">
        <v>7.47</v>
      </c>
      <c r="N498" s="4">
        <f t="shared" si="14"/>
        <v>1.1023166249999999E-2</v>
      </c>
      <c r="O498" s="4">
        <f t="shared" si="15"/>
        <v>8.2343051887499991E-2</v>
      </c>
      <c r="P498">
        <v>50</v>
      </c>
      <c r="Q498">
        <v>3</v>
      </c>
      <c r="R498">
        <v>3</v>
      </c>
      <c r="S498">
        <v>4</v>
      </c>
      <c r="T498">
        <v>3</v>
      </c>
      <c r="U498">
        <v>3</v>
      </c>
      <c r="V498" t="s">
        <v>38</v>
      </c>
    </row>
    <row r="499" spans="1:22" hidden="1" x14ac:dyDescent="0.25">
      <c r="A499" t="s">
        <v>86</v>
      </c>
      <c r="B499">
        <v>1</v>
      </c>
      <c r="C499" t="s">
        <v>71</v>
      </c>
      <c r="D499" t="s">
        <v>87</v>
      </c>
      <c r="E499" t="s">
        <v>88</v>
      </c>
      <c r="F499">
        <v>300</v>
      </c>
      <c r="G499">
        <v>1200</v>
      </c>
      <c r="H499">
        <v>-3</v>
      </c>
      <c r="I499">
        <v>1982</v>
      </c>
      <c r="J499" t="s">
        <v>59</v>
      </c>
      <c r="K499">
        <v>1482</v>
      </c>
      <c r="L499">
        <v>6.52</v>
      </c>
      <c r="M499">
        <v>5.81</v>
      </c>
      <c r="N499" s="4">
        <f t="shared" si="14"/>
        <v>3.3370663999999998E-3</v>
      </c>
      <c r="O499" s="4">
        <f t="shared" si="15"/>
        <v>1.9388355783999996E-2</v>
      </c>
      <c r="P499">
        <v>100</v>
      </c>
      <c r="Q499">
        <v>3</v>
      </c>
      <c r="R499">
        <v>3</v>
      </c>
      <c r="S499">
        <v>3</v>
      </c>
      <c r="T499">
        <v>3</v>
      </c>
      <c r="U499">
        <v>3</v>
      </c>
      <c r="V499" t="s">
        <v>25</v>
      </c>
    </row>
    <row r="500" spans="1:22" hidden="1" x14ac:dyDescent="0.25">
      <c r="A500" t="s">
        <v>86</v>
      </c>
      <c r="B500">
        <v>1</v>
      </c>
      <c r="C500" t="s">
        <v>71</v>
      </c>
      <c r="D500" t="s">
        <v>87</v>
      </c>
      <c r="E500" t="s">
        <v>88</v>
      </c>
      <c r="F500">
        <v>300</v>
      </c>
      <c r="G500">
        <v>1200</v>
      </c>
      <c r="H500">
        <v>-3</v>
      </c>
      <c r="I500">
        <v>1982</v>
      </c>
      <c r="J500" t="s">
        <v>59</v>
      </c>
      <c r="K500">
        <v>2548</v>
      </c>
      <c r="L500">
        <v>7.7</v>
      </c>
      <c r="M500">
        <v>5.69</v>
      </c>
      <c r="N500" s="4">
        <f t="shared" si="14"/>
        <v>4.6542650000000003E-3</v>
      </c>
      <c r="O500" s="4">
        <f t="shared" si="15"/>
        <v>2.6482767850000005E-2</v>
      </c>
      <c r="P500">
        <v>100</v>
      </c>
      <c r="Q500">
        <v>3</v>
      </c>
      <c r="R500">
        <v>3</v>
      </c>
      <c r="S500">
        <v>4</v>
      </c>
      <c r="T500">
        <v>4</v>
      </c>
      <c r="U500">
        <v>4</v>
      </c>
      <c r="V500" t="s">
        <v>38</v>
      </c>
    </row>
    <row r="501" spans="1:22" hidden="1" x14ac:dyDescent="0.25">
      <c r="A501" t="s">
        <v>86</v>
      </c>
      <c r="B501">
        <v>1</v>
      </c>
      <c r="C501" t="s">
        <v>71</v>
      </c>
      <c r="D501" t="s">
        <v>87</v>
      </c>
      <c r="E501" t="s">
        <v>88</v>
      </c>
      <c r="F501">
        <v>300</v>
      </c>
      <c r="G501">
        <v>1200</v>
      </c>
      <c r="H501">
        <v>-3</v>
      </c>
      <c r="I501">
        <v>1982</v>
      </c>
      <c r="J501" t="s">
        <v>61</v>
      </c>
      <c r="K501">
        <v>1171</v>
      </c>
      <c r="L501">
        <v>10.81</v>
      </c>
      <c r="M501">
        <v>3.45</v>
      </c>
      <c r="N501" s="4">
        <f t="shared" si="14"/>
        <v>9.1732038500000005E-3</v>
      </c>
      <c r="O501" s="4">
        <f t="shared" si="15"/>
        <v>3.1647553282500004E-2</v>
      </c>
      <c r="P501">
        <v>100</v>
      </c>
      <c r="Q501">
        <v>3</v>
      </c>
      <c r="R501">
        <v>2</v>
      </c>
      <c r="S501">
        <v>1</v>
      </c>
      <c r="T501">
        <v>1</v>
      </c>
      <c r="U501">
        <v>1</v>
      </c>
      <c r="V501" t="s">
        <v>50</v>
      </c>
    </row>
    <row r="502" spans="1:22" hidden="1" x14ac:dyDescent="0.25">
      <c r="A502" t="s">
        <v>86</v>
      </c>
      <c r="B502">
        <v>1</v>
      </c>
      <c r="C502" t="s">
        <v>71</v>
      </c>
      <c r="D502" t="s">
        <v>87</v>
      </c>
      <c r="E502" t="s">
        <v>88</v>
      </c>
      <c r="F502">
        <v>300</v>
      </c>
      <c r="G502">
        <v>1200</v>
      </c>
      <c r="H502">
        <v>-3</v>
      </c>
      <c r="I502">
        <v>1982</v>
      </c>
      <c r="J502" t="s">
        <v>61</v>
      </c>
      <c r="K502">
        <v>2631</v>
      </c>
      <c r="L502">
        <v>17.829999999999998</v>
      </c>
      <c r="M502">
        <v>6.56</v>
      </c>
      <c r="N502" s="4">
        <f t="shared" si="14"/>
        <v>2.4955848649999997E-2</v>
      </c>
      <c r="O502" s="4">
        <f t="shared" si="15"/>
        <v>0.16371036714399997</v>
      </c>
      <c r="P502">
        <v>75</v>
      </c>
      <c r="Q502">
        <v>4</v>
      </c>
      <c r="R502">
        <v>2</v>
      </c>
      <c r="S502">
        <v>1</v>
      </c>
      <c r="T502">
        <v>1</v>
      </c>
      <c r="U502">
        <v>1</v>
      </c>
      <c r="V502" t="s">
        <v>30</v>
      </c>
    </row>
    <row r="503" spans="1:22" hidden="1" x14ac:dyDescent="0.25">
      <c r="A503" t="s">
        <v>86</v>
      </c>
      <c r="B503">
        <v>1</v>
      </c>
      <c r="C503" t="s">
        <v>71</v>
      </c>
      <c r="D503" t="s">
        <v>87</v>
      </c>
      <c r="E503" t="s">
        <v>88</v>
      </c>
      <c r="F503">
        <v>300</v>
      </c>
      <c r="G503">
        <v>1200</v>
      </c>
      <c r="H503">
        <v>-3</v>
      </c>
      <c r="I503">
        <v>1982</v>
      </c>
      <c r="J503" t="s">
        <v>32</v>
      </c>
      <c r="K503">
        <v>2569</v>
      </c>
      <c r="L503">
        <v>12.5</v>
      </c>
      <c r="M503">
        <v>6.62</v>
      </c>
      <c r="N503" s="4">
        <f t="shared" si="14"/>
        <v>1.2265625E-2</v>
      </c>
      <c r="O503" s="4">
        <f t="shared" si="15"/>
        <v>8.1198437499999998E-2</v>
      </c>
      <c r="P503">
        <v>100</v>
      </c>
      <c r="Q503">
        <v>3</v>
      </c>
      <c r="R503">
        <v>3</v>
      </c>
      <c r="S503">
        <v>3</v>
      </c>
      <c r="T503">
        <v>3</v>
      </c>
      <c r="U503">
        <v>3</v>
      </c>
      <c r="V503" t="s">
        <v>25</v>
      </c>
    </row>
    <row r="504" spans="1:22" hidden="1" x14ac:dyDescent="0.25">
      <c r="A504" t="s">
        <v>86</v>
      </c>
      <c r="B504">
        <v>1</v>
      </c>
      <c r="C504" t="s">
        <v>71</v>
      </c>
      <c r="D504" t="s">
        <v>87</v>
      </c>
      <c r="E504" t="s">
        <v>88</v>
      </c>
      <c r="F504">
        <v>300</v>
      </c>
      <c r="G504">
        <v>1200</v>
      </c>
      <c r="H504">
        <v>-3</v>
      </c>
      <c r="I504">
        <v>1982</v>
      </c>
      <c r="J504" t="s">
        <v>32</v>
      </c>
      <c r="K504">
        <v>2634</v>
      </c>
      <c r="L504">
        <v>7.97</v>
      </c>
      <c r="M504">
        <v>5.88</v>
      </c>
      <c r="N504" s="4">
        <f t="shared" si="14"/>
        <v>4.9863906499999994E-3</v>
      </c>
      <c r="O504" s="4">
        <f t="shared" si="15"/>
        <v>2.9319977021999996E-2</v>
      </c>
      <c r="P504">
        <v>75</v>
      </c>
      <c r="Q504">
        <v>2.5</v>
      </c>
      <c r="R504">
        <v>3</v>
      </c>
      <c r="S504">
        <v>3</v>
      </c>
      <c r="T504">
        <v>3</v>
      </c>
      <c r="U504">
        <v>3.5</v>
      </c>
      <c r="V504" t="s">
        <v>38</v>
      </c>
    </row>
    <row r="505" spans="1:22" hidden="1" x14ac:dyDescent="0.25">
      <c r="A505" t="s">
        <v>86</v>
      </c>
      <c r="B505">
        <v>1</v>
      </c>
      <c r="C505" t="s">
        <v>71</v>
      </c>
      <c r="D505" t="s">
        <v>87</v>
      </c>
      <c r="E505" t="s">
        <v>88</v>
      </c>
      <c r="F505">
        <v>300</v>
      </c>
      <c r="G505">
        <v>1200</v>
      </c>
      <c r="H505">
        <v>-3</v>
      </c>
      <c r="I505">
        <v>1982</v>
      </c>
      <c r="J505" t="s">
        <v>32</v>
      </c>
      <c r="K505">
        <v>2635</v>
      </c>
      <c r="L505">
        <v>8.58</v>
      </c>
      <c r="M505">
        <v>7.48</v>
      </c>
      <c r="N505" s="4">
        <f t="shared" si="14"/>
        <v>5.7788874E-3</v>
      </c>
      <c r="O505" s="4">
        <f t="shared" si="15"/>
        <v>4.3226077752000006E-2</v>
      </c>
      <c r="P505">
        <v>100</v>
      </c>
      <c r="Q505">
        <v>3.5</v>
      </c>
      <c r="R505">
        <v>3</v>
      </c>
      <c r="S505">
        <v>2.5</v>
      </c>
      <c r="T505">
        <v>3.5</v>
      </c>
      <c r="U505">
        <v>3</v>
      </c>
      <c r="V505" t="s">
        <v>25</v>
      </c>
    </row>
    <row r="506" spans="1:22" hidden="1" x14ac:dyDescent="0.25">
      <c r="A506" t="s">
        <v>86</v>
      </c>
      <c r="B506">
        <v>1</v>
      </c>
      <c r="C506" t="s">
        <v>71</v>
      </c>
      <c r="D506" t="s">
        <v>87</v>
      </c>
      <c r="E506" t="s">
        <v>88</v>
      </c>
      <c r="F506">
        <v>300</v>
      </c>
      <c r="G506">
        <v>1200</v>
      </c>
      <c r="H506">
        <v>-3</v>
      </c>
      <c r="I506">
        <v>1982</v>
      </c>
      <c r="J506" t="s">
        <v>34</v>
      </c>
      <c r="K506">
        <v>2570</v>
      </c>
      <c r="L506">
        <v>6.05</v>
      </c>
      <c r="M506">
        <v>5.44</v>
      </c>
      <c r="N506" s="4">
        <f t="shared" si="14"/>
        <v>2.8732962499999999E-3</v>
      </c>
      <c r="O506" s="4">
        <f t="shared" si="15"/>
        <v>1.5630731599999999E-2</v>
      </c>
      <c r="P506">
        <v>100</v>
      </c>
      <c r="Q506">
        <v>3</v>
      </c>
      <c r="R506">
        <v>2.5</v>
      </c>
      <c r="S506">
        <v>3.5</v>
      </c>
      <c r="T506">
        <v>3.5</v>
      </c>
      <c r="U506">
        <v>3</v>
      </c>
      <c r="V506" t="s">
        <v>38</v>
      </c>
    </row>
    <row r="507" spans="1:22" hidden="1" x14ac:dyDescent="0.25">
      <c r="A507" t="s">
        <v>86</v>
      </c>
      <c r="B507">
        <v>1</v>
      </c>
      <c r="C507" t="s">
        <v>71</v>
      </c>
      <c r="D507" t="s">
        <v>87</v>
      </c>
      <c r="E507" t="s">
        <v>88</v>
      </c>
      <c r="F507">
        <v>300</v>
      </c>
      <c r="G507">
        <v>1200</v>
      </c>
      <c r="H507">
        <v>-3</v>
      </c>
      <c r="I507">
        <v>1982</v>
      </c>
      <c r="J507" t="s">
        <v>35</v>
      </c>
      <c r="K507">
        <v>1788</v>
      </c>
      <c r="L507">
        <v>6.76</v>
      </c>
      <c r="M507">
        <v>6.76</v>
      </c>
      <c r="N507" s="4">
        <f t="shared" si="14"/>
        <v>3.5872615999999993E-3</v>
      </c>
      <c r="O507" s="4">
        <f t="shared" si="15"/>
        <v>2.4249888415999996E-2</v>
      </c>
      <c r="P507">
        <v>75</v>
      </c>
      <c r="Q507">
        <v>1</v>
      </c>
      <c r="R507">
        <v>1</v>
      </c>
      <c r="S507">
        <v>3</v>
      </c>
      <c r="T507">
        <v>3</v>
      </c>
      <c r="U507">
        <v>3</v>
      </c>
      <c r="V507" t="s">
        <v>50</v>
      </c>
    </row>
    <row r="508" spans="1:22" hidden="1" x14ac:dyDescent="0.25">
      <c r="A508" t="s">
        <v>86</v>
      </c>
      <c r="B508">
        <v>1</v>
      </c>
      <c r="C508" t="s">
        <v>71</v>
      </c>
      <c r="D508" t="s">
        <v>87</v>
      </c>
      <c r="E508" t="s">
        <v>88</v>
      </c>
      <c r="F508">
        <v>300</v>
      </c>
      <c r="G508">
        <v>1200</v>
      </c>
      <c r="H508">
        <v>-3</v>
      </c>
      <c r="I508">
        <v>1982</v>
      </c>
      <c r="J508" t="s">
        <v>35</v>
      </c>
      <c r="K508">
        <v>1259</v>
      </c>
      <c r="L508">
        <v>13.99</v>
      </c>
      <c r="M508">
        <v>9.09</v>
      </c>
      <c r="N508" s="4">
        <f t="shared" si="14"/>
        <v>1.5364027849999998E-2</v>
      </c>
      <c r="O508" s="4">
        <f t="shared" si="15"/>
        <v>0.13965901315649998</v>
      </c>
      <c r="P508">
        <v>100</v>
      </c>
      <c r="Q508">
        <v>4</v>
      </c>
      <c r="R508">
        <v>2</v>
      </c>
      <c r="S508">
        <v>2</v>
      </c>
      <c r="T508">
        <v>2</v>
      </c>
      <c r="U508">
        <v>2</v>
      </c>
      <c r="V508" t="s">
        <v>38</v>
      </c>
    </row>
    <row r="509" spans="1:22" hidden="1" x14ac:dyDescent="0.25">
      <c r="A509" t="s">
        <v>86</v>
      </c>
      <c r="B509">
        <v>1</v>
      </c>
      <c r="C509" t="s">
        <v>71</v>
      </c>
      <c r="D509" t="s">
        <v>87</v>
      </c>
      <c r="E509" t="s">
        <v>88</v>
      </c>
      <c r="F509">
        <v>300</v>
      </c>
      <c r="G509">
        <v>1200</v>
      </c>
      <c r="H509">
        <v>-3</v>
      </c>
      <c r="I509">
        <v>1982</v>
      </c>
      <c r="J509" t="s">
        <v>35</v>
      </c>
      <c r="K509">
        <v>1785</v>
      </c>
      <c r="L509">
        <v>8.65</v>
      </c>
      <c r="M509">
        <v>5.95</v>
      </c>
      <c r="N509" s="4">
        <f t="shared" si="14"/>
        <v>5.8735662500000009E-3</v>
      </c>
      <c r="O509" s="4">
        <f t="shared" si="15"/>
        <v>3.4947719187500004E-2</v>
      </c>
      <c r="P509">
        <v>100</v>
      </c>
      <c r="Q509">
        <v>1.5</v>
      </c>
      <c r="R509">
        <v>1</v>
      </c>
      <c r="S509">
        <v>3</v>
      </c>
      <c r="T509">
        <v>3</v>
      </c>
      <c r="U509">
        <v>3</v>
      </c>
      <c r="V509" t="s">
        <v>50</v>
      </c>
    </row>
    <row r="510" spans="1:22" hidden="1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35</v>
      </c>
      <c r="K510">
        <v>2571</v>
      </c>
      <c r="L510">
        <v>16.79</v>
      </c>
      <c r="M510">
        <v>13.17</v>
      </c>
      <c r="N510" s="4">
        <f t="shared" si="14"/>
        <v>2.2129471849999999E-2</v>
      </c>
      <c r="O510" s="4">
        <f t="shared" si="15"/>
        <v>0.29144514426449997</v>
      </c>
      <c r="P510">
        <v>100</v>
      </c>
      <c r="Q510">
        <v>4</v>
      </c>
      <c r="R510">
        <v>2</v>
      </c>
      <c r="S510">
        <v>3</v>
      </c>
      <c r="T510">
        <v>3</v>
      </c>
      <c r="U510">
        <v>2.5</v>
      </c>
      <c r="V510" t="s">
        <v>25</v>
      </c>
    </row>
    <row r="511" spans="1:22" hidden="1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36</v>
      </c>
      <c r="K511">
        <v>2573</v>
      </c>
      <c r="L511">
        <v>2.4500000000000002</v>
      </c>
      <c r="M511">
        <v>3.06</v>
      </c>
      <c r="N511" s="4">
        <f t="shared" si="14"/>
        <v>4.7119625000000009E-4</v>
      </c>
      <c r="O511" s="4">
        <f t="shared" si="15"/>
        <v>1.4418605250000004E-3</v>
      </c>
      <c r="P511">
        <v>50</v>
      </c>
      <c r="Q511">
        <v>1.5</v>
      </c>
      <c r="R511">
        <v>4</v>
      </c>
      <c r="S511">
        <v>1</v>
      </c>
      <c r="T511">
        <v>2</v>
      </c>
      <c r="U511">
        <v>3</v>
      </c>
      <c r="V511" t="s">
        <v>50</v>
      </c>
    </row>
    <row r="512" spans="1:22" hidden="1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62</v>
      </c>
      <c r="K512">
        <v>2550</v>
      </c>
      <c r="L512">
        <v>9.84</v>
      </c>
      <c r="M512">
        <v>8.68</v>
      </c>
      <c r="N512" s="4">
        <f t="shared" si="14"/>
        <v>7.6008096000000002E-3</v>
      </c>
      <c r="O512" s="4">
        <f t="shared" si="15"/>
        <v>6.5975027327999994E-2</v>
      </c>
      <c r="P512">
        <v>75</v>
      </c>
      <c r="Q512">
        <v>2</v>
      </c>
      <c r="R512">
        <v>2</v>
      </c>
      <c r="S512">
        <v>4</v>
      </c>
      <c r="T512">
        <v>4</v>
      </c>
      <c r="U512">
        <v>4</v>
      </c>
      <c r="V512" t="s">
        <v>38</v>
      </c>
    </row>
    <row r="513" spans="1:22" hidden="1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62</v>
      </c>
      <c r="K513">
        <v>1352</v>
      </c>
      <c r="L513">
        <v>4.9800000000000004</v>
      </c>
      <c r="M513">
        <v>4.05</v>
      </c>
      <c r="N513" s="4">
        <f t="shared" si="14"/>
        <v>1.9468314000000001E-3</v>
      </c>
      <c r="O513" s="4">
        <f t="shared" si="15"/>
        <v>7.8846671699999999E-3</v>
      </c>
      <c r="P513">
        <v>75</v>
      </c>
      <c r="Q513">
        <v>2</v>
      </c>
      <c r="R513">
        <v>2.5</v>
      </c>
      <c r="S513">
        <v>3</v>
      </c>
      <c r="T513">
        <v>3</v>
      </c>
      <c r="U513">
        <v>3</v>
      </c>
      <c r="V513" t="s">
        <v>30</v>
      </c>
    </row>
    <row r="514" spans="1:22" hidden="1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62</v>
      </c>
      <c r="K514">
        <v>2432</v>
      </c>
      <c r="L514">
        <v>8.92</v>
      </c>
      <c r="M514">
        <v>6.14</v>
      </c>
      <c r="N514" s="4">
        <f t="shared" si="14"/>
        <v>6.2459624000000009E-3</v>
      </c>
      <c r="O514" s="4">
        <f t="shared" si="15"/>
        <v>3.8350209136000006E-2</v>
      </c>
      <c r="P514">
        <v>75</v>
      </c>
      <c r="Q514">
        <v>2.5</v>
      </c>
      <c r="R514">
        <v>3</v>
      </c>
      <c r="S514">
        <v>4</v>
      </c>
      <c r="T514">
        <v>4</v>
      </c>
      <c r="U514">
        <v>3.5</v>
      </c>
      <c r="V514" t="s">
        <v>38</v>
      </c>
    </row>
    <row r="515" spans="1:22" hidden="1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62</v>
      </c>
      <c r="K515">
        <v>2553</v>
      </c>
      <c r="L515">
        <v>13.39</v>
      </c>
      <c r="M515">
        <v>6.6</v>
      </c>
      <c r="N515" s="4">
        <f t="shared" ref="N515:N578" si="16">3.14/4*((L515/100)^2)</f>
        <v>1.4074429850000004E-2</v>
      </c>
      <c r="O515" s="4">
        <f t="shared" ref="O515:O578" si="17">3.14/4*((L515/100)^2)*M515</f>
        <v>9.2891237010000016E-2</v>
      </c>
      <c r="P515">
        <v>75</v>
      </c>
      <c r="Q515">
        <v>3</v>
      </c>
      <c r="R515">
        <v>2.5</v>
      </c>
      <c r="S515">
        <v>3</v>
      </c>
      <c r="T515">
        <v>3</v>
      </c>
      <c r="U515">
        <v>2.5</v>
      </c>
      <c r="V515" t="s">
        <v>38</v>
      </c>
    </row>
    <row r="516" spans="1:22" hidden="1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62</v>
      </c>
      <c r="K516">
        <v>2574</v>
      </c>
      <c r="L516">
        <v>13.43</v>
      </c>
      <c r="M516">
        <v>9.0299999999999994</v>
      </c>
      <c r="N516" s="4">
        <f t="shared" si="16"/>
        <v>1.4158644650000001E-2</v>
      </c>
      <c r="O516" s="4">
        <f t="shared" si="17"/>
        <v>0.1278525611895</v>
      </c>
      <c r="P516">
        <v>100</v>
      </c>
      <c r="Q516">
        <v>4</v>
      </c>
      <c r="R516">
        <v>2</v>
      </c>
      <c r="S516">
        <v>4</v>
      </c>
      <c r="T516">
        <v>3</v>
      </c>
      <c r="U516">
        <v>2.5</v>
      </c>
      <c r="V516" t="s">
        <v>25</v>
      </c>
    </row>
    <row r="517" spans="1:22" hidden="1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37</v>
      </c>
      <c r="K517">
        <v>2575</v>
      </c>
      <c r="L517">
        <v>9.84</v>
      </c>
      <c r="M517">
        <v>5.67</v>
      </c>
      <c r="N517" s="4">
        <f t="shared" si="16"/>
        <v>7.6008096000000002E-3</v>
      </c>
      <c r="O517" s="4">
        <f t="shared" si="17"/>
        <v>4.3096590432000002E-2</v>
      </c>
      <c r="P517">
        <v>100</v>
      </c>
      <c r="Q517">
        <v>1.5</v>
      </c>
      <c r="R517">
        <v>1.5</v>
      </c>
      <c r="S517">
        <v>2</v>
      </c>
      <c r="T517">
        <v>2</v>
      </c>
      <c r="U517">
        <v>2</v>
      </c>
      <c r="V517" t="s">
        <v>50</v>
      </c>
    </row>
    <row r="518" spans="1:22" hidden="1" x14ac:dyDescent="0.25">
      <c r="A518" t="s">
        <v>86</v>
      </c>
      <c r="B518">
        <v>2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76</v>
      </c>
      <c r="K518">
        <v>1592</v>
      </c>
      <c r="L518">
        <v>4.7300000000000004</v>
      </c>
      <c r="M518">
        <v>5.31</v>
      </c>
      <c r="N518" s="4">
        <f t="shared" si="16"/>
        <v>1.7562726500000003E-3</v>
      </c>
      <c r="O518" s="4">
        <f t="shared" si="17"/>
        <v>9.3258077715000012E-3</v>
      </c>
      <c r="P518">
        <v>100</v>
      </c>
      <c r="Q518">
        <v>2</v>
      </c>
      <c r="R518">
        <v>3</v>
      </c>
      <c r="S518">
        <v>3</v>
      </c>
      <c r="T518">
        <v>4</v>
      </c>
      <c r="U518">
        <v>4</v>
      </c>
      <c r="V518" t="s">
        <v>25</v>
      </c>
    </row>
    <row r="519" spans="1:22" hidden="1" x14ac:dyDescent="0.25">
      <c r="A519" t="s">
        <v>86</v>
      </c>
      <c r="B519">
        <v>2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76</v>
      </c>
      <c r="K519">
        <v>2560</v>
      </c>
      <c r="L519">
        <v>6.35</v>
      </c>
      <c r="M519">
        <v>4.62</v>
      </c>
      <c r="N519" s="4">
        <f t="shared" si="16"/>
        <v>3.1653162500000004E-3</v>
      </c>
      <c r="O519" s="4">
        <f t="shared" si="17"/>
        <v>1.4623761075000002E-2</v>
      </c>
      <c r="P519">
        <v>100</v>
      </c>
      <c r="Q519">
        <v>3</v>
      </c>
      <c r="R519">
        <v>4</v>
      </c>
      <c r="S519">
        <v>2</v>
      </c>
      <c r="T519">
        <v>3</v>
      </c>
      <c r="U519">
        <v>4</v>
      </c>
      <c r="V519" t="s">
        <v>38</v>
      </c>
    </row>
    <row r="520" spans="1:22" hidden="1" x14ac:dyDescent="0.25">
      <c r="A520" t="s">
        <v>86</v>
      </c>
      <c r="B520">
        <v>2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56</v>
      </c>
      <c r="K520">
        <v>1111</v>
      </c>
      <c r="L520">
        <v>18.989999999999998</v>
      </c>
      <c r="M520">
        <v>10.73</v>
      </c>
      <c r="N520" s="4">
        <f t="shared" si="16"/>
        <v>2.8308677849999995E-2</v>
      </c>
      <c r="O520" s="4">
        <f t="shared" si="17"/>
        <v>0.30375211333049995</v>
      </c>
      <c r="P520">
        <v>75</v>
      </c>
      <c r="Q520">
        <v>3</v>
      </c>
      <c r="R520">
        <v>3</v>
      </c>
      <c r="S520">
        <v>3.5</v>
      </c>
      <c r="T520">
        <v>3</v>
      </c>
      <c r="U520">
        <v>3</v>
      </c>
      <c r="V520" t="s">
        <v>25</v>
      </c>
    </row>
    <row r="521" spans="1:22" hidden="1" x14ac:dyDescent="0.25">
      <c r="A521" t="s">
        <v>86</v>
      </c>
      <c r="B521">
        <v>2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57</v>
      </c>
      <c r="K521">
        <v>2620</v>
      </c>
      <c r="L521">
        <v>7.3</v>
      </c>
      <c r="M521">
        <v>5.91</v>
      </c>
      <c r="N521" s="4">
        <f t="shared" si="16"/>
        <v>4.1832649999999994E-3</v>
      </c>
      <c r="O521" s="4">
        <f t="shared" si="17"/>
        <v>2.4723096149999998E-2</v>
      </c>
      <c r="P521">
        <v>100</v>
      </c>
      <c r="Q521">
        <v>2</v>
      </c>
      <c r="R521">
        <v>2</v>
      </c>
      <c r="S521">
        <v>3</v>
      </c>
      <c r="T521">
        <v>4</v>
      </c>
      <c r="U521">
        <v>4</v>
      </c>
      <c r="V521" t="s">
        <v>30</v>
      </c>
    </row>
    <row r="522" spans="1:22" hidden="1" x14ac:dyDescent="0.25">
      <c r="A522" t="s">
        <v>86</v>
      </c>
      <c r="B522">
        <v>2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57</v>
      </c>
      <c r="K522">
        <v>2621</v>
      </c>
      <c r="L522">
        <v>8.11</v>
      </c>
      <c r="M522">
        <v>4.9800000000000004</v>
      </c>
      <c r="N522" s="4">
        <f t="shared" si="16"/>
        <v>5.1631098499999991E-3</v>
      </c>
      <c r="O522" s="4">
        <f t="shared" si="17"/>
        <v>2.5712287052999997E-2</v>
      </c>
      <c r="P522">
        <v>100</v>
      </c>
      <c r="Q522">
        <v>3</v>
      </c>
      <c r="R522">
        <v>1</v>
      </c>
      <c r="S522">
        <v>4</v>
      </c>
      <c r="T522">
        <v>4</v>
      </c>
      <c r="U522">
        <v>4</v>
      </c>
      <c r="V522" t="s">
        <v>38</v>
      </c>
    </row>
    <row r="523" spans="1:22" hidden="1" x14ac:dyDescent="0.25">
      <c r="A523" t="s">
        <v>86</v>
      </c>
      <c r="B523">
        <v>2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58</v>
      </c>
      <c r="K523">
        <v>2638</v>
      </c>
      <c r="L523">
        <v>5.25</v>
      </c>
      <c r="M523">
        <v>3.5</v>
      </c>
      <c r="N523" s="4">
        <f t="shared" si="16"/>
        <v>2.1636562499999998E-3</v>
      </c>
      <c r="O523" s="4">
        <f t="shared" si="17"/>
        <v>7.5727968749999992E-3</v>
      </c>
      <c r="P523">
        <v>50</v>
      </c>
      <c r="Q523">
        <v>2</v>
      </c>
      <c r="R523">
        <v>3</v>
      </c>
      <c r="S523">
        <v>3</v>
      </c>
      <c r="T523">
        <v>3</v>
      </c>
      <c r="U523">
        <v>4</v>
      </c>
      <c r="V523" t="s">
        <v>30</v>
      </c>
    </row>
    <row r="524" spans="1:22" hidden="1" x14ac:dyDescent="0.25">
      <c r="A524" t="s">
        <v>86</v>
      </c>
      <c r="B524">
        <v>2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59</v>
      </c>
      <c r="K524">
        <v>2426</v>
      </c>
      <c r="L524">
        <v>16.690000000000001</v>
      </c>
      <c r="M524">
        <v>9.48</v>
      </c>
      <c r="N524" s="4">
        <f t="shared" si="16"/>
        <v>2.1866653850000004E-2</v>
      </c>
      <c r="O524" s="4">
        <f t="shared" si="17"/>
        <v>0.20729587849800005</v>
      </c>
      <c r="P524">
        <v>50</v>
      </c>
      <c r="Q524">
        <v>4</v>
      </c>
      <c r="R524">
        <v>3</v>
      </c>
      <c r="S524">
        <v>4</v>
      </c>
      <c r="T524">
        <v>4</v>
      </c>
      <c r="U524">
        <v>3</v>
      </c>
      <c r="V524" t="s">
        <v>27</v>
      </c>
    </row>
    <row r="525" spans="1:22" hidden="1" x14ac:dyDescent="0.25">
      <c r="A525" t="s">
        <v>86</v>
      </c>
      <c r="B525">
        <v>2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59</v>
      </c>
      <c r="K525">
        <v>1482</v>
      </c>
      <c r="L525">
        <v>2.37</v>
      </c>
      <c r="M525">
        <v>2.73</v>
      </c>
      <c r="N525" s="4">
        <f t="shared" si="16"/>
        <v>4.4092665000000013E-4</v>
      </c>
      <c r="O525" s="4">
        <f t="shared" si="17"/>
        <v>1.2037297545000004E-3</v>
      </c>
      <c r="P525">
        <v>50</v>
      </c>
      <c r="Q525">
        <v>1</v>
      </c>
      <c r="R525">
        <v>3</v>
      </c>
      <c r="S525">
        <v>3</v>
      </c>
      <c r="T525">
        <v>3</v>
      </c>
      <c r="U525">
        <v>3</v>
      </c>
      <c r="V525" t="s">
        <v>50</v>
      </c>
    </row>
    <row r="526" spans="1:22" hidden="1" x14ac:dyDescent="0.25">
      <c r="A526" t="s">
        <v>86</v>
      </c>
      <c r="B526">
        <v>2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59</v>
      </c>
      <c r="K526">
        <v>2548</v>
      </c>
      <c r="L526">
        <v>10.08</v>
      </c>
      <c r="M526">
        <v>6.52</v>
      </c>
      <c r="N526" s="4">
        <f t="shared" si="16"/>
        <v>7.9761024000000007E-3</v>
      </c>
      <c r="O526" s="4">
        <f t="shared" si="17"/>
        <v>5.2004187648000001E-2</v>
      </c>
      <c r="P526">
        <v>50</v>
      </c>
      <c r="Q526">
        <v>3</v>
      </c>
      <c r="R526">
        <v>3</v>
      </c>
      <c r="S526">
        <v>4</v>
      </c>
      <c r="T526">
        <v>4</v>
      </c>
      <c r="U526">
        <v>4</v>
      </c>
      <c r="V526" t="s">
        <v>38</v>
      </c>
    </row>
    <row r="527" spans="1:22" hidden="1" x14ac:dyDescent="0.25">
      <c r="A527" t="s">
        <v>86</v>
      </c>
      <c r="B527">
        <v>2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26</v>
      </c>
      <c r="K527">
        <v>2552</v>
      </c>
      <c r="L527">
        <v>17.190000000000001</v>
      </c>
      <c r="M527">
        <v>12.45</v>
      </c>
      <c r="N527" s="4">
        <f t="shared" si="16"/>
        <v>2.3196443850000005E-2</v>
      </c>
      <c r="O527" s="4">
        <f t="shared" si="17"/>
        <v>0.28879572593250002</v>
      </c>
      <c r="P527">
        <v>50</v>
      </c>
      <c r="Q527">
        <v>4</v>
      </c>
      <c r="R527">
        <v>4</v>
      </c>
      <c r="S527">
        <v>4</v>
      </c>
      <c r="T527">
        <v>4</v>
      </c>
      <c r="U527">
        <v>4</v>
      </c>
      <c r="V527" t="s">
        <v>25</v>
      </c>
    </row>
    <row r="528" spans="1:22" hidden="1" x14ac:dyDescent="0.25">
      <c r="A528" t="s">
        <v>86</v>
      </c>
      <c r="B528">
        <v>2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61</v>
      </c>
      <c r="K528">
        <v>1171</v>
      </c>
      <c r="L528">
        <v>1.27</v>
      </c>
      <c r="M528">
        <v>1.1200000000000001</v>
      </c>
      <c r="N528" s="4">
        <f t="shared" si="16"/>
        <v>1.2661264999999999E-4</v>
      </c>
      <c r="O528" s="4">
        <f t="shared" si="17"/>
        <v>1.41806168E-4</v>
      </c>
      <c r="P528">
        <v>25</v>
      </c>
      <c r="Q528">
        <v>1.5</v>
      </c>
      <c r="R528">
        <v>3</v>
      </c>
      <c r="S528">
        <v>0</v>
      </c>
      <c r="T528">
        <v>2</v>
      </c>
      <c r="U528">
        <v>3</v>
      </c>
      <c r="V528" t="s">
        <v>50</v>
      </c>
    </row>
    <row r="529" spans="1:22" hidden="1" x14ac:dyDescent="0.25">
      <c r="A529" t="s">
        <v>86</v>
      </c>
      <c r="B529">
        <v>2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61</v>
      </c>
      <c r="K529">
        <v>2631</v>
      </c>
      <c r="L529">
        <v>5.75</v>
      </c>
      <c r="M529">
        <v>4.5999999999999996</v>
      </c>
      <c r="N529" s="4">
        <f t="shared" si="16"/>
        <v>2.5954062500000001E-3</v>
      </c>
      <c r="O529" s="4">
        <f t="shared" si="17"/>
        <v>1.193886875E-2</v>
      </c>
      <c r="P529">
        <v>25</v>
      </c>
      <c r="Q529">
        <v>2</v>
      </c>
      <c r="R529">
        <v>2</v>
      </c>
      <c r="S529">
        <v>3</v>
      </c>
      <c r="T529">
        <v>3</v>
      </c>
      <c r="U529">
        <v>3</v>
      </c>
      <c r="V529" t="s">
        <v>50</v>
      </c>
    </row>
    <row r="530" spans="1:22" hidden="1" x14ac:dyDescent="0.25">
      <c r="A530" t="s">
        <v>86</v>
      </c>
      <c r="B530">
        <v>2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32</v>
      </c>
      <c r="K530">
        <v>1595</v>
      </c>
      <c r="L530">
        <v>15.69</v>
      </c>
      <c r="M530">
        <v>8.9499999999999993</v>
      </c>
      <c r="N530" s="4">
        <f t="shared" si="16"/>
        <v>1.9324823849999995E-2</v>
      </c>
      <c r="O530" s="4">
        <f t="shared" si="17"/>
        <v>0.17295717345749995</v>
      </c>
      <c r="P530">
        <v>100</v>
      </c>
      <c r="Q530">
        <v>3</v>
      </c>
      <c r="R530">
        <v>3</v>
      </c>
      <c r="S530">
        <v>4</v>
      </c>
      <c r="T530">
        <v>4</v>
      </c>
      <c r="U530">
        <v>3</v>
      </c>
      <c r="V530" t="s">
        <v>25</v>
      </c>
    </row>
    <row r="531" spans="1:22" hidden="1" x14ac:dyDescent="0.25">
      <c r="A531" t="s">
        <v>86</v>
      </c>
      <c r="B531">
        <v>2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32</v>
      </c>
      <c r="K531">
        <v>2569</v>
      </c>
      <c r="L531">
        <v>17.03</v>
      </c>
      <c r="M531">
        <v>10.42</v>
      </c>
      <c r="N531" s="4">
        <f t="shared" si="16"/>
        <v>2.2766640650000003E-2</v>
      </c>
      <c r="O531" s="4">
        <f t="shared" si="17"/>
        <v>0.23722839557300002</v>
      </c>
      <c r="P531">
        <v>100</v>
      </c>
      <c r="Q531">
        <v>3</v>
      </c>
      <c r="R531">
        <v>3</v>
      </c>
      <c r="S531">
        <v>4</v>
      </c>
      <c r="T531">
        <v>4</v>
      </c>
      <c r="U531">
        <v>3</v>
      </c>
      <c r="V531" t="s">
        <v>25</v>
      </c>
    </row>
    <row r="532" spans="1:22" hidden="1" x14ac:dyDescent="0.25">
      <c r="A532" t="s">
        <v>86</v>
      </c>
      <c r="B532">
        <v>2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32</v>
      </c>
      <c r="K532">
        <v>2634</v>
      </c>
      <c r="L532">
        <v>17.77</v>
      </c>
      <c r="M532">
        <v>10.42</v>
      </c>
      <c r="N532" s="4">
        <f t="shared" si="16"/>
        <v>2.4788172650000002E-2</v>
      </c>
      <c r="O532" s="4">
        <f t="shared" si="17"/>
        <v>0.25829275901300003</v>
      </c>
      <c r="P532">
        <v>50</v>
      </c>
      <c r="Q532">
        <v>3</v>
      </c>
      <c r="R532">
        <v>3</v>
      </c>
      <c r="S532">
        <v>2</v>
      </c>
      <c r="T532">
        <v>2</v>
      </c>
      <c r="U532">
        <v>2</v>
      </c>
      <c r="V532" t="s">
        <v>38</v>
      </c>
    </row>
    <row r="533" spans="1:22" hidden="1" x14ac:dyDescent="0.25">
      <c r="A533" t="s">
        <v>86</v>
      </c>
      <c r="B533">
        <v>2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32</v>
      </c>
      <c r="K533">
        <v>2635</v>
      </c>
      <c r="L533">
        <v>17.399999999999999</v>
      </c>
      <c r="M533">
        <v>10.66</v>
      </c>
      <c r="N533" s="4">
        <f t="shared" si="16"/>
        <v>2.3766659999999998E-2</v>
      </c>
      <c r="O533" s="4">
        <f t="shared" si="17"/>
        <v>0.25335259560000001</v>
      </c>
      <c r="P533">
        <v>75</v>
      </c>
      <c r="Q533">
        <v>3</v>
      </c>
      <c r="R533">
        <v>2</v>
      </c>
      <c r="S533">
        <v>4</v>
      </c>
      <c r="T533">
        <v>4</v>
      </c>
      <c r="U533">
        <v>3</v>
      </c>
      <c r="V533" t="s">
        <v>25</v>
      </c>
    </row>
    <row r="534" spans="1:22" hidden="1" x14ac:dyDescent="0.25">
      <c r="A534" t="s">
        <v>86</v>
      </c>
      <c r="B534">
        <v>2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34</v>
      </c>
      <c r="K534">
        <v>2570</v>
      </c>
      <c r="L534">
        <v>10.16</v>
      </c>
      <c r="M534">
        <v>7.74</v>
      </c>
      <c r="N534" s="4">
        <f t="shared" si="16"/>
        <v>8.1032095999999994E-3</v>
      </c>
      <c r="O534" s="4">
        <f t="shared" si="17"/>
        <v>6.2718842304000003E-2</v>
      </c>
      <c r="P534">
        <v>100</v>
      </c>
      <c r="Q534">
        <v>3</v>
      </c>
      <c r="R534">
        <v>3</v>
      </c>
      <c r="S534">
        <v>4</v>
      </c>
      <c r="T534">
        <v>4</v>
      </c>
      <c r="U534">
        <v>4</v>
      </c>
      <c r="V534" t="s">
        <v>25</v>
      </c>
    </row>
    <row r="535" spans="1:22" hidden="1" x14ac:dyDescent="0.25">
      <c r="A535" t="s">
        <v>86</v>
      </c>
      <c r="B535">
        <v>2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35</v>
      </c>
      <c r="K535">
        <v>1788</v>
      </c>
      <c r="L535">
        <v>6.06</v>
      </c>
      <c r="M535">
        <v>4.2</v>
      </c>
      <c r="N535" s="4">
        <f t="shared" si="16"/>
        <v>2.8828025999999992E-3</v>
      </c>
      <c r="O535" s="4">
        <f t="shared" si="17"/>
        <v>1.2107770919999997E-2</v>
      </c>
      <c r="P535">
        <v>100</v>
      </c>
      <c r="Q535">
        <v>1.5</v>
      </c>
      <c r="R535">
        <v>1.5</v>
      </c>
      <c r="S535">
        <v>2</v>
      </c>
      <c r="T535">
        <v>2</v>
      </c>
      <c r="U535">
        <v>1</v>
      </c>
      <c r="V535" t="s">
        <v>50</v>
      </c>
    </row>
    <row r="536" spans="1:22" hidden="1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35</v>
      </c>
      <c r="K536">
        <v>1259</v>
      </c>
      <c r="L536">
        <v>10.37</v>
      </c>
      <c r="M536">
        <v>5.6</v>
      </c>
      <c r="N536" s="4">
        <f t="shared" si="16"/>
        <v>8.4416466499999988E-3</v>
      </c>
      <c r="O536" s="4">
        <f t="shared" si="17"/>
        <v>4.7273221239999989E-2</v>
      </c>
      <c r="P536">
        <v>100</v>
      </c>
      <c r="Q536">
        <v>3</v>
      </c>
      <c r="R536">
        <v>2</v>
      </c>
      <c r="S536">
        <v>2</v>
      </c>
      <c r="T536">
        <v>2</v>
      </c>
      <c r="U536">
        <v>1</v>
      </c>
      <c r="V536" t="s">
        <v>30</v>
      </c>
    </row>
    <row r="537" spans="1:22" hidden="1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35</v>
      </c>
      <c r="K537">
        <v>1785</v>
      </c>
      <c r="L537">
        <v>2.56</v>
      </c>
      <c r="M537">
        <v>2.91</v>
      </c>
      <c r="N537" s="4">
        <f t="shared" si="16"/>
        <v>5.1445760000000005E-4</v>
      </c>
      <c r="O537" s="4">
        <f t="shared" si="17"/>
        <v>1.4970716160000001E-3</v>
      </c>
      <c r="P537">
        <v>75</v>
      </c>
      <c r="Q537">
        <v>1</v>
      </c>
      <c r="R537">
        <v>1</v>
      </c>
      <c r="S537">
        <v>2</v>
      </c>
      <c r="T537">
        <v>2</v>
      </c>
      <c r="U537">
        <v>3</v>
      </c>
      <c r="V537" t="s">
        <v>50</v>
      </c>
    </row>
    <row r="538" spans="1:22" hidden="1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35</v>
      </c>
      <c r="K538">
        <v>2571</v>
      </c>
      <c r="L538">
        <v>8.98</v>
      </c>
      <c r="M538">
        <v>4.08</v>
      </c>
      <c r="N538" s="4">
        <f t="shared" si="16"/>
        <v>6.3302714000000012E-3</v>
      </c>
      <c r="O538" s="4">
        <f t="shared" si="17"/>
        <v>2.5827507312000005E-2</v>
      </c>
      <c r="P538">
        <v>75</v>
      </c>
      <c r="Q538">
        <v>4</v>
      </c>
      <c r="R538">
        <v>2</v>
      </c>
      <c r="S538">
        <v>2</v>
      </c>
      <c r="T538">
        <v>2</v>
      </c>
      <c r="U538">
        <v>2</v>
      </c>
      <c r="V538" t="s">
        <v>38</v>
      </c>
    </row>
    <row r="539" spans="1:22" hidden="1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36</v>
      </c>
      <c r="K539">
        <v>2573</v>
      </c>
      <c r="L539">
        <v>7.84</v>
      </c>
      <c r="M539">
        <v>4.29</v>
      </c>
      <c r="N539" s="4">
        <f t="shared" si="16"/>
        <v>4.8250495999999999E-3</v>
      </c>
      <c r="O539" s="4">
        <f t="shared" si="17"/>
        <v>2.0699462783999999E-2</v>
      </c>
      <c r="P539">
        <v>25</v>
      </c>
      <c r="Q539">
        <v>2</v>
      </c>
      <c r="R539">
        <v>4</v>
      </c>
      <c r="S539">
        <v>1</v>
      </c>
      <c r="T539">
        <v>2</v>
      </c>
      <c r="U539">
        <v>3</v>
      </c>
      <c r="V539" t="s">
        <v>50</v>
      </c>
    </row>
    <row r="540" spans="1:22" hidden="1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62</v>
      </c>
      <c r="K540">
        <v>2550</v>
      </c>
      <c r="L540">
        <v>5.44</v>
      </c>
      <c r="M540">
        <v>4.05</v>
      </c>
      <c r="N540" s="4">
        <f t="shared" si="16"/>
        <v>2.3230976000000003E-3</v>
      </c>
      <c r="O540" s="4">
        <f t="shared" si="17"/>
        <v>9.4085452800000014E-3</v>
      </c>
      <c r="P540">
        <v>50</v>
      </c>
      <c r="Q540">
        <v>1</v>
      </c>
      <c r="R540">
        <v>2</v>
      </c>
      <c r="S540">
        <v>3</v>
      </c>
      <c r="T540">
        <v>3</v>
      </c>
      <c r="U540">
        <v>3</v>
      </c>
      <c r="V540" t="s">
        <v>50</v>
      </c>
    </row>
    <row r="541" spans="1:22" hidden="1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62</v>
      </c>
      <c r="K541">
        <v>1352</v>
      </c>
      <c r="L541">
        <v>11.93</v>
      </c>
      <c r="M541">
        <v>11</v>
      </c>
      <c r="N541" s="4">
        <f t="shared" si="16"/>
        <v>1.1172504650000002E-2</v>
      </c>
      <c r="O541" s="4">
        <f t="shared" si="17"/>
        <v>0.12289755115000002</v>
      </c>
      <c r="P541">
        <v>100</v>
      </c>
      <c r="Q541">
        <v>3.5</v>
      </c>
      <c r="R541">
        <v>3</v>
      </c>
      <c r="S541">
        <v>4</v>
      </c>
      <c r="T541">
        <v>4</v>
      </c>
      <c r="U541">
        <v>3.5</v>
      </c>
      <c r="V541" t="s">
        <v>25</v>
      </c>
    </row>
    <row r="542" spans="1:22" hidden="1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62</v>
      </c>
      <c r="K542">
        <v>2432</v>
      </c>
      <c r="L542">
        <v>12.39</v>
      </c>
      <c r="M542">
        <v>10.77</v>
      </c>
      <c r="N542" s="4">
        <f t="shared" si="16"/>
        <v>1.2050699850000002E-2</v>
      </c>
      <c r="O542" s="4">
        <f t="shared" si="17"/>
        <v>0.12978603738450001</v>
      </c>
      <c r="P542">
        <v>75</v>
      </c>
      <c r="Q542">
        <v>3</v>
      </c>
      <c r="R542">
        <v>3</v>
      </c>
      <c r="S542">
        <v>4</v>
      </c>
      <c r="T542">
        <v>4</v>
      </c>
      <c r="U542">
        <v>4</v>
      </c>
      <c r="V542" t="s">
        <v>25</v>
      </c>
    </row>
    <row r="543" spans="1:22" hidden="1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62</v>
      </c>
      <c r="K543">
        <v>2553</v>
      </c>
      <c r="L543">
        <v>17.95</v>
      </c>
      <c r="M543">
        <v>13.66</v>
      </c>
      <c r="N543" s="4">
        <f t="shared" si="16"/>
        <v>2.5292896249999999E-2</v>
      </c>
      <c r="O543" s="4">
        <f t="shared" si="17"/>
        <v>0.34550096277499998</v>
      </c>
      <c r="P543">
        <v>100</v>
      </c>
      <c r="Q543">
        <v>5</v>
      </c>
      <c r="R543">
        <v>3</v>
      </c>
      <c r="S543">
        <v>4.5</v>
      </c>
      <c r="T543">
        <v>4.5</v>
      </c>
      <c r="U543">
        <v>4</v>
      </c>
      <c r="V543" t="s">
        <v>27</v>
      </c>
    </row>
    <row r="544" spans="1:22" hidden="1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62</v>
      </c>
      <c r="K544">
        <v>2574</v>
      </c>
      <c r="L544">
        <v>10.07</v>
      </c>
      <c r="M544">
        <v>12.74</v>
      </c>
      <c r="N544" s="4">
        <f t="shared" si="16"/>
        <v>7.9602846499999998E-3</v>
      </c>
      <c r="O544" s="4">
        <f t="shared" si="17"/>
        <v>0.101414026441</v>
      </c>
      <c r="P544">
        <v>100</v>
      </c>
      <c r="Q544">
        <v>2.5</v>
      </c>
      <c r="R544">
        <v>2.5</v>
      </c>
      <c r="S544">
        <v>5</v>
      </c>
      <c r="T544">
        <v>5</v>
      </c>
      <c r="U544">
        <v>5</v>
      </c>
      <c r="V544" t="s">
        <v>25</v>
      </c>
    </row>
    <row r="545" spans="1:22" hidden="1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37</v>
      </c>
      <c r="K545">
        <v>2575</v>
      </c>
      <c r="L545">
        <v>8.56</v>
      </c>
      <c r="M545">
        <v>3.33</v>
      </c>
      <c r="N545" s="4">
        <f t="shared" si="16"/>
        <v>5.7519776000000012E-3</v>
      </c>
      <c r="O545" s="4">
        <f t="shared" si="17"/>
        <v>1.9154085408000003E-2</v>
      </c>
      <c r="P545">
        <v>75</v>
      </c>
      <c r="Q545">
        <v>2</v>
      </c>
      <c r="R545">
        <v>3</v>
      </c>
      <c r="S545">
        <v>2</v>
      </c>
      <c r="T545">
        <v>2</v>
      </c>
      <c r="U545">
        <v>2</v>
      </c>
      <c r="V545" t="s">
        <v>50</v>
      </c>
    </row>
    <row r="546" spans="1:22" hidden="1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63</v>
      </c>
      <c r="K546">
        <v>1340</v>
      </c>
      <c r="L546">
        <v>1.56</v>
      </c>
      <c r="M546">
        <v>2.16</v>
      </c>
      <c r="N546" s="4">
        <f t="shared" si="16"/>
        <v>1.9103760000000004E-4</v>
      </c>
      <c r="O546" s="4">
        <f t="shared" si="17"/>
        <v>4.1264121600000011E-4</v>
      </c>
      <c r="P546">
        <v>50</v>
      </c>
      <c r="Q546">
        <v>1</v>
      </c>
      <c r="R546">
        <v>2</v>
      </c>
      <c r="S546">
        <v>2</v>
      </c>
      <c r="T546">
        <v>2</v>
      </c>
      <c r="U546">
        <v>3</v>
      </c>
      <c r="V546" t="s">
        <v>50</v>
      </c>
    </row>
    <row r="547" spans="1:22" hidden="1" x14ac:dyDescent="0.25">
      <c r="A547" t="s">
        <v>86</v>
      </c>
      <c r="B547">
        <v>3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76</v>
      </c>
      <c r="K547">
        <v>1592</v>
      </c>
      <c r="L547">
        <v>20.43</v>
      </c>
      <c r="M547">
        <v>10.39</v>
      </c>
      <c r="N547" s="4">
        <f t="shared" si="16"/>
        <v>3.2764714650000006E-2</v>
      </c>
      <c r="O547" s="4">
        <f t="shared" si="17"/>
        <v>0.34042538521350008</v>
      </c>
      <c r="P547">
        <v>75</v>
      </c>
      <c r="Q547">
        <v>3</v>
      </c>
      <c r="R547">
        <v>4</v>
      </c>
      <c r="S547">
        <v>2</v>
      </c>
      <c r="T547">
        <v>3</v>
      </c>
      <c r="U547">
        <v>2</v>
      </c>
      <c r="V547" t="s">
        <v>25</v>
      </c>
    </row>
    <row r="548" spans="1:22" hidden="1" x14ac:dyDescent="0.25">
      <c r="A548" t="s">
        <v>86</v>
      </c>
      <c r="B548">
        <v>3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76</v>
      </c>
      <c r="K548">
        <v>2560</v>
      </c>
      <c r="L548">
        <v>16.04</v>
      </c>
      <c r="M548">
        <v>8.66</v>
      </c>
      <c r="N548" s="4">
        <f t="shared" si="16"/>
        <v>2.0196605599999997E-2</v>
      </c>
      <c r="O548" s="4">
        <f t="shared" si="17"/>
        <v>0.17490260449599998</v>
      </c>
      <c r="P548">
        <v>100</v>
      </c>
      <c r="Q548">
        <v>3</v>
      </c>
      <c r="R548">
        <v>4</v>
      </c>
      <c r="S548">
        <v>4</v>
      </c>
      <c r="T548">
        <v>4</v>
      </c>
      <c r="U548">
        <v>4</v>
      </c>
      <c r="V548" t="s">
        <v>25</v>
      </c>
    </row>
    <row r="549" spans="1:22" hidden="1" x14ac:dyDescent="0.25">
      <c r="A549" t="s">
        <v>86</v>
      </c>
      <c r="B549">
        <v>3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56</v>
      </c>
      <c r="K549">
        <v>1111</v>
      </c>
      <c r="L549">
        <v>11.9</v>
      </c>
      <c r="M549">
        <v>7.2</v>
      </c>
      <c r="N549" s="4">
        <f t="shared" si="16"/>
        <v>1.1116385000000001E-2</v>
      </c>
      <c r="O549" s="4">
        <f t="shared" si="17"/>
        <v>8.0037972000000013E-2</v>
      </c>
      <c r="P549">
        <v>100</v>
      </c>
      <c r="Q549">
        <v>3</v>
      </c>
      <c r="R549">
        <v>2</v>
      </c>
      <c r="S549">
        <v>3</v>
      </c>
      <c r="T549">
        <v>3</v>
      </c>
      <c r="U549">
        <v>3</v>
      </c>
      <c r="V549" t="s">
        <v>38</v>
      </c>
    </row>
    <row r="550" spans="1:22" hidden="1" x14ac:dyDescent="0.25">
      <c r="A550" t="s">
        <v>86</v>
      </c>
      <c r="B550">
        <v>3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57</v>
      </c>
      <c r="K550">
        <v>2620</v>
      </c>
      <c r="L550">
        <v>2.66</v>
      </c>
      <c r="M550">
        <v>2.08</v>
      </c>
      <c r="N550" s="4">
        <f t="shared" si="16"/>
        <v>5.5543460000000015E-4</v>
      </c>
      <c r="O550" s="4">
        <f t="shared" si="17"/>
        <v>1.1553039680000004E-3</v>
      </c>
      <c r="P550">
        <v>100</v>
      </c>
      <c r="Q550">
        <v>2</v>
      </c>
      <c r="R550">
        <v>1.5</v>
      </c>
      <c r="S550">
        <v>1</v>
      </c>
      <c r="T550">
        <v>2</v>
      </c>
      <c r="U550">
        <v>3</v>
      </c>
      <c r="V550" t="s">
        <v>50</v>
      </c>
    </row>
    <row r="551" spans="1:22" hidden="1" x14ac:dyDescent="0.25">
      <c r="A551" t="s">
        <v>86</v>
      </c>
      <c r="B551">
        <v>3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57</v>
      </c>
      <c r="K551">
        <v>2621</v>
      </c>
      <c r="L551">
        <v>5.0999999999999996</v>
      </c>
      <c r="M551">
        <v>2.66</v>
      </c>
      <c r="N551" s="4">
        <f t="shared" si="16"/>
        <v>2.041785E-3</v>
      </c>
      <c r="O551" s="4">
        <f t="shared" si="17"/>
        <v>5.4311480999999998E-3</v>
      </c>
      <c r="P551">
        <v>75</v>
      </c>
      <c r="Q551">
        <v>3</v>
      </c>
      <c r="R551">
        <v>2</v>
      </c>
      <c r="S551">
        <v>2</v>
      </c>
      <c r="T551">
        <v>2</v>
      </c>
      <c r="U551">
        <v>3</v>
      </c>
      <c r="V551" t="s">
        <v>30</v>
      </c>
    </row>
    <row r="552" spans="1:22" hidden="1" x14ac:dyDescent="0.25">
      <c r="A552" t="s">
        <v>86</v>
      </c>
      <c r="B552">
        <v>3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58</v>
      </c>
      <c r="K552">
        <v>2638</v>
      </c>
      <c r="L552">
        <v>12.24</v>
      </c>
      <c r="M552">
        <v>5.83</v>
      </c>
      <c r="N552" s="4">
        <f t="shared" si="16"/>
        <v>1.1760681600000001E-2</v>
      </c>
      <c r="O552" s="4">
        <f t="shared" si="17"/>
        <v>6.8564773728000003E-2</v>
      </c>
      <c r="P552">
        <v>25</v>
      </c>
      <c r="Q552">
        <v>2</v>
      </c>
      <c r="R552">
        <v>3</v>
      </c>
      <c r="S552">
        <v>3</v>
      </c>
      <c r="T552">
        <v>3</v>
      </c>
      <c r="U552">
        <v>3</v>
      </c>
      <c r="V552" t="s">
        <v>30</v>
      </c>
    </row>
    <row r="553" spans="1:22" hidden="1" x14ac:dyDescent="0.25">
      <c r="A553" t="s">
        <v>86</v>
      </c>
      <c r="B553">
        <v>3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59</v>
      </c>
      <c r="K553">
        <v>2426</v>
      </c>
      <c r="L553">
        <v>21.93</v>
      </c>
      <c r="M553">
        <v>9.84</v>
      </c>
      <c r="N553" s="4">
        <f t="shared" si="16"/>
        <v>3.775260465E-2</v>
      </c>
      <c r="O553" s="4">
        <f t="shared" si="17"/>
        <v>0.37148562975600002</v>
      </c>
      <c r="P553">
        <v>100</v>
      </c>
      <c r="Q553">
        <v>4</v>
      </c>
      <c r="R553">
        <v>3</v>
      </c>
      <c r="S553">
        <v>3.5</v>
      </c>
      <c r="T553">
        <v>3</v>
      </c>
      <c r="U553">
        <v>2</v>
      </c>
      <c r="V553" t="s">
        <v>25</v>
      </c>
    </row>
    <row r="554" spans="1:22" hidden="1" x14ac:dyDescent="0.25">
      <c r="A554" t="s">
        <v>86</v>
      </c>
      <c r="B554">
        <v>3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59</v>
      </c>
      <c r="K554">
        <v>1482</v>
      </c>
      <c r="L554">
        <v>24.16</v>
      </c>
      <c r="M554">
        <v>10.31</v>
      </c>
      <c r="N554" s="4">
        <f t="shared" si="16"/>
        <v>4.5820889600000005E-2</v>
      </c>
      <c r="O554" s="4">
        <f t="shared" si="17"/>
        <v>0.47241337177600007</v>
      </c>
      <c r="P554">
        <v>75</v>
      </c>
      <c r="Q554">
        <v>4.5</v>
      </c>
      <c r="R554">
        <v>3</v>
      </c>
      <c r="S554">
        <v>4</v>
      </c>
      <c r="T554">
        <v>3</v>
      </c>
      <c r="U554">
        <v>2</v>
      </c>
      <c r="V554" t="s">
        <v>25</v>
      </c>
    </row>
    <row r="555" spans="1:22" hidden="1" x14ac:dyDescent="0.25">
      <c r="A555" t="s">
        <v>86</v>
      </c>
      <c r="B555">
        <v>3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59</v>
      </c>
      <c r="K555">
        <v>2548</v>
      </c>
      <c r="L555">
        <v>24.77</v>
      </c>
      <c r="M555">
        <v>10.67</v>
      </c>
      <c r="N555" s="4">
        <f t="shared" si="16"/>
        <v>4.816390265E-2</v>
      </c>
      <c r="O555" s="4">
        <f t="shared" si="17"/>
        <v>0.51390884127549996</v>
      </c>
      <c r="P555">
        <v>100</v>
      </c>
      <c r="Q555">
        <v>4.5</v>
      </c>
      <c r="R555">
        <v>3</v>
      </c>
      <c r="S555">
        <v>4</v>
      </c>
      <c r="T555">
        <v>3</v>
      </c>
      <c r="U555">
        <v>2</v>
      </c>
      <c r="V555" t="s">
        <v>25</v>
      </c>
    </row>
    <row r="556" spans="1:22" hidden="1" x14ac:dyDescent="0.25">
      <c r="A556" t="s">
        <v>86</v>
      </c>
      <c r="B556">
        <v>3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26</v>
      </c>
      <c r="K556">
        <v>2552</v>
      </c>
      <c r="L556">
        <v>16.829999999999998</v>
      </c>
      <c r="M556">
        <v>10.31</v>
      </c>
      <c r="N556" s="4">
        <f t="shared" si="16"/>
        <v>2.2235038649999993E-2</v>
      </c>
      <c r="O556" s="4">
        <f t="shared" si="17"/>
        <v>0.22924324848149993</v>
      </c>
      <c r="P556">
        <v>75</v>
      </c>
      <c r="Q556">
        <v>4</v>
      </c>
      <c r="R556">
        <v>3</v>
      </c>
      <c r="S556">
        <v>4</v>
      </c>
      <c r="T556">
        <v>4</v>
      </c>
      <c r="U556">
        <v>3</v>
      </c>
      <c r="V556" t="s">
        <v>27</v>
      </c>
    </row>
    <row r="557" spans="1:22" hidden="1" x14ac:dyDescent="0.25">
      <c r="A557" t="s">
        <v>86</v>
      </c>
      <c r="B557">
        <v>3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61</v>
      </c>
      <c r="K557">
        <v>1171</v>
      </c>
      <c r="L557">
        <v>8.4</v>
      </c>
      <c r="M557">
        <v>3.91</v>
      </c>
      <c r="N557" s="4">
        <f t="shared" si="16"/>
        <v>5.5389600000000008E-3</v>
      </c>
      <c r="O557" s="4">
        <f t="shared" si="17"/>
        <v>2.1657333600000005E-2</v>
      </c>
      <c r="P557">
        <v>100</v>
      </c>
      <c r="Q557">
        <v>3</v>
      </c>
      <c r="R557">
        <v>2</v>
      </c>
      <c r="S557">
        <v>1</v>
      </c>
      <c r="T557">
        <v>2</v>
      </c>
      <c r="U557">
        <v>1</v>
      </c>
      <c r="V557" t="s">
        <v>50</v>
      </c>
    </row>
    <row r="558" spans="1:22" hidden="1" x14ac:dyDescent="0.25">
      <c r="A558" t="s">
        <v>86</v>
      </c>
      <c r="B558">
        <v>3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61</v>
      </c>
      <c r="K558">
        <v>2631</v>
      </c>
      <c r="L558">
        <v>5.75</v>
      </c>
      <c r="M558">
        <v>4.26</v>
      </c>
      <c r="N558" s="4">
        <f t="shared" si="16"/>
        <v>2.5954062500000001E-3</v>
      </c>
      <c r="O558" s="4">
        <f t="shared" si="17"/>
        <v>1.1056430625E-2</v>
      </c>
      <c r="P558">
        <v>75</v>
      </c>
      <c r="Q558">
        <v>2</v>
      </c>
      <c r="R558">
        <v>3</v>
      </c>
      <c r="S558">
        <v>2</v>
      </c>
      <c r="T558">
        <v>2</v>
      </c>
      <c r="U558">
        <v>2</v>
      </c>
      <c r="V558" t="s">
        <v>50</v>
      </c>
    </row>
    <row r="559" spans="1:22" hidden="1" x14ac:dyDescent="0.25">
      <c r="A559" t="s">
        <v>86</v>
      </c>
      <c r="B559">
        <v>3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32</v>
      </c>
      <c r="K559">
        <v>1595</v>
      </c>
      <c r="L559">
        <v>16.54</v>
      </c>
      <c r="M559">
        <v>7.23</v>
      </c>
      <c r="N559" s="4">
        <f t="shared" si="16"/>
        <v>2.1475370599999998E-2</v>
      </c>
      <c r="O559" s="4">
        <f t="shared" si="17"/>
        <v>0.155266929438</v>
      </c>
      <c r="P559">
        <v>100</v>
      </c>
      <c r="Q559">
        <v>3</v>
      </c>
      <c r="R559">
        <v>2.5</v>
      </c>
      <c r="S559">
        <v>3</v>
      </c>
      <c r="T559">
        <v>4</v>
      </c>
      <c r="U559">
        <v>2</v>
      </c>
      <c r="V559" t="s">
        <v>25</v>
      </c>
    </row>
    <row r="560" spans="1:22" hidden="1" x14ac:dyDescent="0.25">
      <c r="A560" t="s">
        <v>86</v>
      </c>
      <c r="B560">
        <v>3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32</v>
      </c>
      <c r="K560">
        <v>2569</v>
      </c>
      <c r="L560">
        <v>13.73</v>
      </c>
      <c r="M560">
        <v>7.6</v>
      </c>
      <c r="N560" s="4">
        <f t="shared" si="16"/>
        <v>1.4798262650000003E-2</v>
      </c>
      <c r="O560" s="4">
        <f t="shared" si="17"/>
        <v>0.11246679614000002</v>
      </c>
      <c r="P560">
        <v>75</v>
      </c>
      <c r="Q560">
        <v>2.5</v>
      </c>
      <c r="R560">
        <v>2</v>
      </c>
      <c r="S560">
        <v>3</v>
      </c>
      <c r="T560">
        <v>3</v>
      </c>
      <c r="U560">
        <v>3</v>
      </c>
      <c r="V560" t="s">
        <v>38</v>
      </c>
    </row>
    <row r="561" spans="1:22" hidden="1" x14ac:dyDescent="0.25">
      <c r="A561" t="s">
        <v>86</v>
      </c>
      <c r="B561">
        <v>3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32</v>
      </c>
      <c r="K561">
        <v>2634</v>
      </c>
      <c r="L561">
        <v>16.3</v>
      </c>
      <c r="M561">
        <v>7.84</v>
      </c>
      <c r="N561" s="4">
        <f t="shared" si="16"/>
        <v>2.0856665000000003E-2</v>
      </c>
      <c r="O561" s="4">
        <f t="shared" si="17"/>
        <v>0.16351625360000002</v>
      </c>
      <c r="P561">
        <v>100</v>
      </c>
      <c r="Q561">
        <v>3</v>
      </c>
      <c r="R561">
        <v>3</v>
      </c>
      <c r="S561">
        <v>3</v>
      </c>
      <c r="T561">
        <v>3</v>
      </c>
      <c r="U561">
        <v>3</v>
      </c>
      <c r="V561" t="s">
        <v>38</v>
      </c>
    </row>
    <row r="562" spans="1:22" hidden="1" x14ac:dyDescent="0.25">
      <c r="A562" t="s">
        <v>86</v>
      </c>
      <c r="B562">
        <v>3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32</v>
      </c>
      <c r="K562">
        <v>2635</v>
      </c>
      <c r="L562">
        <v>13.73</v>
      </c>
      <c r="M562">
        <v>8.58</v>
      </c>
      <c r="N562" s="4">
        <f t="shared" si="16"/>
        <v>1.4798262650000003E-2</v>
      </c>
      <c r="O562" s="4">
        <f t="shared" si="17"/>
        <v>0.12696909353700003</v>
      </c>
      <c r="P562">
        <v>75</v>
      </c>
      <c r="Q562">
        <v>3</v>
      </c>
      <c r="R562">
        <v>3</v>
      </c>
      <c r="S562">
        <v>3</v>
      </c>
      <c r="T562">
        <v>3</v>
      </c>
      <c r="U562">
        <v>3</v>
      </c>
      <c r="V562" t="s">
        <v>38</v>
      </c>
    </row>
    <row r="563" spans="1:22" hidden="1" x14ac:dyDescent="0.25">
      <c r="A563" t="s">
        <v>86</v>
      </c>
      <c r="B563">
        <v>3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34</v>
      </c>
      <c r="K563">
        <v>2570</v>
      </c>
      <c r="L563">
        <v>16.93</v>
      </c>
      <c r="M563">
        <v>8.1</v>
      </c>
      <c r="N563" s="4">
        <f t="shared" si="16"/>
        <v>2.2500054650000004E-2</v>
      </c>
      <c r="O563" s="4">
        <f t="shared" si="17"/>
        <v>0.18225044266500001</v>
      </c>
      <c r="P563">
        <v>75</v>
      </c>
      <c r="Q563">
        <v>2.5</v>
      </c>
      <c r="R563">
        <v>2</v>
      </c>
      <c r="S563">
        <v>2.5</v>
      </c>
      <c r="T563">
        <v>2.5</v>
      </c>
      <c r="U563">
        <v>2</v>
      </c>
      <c r="V563" t="s">
        <v>38</v>
      </c>
    </row>
    <row r="564" spans="1:22" hidden="1" x14ac:dyDescent="0.25">
      <c r="A564" t="s">
        <v>86</v>
      </c>
      <c r="B564">
        <v>3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35</v>
      </c>
      <c r="K564">
        <v>1788</v>
      </c>
      <c r="L564">
        <v>2.68</v>
      </c>
      <c r="M564">
        <v>2.33</v>
      </c>
      <c r="N564" s="4">
        <f t="shared" si="16"/>
        <v>5.6381840000000014E-4</v>
      </c>
      <c r="O564" s="4">
        <f t="shared" si="17"/>
        <v>1.3136968720000005E-3</v>
      </c>
      <c r="P564">
        <v>75</v>
      </c>
      <c r="Q564">
        <v>1</v>
      </c>
      <c r="R564">
        <v>1.5</v>
      </c>
      <c r="S564">
        <v>2</v>
      </c>
      <c r="T564">
        <v>2</v>
      </c>
      <c r="U564">
        <v>2</v>
      </c>
      <c r="V564" t="s">
        <v>50</v>
      </c>
    </row>
    <row r="565" spans="1:22" hidden="1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35</v>
      </c>
      <c r="K565">
        <v>1259</v>
      </c>
      <c r="L565">
        <v>11.66</v>
      </c>
      <c r="M565">
        <v>6.18</v>
      </c>
      <c r="N565" s="4">
        <f t="shared" si="16"/>
        <v>1.06725146E-2</v>
      </c>
      <c r="O565" s="4">
        <f t="shared" si="17"/>
        <v>6.5956140228000004E-2</v>
      </c>
      <c r="P565">
        <v>75</v>
      </c>
      <c r="Q565">
        <v>3</v>
      </c>
      <c r="R565">
        <v>2</v>
      </c>
      <c r="S565">
        <v>3</v>
      </c>
      <c r="T565">
        <v>3</v>
      </c>
      <c r="U565">
        <v>3</v>
      </c>
      <c r="V565" t="s">
        <v>38</v>
      </c>
    </row>
    <row r="566" spans="1:22" hidden="1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35</v>
      </c>
      <c r="K566">
        <v>1785</v>
      </c>
      <c r="L566">
        <v>3.03</v>
      </c>
      <c r="M566">
        <v>1.75</v>
      </c>
      <c r="N566" s="4">
        <f t="shared" si="16"/>
        <v>7.207006499999998E-4</v>
      </c>
      <c r="O566" s="4">
        <f t="shared" si="17"/>
        <v>1.2612261374999997E-3</v>
      </c>
      <c r="P566">
        <v>75</v>
      </c>
      <c r="Q566">
        <v>1</v>
      </c>
      <c r="R566">
        <v>2</v>
      </c>
      <c r="S566">
        <v>2</v>
      </c>
      <c r="T566">
        <v>2</v>
      </c>
      <c r="U566">
        <v>2</v>
      </c>
      <c r="V566" t="s">
        <v>50</v>
      </c>
    </row>
    <row r="567" spans="1:22" hidden="1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35</v>
      </c>
      <c r="K567">
        <v>2571</v>
      </c>
      <c r="L567">
        <v>6.41</v>
      </c>
      <c r="M567">
        <v>3.26</v>
      </c>
      <c r="N567" s="4">
        <f t="shared" si="16"/>
        <v>3.2254158500000006E-3</v>
      </c>
      <c r="O567" s="4">
        <f t="shared" si="17"/>
        <v>1.0514855671000002E-2</v>
      </c>
      <c r="P567">
        <v>75</v>
      </c>
      <c r="Q567">
        <v>2</v>
      </c>
      <c r="R567">
        <v>2</v>
      </c>
      <c r="S567">
        <v>2</v>
      </c>
      <c r="T567">
        <v>2</v>
      </c>
      <c r="U567">
        <v>2</v>
      </c>
      <c r="V567" t="s">
        <v>30</v>
      </c>
    </row>
    <row r="568" spans="1:22" hidden="1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36</v>
      </c>
      <c r="K568">
        <v>2573</v>
      </c>
      <c r="L568">
        <v>10.78</v>
      </c>
      <c r="M568">
        <v>6.62</v>
      </c>
      <c r="N568" s="4">
        <f t="shared" si="16"/>
        <v>9.1223593999999984E-3</v>
      </c>
      <c r="O568" s="4">
        <f t="shared" si="17"/>
        <v>6.039001922799999E-2</v>
      </c>
      <c r="P568">
        <v>100</v>
      </c>
      <c r="Q568">
        <v>2.5</v>
      </c>
      <c r="R568">
        <v>4</v>
      </c>
      <c r="S568">
        <v>3</v>
      </c>
      <c r="T568">
        <v>3</v>
      </c>
      <c r="U568">
        <v>2</v>
      </c>
      <c r="V568" t="s">
        <v>38</v>
      </c>
    </row>
    <row r="569" spans="1:22" hidden="1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62</v>
      </c>
      <c r="K569">
        <v>2550</v>
      </c>
      <c r="L569">
        <v>14.59</v>
      </c>
      <c r="M569">
        <v>8.68</v>
      </c>
      <c r="N569" s="4">
        <f t="shared" si="16"/>
        <v>1.671014585E-2</v>
      </c>
      <c r="O569" s="4">
        <f t="shared" si="17"/>
        <v>0.14504406597799999</v>
      </c>
      <c r="P569">
        <v>100</v>
      </c>
      <c r="Q569">
        <v>3</v>
      </c>
      <c r="R569">
        <v>2</v>
      </c>
      <c r="S569">
        <v>4</v>
      </c>
      <c r="T569">
        <v>3</v>
      </c>
      <c r="U569">
        <v>3</v>
      </c>
      <c r="V569" t="s">
        <v>38</v>
      </c>
    </row>
    <row r="570" spans="1:22" hidden="1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62</v>
      </c>
      <c r="K570">
        <v>1352</v>
      </c>
      <c r="L570">
        <v>17.95</v>
      </c>
      <c r="M570">
        <v>13.09</v>
      </c>
      <c r="N570" s="4">
        <f t="shared" si="16"/>
        <v>2.5292896249999999E-2</v>
      </c>
      <c r="O570" s="4">
        <f t="shared" si="17"/>
        <v>0.33108401191249998</v>
      </c>
      <c r="P570">
        <v>75</v>
      </c>
      <c r="Q570">
        <v>4</v>
      </c>
      <c r="R570">
        <v>3</v>
      </c>
      <c r="S570">
        <v>4</v>
      </c>
      <c r="T570">
        <v>3.5</v>
      </c>
      <c r="U570">
        <v>3</v>
      </c>
      <c r="V570" t="s">
        <v>25</v>
      </c>
    </row>
    <row r="571" spans="1:22" hidden="1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62</v>
      </c>
      <c r="K571">
        <v>2432</v>
      </c>
      <c r="L571">
        <v>18.87</v>
      </c>
      <c r="M571">
        <v>14.24</v>
      </c>
      <c r="N571" s="4">
        <f t="shared" si="16"/>
        <v>2.7952036650000005E-2</v>
      </c>
      <c r="O571" s="4">
        <f t="shared" si="17"/>
        <v>0.39803700189600005</v>
      </c>
      <c r="P571">
        <v>75</v>
      </c>
      <c r="Q571">
        <v>5</v>
      </c>
      <c r="R571">
        <v>3</v>
      </c>
      <c r="S571">
        <v>5</v>
      </c>
      <c r="T571">
        <v>4</v>
      </c>
      <c r="U571">
        <v>4.5</v>
      </c>
      <c r="V571" t="s">
        <v>27</v>
      </c>
    </row>
    <row r="572" spans="1:22" hidden="1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62</v>
      </c>
      <c r="K572">
        <v>2553</v>
      </c>
      <c r="L572">
        <v>17.72</v>
      </c>
      <c r="M572">
        <v>11.93</v>
      </c>
      <c r="N572" s="4">
        <f t="shared" si="16"/>
        <v>2.46488744E-2</v>
      </c>
      <c r="O572" s="4">
        <f t="shared" si="17"/>
        <v>0.29406107159200001</v>
      </c>
      <c r="P572">
        <v>75</v>
      </c>
      <c r="Q572">
        <v>4</v>
      </c>
      <c r="R572">
        <v>3</v>
      </c>
      <c r="S572">
        <v>5</v>
      </c>
      <c r="T572">
        <v>4</v>
      </c>
      <c r="U572">
        <v>4</v>
      </c>
      <c r="V572" t="s">
        <v>27</v>
      </c>
    </row>
    <row r="573" spans="1:22" hidden="1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62</v>
      </c>
      <c r="K573">
        <v>2574</v>
      </c>
      <c r="L573">
        <v>13.55</v>
      </c>
      <c r="M573">
        <v>9.26</v>
      </c>
      <c r="N573" s="4">
        <f t="shared" si="16"/>
        <v>1.4412796250000002E-2</v>
      </c>
      <c r="O573" s="4">
        <f t="shared" si="17"/>
        <v>0.13346249327500001</v>
      </c>
      <c r="P573">
        <v>75</v>
      </c>
      <c r="Q573">
        <v>3</v>
      </c>
      <c r="R573">
        <v>3</v>
      </c>
      <c r="S573">
        <v>4</v>
      </c>
      <c r="T573">
        <v>4</v>
      </c>
      <c r="U573">
        <v>3.5</v>
      </c>
      <c r="V573" t="s">
        <v>25</v>
      </c>
    </row>
    <row r="574" spans="1:22" hidden="1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37</v>
      </c>
      <c r="K574">
        <v>2575</v>
      </c>
      <c r="L574">
        <v>9.6300000000000008</v>
      </c>
      <c r="M574">
        <v>5.1100000000000003</v>
      </c>
      <c r="N574" s="4">
        <f t="shared" si="16"/>
        <v>7.2798466500000021E-3</v>
      </c>
      <c r="O574" s="4">
        <f t="shared" si="17"/>
        <v>3.7200016381500015E-2</v>
      </c>
      <c r="P574">
        <v>50</v>
      </c>
      <c r="Q574">
        <v>1</v>
      </c>
      <c r="R574">
        <v>0.5</v>
      </c>
      <c r="S574">
        <v>2</v>
      </c>
      <c r="T574">
        <v>2</v>
      </c>
      <c r="U574">
        <v>2</v>
      </c>
      <c r="V574" t="s">
        <v>50</v>
      </c>
    </row>
    <row r="575" spans="1:22" hidden="1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63</v>
      </c>
      <c r="K575">
        <v>1340</v>
      </c>
      <c r="L575">
        <v>2.63</v>
      </c>
      <c r="M575">
        <v>2.39</v>
      </c>
      <c r="N575" s="4">
        <f t="shared" si="16"/>
        <v>5.4297665000000003E-4</v>
      </c>
      <c r="O575" s="4">
        <f t="shared" si="17"/>
        <v>1.2977141935E-3</v>
      </c>
      <c r="P575">
        <v>50</v>
      </c>
      <c r="Q575">
        <v>1</v>
      </c>
      <c r="R575">
        <v>1.5</v>
      </c>
      <c r="S575">
        <v>1</v>
      </c>
      <c r="T575">
        <v>2</v>
      </c>
      <c r="U575">
        <v>2</v>
      </c>
      <c r="V575" t="s">
        <v>50</v>
      </c>
    </row>
    <row r="576" spans="1:22" hidden="1" x14ac:dyDescent="0.25">
      <c r="A576" t="s">
        <v>89</v>
      </c>
      <c r="B576">
        <v>1</v>
      </c>
      <c r="C576" t="s">
        <v>90</v>
      </c>
      <c r="D576" t="s">
        <v>91</v>
      </c>
      <c r="E576" t="s">
        <v>92</v>
      </c>
      <c r="F576">
        <v>150</v>
      </c>
      <c r="G576">
        <v>1300</v>
      </c>
      <c r="H576">
        <v>-2</v>
      </c>
      <c r="I576">
        <v>1983</v>
      </c>
      <c r="J576" t="s">
        <v>76</v>
      </c>
      <c r="K576">
        <v>1592</v>
      </c>
      <c r="L576">
        <v>43.29</v>
      </c>
      <c r="M576">
        <v>17.2</v>
      </c>
      <c r="N576" s="4">
        <f t="shared" si="16"/>
        <v>0.14711089185000001</v>
      </c>
      <c r="O576" s="4">
        <f t="shared" si="17"/>
        <v>2.5303073398200002</v>
      </c>
      <c r="P576">
        <v>20</v>
      </c>
      <c r="Q576">
        <v>4.5</v>
      </c>
      <c r="R576">
        <v>4.5</v>
      </c>
      <c r="S576">
        <v>3.7</v>
      </c>
      <c r="T576">
        <v>4</v>
      </c>
      <c r="U576">
        <v>3</v>
      </c>
      <c r="V576" t="s">
        <v>27</v>
      </c>
    </row>
    <row r="577" spans="1:22" hidden="1" x14ac:dyDescent="0.25">
      <c r="A577" t="s">
        <v>89</v>
      </c>
      <c r="B577">
        <v>1</v>
      </c>
      <c r="C577" t="s">
        <v>90</v>
      </c>
      <c r="D577" t="s">
        <v>91</v>
      </c>
      <c r="E577" t="s">
        <v>92</v>
      </c>
      <c r="F577">
        <v>150</v>
      </c>
      <c r="G577">
        <v>1300</v>
      </c>
      <c r="H577">
        <v>-2</v>
      </c>
      <c r="I577">
        <v>1983</v>
      </c>
      <c r="J577" t="s">
        <v>76</v>
      </c>
      <c r="K577">
        <v>2560</v>
      </c>
      <c r="L577">
        <v>24.94</v>
      </c>
      <c r="M577">
        <v>14.33</v>
      </c>
      <c r="N577" s="4">
        <f t="shared" si="16"/>
        <v>4.8827282600000008E-2</v>
      </c>
      <c r="O577" s="4">
        <f t="shared" si="17"/>
        <v>0.6996949596580001</v>
      </c>
      <c r="P577">
        <v>10</v>
      </c>
      <c r="Q577">
        <v>3</v>
      </c>
      <c r="R577">
        <v>4</v>
      </c>
      <c r="S577">
        <v>3.5</v>
      </c>
      <c r="T577">
        <v>4</v>
      </c>
      <c r="U577">
        <v>3</v>
      </c>
      <c r="V577" t="s">
        <v>25</v>
      </c>
    </row>
    <row r="578" spans="1:22" hidden="1" x14ac:dyDescent="0.25">
      <c r="A578" t="s">
        <v>89</v>
      </c>
      <c r="B578">
        <v>1</v>
      </c>
      <c r="C578" t="s">
        <v>90</v>
      </c>
      <c r="D578" t="s">
        <v>91</v>
      </c>
      <c r="E578" t="s">
        <v>92</v>
      </c>
      <c r="F578">
        <v>150</v>
      </c>
      <c r="G578">
        <v>1300</v>
      </c>
      <c r="H578">
        <v>-2</v>
      </c>
      <c r="I578">
        <v>1983</v>
      </c>
      <c r="J578" t="s">
        <v>24</v>
      </c>
      <c r="K578">
        <v>2562</v>
      </c>
      <c r="L578">
        <v>29.22</v>
      </c>
      <c r="M578">
        <v>13.58</v>
      </c>
      <c r="N578" s="4">
        <f t="shared" si="16"/>
        <v>6.7023959400000013E-2</v>
      </c>
      <c r="O578" s="4">
        <f t="shared" si="17"/>
        <v>0.91018536865200017</v>
      </c>
      <c r="P578">
        <v>30</v>
      </c>
      <c r="Q578">
        <v>3.6</v>
      </c>
      <c r="R578">
        <v>3.8</v>
      </c>
      <c r="S578">
        <v>3.5</v>
      </c>
      <c r="T578">
        <v>3.9</v>
      </c>
      <c r="U578">
        <v>3.7</v>
      </c>
      <c r="V578" t="s">
        <v>25</v>
      </c>
    </row>
    <row r="579" spans="1:22" hidden="1" x14ac:dyDescent="0.25">
      <c r="A579" t="s">
        <v>89</v>
      </c>
      <c r="B579">
        <v>1</v>
      </c>
      <c r="C579" t="s">
        <v>90</v>
      </c>
      <c r="D579" t="s">
        <v>91</v>
      </c>
      <c r="E579" t="s">
        <v>92</v>
      </c>
      <c r="F579">
        <v>150</v>
      </c>
      <c r="G579">
        <v>1300</v>
      </c>
      <c r="H579">
        <v>-2</v>
      </c>
      <c r="I579">
        <v>1983</v>
      </c>
      <c r="J579" t="s">
        <v>80</v>
      </c>
      <c r="K579">
        <v>1252</v>
      </c>
      <c r="L579">
        <v>26.59</v>
      </c>
      <c r="M579">
        <v>10.8</v>
      </c>
      <c r="N579" s="4">
        <f t="shared" ref="N579:N642" si="18">3.14/4*((L579/100)^2)</f>
        <v>5.550170585000002E-2</v>
      </c>
      <c r="O579" s="4">
        <f t="shared" ref="O579:O642" si="19">3.14/4*((L579/100)^2)*M579</f>
        <v>0.59941842318000027</v>
      </c>
      <c r="P579">
        <v>40</v>
      </c>
      <c r="Q579">
        <v>3.6</v>
      </c>
      <c r="R579">
        <v>3.8</v>
      </c>
      <c r="S579">
        <v>2.6</v>
      </c>
      <c r="T579">
        <v>2.6</v>
      </c>
      <c r="U579">
        <v>2.5</v>
      </c>
      <c r="V579" t="s">
        <v>25</v>
      </c>
    </row>
    <row r="580" spans="1:22" hidden="1" x14ac:dyDescent="0.25">
      <c r="A580" t="s">
        <v>89</v>
      </c>
      <c r="B580">
        <v>1</v>
      </c>
      <c r="C580" t="s">
        <v>90</v>
      </c>
      <c r="D580" t="s">
        <v>91</v>
      </c>
      <c r="E580" t="s">
        <v>92</v>
      </c>
      <c r="F580">
        <v>150</v>
      </c>
      <c r="G580">
        <v>1300</v>
      </c>
      <c r="H580">
        <v>-2</v>
      </c>
      <c r="I580">
        <v>1983</v>
      </c>
      <c r="J580" t="s">
        <v>59</v>
      </c>
      <c r="K580">
        <v>2548</v>
      </c>
      <c r="L580">
        <v>35.54</v>
      </c>
      <c r="M580">
        <v>13.02</v>
      </c>
      <c r="N580" s="4">
        <f t="shared" si="18"/>
        <v>9.915269060000001E-2</v>
      </c>
      <c r="O580" s="4">
        <f t="shared" si="19"/>
        <v>1.290968031612</v>
      </c>
      <c r="P580">
        <v>20</v>
      </c>
      <c r="Q580">
        <v>3.2</v>
      </c>
      <c r="R580">
        <v>3.5</v>
      </c>
      <c r="S580">
        <v>2.5</v>
      </c>
      <c r="T580">
        <v>2.5</v>
      </c>
      <c r="U580">
        <v>2.2999999999999998</v>
      </c>
      <c r="V580" t="s">
        <v>25</v>
      </c>
    </row>
    <row r="581" spans="1:22" hidden="1" x14ac:dyDescent="0.25">
      <c r="A581" t="s">
        <v>89</v>
      </c>
      <c r="B581">
        <v>1</v>
      </c>
      <c r="C581" t="s">
        <v>90</v>
      </c>
      <c r="D581" t="s">
        <v>91</v>
      </c>
      <c r="E581" t="s">
        <v>92</v>
      </c>
      <c r="F581">
        <v>150</v>
      </c>
      <c r="G581">
        <v>1300</v>
      </c>
      <c r="H581">
        <v>-2</v>
      </c>
      <c r="I581">
        <v>1983</v>
      </c>
      <c r="J581" t="s">
        <v>59</v>
      </c>
      <c r="K581">
        <v>1482</v>
      </c>
      <c r="L581">
        <v>38.15</v>
      </c>
      <c r="M581">
        <v>16.850000000000001</v>
      </c>
      <c r="N581" s="4">
        <f t="shared" si="18"/>
        <v>0.11425066625000001</v>
      </c>
      <c r="O581" s="4">
        <f t="shared" si="19"/>
        <v>1.9251237263125003</v>
      </c>
      <c r="P581">
        <v>10</v>
      </c>
      <c r="Q581">
        <v>3.5</v>
      </c>
      <c r="R581">
        <v>4</v>
      </c>
      <c r="S581">
        <v>3.3</v>
      </c>
      <c r="T581">
        <v>4</v>
      </c>
      <c r="U581">
        <v>3.5</v>
      </c>
      <c r="V581" t="s">
        <v>27</v>
      </c>
    </row>
    <row r="582" spans="1:22" hidden="1" x14ac:dyDescent="0.25">
      <c r="A582" t="s">
        <v>89</v>
      </c>
      <c r="B582">
        <v>1</v>
      </c>
      <c r="C582" t="s">
        <v>90</v>
      </c>
      <c r="D582" t="s">
        <v>91</v>
      </c>
      <c r="E582" t="s">
        <v>92</v>
      </c>
      <c r="F582">
        <v>150</v>
      </c>
      <c r="G582">
        <v>1300</v>
      </c>
      <c r="H582">
        <v>-2</v>
      </c>
      <c r="I582">
        <v>1983</v>
      </c>
      <c r="J582" t="s">
        <v>26</v>
      </c>
      <c r="K582">
        <v>2552</v>
      </c>
      <c r="L582">
        <v>33.89</v>
      </c>
      <c r="M582">
        <v>14.24</v>
      </c>
      <c r="N582" s="4">
        <f t="shared" si="18"/>
        <v>9.0159769849999988E-2</v>
      </c>
      <c r="O582" s="4">
        <f t="shared" si="19"/>
        <v>1.2838751226639999</v>
      </c>
      <c r="P582">
        <v>20</v>
      </c>
      <c r="Q582">
        <v>3.1</v>
      </c>
      <c r="R582">
        <v>3.5</v>
      </c>
      <c r="S582">
        <v>3.2</v>
      </c>
      <c r="T582">
        <v>3.8</v>
      </c>
      <c r="U582">
        <v>2.5</v>
      </c>
      <c r="V582" t="s">
        <v>25</v>
      </c>
    </row>
    <row r="583" spans="1:22" hidden="1" x14ac:dyDescent="0.25">
      <c r="A583" t="s">
        <v>89</v>
      </c>
      <c r="B583">
        <v>1</v>
      </c>
      <c r="C583" t="s">
        <v>90</v>
      </c>
      <c r="D583" t="s">
        <v>91</v>
      </c>
      <c r="E583" t="s">
        <v>92</v>
      </c>
      <c r="F583">
        <v>150</v>
      </c>
      <c r="G583">
        <v>1300</v>
      </c>
      <c r="H583">
        <v>-2</v>
      </c>
      <c r="I583">
        <v>1983</v>
      </c>
      <c r="J583" t="s">
        <v>33</v>
      </c>
      <c r="K583">
        <v>2547</v>
      </c>
      <c r="L583">
        <v>37.49</v>
      </c>
      <c r="M583">
        <v>17.45</v>
      </c>
      <c r="N583" s="4">
        <f t="shared" si="18"/>
        <v>0.11033175785</v>
      </c>
      <c r="O583" s="4">
        <f t="shared" si="19"/>
        <v>1.9252891744825</v>
      </c>
      <c r="P583">
        <v>40</v>
      </c>
      <c r="Q583">
        <v>4.5</v>
      </c>
      <c r="R583">
        <v>2.6</v>
      </c>
      <c r="S583">
        <v>3.6</v>
      </c>
      <c r="T583">
        <v>2.9</v>
      </c>
      <c r="U583">
        <v>2.2999999999999998</v>
      </c>
      <c r="V583" t="s">
        <v>25</v>
      </c>
    </row>
    <row r="584" spans="1:22" hidden="1" x14ac:dyDescent="0.25">
      <c r="A584" t="s">
        <v>89</v>
      </c>
      <c r="B584">
        <v>1</v>
      </c>
      <c r="C584" t="s">
        <v>90</v>
      </c>
      <c r="D584" t="s">
        <v>91</v>
      </c>
      <c r="E584" t="s">
        <v>92</v>
      </c>
      <c r="F584">
        <v>150</v>
      </c>
      <c r="G584">
        <v>1300</v>
      </c>
      <c r="H584">
        <v>-2</v>
      </c>
      <c r="I584">
        <v>1983</v>
      </c>
      <c r="J584" t="s">
        <v>33</v>
      </c>
      <c r="K584">
        <v>2568</v>
      </c>
      <c r="L584">
        <v>31.63</v>
      </c>
      <c r="M584">
        <v>13.91</v>
      </c>
      <c r="N584" s="4">
        <f t="shared" si="18"/>
        <v>7.853586664999998E-2</v>
      </c>
      <c r="O584" s="4">
        <f t="shared" si="19"/>
        <v>1.0924339051014997</v>
      </c>
      <c r="P584">
        <v>60</v>
      </c>
      <c r="Q584">
        <v>3.6</v>
      </c>
      <c r="R584">
        <v>2.6</v>
      </c>
      <c r="S584">
        <v>3.6</v>
      </c>
      <c r="T584">
        <v>3.3</v>
      </c>
      <c r="U584">
        <v>2.8</v>
      </c>
      <c r="V584" t="s">
        <v>25</v>
      </c>
    </row>
    <row r="585" spans="1:22" hidden="1" x14ac:dyDescent="0.25">
      <c r="A585" t="s">
        <v>89</v>
      </c>
      <c r="B585">
        <v>1</v>
      </c>
      <c r="C585" t="s">
        <v>90</v>
      </c>
      <c r="D585" t="s">
        <v>91</v>
      </c>
      <c r="E585" t="s">
        <v>92</v>
      </c>
      <c r="F585">
        <v>150</v>
      </c>
      <c r="G585">
        <v>1300</v>
      </c>
      <c r="H585">
        <v>-2</v>
      </c>
      <c r="I585">
        <v>1983</v>
      </c>
      <c r="J585" t="s">
        <v>32</v>
      </c>
      <c r="K585">
        <v>1596</v>
      </c>
      <c r="L585">
        <v>20.11</v>
      </c>
      <c r="M585">
        <v>13.55</v>
      </c>
      <c r="N585" s="4">
        <f t="shared" si="18"/>
        <v>3.1746349850000001E-2</v>
      </c>
      <c r="O585" s="4">
        <f t="shared" si="19"/>
        <v>0.43016304046750004</v>
      </c>
      <c r="P585">
        <v>20</v>
      </c>
      <c r="Q585">
        <v>3</v>
      </c>
      <c r="R585">
        <v>4</v>
      </c>
      <c r="S585">
        <v>4</v>
      </c>
      <c r="T585">
        <v>4</v>
      </c>
      <c r="U585">
        <v>4</v>
      </c>
      <c r="V585" t="s">
        <v>38</v>
      </c>
    </row>
    <row r="586" spans="1:22" hidden="1" x14ac:dyDescent="0.25">
      <c r="A586" t="s">
        <v>89</v>
      </c>
      <c r="B586">
        <v>1</v>
      </c>
      <c r="C586" t="s">
        <v>90</v>
      </c>
      <c r="D586" t="s">
        <v>91</v>
      </c>
      <c r="E586" t="s">
        <v>92</v>
      </c>
      <c r="F586">
        <v>150</v>
      </c>
      <c r="G586">
        <v>1300</v>
      </c>
      <c r="H586">
        <v>-2</v>
      </c>
      <c r="I586">
        <v>1983</v>
      </c>
      <c r="J586" t="s">
        <v>32</v>
      </c>
      <c r="K586">
        <v>2569</v>
      </c>
      <c r="L586">
        <v>22.15</v>
      </c>
      <c r="M586">
        <v>14.57</v>
      </c>
      <c r="N586" s="4">
        <f t="shared" si="18"/>
        <v>3.8513866249999994E-2</v>
      </c>
      <c r="O586" s="4">
        <f t="shared" si="19"/>
        <v>0.56114703126249987</v>
      </c>
      <c r="P586">
        <v>20</v>
      </c>
      <c r="Q586">
        <v>3</v>
      </c>
      <c r="R586">
        <v>4</v>
      </c>
      <c r="S586">
        <v>3</v>
      </c>
      <c r="T586">
        <v>3.4</v>
      </c>
      <c r="U586">
        <v>3</v>
      </c>
      <c r="V586" t="s">
        <v>25</v>
      </c>
    </row>
    <row r="587" spans="1:22" hidden="1" x14ac:dyDescent="0.25">
      <c r="A587" t="s">
        <v>89</v>
      </c>
      <c r="B587">
        <v>1</v>
      </c>
      <c r="C587" t="s">
        <v>90</v>
      </c>
      <c r="D587" t="s">
        <v>91</v>
      </c>
      <c r="E587" t="s">
        <v>92</v>
      </c>
      <c r="F587">
        <v>150</v>
      </c>
      <c r="G587">
        <v>1300</v>
      </c>
      <c r="H587">
        <v>-2</v>
      </c>
      <c r="I587">
        <v>1983</v>
      </c>
      <c r="J587" t="s">
        <v>32</v>
      </c>
      <c r="K587">
        <v>2634</v>
      </c>
      <c r="L587">
        <v>40.520000000000003</v>
      </c>
      <c r="M587">
        <v>18.95</v>
      </c>
      <c r="N587" s="4">
        <f t="shared" si="18"/>
        <v>0.12888682640000002</v>
      </c>
      <c r="O587" s="4">
        <f t="shared" si="19"/>
        <v>2.44240536028</v>
      </c>
      <c r="P587">
        <v>10</v>
      </c>
      <c r="Q587">
        <v>4.5</v>
      </c>
      <c r="R587">
        <v>4.5</v>
      </c>
      <c r="S587">
        <v>3</v>
      </c>
      <c r="T587">
        <v>4</v>
      </c>
      <c r="U587">
        <v>2</v>
      </c>
      <c r="V587" t="s">
        <v>25</v>
      </c>
    </row>
    <row r="588" spans="1:22" hidden="1" x14ac:dyDescent="0.25">
      <c r="A588" t="s">
        <v>89</v>
      </c>
      <c r="B588">
        <v>1</v>
      </c>
      <c r="C588" t="s">
        <v>90</v>
      </c>
      <c r="D588" t="s">
        <v>91</v>
      </c>
      <c r="E588" t="s">
        <v>92</v>
      </c>
      <c r="F588">
        <v>150</v>
      </c>
      <c r="G588">
        <v>1300</v>
      </c>
      <c r="H588">
        <v>-2</v>
      </c>
      <c r="I588">
        <v>1983</v>
      </c>
      <c r="J588" t="s">
        <v>32</v>
      </c>
      <c r="K588">
        <v>2635</v>
      </c>
      <c r="L588">
        <v>20.399999999999999</v>
      </c>
      <c r="M588">
        <v>10.199999999999999</v>
      </c>
      <c r="N588" s="4">
        <f t="shared" si="18"/>
        <v>3.2668559999999999E-2</v>
      </c>
      <c r="O588" s="4">
        <f t="shared" si="19"/>
        <v>0.33321931199999999</v>
      </c>
      <c r="P588">
        <v>10</v>
      </c>
      <c r="Q588">
        <v>3.3</v>
      </c>
      <c r="R588">
        <v>4.5</v>
      </c>
      <c r="S588">
        <v>3.3</v>
      </c>
      <c r="T588">
        <v>4</v>
      </c>
      <c r="U588">
        <v>3.5</v>
      </c>
      <c r="V588" t="s">
        <v>25</v>
      </c>
    </row>
    <row r="589" spans="1:22" hidden="1" x14ac:dyDescent="0.25">
      <c r="A589" t="s">
        <v>89</v>
      </c>
      <c r="B589">
        <v>1</v>
      </c>
      <c r="C589" t="s">
        <v>90</v>
      </c>
      <c r="D589" t="s">
        <v>91</v>
      </c>
      <c r="E589" t="s">
        <v>92</v>
      </c>
      <c r="F589">
        <v>150</v>
      </c>
      <c r="G589">
        <v>1300</v>
      </c>
      <c r="H589">
        <v>-2</v>
      </c>
      <c r="I589">
        <v>1983</v>
      </c>
      <c r="J589" t="s">
        <v>34</v>
      </c>
      <c r="K589">
        <v>2570</v>
      </c>
      <c r="L589">
        <v>24.87</v>
      </c>
      <c r="M589">
        <v>11.66</v>
      </c>
      <c r="N589" s="4">
        <f t="shared" si="18"/>
        <v>4.8553576649999999E-2</v>
      </c>
      <c r="O589" s="4">
        <f t="shared" si="19"/>
        <v>0.56613470373899999</v>
      </c>
      <c r="P589">
        <v>40</v>
      </c>
      <c r="Q589">
        <v>3.3</v>
      </c>
      <c r="R589">
        <v>3.4</v>
      </c>
      <c r="S589">
        <v>3.5</v>
      </c>
      <c r="T589">
        <v>4.0999999999999996</v>
      </c>
      <c r="U589">
        <v>3.4</v>
      </c>
      <c r="V589" t="s">
        <v>25</v>
      </c>
    </row>
    <row r="590" spans="1:22" hidden="1" x14ac:dyDescent="0.25">
      <c r="A590" t="s">
        <v>89</v>
      </c>
      <c r="B590">
        <v>1</v>
      </c>
      <c r="C590" t="s">
        <v>90</v>
      </c>
      <c r="D590" t="s">
        <v>91</v>
      </c>
      <c r="E590" t="s">
        <v>92</v>
      </c>
      <c r="F590">
        <v>150</v>
      </c>
      <c r="G590">
        <v>1300</v>
      </c>
      <c r="H590">
        <v>-2</v>
      </c>
      <c r="I590">
        <v>1983</v>
      </c>
      <c r="J590" t="s">
        <v>34</v>
      </c>
      <c r="K590">
        <v>1522</v>
      </c>
      <c r="L590">
        <v>33.159999999999997</v>
      </c>
      <c r="M590">
        <v>14.75</v>
      </c>
      <c r="N590" s="4">
        <f t="shared" si="18"/>
        <v>8.6317469599999974E-2</v>
      </c>
      <c r="O590" s="4">
        <f t="shared" si="19"/>
        <v>1.2731826765999996</v>
      </c>
      <c r="P590">
        <v>40</v>
      </c>
      <c r="Q590">
        <v>3.7</v>
      </c>
      <c r="R590">
        <v>3.5</v>
      </c>
      <c r="S590">
        <v>3.6</v>
      </c>
      <c r="T590">
        <v>3.6</v>
      </c>
      <c r="U590">
        <v>2.9</v>
      </c>
      <c r="V590" t="s">
        <v>25</v>
      </c>
    </row>
    <row r="591" spans="1:22" hidden="1" x14ac:dyDescent="0.25">
      <c r="A591" t="s">
        <v>89</v>
      </c>
      <c r="B591">
        <v>1</v>
      </c>
      <c r="C591" t="s">
        <v>90</v>
      </c>
      <c r="D591" t="s">
        <v>91</v>
      </c>
      <c r="E591" t="s">
        <v>92</v>
      </c>
      <c r="F591">
        <v>150</v>
      </c>
      <c r="G591">
        <v>1300</v>
      </c>
      <c r="H591">
        <v>-2</v>
      </c>
      <c r="I591">
        <v>1983</v>
      </c>
      <c r="J591" t="s">
        <v>35</v>
      </c>
      <c r="K591">
        <v>1788</v>
      </c>
      <c r="L591">
        <v>31.05</v>
      </c>
      <c r="M591">
        <v>15.25</v>
      </c>
      <c r="N591" s="4">
        <f t="shared" si="18"/>
        <v>7.568204625000001E-2</v>
      </c>
      <c r="O591" s="4">
        <f t="shared" si="19"/>
        <v>1.1541512053125</v>
      </c>
      <c r="P591">
        <v>30</v>
      </c>
      <c r="Q591">
        <v>3.2</v>
      </c>
      <c r="R591">
        <v>1.8</v>
      </c>
      <c r="S591">
        <v>2.8</v>
      </c>
      <c r="T591">
        <v>3.5</v>
      </c>
      <c r="U591">
        <v>2.9</v>
      </c>
      <c r="V591" t="s">
        <v>38</v>
      </c>
    </row>
    <row r="592" spans="1:22" hidden="1" x14ac:dyDescent="0.25">
      <c r="A592" t="s">
        <v>89</v>
      </c>
      <c r="B592">
        <v>1</v>
      </c>
      <c r="C592" t="s">
        <v>90</v>
      </c>
      <c r="D592" t="s">
        <v>91</v>
      </c>
      <c r="E592" t="s">
        <v>92</v>
      </c>
      <c r="F592">
        <v>150</v>
      </c>
      <c r="G592">
        <v>1300</v>
      </c>
      <c r="H592">
        <v>-2</v>
      </c>
      <c r="I592">
        <v>1983</v>
      </c>
      <c r="J592" t="s">
        <v>35</v>
      </c>
      <c r="K592">
        <v>2571</v>
      </c>
      <c r="L592">
        <v>31.33</v>
      </c>
      <c r="M592">
        <v>15.67</v>
      </c>
      <c r="N592" s="4">
        <f t="shared" si="18"/>
        <v>7.7053158649999995E-2</v>
      </c>
      <c r="O592" s="4">
        <f t="shared" si="19"/>
        <v>1.2074229960454999</v>
      </c>
      <c r="P592">
        <v>30</v>
      </c>
      <c r="Q592">
        <v>4.0999999999999996</v>
      </c>
      <c r="R592">
        <v>2.2999999999999998</v>
      </c>
      <c r="S592">
        <v>3.4</v>
      </c>
      <c r="T592">
        <v>4</v>
      </c>
      <c r="U592">
        <v>3.1</v>
      </c>
      <c r="V592" t="s">
        <v>25</v>
      </c>
    </row>
    <row r="593" spans="1:22" hidden="1" x14ac:dyDescent="0.25">
      <c r="A593" t="s">
        <v>89</v>
      </c>
      <c r="B593">
        <v>1</v>
      </c>
      <c r="C593" t="s">
        <v>90</v>
      </c>
      <c r="D593" t="s">
        <v>91</v>
      </c>
      <c r="E593" t="s">
        <v>92</v>
      </c>
      <c r="F593">
        <v>150</v>
      </c>
      <c r="G593">
        <v>1300</v>
      </c>
      <c r="H593">
        <v>-2</v>
      </c>
      <c r="I593">
        <v>1983</v>
      </c>
      <c r="J593" t="s">
        <v>36</v>
      </c>
      <c r="K593">
        <v>2573</v>
      </c>
      <c r="L593">
        <v>32.97</v>
      </c>
      <c r="M593">
        <v>14.24</v>
      </c>
      <c r="N593" s="4">
        <f t="shared" si="18"/>
        <v>8.5331140649999998E-2</v>
      </c>
      <c r="O593" s="4">
        <f t="shared" si="19"/>
        <v>1.215115442856</v>
      </c>
      <c r="P593">
        <v>40</v>
      </c>
      <c r="Q593">
        <v>3.2</v>
      </c>
      <c r="R593">
        <v>4</v>
      </c>
      <c r="S593">
        <v>3.1</v>
      </c>
      <c r="T593">
        <v>3.3</v>
      </c>
      <c r="U593">
        <v>3</v>
      </c>
      <c r="V593" t="s">
        <v>25</v>
      </c>
    </row>
    <row r="594" spans="1:22" hidden="1" x14ac:dyDescent="0.25">
      <c r="A594" t="s">
        <v>89</v>
      </c>
      <c r="B594">
        <v>1</v>
      </c>
      <c r="C594" t="s">
        <v>90</v>
      </c>
      <c r="D594" t="s">
        <v>91</v>
      </c>
      <c r="E594" t="s">
        <v>92</v>
      </c>
      <c r="F594">
        <v>150</v>
      </c>
      <c r="G594">
        <v>1300</v>
      </c>
      <c r="H594">
        <v>-2</v>
      </c>
      <c r="I594">
        <v>1983</v>
      </c>
      <c r="J594" t="s">
        <v>62</v>
      </c>
      <c r="K594">
        <v>2550</v>
      </c>
      <c r="L594">
        <v>20.25</v>
      </c>
      <c r="M594">
        <v>10.66</v>
      </c>
      <c r="N594" s="4">
        <f t="shared" si="18"/>
        <v>3.2189906250000004E-2</v>
      </c>
      <c r="O594" s="4">
        <f t="shared" si="19"/>
        <v>0.34314440062500007</v>
      </c>
      <c r="P594">
        <v>30</v>
      </c>
      <c r="Q594">
        <v>2.7</v>
      </c>
      <c r="R594">
        <v>3</v>
      </c>
      <c r="S594">
        <v>4</v>
      </c>
      <c r="T594">
        <v>4.2</v>
      </c>
      <c r="U594">
        <v>3.7</v>
      </c>
      <c r="V594" t="s">
        <v>25</v>
      </c>
    </row>
    <row r="595" spans="1:22" hidden="1" x14ac:dyDescent="0.25">
      <c r="A595" t="s">
        <v>89</v>
      </c>
      <c r="B595">
        <v>1</v>
      </c>
      <c r="C595" t="s">
        <v>90</v>
      </c>
      <c r="D595" t="s">
        <v>91</v>
      </c>
      <c r="E595" t="s">
        <v>92</v>
      </c>
      <c r="F595">
        <v>150</v>
      </c>
      <c r="G595">
        <v>1300</v>
      </c>
      <c r="H595">
        <v>-2</v>
      </c>
      <c r="I595">
        <v>1983</v>
      </c>
      <c r="J595" t="s">
        <v>62</v>
      </c>
      <c r="K595">
        <v>2553</v>
      </c>
      <c r="L595">
        <v>27.44</v>
      </c>
      <c r="M595">
        <v>11.32</v>
      </c>
      <c r="N595" s="4">
        <f t="shared" si="18"/>
        <v>5.9106857600000021E-2</v>
      </c>
      <c r="O595" s="4">
        <f t="shared" si="19"/>
        <v>0.66908962803200023</v>
      </c>
      <c r="P595">
        <v>20</v>
      </c>
      <c r="Q595">
        <v>3.5</v>
      </c>
      <c r="R595">
        <v>3</v>
      </c>
      <c r="S595">
        <v>3.3</v>
      </c>
      <c r="T595">
        <v>4</v>
      </c>
      <c r="U595">
        <v>2.9</v>
      </c>
      <c r="V595" t="s">
        <v>27</v>
      </c>
    </row>
    <row r="596" spans="1:22" hidden="1" x14ac:dyDescent="0.25">
      <c r="A596" t="s">
        <v>89</v>
      </c>
      <c r="B596">
        <v>1</v>
      </c>
      <c r="C596" t="s">
        <v>90</v>
      </c>
      <c r="D596" t="s">
        <v>91</v>
      </c>
      <c r="E596" t="s">
        <v>92</v>
      </c>
      <c r="F596">
        <v>150</v>
      </c>
      <c r="G596">
        <v>1300</v>
      </c>
      <c r="H596">
        <v>-2</v>
      </c>
      <c r="I596">
        <v>1983</v>
      </c>
      <c r="J596" t="s">
        <v>37</v>
      </c>
      <c r="K596">
        <v>2575</v>
      </c>
      <c r="L596">
        <v>19.91</v>
      </c>
      <c r="M596">
        <v>6.77</v>
      </c>
      <c r="N596" s="4">
        <f t="shared" si="18"/>
        <v>3.111803585E-2</v>
      </c>
      <c r="O596" s="4">
        <f t="shared" si="19"/>
        <v>0.21066910270449998</v>
      </c>
      <c r="P596">
        <v>40</v>
      </c>
      <c r="Q596">
        <v>1.6</v>
      </c>
      <c r="R596">
        <v>1.8</v>
      </c>
      <c r="S596">
        <v>2.2999999999999998</v>
      </c>
      <c r="T596">
        <v>2.5</v>
      </c>
      <c r="U596">
        <v>2.2999999999999998</v>
      </c>
      <c r="V596" t="s">
        <v>30</v>
      </c>
    </row>
    <row r="597" spans="1:22" hidden="1" x14ac:dyDescent="0.25">
      <c r="A597" t="s">
        <v>89</v>
      </c>
      <c r="B597">
        <v>2</v>
      </c>
      <c r="C597" t="s">
        <v>90</v>
      </c>
      <c r="D597" t="s">
        <v>91</v>
      </c>
      <c r="E597" t="s">
        <v>92</v>
      </c>
      <c r="F597">
        <v>150</v>
      </c>
      <c r="G597">
        <v>1300</v>
      </c>
      <c r="H597">
        <v>-2</v>
      </c>
      <c r="I597">
        <v>1983</v>
      </c>
      <c r="J597" t="s">
        <v>76</v>
      </c>
      <c r="K597">
        <v>1592</v>
      </c>
      <c r="L597">
        <v>34.11</v>
      </c>
      <c r="M597">
        <v>16.48</v>
      </c>
      <c r="N597" s="4">
        <f t="shared" si="18"/>
        <v>9.1334129850000015E-2</v>
      </c>
      <c r="O597" s="4">
        <f t="shared" si="19"/>
        <v>1.5051864599280003</v>
      </c>
      <c r="P597">
        <v>20</v>
      </c>
      <c r="Q597">
        <v>3.5</v>
      </c>
      <c r="R597">
        <v>3.8</v>
      </c>
      <c r="S597">
        <v>3.2</v>
      </c>
      <c r="T597">
        <v>3.9</v>
      </c>
      <c r="U597">
        <v>2.5</v>
      </c>
      <c r="V597" t="s">
        <v>25</v>
      </c>
    </row>
    <row r="598" spans="1:22" hidden="1" x14ac:dyDescent="0.25">
      <c r="A598" t="s">
        <v>89</v>
      </c>
      <c r="B598">
        <v>2</v>
      </c>
      <c r="C598" t="s">
        <v>90</v>
      </c>
      <c r="D598" t="s">
        <v>91</v>
      </c>
      <c r="E598" t="s">
        <v>92</v>
      </c>
      <c r="F598">
        <v>150</v>
      </c>
      <c r="G598">
        <v>1300</v>
      </c>
      <c r="H598">
        <v>-2</v>
      </c>
      <c r="I598">
        <v>1983</v>
      </c>
      <c r="J598" t="s">
        <v>76</v>
      </c>
      <c r="K598">
        <v>2560</v>
      </c>
      <c r="L598">
        <v>35.83</v>
      </c>
      <c r="M598">
        <v>21.5</v>
      </c>
      <c r="N598" s="4">
        <f t="shared" si="18"/>
        <v>0.10077742865</v>
      </c>
      <c r="O598" s="4">
        <f t="shared" si="19"/>
        <v>2.166714715975</v>
      </c>
      <c r="P598">
        <v>10</v>
      </c>
      <c r="Q598">
        <v>3.3</v>
      </c>
      <c r="R598">
        <v>3.5</v>
      </c>
      <c r="S598">
        <v>4</v>
      </c>
      <c r="T598">
        <v>4.5</v>
      </c>
      <c r="U598">
        <v>3</v>
      </c>
      <c r="V598" t="s">
        <v>27</v>
      </c>
    </row>
    <row r="599" spans="1:22" hidden="1" x14ac:dyDescent="0.25">
      <c r="A599" t="s">
        <v>89</v>
      </c>
      <c r="B599">
        <v>2</v>
      </c>
      <c r="C599" t="s">
        <v>90</v>
      </c>
      <c r="D599" t="s">
        <v>91</v>
      </c>
      <c r="E599" t="s">
        <v>92</v>
      </c>
      <c r="F599">
        <v>150</v>
      </c>
      <c r="G599">
        <v>1300</v>
      </c>
      <c r="H599">
        <v>-2</v>
      </c>
      <c r="I599">
        <v>1983</v>
      </c>
      <c r="J599" t="s">
        <v>24</v>
      </c>
      <c r="K599">
        <v>2562</v>
      </c>
      <c r="L599">
        <v>33.19</v>
      </c>
      <c r="M599">
        <v>14.42</v>
      </c>
      <c r="N599" s="4">
        <f t="shared" si="18"/>
        <v>8.6473723849999989E-2</v>
      </c>
      <c r="O599" s="4">
        <f t="shared" si="19"/>
        <v>1.2469510979169998</v>
      </c>
      <c r="P599">
        <v>30</v>
      </c>
      <c r="Q599">
        <v>3.6</v>
      </c>
      <c r="R599">
        <v>3.7</v>
      </c>
      <c r="S599">
        <v>3.2</v>
      </c>
      <c r="T599">
        <v>3.7</v>
      </c>
      <c r="U599">
        <v>3.2</v>
      </c>
      <c r="V599" t="s">
        <v>25</v>
      </c>
    </row>
    <row r="600" spans="1:22" hidden="1" x14ac:dyDescent="0.25">
      <c r="A600" t="s">
        <v>89</v>
      </c>
      <c r="B600">
        <v>2</v>
      </c>
      <c r="C600" t="s">
        <v>90</v>
      </c>
      <c r="D600" t="s">
        <v>91</v>
      </c>
      <c r="E600" t="s">
        <v>92</v>
      </c>
      <c r="F600">
        <v>150</v>
      </c>
      <c r="G600">
        <v>1300</v>
      </c>
      <c r="H600">
        <v>-2</v>
      </c>
      <c r="I600">
        <v>1983</v>
      </c>
      <c r="J600" t="s">
        <v>80</v>
      </c>
      <c r="K600">
        <v>1252</v>
      </c>
      <c r="L600">
        <v>27.13</v>
      </c>
      <c r="M600">
        <v>11.88</v>
      </c>
      <c r="N600" s="4">
        <f t="shared" si="18"/>
        <v>5.7778896649999988E-2</v>
      </c>
      <c r="O600" s="4">
        <f t="shared" si="19"/>
        <v>0.68641329220199987</v>
      </c>
      <c r="P600">
        <v>90</v>
      </c>
      <c r="Q600">
        <v>3.3</v>
      </c>
      <c r="R600">
        <v>3.7</v>
      </c>
      <c r="S600">
        <v>2.1</v>
      </c>
      <c r="T600">
        <v>2.1</v>
      </c>
      <c r="U600">
        <v>2</v>
      </c>
      <c r="V600" t="s">
        <v>38</v>
      </c>
    </row>
    <row r="601" spans="1:22" hidden="1" x14ac:dyDescent="0.25">
      <c r="A601" t="s">
        <v>89</v>
      </c>
      <c r="B601">
        <v>2</v>
      </c>
      <c r="C601" t="s">
        <v>90</v>
      </c>
      <c r="D601" t="s">
        <v>91</v>
      </c>
      <c r="E601" t="s">
        <v>92</v>
      </c>
      <c r="F601">
        <v>150</v>
      </c>
      <c r="G601">
        <v>1300</v>
      </c>
      <c r="H601">
        <v>-2</v>
      </c>
      <c r="I601">
        <v>1983</v>
      </c>
      <c r="J601" t="s">
        <v>59</v>
      </c>
      <c r="K601">
        <v>2548</v>
      </c>
      <c r="L601">
        <v>49.34</v>
      </c>
      <c r="M601">
        <v>16.850000000000001</v>
      </c>
      <c r="N601" s="4">
        <f t="shared" si="18"/>
        <v>0.19110319460000005</v>
      </c>
      <c r="O601" s="4">
        <f t="shared" si="19"/>
        <v>3.2200888290100012</v>
      </c>
      <c r="P601">
        <v>10</v>
      </c>
      <c r="Q601">
        <v>5</v>
      </c>
      <c r="R601">
        <v>4.5</v>
      </c>
      <c r="S601">
        <v>3.5</v>
      </c>
      <c r="T601">
        <v>3.5</v>
      </c>
      <c r="U601">
        <v>3</v>
      </c>
      <c r="V601" t="s">
        <v>27</v>
      </c>
    </row>
    <row r="602" spans="1:22" hidden="1" x14ac:dyDescent="0.25">
      <c r="A602" t="s">
        <v>89</v>
      </c>
      <c r="B602">
        <v>2</v>
      </c>
      <c r="C602" t="s">
        <v>90</v>
      </c>
      <c r="D602" t="s">
        <v>91</v>
      </c>
      <c r="E602" t="s">
        <v>92</v>
      </c>
      <c r="F602">
        <v>150</v>
      </c>
      <c r="G602">
        <v>1300</v>
      </c>
      <c r="H602">
        <v>-2</v>
      </c>
      <c r="I602">
        <v>1983</v>
      </c>
      <c r="J602" t="s">
        <v>26</v>
      </c>
      <c r="K602">
        <v>2552</v>
      </c>
      <c r="L602">
        <v>15.52</v>
      </c>
      <c r="M602">
        <v>7.83</v>
      </c>
      <c r="N602" s="4">
        <f t="shared" si="18"/>
        <v>1.8908326400000001E-2</v>
      </c>
      <c r="O602" s="4">
        <f t="shared" si="19"/>
        <v>0.14805219571200001</v>
      </c>
      <c r="P602">
        <v>10</v>
      </c>
      <c r="Q602">
        <v>2</v>
      </c>
      <c r="R602">
        <v>4</v>
      </c>
      <c r="S602">
        <v>4</v>
      </c>
      <c r="T602">
        <v>4</v>
      </c>
      <c r="U602">
        <v>4</v>
      </c>
      <c r="V602" t="s">
        <v>30</v>
      </c>
    </row>
    <row r="603" spans="1:22" hidden="1" x14ac:dyDescent="0.25">
      <c r="A603" t="s">
        <v>89</v>
      </c>
      <c r="B603">
        <v>2</v>
      </c>
      <c r="C603" t="s">
        <v>90</v>
      </c>
      <c r="D603" t="s">
        <v>91</v>
      </c>
      <c r="E603" t="s">
        <v>92</v>
      </c>
      <c r="F603">
        <v>150</v>
      </c>
      <c r="G603">
        <v>1300</v>
      </c>
      <c r="H603">
        <v>-2</v>
      </c>
      <c r="I603">
        <v>1983</v>
      </c>
      <c r="J603" t="s">
        <v>33</v>
      </c>
      <c r="K603">
        <v>2547</v>
      </c>
      <c r="L603">
        <v>46.36</v>
      </c>
      <c r="M603">
        <v>19.09</v>
      </c>
      <c r="N603" s="4">
        <f t="shared" si="18"/>
        <v>0.16871609360000001</v>
      </c>
      <c r="O603" s="4">
        <f t="shared" si="19"/>
        <v>3.2207902268240001</v>
      </c>
      <c r="P603">
        <v>40</v>
      </c>
      <c r="Q603">
        <v>4.3</v>
      </c>
      <c r="R603">
        <v>2.6</v>
      </c>
      <c r="S603">
        <v>3.8</v>
      </c>
      <c r="T603">
        <v>2.9</v>
      </c>
      <c r="U603">
        <v>2.6</v>
      </c>
      <c r="V603" t="s">
        <v>27</v>
      </c>
    </row>
    <row r="604" spans="1:22" hidden="1" x14ac:dyDescent="0.25">
      <c r="A604" t="s">
        <v>89</v>
      </c>
      <c r="B604">
        <v>2</v>
      </c>
      <c r="C604" t="s">
        <v>90</v>
      </c>
      <c r="D604" t="s">
        <v>91</v>
      </c>
      <c r="E604" t="s">
        <v>92</v>
      </c>
      <c r="F604">
        <v>150</v>
      </c>
      <c r="G604">
        <v>1300</v>
      </c>
      <c r="H604">
        <v>-2</v>
      </c>
      <c r="I604">
        <v>1983</v>
      </c>
      <c r="J604" t="s">
        <v>33</v>
      </c>
      <c r="K604">
        <v>2568</v>
      </c>
      <c r="L604">
        <v>52.76</v>
      </c>
      <c r="M604">
        <v>21</v>
      </c>
      <c r="N604" s="4">
        <f t="shared" si="18"/>
        <v>0.21851398159999996</v>
      </c>
      <c r="O604" s="4">
        <f t="shared" si="19"/>
        <v>4.5887936135999992</v>
      </c>
      <c r="P604">
        <v>50</v>
      </c>
      <c r="Q604">
        <v>4.5</v>
      </c>
      <c r="R604">
        <v>2.7</v>
      </c>
      <c r="S604">
        <v>3.9</v>
      </c>
      <c r="T604">
        <v>3.4</v>
      </c>
      <c r="U604">
        <v>2.6</v>
      </c>
      <c r="V604" t="s">
        <v>27</v>
      </c>
    </row>
    <row r="605" spans="1:22" hidden="1" x14ac:dyDescent="0.25">
      <c r="A605" t="s">
        <v>89</v>
      </c>
      <c r="B605">
        <v>2</v>
      </c>
      <c r="C605" t="s">
        <v>90</v>
      </c>
      <c r="D605" t="s">
        <v>91</v>
      </c>
      <c r="E605" t="s">
        <v>92</v>
      </c>
      <c r="F605">
        <v>150</v>
      </c>
      <c r="G605">
        <v>1300</v>
      </c>
      <c r="H605">
        <v>-2</v>
      </c>
      <c r="I605">
        <v>1983</v>
      </c>
      <c r="J605" t="s">
        <v>32</v>
      </c>
      <c r="K605">
        <v>1596</v>
      </c>
      <c r="L605">
        <v>42085</v>
      </c>
      <c r="M605">
        <v>17.05</v>
      </c>
      <c r="N605" s="4">
        <f t="shared" si="18"/>
        <v>139035.05716250004</v>
      </c>
      <c r="O605" s="4">
        <f t="shared" si="19"/>
        <v>2370547.7246206258</v>
      </c>
      <c r="P605">
        <v>40</v>
      </c>
      <c r="Q605">
        <v>3.9</v>
      </c>
      <c r="R605">
        <v>3.9</v>
      </c>
      <c r="S605">
        <v>3.2</v>
      </c>
      <c r="T605">
        <v>3.3</v>
      </c>
      <c r="U605">
        <v>2.4</v>
      </c>
      <c r="V605" t="s">
        <v>27</v>
      </c>
    </row>
    <row r="606" spans="1:22" hidden="1" x14ac:dyDescent="0.25">
      <c r="A606" t="s">
        <v>89</v>
      </c>
      <c r="B606">
        <v>2</v>
      </c>
      <c r="C606" t="s">
        <v>90</v>
      </c>
      <c r="D606" t="s">
        <v>91</v>
      </c>
      <c r="E606" t="s">
        <v>92</v>
      </c>
      <c r="F606">
        <v>150</v>
      </c>
      <c r="G606">
        <v>1300</v>
      </c>
      <c r="H606">
        <v>-2</v>
      </c>
      <c r="I606">
        <v>1983</v>
      </c>
      <c r="J606" t="s">
        <v>32</v>
      </c>
      <c r="K606">
        <v>2634</v>
      </c>
      <c r="L606">
        <v>39.79</v>
      </c>
      <c r="M606">
        <v>17.489999999999998</v>
      </c>
      <c r="N606" s="4">
        <f t="shared" si="18"/>
        <v>0.12428466184999998</v>
      </c>
      <c r="O606" s="4">
        <f t="shared" si="19"/>
        <v>2.1737387357564995</v>
      </c>
      <c r="P606">
        <v>10</v>
      </c>
      <c r="Q606">
        <v>4</v>
      </c>
      <c r="R606">
        <v>4</v>
      </c>
      <c r="S606">
        <v>3.3</v>
      </c>
      <c r="T606">
        <v>2.5</v>
      </c>
      <c r="U606">
        <v>1.5</v>
      </c>
      <c r="V606" t="s">
        <v>38</v>
      </c>
    </row>
    <row r="607" spans="1:22" hidden="1" x14ac:dyDescent="0.25">
      <c r="A607" t="s">
        <v>89</v>
      </c>
      <c r="B607">
        <v>2</v>
      </c>
      <c r="C607" t="s">
        <v>90</v>
      </c>
      <c r="D607" t="s">
        <v>91</v>
      </c>
      <c r="E607" t="s">
        <v>92</v>
      </c>
      <c r="F607">
        <v>150</v>
      </c>
      <c r="G607">
        <v>1300</v>
      </c>
      <c r="H607">
        <v>-2</v>
      </c>
      <c r="I607">
        <v>1983</v>
      </c>
      <c r="J607" t="s">
        <v>32</v>
      </c>
      <c r="K607">
        <v>2635</v>
      </c>
      <c r="L607">
        <v>32.5</v>
      </c>
      <c r="M607">
        <v>14.57</v>
      </c>
      <c r="N607" s="4">
        <f t="shared" si="18"/>
        <v>8.2915625000000007E-2</v>
      </c>
      <c r="O607" s="4">
        <f t="shared" si="19"/>
        <v>1.2080806562500002</v>
      </c>
      <c r="P607">
        <v>10</v>
      </c>
      <c r="Q607">
        <v>2.7</v>
      </c>
      <c r="R607">
        <v>3</v>
      </c>
      <c r="S607">
        <v>3</v>
      </c>
      <c r="T607">
        <v>4</v>
      </c>
      <c r="U607">
        <v>3</v>
      </c>
      <c r="V607" t="s">
        <v>25</v>
      </c>
    </row>
    <row r="608" spans="1:22" hidden="1" x14ac:dyDescent="0.25">
      <c r="A608" t="s">
        <v>89</v>
      </c>
      <c r="B608">
        <v>2</v>
      </c>
      <c r="C608" t="s">
        <v>90</v>
      </c>
      <c r="D608" t="s">
        <v>91</v>
      </c>
      <c r="E608" t="s">
        <v>92</v>
      </c>
      <c r="F608">
        <v>150</v>
      </c>
      <c r="G608">
        <v>1300</v>
      </c>
      <c r="H608">
        <v>-2</v>
      </c>
      <c r="I608">
        <v>1983</v>
      </c>
      <c r="J608" t="s">
        <v>34</v>
      </c>
      <c r="K608">
        <v>2570</v>
      </c>
      <c r="L608">
        <v>49.88</v>
      </c>
      <c r="M608">
        <v>14.05</v>
      </c>
      <c r="N608" s="4">
        <f t="shared" si="18"/>
        <v>0.19530913040000003</v>
      </c>
      <c r="O608" s="4">
        <f t="shared" si="19"/>
        <v>2.7440932821200006</v>
      </c>
      <c r="P608">
        <v>10</v>
      </c>
      <c r="Q608">
        <v>4</v>
      </c>
      <c r="R608">
        <v>4.5</v>
      </c>
      <c r="S608">
        <v>3</v>
      </c>
      <c r="T608">
        <v>4</v>
      </c>
      <c r="U608">
        <v>3</v>
      </c>
      <c r="V608" t="s">
        <v>27</v>
      </c>
    </row>
    <row r="609" spans="1:22" hidden="1" x14ac:dyDescent="0.25">
      <c r="A609" t="s">
        <v>89</v>
      </c>
      <c r="B609">
        <v>2</v>
      </c>
      <c r="C609" t="s">
        <v>90</v>
      </c>
      <c r="D609" t="s">
        <v>91</v>
      </c>
      <c r="E609" t="s">
        <v>92</v>
      </c>
      <c r="F609">
        <v>150</v>
      </c>
      <c r="G609">
        <v>1300</v>
      </c>
      <c r="H609">
        <v>-2</v>
      </c>
      <c r="I609">
        <v>1983</v>
      </c>
      <c r="J609" t="s">
        <v>34</v>
      </c>
      <c r="K609">
        <v>1522</v>
      </c>
      <c r="L609">
        <v>52.26</v>
      </c>
      <c r="M609">
        <v>15.45</v>
      </c>
      <c r="N609" s="4">
        <f t="shared" si="18"/>
        <v>0.21439194659999997</v>
      </c>
      <c r="O609" s="4">
        <f t="shared" si="19"/>
        <v>3.3123555749699993</v>
      </c>
      <c r="P609">
        <v>10</v>
      </c>
      <c r="Q609">
        <v>5</v>
      </c>
      <c r="R609">
        <v>4.5</v>
      </c>
      <c r="S609">
        <v>2.5</v>
      </c>
      <c r="T609">
        <v>2</v>
      </c>
      <c r="U609">
        <v>2.5</v>
      </c>
      <c r="V609" t="s">
        <v>25</v>
      </c>
    </row>
    <row r="610" spans="1:22" hidden="1" x14ac:dyDescent="0.25">
      <c r="A610" t="s">
        <v>89</v>
      </c>
      <c r="B610">
        <v>2</v>
      </c>
      <c r="C610" t="s">
        <v>90</v>
      </c>
      <c r="D610" t="s">
        <v>91</v>
      </c>
      <c r="E610" t="s">
        <v>92</v>
      </c>
      <c r="F610">
        <v>150</v>
      </c>
      <c r="G610">
        <v>1300</v>
      </c>
      <c r="H610">
        <v>-2</v>
      </c>
      <c r="I610">
        <v>1983</v>
      </c>
      <c r="J610" t="s">
        <v>35</v>
      </c>
      <c r="K610">
        <v>1788</v>
      </c>
      <c r="L610">
        <v>32.86</v>
      </c>
      <c r="M610">
        <v>13.86</v>
      </c>
      <c r="N610" s="4">
        <f t="shared" si="18"/>
        <v>8.4762698600000005E-2</v>
      </c>
      <c r="O610" s="4">
        <f t="shared" si="19"/>
        <v>1.1748110025960001</v>
      </c>
      <c r="P610">
        <v>30</v>
      </c>
      <c r="Q610">
        <v>2.8</v>
      </c>
      <c r="R610">
        <v>2</v>
      </c>
      <c r="S610">
        <v>3.1</v>
      </c>
      <c r="T610">
        <v>3.1</v>
      </c>
      <c r="U610">
        <v>2.2999999999999998</v>
      </c>
      <c r="V610" t="s">
        <v>25</v>
      </c>
    </row>
    <row r="611" spans="1:22" hidden="1" x14ac:dyDescent="0.25">
      <c r="A611" t="s">
        <v>89</v>
      </c>
      <c r="B611">
        <v>2</v>
      </c>
      <c r="C611" t="s">
        <v>90</v>
      </c>
      <c r="D611" t="s">
        <v>91</v>
      </c>
      <c r="E611" t="s">
        <v>92</v>
      </c>
      <c r="F611">
        <v>150</v>
      </c>
      <c r="G611">
        <v>1300</v>
      </c>
      <c r="H611">
        <v>-2</v>
      </c>
      <c r="I611">
        <v>1983</v>
      </c>
      <c r="J611" t="s">
        <v>35</v>
      </c>
      <c r="K611">
        <v>2571</v>
      </c>
      <c r="L611">
        <v>39.79</v>
      </c>
      <c r="M611">
        <v>18.02</v>
      </c>
      <c r="N611" s="4">
        <f t="shared" si="18"/>
        <v>0.12428466184999998</v>
      </c>
      <c r="O611" s="4">
        <f t="shared" si="19"/>
        <v>2.2396096065369995</v>
      </c>
      <c r="P611">
        <v>40</v>
      </c>
      <c r="Q611">
        <v>4.3</v>
      </c>
      <c r="R611">
        <v>2.5</v>
      </c>
      <c r="S611">
        <v>3.4</v>
      </c>
      <c r="T611">
        <v>3.8</v>
      </c>
      <c r="U611">
        <v>3.1</v>
      </c>
      <c r="V611" t="s">
        <v>27</v>
      </c>
    </row>
    <row r="612" spans="1:22" hidden="1" x14ac:dyDescent="0.25">
      <c r="A612" t="s">
        <v>89</v>
      </c>
      <c r="B612">
        <v>2</v>
      </c>
      <c r="C612" t="s">
        <v>90</v>
      </c>
      <c r="D612" t="s">
        <v>91</v>
      </c>
      <c r="E612" t="s">
        <v>92</v>
      </c>
      <c r="F612">
        <v>150</v>
      </c>
      <c r="G612">
        <v>1300</v>
      </c>
      <c r="H612">
        <v>-2</v>
      </c>
      <c r="I612">
        <v>1983</v>
      </c>
      <c r="J612" t="s">
        <v>36</v>
      </c>
      <c r="K612">
        <v>2573</v>
      </c>
      <c r="L612">
        <v>8.7200000000000006</v>
      </c>
      <c r="M612">
        <v>10.17</v>
      </c>
      <c r="N612" s="4">
        <f t="shared" si="18"/>
        <v>5.9690144000000001E-3</v>
      </c>
      <c r="O612" s="4">
        <f t="shared" si="19"/>
        <v>6.0704876448000003E-2</v>
      </c>
      <c r="P612">
        <v>10</v>
      </c>
      <c r="Q612">
        <v>1.5</v>
      </c>
      <c r="R612">
        <v>4</v>
      </c>
      <c r="S612">
        <v>4</v>
      </c>
      <c r="T612">
        <v>4</v>
      </c>
      <c r="U612">
        <v>4</v>
      </c>
      <c r="V612" t="s">
        <v>50</v>
      </c>
    </row>
    <row r="613" spans="1:22" hidden="1" x14ac:dyDescent="0.25">
      <c r="A613" t="s">
        <v>89</v>
      </c>
      <c r="B613">
        <v>2</v>
      </c>
      <c r="C613" t="s">
        <v>90</v>
      </c>
      <c r="D613" t="s">
        <v>91</v>
      </c>
      <c r="E613" t="s">
        <v>92</v>
      </c>
      <c r="F613">
        <v>150</v>
      </c>
      <c r="G613">
        <v>1300</v>
      </c>
      <c r="H613">
        <v>-2</v>
      </c>
      <c r="I613">
        <v>1983</v>
      </c>
      <c r="J613" t="s">
        <v>62</v>
      </c>
      <c r="K613">
        <v>2550</v>
      </c>
      <c r="L613">
        <v>27.97</v>
      </c>
      <c r="M613">
        <v>14.65</v>
      </c>
      <c r="N613" s="4">
        <f t="shared" si="18"/>
        <v>6.1412190650000004E-2</v>
      </c>
      <c r="O613" s="4">
        <f t="shared" si="19"/>
        <v>0.89968859302250004</v>
      </c>
      <c r="P613">
        <v>10</v>
      </c>
      <c r="Q613">
        <v>3</v>
      </c>
      <c r="R613">
        <v>3.5</v>
      </c>
      <c r="S613">
        <v>3.5</v>
      </c>
      <c r="T613">
        <v>3</v>
      </c>
      <c r="U613">
        <v>3</v>
      </c>
      <c r="V613" t="s">
        <v>25</v>
      </c>
    </row>
    <row r="614" spans="1:22" hidden="1" x14ac:dyDescent="0.25">
      <c r="A614" t="s">
        <v>89</v>
      </c>
      <c r="B614">
        <v>2</v>
      </c>
      <c r="C614" t="s">
        <v>90</v>
      </c>
      <c r="D614" t="s">
        <v>91</v>
      </c>
      <c r="E614" t="s">
        <v>92</v>
      </c>
      <c r="F614">
        <v>150</v>
      </c>
      <c r="G614">
        <v>1300</v>
      </c>
      <c r="H614">
        <v>-2</v>
      </c>
      <c r="I614">
        <v>1983</v>
      </c>
      <c r="J614" t="s">
        <v>62</v>
      </c>
      <c r="K614">
        <v>2553</v>
      </c>
      <c r="L614">
        <v>39.69</v>
      </c>
      <c r="M614">
        <v>18.25</v>
      </c>
      <c r="N614" s="4">
        <f t="shared" si="18"/>
        <v>0.12366074384999999</v>
      </c>
      <c r="O614" s="4">
        <f t="shared" si="19"/>
        <v>2.2568085752624998</v>
      </c>
      <c r="P614">
        <v>30</v>
      </c>
      <c r="Q614">
        <v>3.9</v>
      </c>
      <c r="R614">
        <v>3.8</v>
      </c>
      <c r="S614">
        <v>4.2</v>
      </c>
      <c r="T614">
        <v>4.0999999999999996</v>
      </c>
      <c r="U614">
        <v>3.6</v>
      </c>
      <c r="V614" t="s">
        <v>27</v>
      </c>
    </row>
    <row r="615" spans="1:22" hidden="1" x14ac:dyDescent="0.25">
      <c r="A615" t="s">
        <v>89</v>
      </c>
      <c r="B615">
        <v>2</v>
      </c>
      <c r="C615" t="s">
        <v>90</v>
      </c>
      <c r="D615" t="s">
        <v>91</v>
      </c>
      <c r="E615" t="s">
        <v>92</v>
      </c>
      <c r="F615">
        <v>150</v>
      </c>
      <c r="G615">
        <v>1300</v>
      </c>
      <c r="H615">
        <v>-2</v>
      </c>
      <c r="I615">
        <v>1983</v>
      </c>
      <c r="J615" t="s">
        <v>37</v>
      </c>
      <c r="K615">
        <v>2575</v>
      </c>
      <c r="L615">
        <v>13.81</v>
      </c>
      <c r="M615">
        <v>10.62</v>
      </c>
      <c r="N615" s="4">
        <f t="shared" si="18"/>
        <v>1.497121385E-2</v>
      </c>
      <c r="O615" s="4">
        <f t="shared" si="19"/>
        <v>0.15899429108699997</v>
      </c>
      <c r="P615">
        <v>10</v>
      </c>
      <c r="Q615">
        <v>1.5</v>
      </c>
      <c r="R615">
        <v>3</v>
      </c>
      <c r="S615">
        <v>2</v>
      </c>
      <c r="T615">
        <v>4</v>
      </c>
      <c r="U615">
        <v>3</v>
      </c>
      <c r="V615" t="s">
        <v>50</v>
      </c>
    </row>
    <row r="616" spans="1:22" hidden="1" x14ac:dyDescent="0.25">
      <c r="A616" t="s">
        <v>89</v>
      </c>
      <c r="B616">
        <v>3</v>
      </c>
      <c r="C616" t="s">
        <v>90</v>
      </c>
      <c r="D616" t="s">
        <v>91</v>
      </c>
      <c r="E616" t="s">
        <v>92</v>
      </c>
      <c r="F616">
        <v>150</v>
      </c>
      <c r="G616">
        <v>1300</v>
      </c>
      <c r="H616">
        <v>-2</v>
      </c>
      <c r="I616">
        <v>1983</v>
      </c>
      <c r="J616" t="s">
        <v>24</v>
      </c>
      <c r="K616">
        <v>2562</v>
      </c>
      <c r="L616">
        <v>38.79</v>
      </c>
      <c r="M616">
        <v>14.56</v>
      </c>
      <c r="N616" s="4">
        <f t="shared" si="18"/>
        <v>0.11811613184999997</v>
      </c>
      <c r="O616" s="4">
        <f t="shared" si="19"/>
        <v>1.7197708797359996</v>
      </c>
      <c r="P616">
        <v>50</v>
      </c>
      <c r="Q616">
        <v>3.9</v>
      </c>
      <c r="R616">
        <v>3.6</v>
      </c>
      <c r="S616">
        <v>3.2</v>
      </c>
      <c r="T616">
        <v>3.5</v>
      </c>
      <c r="U616">
        <v>2.4</v>
      </c>
      <c r="V616" t="s">
        <v>27</v>
      </c>
    </row>
    <row r="617" spans="1:22" hidden="1" x14ac:dyDescent="0.25">
      <c r="A617" t="s">
        <v>89</v>
      </c>
      <c r="B617">
        <v>3</v>
      </c>
      <c r="C617" t="s">
        <v>90</v>
      </c>
      <c r="D617" t="s">
        <v>91</v>
      </c>
      <c r="E617" t="s">
        <v>92</v>
      </c>
      <c r="F617">
        <v>150</v>
      </c>
      <c r="G617">
        <v>1300</v>
      </c>
      <c r="H617">
        <v>-2</v>
      </c>
      <c r="I617">
        <v>1983</v>
      </c>
      <c r="J617" t="s">
        <v>80</v>
      </c>
      <c r="K617">
        <v>1252</v>
      </c>
      <c r="L617">
        <v>26.05</v>
      </c>
      <c r="M617">
        <v>12.15</v>
      </c>
      <c r="N617" s="4">
        <f t="shared" si="18"/>
        <v>5.3270296250000009E-2</v>
      </c>
      <c r="O617" s="4">
        <f t="shared" si="19"/>
        <v>0.6472340994375001</v>
      </c>
      <c r="P617">
        <v>10</v>
      </c>
      <c r="Q617">
        <v>3</v>
      </c>
      <c r="R617">
        <v>3</v>
      </c>
      <c r="S617">
        <v>2.5</v>
      </c>
      <c r="T617">
        <v>3.3</v>
      </c>
      <c r="U617">
        <v>3</v>
      </c>
      <c r="V617" t="s">
        <v>38</v>
      </c>
    </row>
    <row r="618" spans="1:22" hidden="1" x14ac:dyDescent="0.25">
      <c r="A618" t="s">
        <v>89</v>
      </c>
      <c r="B618">
        <v>3</v>
      </c>
      <c r="C618" t="s">
        <v>90</v>
      </c>
      <c r="D618" t="s">
        <v>91</v>
      </c>
      <c r="E618" t="s">
        <v>92</v>
      </c>
      <c r="F618">
        <v>150</v>
      </c>
      <c r="G618">
        <v>1300</v>
      </c>
      <c r="H618">
        <v>-2</v>
      </c>
      <c r="I618">
        <v>1983</v>
      </c>
      <c r="J618" t="s">
        <v>59</v>
      </c>
      <c r="K618">
        <v>2548</v>
      </c>
      <c r="L618">
        <v>26.51</v>
      </c>
      <c r="M618">
        <v>7.66</v>
      </c>
      <c r="N618" s="4">
        <f t="shared" si="18"/>
        <v>5.5168237850000003E-2</v>
      </c>
      <c r="O618" s="4">
        <f t="shared" si="19"/>
        <v>0.42258870193100001</v>
      </c>
      <c r="P618">
        <v>10</v>
      </c>
      <c r="Q618">
        <v>2.5</v>
      </c>
      <c r="R618">
        <v>3</v>
      </c>
      <c r="S618">
        <v>3</v>
      </c>
      <c r="T618">
        <v>3</v>
      </c>
      <c r="U618">
        <v>3</v>
      </c>
      <c r="V618" t="s">
        <v>38</v>
      </c>
    </row>
    <row r="619" spans="1:22" hidden="1" x14ac:dyDescent="0.25">
      <c r="A619" t="s">
        <v>89</v>
      </c>
      <c r="B619">
        <v>3</v>
      </c>
      <c r="C619" t="s">
        <v>90</v>
      </c>
      <c r="D619" t="s">
        <v>91</v>
      </c>
      <c r="E619" t="s">
        <v>92</v>
      </c>
      <c r="F619">
        <v>150</v>
      </c>
      <c r="G619">
        <v>1300</v>
      </c>
      <c r="H619">
        <v>-2</v>
      </c>
      <c r="I619">
        <v>1983</v>
      </c>
      <c r="J619" t="s">
        <v>26</v>
      </c>
      <c r="K619">
        <v>2552</v>
      </c>
      <c r="L619">
        <v>14.24</v>
      </c>
      <c r="M619">
        <v>7.12</v>
      </c>
      <c r="N619" s="4">
        <f t="shared" si="18"/>
        <v>1.5918041599999998E-2</v>
      </c>
      <c r="O619" s="4">
        <f t="shared" si="19"/>
        <v>0.11333645619199999</v>
      </c>
      <c r="P619">
        <v>10</v>
      </c>
      <c r="Q619">
        <v>2</v>
      </c>
      <c r="R619">
        <v>3</v>
      </c>
      <c r="S619">
        <v>3</v>
      </c>
      <c r="T619">
        <v>4</v>
      </c>
      <c r="U619">
        <v>4</v>
      </c>
      <c r="V619" t="s">
        <v>30</v>
      </c>
    </row>
    <row r="620" spans="1:22" hidden="1" x14ac:dyDescent="0.25">
      <c r="A620" t="s">
        <v>89</v>
      </c>
      <c r="B620">
        <v>3</v>
      </c>
      <c r="C620" t="s">
        <v>90</v>
      </c>
      <c r="D620" t="s">
        <v>91</v>
      </c>
      <c r="E620" t="s">
        <v>92</v>
      </c>
      <c r="F620">
        <v>150</v>
      </c>
      <c r="G620">
        <v>1300</v>
      </c>
      <c r="H620">
        <v>-2</v>
      </c>
      <c r="I620">
        <v>1983</v>
      </c>
      <c r="J620" t="s">
        <v>33</v>
      </c>
      <c r="K620">
        <v>2547</v>
      </c>
      <c r="L620">
        <v>42.95</v>
      </c>
      <c r="M620">
        <v>13.91</v>
      </c>
      <c r="N620" s="4">
        <f t="shared" si="18"/>
        <v>0.14480914625000002</v>
      </c>
      <c r="O620" s="4">
        <f t="shared" si="19"/>
        <v>2.0142952243375003</v>
      </c>
      <c r="P620">
        <v>50</v>
      </c>
      <c r="Q620">
        <v>4.2</v>
      </c>
      <c r="R620">
        <v>2.8</v>
      </c>
      <c r="S620">
        <v>2</v>
      </c>
      <c r="T620">
        <v>2.5</v>
      </c>
      <c r="U620">
        <v>1.7</v>
      </c>
      <c r="V620" t="s">
        <v>25</v>
      </c>
    </row>
    <row r="621" spans="1:22" hidden="1" x14ac:dyDescent="0.25">
      <c r="A621" t="s">
        <v>89</v>
      </c>
      <c r="B621">
        <v>3</v>
      </c>
      <c r="C621" t="s">
        <v>90</v>
      </c>
      <c r="D621" t="s">
        <v>91</v>
      </c>
      <c r="E621" t="s">
        <v>92</v>
      </c>
      <c r="F621">
        <v>150</v>
      </c>
      <c r="G621">
        <v>1300</v>
      </c>
      <c r="H621">
        <v>-2</v>
      </c>
      <c r="I621">
        <v>1983</v>
      </c>
      <c r="J621" t="s">
        <v>33</v>
      </c>
      <c r="K621">
        <v>2568</v>
      </c>
      <c r="L621">
        <v>40.08</v>
      </c>
      <c r="M621">
        <v>12.27</v>
      </c>
      <c r="N621" s="4">
        <f t="shared" si="18"/>
        <v>0.12610290239999999</v>
      </c>
      <c r="O621" s="4">
        <f t="shared" si="19"/>
        <v>1.5472826124479999</v>
      </c>
      <c r="P621">
        <v>50</v>
      </c>
      <c r="Q621">
        <v>4.0999999999999996</v>
      </c>
      <c r="R621">
        <v>2.5</v>
      </c>
      <c r="S621">
        <v>2.2999999999999998</v>
      </c>
      <c r="T621">
        <v>2.6</v>
      </c>
      <c r="U621">
        <v>1.7</v>
      </c>
      <c r="V621" t="s">
        <v>25</v>
      </c>
    </row>
    <row r="622" spans="1:22" hidden="1" x14ac:dyDescent="0.25">
      <c r="A622" t="s">
        <v>89</v>
      </c>
      <c r="B622">
        <v>3</v>
      </c>
      <c r="C622" t="s">
        <v>90</v>
      </c>
      <c r="D622" t="s">
        <v>91</v>
      </c>
      <c r="E622" t="s">
        <v>92</v>
      </c>
      <c r="F622">
        <v>150</v>
      </c>
      <c r="G622">
        <v>1300</v>
      </c>
      <c r="H622">
        <v>-2</v>
      </c>
      <c r="I622">
        <v>1983</v>
      </c>
      <c r="J622" t="s">
        <v>32</v>
      </c>
      <c r="K622">
        <v>1596</v>
      </c>
      <c r="L622">
        <v>33.81</v>
      </c>
      <c r="M622">
        <v>10.93</v>
      </c>
      <c r="N622" s="4">
        <f t="shared" si="18"/>
        <v>8.9734613850000006E-2</v>
      </c>
      <c r="O622" s="4">
        <f t="shared" si="19"/>
        <v>0.98079932938050007</v>
      </c>
      <c r="P622">
        <v>10</v>
      </c>
      <c r="Q622">
        <v>3.3</v>
      </c>
      <c r="R622">
        <v>4</v>
      </c>
      <c r="S622">
        <v>3.3</v>
      </c>
      <c r="T622">
        <v>4</v>
      </c>
      <c r="U622">
        <v>2.7</v>
      </c>
      <c r="V622" t="s">
        <v>25</v>
      </c>
    </row>
    <row r="623" spans="1:22" hidden="1" x14ac:dyDescent="0.25">
      <c r="A623" t="s">
        <v>89</v>
      </c>
      <c r="B623">
        <v>3</v>
      </c>
      <c r="C623" t="s">
        <v>90</v>
      </c>
      <c r="D623" t="s">
        <v>91</v>
      </c>
      <c r="E623" t="s">
        <v>92</v>
      </c>
      <c r="F623">
        <v>150</v>
      </c>
      <c r="G623">
        <v>1300</v>
      </c>
      <c r="H623">
        <v>-2</v>
      </c>
      <c r="I623">
        <v>1983</v>
      </c>
      <c r="J623" t="s">
        <v>32</v>
      </c>
      <c r="K623">
        <v>2569</v>
      </c>
      <c r="L623">
        <v>31.33</v>
      </c>
      <c r="M623">
        <v>10.199999999999999</v>
      </c>
      <c r="N623" s="4">
        <f t="shared" si="18"/>
        <v>7.7053158649999995E-2</v>
      </c>
      <c r="O623" s="4">
        <f t="shared" si="19"/>
        <v>0.78594221822999988</v>
      </c>
      <c r="P623">
        <v>10</v>
      </c>
      <c r="Q623">
        <v>3.5</v>
      </c>
      <c r="R623">
        <v>4</v>
      </c>
      <c r="S623">
        <v>3</v>
      </c>
      <c r="T623">
        <v>4</v>
      </c>
      <c r="U623">
        <v>3</v>
      </c>
      <c r="V623" t="s">
        <v>27</v>
      </c>
    </row>
    <row r="624" spans="1:22" hidden="1" x14ac:dyDescent="0.25">
      <c r="A624" t="s">
        <v>89</v>
      </c>
      <c r="B624">
        <v>3</v>
      </c>
      <c r="C624" t="s">
        <v>90</v>
      </c>
      <c r="D624" t="s">
        <v>91</v>
      </c>
      <c r="E624" t="s">
        <v>92</v>
      </c>
      <c r="F624">
        <v>150</v>
      </c>
      <c r="G624">
        <v>1300</v>
      </c>
      <c r="H624">
        <v>-2</v>
      </c>
      <c r="I624">
        <v>1983</v>
      </c>
      <c r="J624" t="s">
        <v>32</v>
      </c>
      <c r="K624">
        <v>2634</v>
      </c>
      <c r="L624">
        <v>40.22</v>
      </c>
      <c r="M624">
        <v>18.22</v>
      </c>
      <c r="N624" s="4">
        <f t="shared" si="18"/>
        <v>0.1269853994</v>
      </c>
      <c r="O624" s="4">
        <f t="shared" si="19"/>
        <v>2.3136739770679999</v>
      </c>
      <c r="P624">
        <v>10</v>
      </c>
      <c r="Q624">
        <v>4</v>
      </c>
      <c r="R624">
        <v>4.5</v>
      </c>
      <c r="S624">
        <v>3</v>
      </c>
      <c r="T624">
        <v>3.5</v>
      </c>
      <c r="U624">
        <v>2</v>
      </c>
      <c r="V624" t="s">
        <v>25</v>
      </c>
    </row>
    <row r="625" spans="1:22" hidden="1" x14ac:dyDescent="0.25">
      <c r="A625" t="s">
        <v>89</v>
      </c>
      <c r="B625">
        <v>3</v>
      </c>
      <c r="C625" t="s">
        <v>90</v>
      </c>
      <c r="D625" t="s">
        <v>91</v>
      </c>
      <c r="E625" t="s">
        <v>92</v>
      </c>
      <c r="F625">
        <v>150</v>
      </c>
      <c r="G625">
        <v>1300</v>
      </c>
      <c r="H625">
        <v>-2</v>
      </c>
      <c r="I625">
        <v>1983</v>
      </c>
      <c r="J625" t="s">
        <v>32</v>
      </c>
      <c r="K625">
        <v>2635</v>
      </c>
      <c r="L625">
        <v>30.75</v>
      </c>
      <c r="M625">
        <v>14.57</v>
      </c>
      <c r="N625" s="4">
        <f t="shared" si="18"/>
        <v>7.4226656249999995E-2</v>
      </c>
      <c r="O625" s="4">
        <f t="shared" si="19"/>
        <v>1.0814823815624999</v>
      </c>
      <c r="P625">
        <v>20</v>
      </c>
      <c r="Q625">
        <v>3.8</v>
      </c>
      <c r="R625">
        <v>4</v>
      </c>
      <c r="S625">
        <v>3.5</v>
      </c>
      <c r="T625">
        <v>4</v>
      </c>
      <c r="U625">
        <v>2.9</v>
      </c>
      <c r="V625" t="s">
        <v>25</v>
      </c>
    </row>
    <row r="626" spans="1:22" hidden="1" x14ac:dyDescent="0.25">
      <c r="A626" t="s">
        <v>89</v>
      </c>
      <c r="B626">
        <v>3</v>
      </c>
      <c r="C626" t="s">
        <v>90</v>
      </c>
      <c r="D626" t="s">
        <v>91</v>
      </c>
      <c r="E626" t="s">
        <v>92</v>
      </c>
      <c r="F626">
        <v>150</v>
      </c>
      <c r="G626">
        <v>1300</v>
      </c>
      <c r="H626">
        <v>-2</v>
      </c>
      <c r="I626">
        <v>1983</v>
      </c>
      <c r="J626" t="s">
        <v>34</v>
      </c>
      <c r="K626">
        <v>2570</v>
      </c>
      <c r="L626">
        <v>35.4</v>
      </c>
      <c r="M626">
        <v>14.05</v>
      </c>
      <c r="N626" s="4">
        <f t="shared" si="18"/>
        <v>9.8373059999999984E-2</v>
      </c>
      <c r="O626" s="4">
        <f t="shared" si="19"/>
        <v>1.3821414929999998</v>
      </c>
      <c r="P626">
        <v>10</v>
      </c>
      <c r="Q626">
        <v>3</v>
      </c>
      <c r="R626">
        <v>3</v>
      </c>
      <c r="S626">
        <v>3.3</v>
      </c>
      <c r="T626">
        <v>3.5</v>
      </c>
      <c r="U626">
        <v>3</v>
      </c>
      <c r="V626" t="s">
        <v>27</v>
      </c>
    </row>
    <row r="627" spans="1:22" hidden="1" x14ac:dyDescent="0.25">
      <c r="A627" t="s">
        <v>89</v>
      </c>
      <c r="B627">
        <v>3</v>
      </c>
      <c r="C627" t="s">
        <v>90</v>
      </c>
      <c r="D627" t="s">
        <v>91</v>
      </c>
      <c r="E627" t="s">
        <v>92</v>
      </c>
      <c r="F627">
        <v>150</v>
      </c>
      <c r="G627">
        <v>1300</v>
      </c>
      <c r="H627">
        <v>-2</v>
      </c>
      <c r="I627">
        <v>1983</v>
      </c>
      <c r="J627" t="s">
        <v>34</v>
      </c>
      <c r="K627">
        <v>1522</v>
      </c>
      <c r="L627">
        <v>42.43</v>
      </c>
      <c r="M627">
        <v>13.35</v>
      </c>
      <c r="N627" s="4">
        <f t="shared" si="18"/>
        <v>0.14132393465000001</v>
      </c>
      <c r="O627" s="4">
        <f t="shared" si="19"/>
        <v>1.8866745275775001</v>
      </c>
      <c r="P627">
        <v>40</v>
      </c>
      <c r="Q627">
        <v>4</v>
      </c>
      <c r="R627">
        <v>3.4</v>
      </c>
      <c r="S627">
        <v>3</v>
      </c>
      <c r="T627">
        <v>3.5</v>
      </c>
      <c r="U627">
        <v>2.1</v>
      </c>
      <c r="V627" t="s">
        <v>27</v>
      </c>
    </row>
    <row r="628" spans="1:22" hidden="1" x14ac:dyDescent="0.25">
      <c r="A628" t="s">
        <v>89</v>
      </c>
      <c r="B628">
        <v>3</v>
      </c>
      <c r="C628" t="s">
        <v>90</v>
      </c>
      <c r="D628" t="s">
        <v>91</v>
      </c>
      <c r="E628" t="s">
        <v>92</v>
      </c>
      <c r="F628">
        <v>150</v>
      </c>
      <c r="G628">
        <v>1300</v>
      </c>
      <c r="H628">
        <v>-2</v>
      </c>
      <c r="I628">
        <v>1983</v>
      </c>
      <c r="J628" t="s">
        <v>35</v>
      </c>
      <c r="K628">
        <v>1788</v>
      </c>
      <c r="L628">
        <v>17.329999999999998</v>
      </c>
      <c r="M628">
        <v>8.32</v>
      </c>
      <c r="N628" s="4">
        <f t="shared" si="18"/>
        <v>2.3575818649999997E-2</v>
      </c>
      <c r="O628" s="4">
        <f t="shared" si="19"/>
        <v>0.19615081116799998</v>
      </c>
      <c r="P628">
        <v>40</v>
      </c>
      <c r="Q628">
        <v>1.9</v>
      </c>
      <c r="R628">
        <v>2.1</v>
      </c>
      <c r="S628">
        <v>2.5</v>
      </c>
      <c r="T628">
        <v>3</v>
      </c>
      <c r="U628">
        <v>2.8</v>
      </c>
      <c r="V628" t="s">
        <v>30</v>
      </c>
    </row>
    <row r="629" spans="1:22" hidden="1" x14ac:dyDescent="0.25">
      <c r="A629" t="s">
        <v>89</v>
      </c>
      <c r="B629">
        <v>3</v>
      </c>
      <c r="C629" t="s">
        <v>90</v>
      </c>
      <c r="D629" t="s">
        <v>91</v>
      </c>
      <c r="E629" t="s">
        <v>92</v>
      </c>
      <c r="F629">
        <v>150</v>
      </c>
      <c r="G629">
        <v>1300</v>
      </c>
      <c r="H629">
        <v>-2</v>
      </c>
      <c r="I629">
        <v>1983</v>
      </c>
      <c r="J629" t="s">
        <v>35</v>
      </c>
      <c r="K629">
        <v>2571</v>
      </c>
      <c r="L629">
        <v>41.87</v>
      </c>
      <c r="M629">
        <v>15.25</v>
      </c>
      <c r="N629" s="4">
        <f t="shared" si="18"/>
        <v>0.13761810664999999</v>
      </c>
      <c r="O629" s="4">
        <f t="shared" si="19"/>
        <v>2.0986761264124998</v>
      </c>
      <c r="P629">
        <v>30</v>
      </c>
      <c r="Q629">
        <v>4.2</v>
      </c>
      <c r="R629">
        <v>2.8</v>
      </c>
      <c r="S629">
        <v>2.6</v>
      </c>
      <c r="T629">
        <v>3.3</v>
      </c>
      <c r="U629">
        <v>2.2000000000000002</v>
      </c>
      <c r="V629" t="s">
        <v>25</v>
      </c>
    </row>
    <row r="630" spans="1:22" hidden="1" x14ac:dyDescent="0.25">
      <c r="A630" t="s">
        <v>89</v>
      </c>
      <c r="B630">
        <v>3</v>
      </c>
      <c r="C630" t="s">
        <v>90</v>
      </c>
      <c r="D630" t="s">
        <v>91</v>
      </c>
      <c r="E630" t="s">
        <v>92</v>
      </c>
      <c r="F630">
        <v>150</v>
      </c>
      <c r="G630">
        <v>1300</v>
      </c>
      <c r="H630">
        <v>-2</v>
      </c>
      <c r="I630">
        <v>1983</v>
      </c>
      <c r="J630" t="s">
        <v>62</v>
      </c>
      <c r="K630">
        <v>2550</v>
      </c>
      <c r="L630">
        <v>9.99</v>
      </c>
      <c r="M630">
        <v>5.33</v>
      </c>
      <c r="N630" s="4">
        <f t="shared" si="18"/>
        <v>7.8343078500000014E-3</v>
      </c>
      <c r="O630" s="4">
        <f t="shared" si="19"/>
        <v>4.175686084050001E-2</v>
      </c>
      <c r="P630">
        <v>10</v>
      </c>
      <c r="Q630">
        <v>1.5</v>
      </c>
      <c r="R630">
        <v>2.5</v>
      </c>
      <c r="S630">
        <v>3</v>
      </c>
      <c r="T630">
        <v>3</v>
      </c>
      <c r="U630">
        <v>3</v>
      </c>
      <c r="V630" t="s">
        <v>50</v>
      </c>
    </row>
    <row r="631" spans="1:22" hidden="1" x14ac:dyDescent="0.25">
      <c r="A631" t="s">
        <v>93</v>
      </c>
      <c r="B631">
        <v>1</v>
      </c>
      <c r="C631" t="s">
        <v>66</v>
      </c>
      <c r="D631" t="s">
        <v>67</v>
      </c>
      <c r="E631" t="s">
        <v>68</v>
      </c>
      <c r="F631">
        <v>180</v>
      </c>
      <c r="G631">
        <v>1080</v>
      </c>
      <c r="H631">
        <v>-3</v>
      </c>
      <c r="I631">
        <v>1981</v>
      </c>
      <c r="J631" t="s">
        <v>56</v>
      </c>
      <c r="K631">
        <v>1111</v>
      </c>
      <c r="L631">
        <v>2.84</v>
      </c>
      <c r="M631">
        <v>3.41</v>
      </c>
      <c r="N631" s="4">
        <f t="shared" si="18"/>
        <v>6.3314959999999994E-4</v>
      </c>
      <c r="O631" s="4">
        <f t="shared" si="19"/>
        <v>2.159040136E-3</v>
      </c>
      <c r="P631">
        <v>3</v>
      </c>
      <c r="Q631">
        <v>1</v>
      </c>
      <c r="R631">
        <v>2</v>
      </c>
      <c r="S631">
        <v>3</v>
      </c>
      <c r="T631">
        <v>3</v>
      </c>
      <c r="U631">
        <v>3</v>
      </c>
      <c r="V631" t="s">
        <v>50</v>
      </c>
    </row>
    <row r="632" spans="1:22" hidden="1" x14ac:dyDescent="0.25">
      <c r="A632" t="s">
        <v>93</v>
      </c>
      <c r="B632">
        <v>1</v>
      </c>
      <c r="C632" t="s">
        <v>66</v>
      </c>
      <c r="D632" t="s">
        <v>67</v>
      </c>
      <c r="E632" t="s">
        <v>68</v>
      </c>
      <c r="F632">
        <v>180</v>
      </c>
      <c r="G632">
        <v>1080</v>
      </c>
      <c r="H632">
        <v>-3</v>
      </c>
      <c r="I632">
        <v>1981</v>
      </c>
      <c r="J632" t="s">
        <v>24</v>
      </c>
      <c r="K632">
        <v>2562</v>
      </c>
      <c r="L632">
        <v>7.99</v>
      </c>
      <c r="M632">
        <v>5.49</v>
      </c>
      <c r="N632" s="4">
        <f t="shared" si="18"/>
        <v>5.0114478499999997E-3</v>
      </c>
      <c r="O632" s="4">
        <f t="shared" si="19"/>
        <v>2.75128486965E-2</v>
      </c>
      <c r="P632">
        <v>17</v>
      </c>
      <c r="Q632">
        <v>2</v>
      </c>
      <c r="R632">
        <v>3</v>
      </c>
      <c r="S632">
        <v>2.5</v>
      </c>
      <c r="T632">
        <v>3.3</v>
      </c>
      <c r="U632">
        <v>3</v>
      </c>
      <c r="V632" t="s">
        <v>30</v>
      </c>
    </row>
    <row r="633" spans="1:22" hidden="1" x14ac:dyDescent="0.25">
      <c r="A633" t="s">
        <v>93</v>
      </c>
      <c r="B633">
        <v>1</v>
      </c>
      <c r="C633" t="s">
        <v>66</v>
      </c>
      <c r="D633" t="s">
        <v>67</v>
      </c>
      <c r="E633" t="s">
        <v>68</v>
      </c>
      <c r="F633">
        <v>180</v>
      </c>
      <c r="G633">
        <v>1080</v>
      </c>
      <c r="H633">
        <v>-3</v>
      </c>
      <c r="I633">
        <v>1981</v>
      </c>
      <c r="J633" t="s">
        <v>59</v>
      </c>
      <c r="K633">
        <v>2426</v>
      </c>
      <c r="L633">
        <v>8.3000000000000007</v>
      </c>
      <c r="M633">
        <v>5.93</v>
      </c>
      <c r="N633" s="4">
        <f t="shared" si="18"/>
        <v>5.4078650000000013E-3</v>
      </c>
      <c r="O633" s="4">
        <f t="shared" si="19"/>
        <v>3.2068639450000005E-2</v>
      </c>
      <c r="P633">
        <v>4</v>
      </c>
      <c r="Q633">
        <v>2</v>
      </c>
      <c r="R633">
        <v>3.5</v>
      </c>
      <c r="S633">
        <v>3</v>
      </c>
      <c r="T633">
        <v>3</v>
      </c>
      <c r="U633">
        <v>3</v>
      </c>
      <c r="V633" t="s">
        <v>50</v>
      </c>
    </row>
    <row r="634" spans="1:22" hidden="1" x14ac:dyDescent="0.25">
      <c r="A634" t="s">
        <v>93</v>
      </c>
      <c r="B634">
        <v>1</v>
      </c>
      <c r="C634" t="s">
        <v>66</v>
      </c>
      <c r="D634" t="s">
        <v>67</v>
      </c>
      <c r="E634" t="s">
        <v>68</v>
      </c>
      <c r="F634">
        <v>180</v>
      </c>
      <c r="G634">
        <v>1080</v>
      </c>
      <c r="H634">
        <v>-3</v>
      </c>
      <c r="I634">
        <v>1981</v>
      </c>
      <c r="J634" t="s">
        <v>59</v>
      </c>
      <c r="K634">
        <v>2548</v>
      </c>
      <c r="L634">
        <v>15.58</v>
      </c>
      <c r="M634">
        <v>8.06</v>
      </c>
      <c r="N634" s="4">
        <f t="shared" si="18"/>
        <v>1.9054807399999998E-2</v>
      </c>
      <c r="O634" s="4">
        <f t="shared" si="19"/>
        <v>0.15358174764399998</v>
      </c>
      <c r="P634">
        <v>27</v>
      </c>
      <c r="Q634">
        <v>3</v>
      </c>
      <c r="R634">
        <v>3.5</v>
      </c>
      <c r="S634">
        <v>3</v>
      </c>
      <c r="T634">
        <v>2.5</v>
      </c>
      <c r="U634">
        <v>3</v>
      </c>
      <c r="V634" t="s">
        <v>38</v>
      </c>
    </row>
    <row r="635" spans="1:22" hidden="1" x14ac:dyDescent="0.25">
      <c r="A635" t="s">
        <v>93</v>
      </c>
      <c r="B635">
        <v>1</v>
      </c>
      <c r="C635" t="s">
        <v>66</v>
      </c>
      <c r="D635" t="s">
        <v>67</v>
      </c>
      <c r="E635" t="s">
        <v>68</v>
      </c>
      <c r="F635">
        <v>180</v>
      </c>
      <c r="G635">
        <v>1080</v>
      </c>
      <c r="H635">
        <v>-3</v>
      </c>
      <c r="I635">
        <v>1981</v>
      </c>
      <c r="J635" t="s">
        <v>32</v>
      </c>
      <c r="K635">
        <v>1596</v>
      </c>
      <c r="L635">
        <v>4.5599999999999996</v>
      </c>
      <c r="M635">
        <v>3.58</v>
      </c>
      <c r="N635" s="4">
        <f t="shared" si="18"/>
        <v>1.6322975999999998E-3</v>
      </c>
      <c r="O635" s="4">
        <f t="shared" si="19"/>
        <v>5.8436254079999991E-3</v>
      </c>
      <c r="P635">
        <v>13</v>
      </c>
      <c r="Q635">
        <v>2</v>
      </c>
      <c r="R635">
        <v>3</v>
      </c>
      <c r="S635">
        <v>2</v>
      </c>
      <c r="T635">
        <v>3</v>
      </c>
      <c r="U635">
        <v>3</v>
      </c>
      <c r="V635" t="s">
        <v>50</v>
      </c>
    </row>
    <row r="636" spans="1:22" hidden="1" x14ac:dyDescent="0.25">
      <c r="A636" t="s">
        <v>93</v>
      </c>
      <c r="B636">
        <v>1</v>
      </c>
      <c r="C636" t="s">
        <v>66</v>
      </c>
      <c r="D636" t="s">
        <v>67</v>
      </c>
      <c r="E636" t="s">
        <v>68</v>
      </c>
      <c r="F636">
        <v>180</v>
      </c>
      <c r="G636">
        <v>1080</v>
      </c>
      <c r="H636">
        <v>-3</v>
      </c>
      <c r="I636">
        <v>1981</v>
      </c>
      <c r="J636" t="s">
        <v>32</v>
      </c>
      <c r="K636">
        <v>2634</v>
      </c>
      <c r="L636">
        <v>5.43</v>
      </c>
      <c r="M636">
        <v>4.4400000000000004</v>
      </c>
      <c r="N636" s="4">
        <f t="shared" si="18"/>
        <v>2.3145646499999994E-3</v>
      </c>
      <c r="O636" s="4">
        <f t="shared" si="19"/>
        <v>1.0276667045999999E-2</v>
      </c>
      <c r="P636">
        <v>9</v>
      </c>
      <c r="Q636">
        <v>1</v>
      </c>
      <c r="R636">
        <v>2</v>
      </c>
      <c r="S636">
        <v>2</v>
      </c>
      <c r="T636">
        <v>3</v>
      </c>
      <c r="U636">
        <v>3</v>
      </c>
      <c r="V636" t="s">
        <v>50</v>
      </c>
    </row>
    <row r="637" spans="1:22" hidden="1" x14ac:dyDescent="0.25">
      <c r="A637" t="s">
        <v>93</v>
      </c>
      <c r="B637">
        <v>1</v>
      </c>
      <c r="C637" t="s">
        <v>66</v>
      </c>
      <c r="D637" t="s">
        <v>67</v>
      </c>
      <c r="E637" t="s">
        <v>68</v>
      </c>
      <c r="F637">
        <v>180</v>
      </c>
      <c r="G637">
        <v>1080</v>
      </c>
      <c r="H637">
        <v>-3</v>
      </c>
      <c r="I637">
        <v>1981</v>
      </c>
      <c r="J637" t="s">
        <v>35</v>
      </c>
      <c r="K637">
        <v>1788</v>
      </c>
      <c r="L637">
        <v>13.07</v>
      </c>
      <c r="M637">
        <v>8.1199999999999992</v>
      </c>
      <c r="N637" s="4">
        <f t="shared" si="18"/>
        <v>1.3409754650000003E-2</v>
      </c>
      <c r="O637" s="4">
        <f t="shared" si="19"/>
        <v>0.10888720775800001</v>
      </c>
      <c r="P637">
        <v>14</v>
      </c>
      <c r="Q637">
        <v>1.5</v>
      </c>
      <c r="R637">
        <v>1.5</v>
      </c>
      <c r="S637">
        <v>2</v>
      </c>
      <c r="T637">
        <v>3</v>
      </c>
      <c r="U637">
        <v>3</v>
      </c>
      <c r="V637" t="s">
        <v>30</v>
      </c>
    </row>
    <row r="638" spans="1:22" hidden="1" x14ac:dyDescent="0.25">
      <c r="A638" t="s">
        <v>93</v>
      </c>
      <c r="B638">
        <v>1</v>
      </c>
      <c r="C638" t="s">
        <v>66</v>
      </c>
      <c r="D638" t="s">
        <v>67</v>
      </c>
      <c r="E638" t="s">
        <v>68</v>
      </c>
      <c r="F638">
        <v>180</v>
      </c>
      <c r="G638">
        <v>1080</v>
      </c>
      <c r="H638">
        <v>-3</v>
      </c>
      <c r="I638">
        <v>1981</v>
      </c>
      <c r="J638" t="s">
        <v>35</v>
      </c>
      <c r="K638">
        <v>2571</v>
      </c>
      <c r="L638">
        <v>23.55</v>
      </c>
      <c r="M638">
        <v>14.36</v>
      </c>
      <c r="N638" s="4">
        <f t="shared" si="18"/>
        <v>4.3536296250000009E-2</v>
      </c>
      <c r="O638" s="4">
        <f t="shared" si="19"/>
        <v>0.62518121415000005</v>
      </c>
      <c r="P638">
        <v>37</v>
      </c>
      <c r="Q638">
        <v>4</v>
      </c>
      <c r="R638">
        <v>2</v>
      </c>
      <c r="S638">
        <v>3</v>
      </c>
      <c r="T638">
        <v>3.5</v>
      </c>
      <c r="U638">
        <v>2</v>
      </c>
      <c r="V638" t="s">
        <v>27</v>
      </c>
    </row>
    <row r="639" spans="1:22" hidden="1" x14ac:dyDescent="0.25">
      <c r="A639" t="s">
        <v>93</v>
      </c>
      <c r="B639">
        <v>1</v>
      </c>
      <c r="C639" t="s">
        <v>66</v>
      </c>
      <c r="D639" t="s">
        <v>67</v>
      </c>
      <c r="E639" t="s">
        <v>68</v>
      </c>
      <c r="F639">
        <v>180</v>
      </c>
      <c r="G639">
        <v>1080</v>
      </c>
      <c r="H639">
        <v>-3</v>
      </c>
      <c r="I639">
        <v>1981</v>
      </c>
      <c r="J639" t="s">
        <v>35</v>
      </c>
      <c r="K639">
        <v>2622</v>
      </c>
      <c r="L639">
        <v>16.25</v>
      </c>
      <c r="M639">
        <v>9.77</v>
      </c>
      <c r="N639" s="4">
        <f t="shared" si="18"/>
        <v>2.0728906250000002E-2</v>
      </c>
      <c r="O639" s="4">
        <f t="shared" si="19"/>
        <v>0.20252141406250002</v>
      </c>
      <c r="P639">
        <v>85</v>
      </c>
      <c r="Q639">
        <v>4</v>
      </c>
      <c r="R639">
        <v>2</v>
      </c>
      <c r="S639">
        <v>2.5</v>
      </c>
      <c r="T639">
        <v>4</v>
      </c>
      <c r="U639">
        <v>2.5</v>
      </c>
      <c r="V639" t="s">
        <v>27</v>
      </c>
    </row>
    <row r="640" spans="1:22" hidden="1" x14ac:dyDescent="0.25">
      <c r="A640" t="s">
        <v>93</v>
      </c>
      <c r="B640">
        <v>1</v>
      </c>
      <c r="C640" t="s">
        <v>66</v>
      </c>
      <c r="D640" t="s">
        <v>67</v>
      </c>
      <c r="E640" t="s">
        <v>68</v>
      </c>
      <c r="F640">
        <v>180</v>
      </c>
      <c r="G640">
        <v>1080</v>
      </c>
      <c r="H640">
        <v>-3</v>
      </c>
      <c r="I640">
        <v>1981</v>
      </c>
      <c r="J640" t="s">
        <v>62</v>
      </c>
      <c r="K640">
        <v>2431</v>
      </c>
      <c r="L640">
        <v>17.079999999999998</v>
      </c>
      <c r="M640">
        <v>10.25</v>
      </c>
      <c r="N640" s="4">
        <f t="shared" si="18"/>
        <v>2.2900522399999994E-2</v>
      </c>
      <c r="O640" s="4">
        <f t="shared" si="19"/>
        <v>0.23473035459999994</v>
      </c>
      <c r="P640">
        <v>7</v>
      </c>
      <c r="Q640">
        <v>2.5</v>
      </c>
      <c r="R640">
        <v>3</v>
      </c>
      <c r="S640">
        <v>3</v>
      </c>
      <c r="T640">
        <v>3.5</v>
      </c>
      <c r="U640">
        <v>3</v>
      </c>
      <c r="V640" t="s">
        <v>30</v>
      </c>
    </row>
    <row r="641" spans="1:22" hidden="1" x14ac:dyDescent="0.25">
      <c r="A641" t="s">
        <v>93</v>
      </c>
      <c r="B641">
        <v>1</v>
      </c>
      <c r="C641" t="s">
        <v>66</v>
      </c>
      <c r="D641" t="s">
        <v>67</v>
      </c>
      <c r="E641" t="s">
        <v>68</v>
      </c>
      <c r="F641">
        <v>180</v>
      </c>
      <c r="G641">
        <v>1080</v>
      </c>
      <c r="H641">
        <v>-3</v>
      </c>
      <c r="I641">
        <v>1981</v>
      </c>
      <c r="J641" t="s">
        <v>62</v>
      </c>
      <c r="K641">
        <v>2553</v>
      </c>
      <c r="L641">
        <v>14.69</v>
      </c>
      <c r="M641">
        <v>9.68</v>
      </c>
      <c r="N641" s="4">
        <f t="shared" si="18"/>
        <v>1.6939993850000001E-2</v>
      </c>
      <c r="O641" s="4">
        <f t="shared" si="19"/>
        <v>0.163979140468</v>
      </c>
      <c r="P641">
        <v>21</v>
      </c>
      <c r="Q641">
        <v>3</v>
      </c>
      <c r="R641">
        <v>3</v>
      </c>
      <c r="S641">
        <v>3.3</v>
      </c>
      <c r="T641">
        <v>3.5</v>
      </c>
      <c r="U641">
        <v>3.3</v>
      </c>
      <c r="V641" t="s">
        <v>38</v>
      </c>
    </row>
    <row r="642" spans="1:22" hidden="1" x14ac:dyDescent="0.25">
      <c r="A642" t="s">
        <v>93</v>
      </c>
      <c r="B642">
        <v>1</v>
      </c>
      <c r="C642" t="s">
        <v>66</v>
      </c>
      <c r="D642" t="s">
        <v>67</v>
      </c>
      <c r="E642" t="s">
        <v>68</v>
      </c>
      <c r="F642">
        <v>180</v>
      </c>
      <c r="G642">
        <v>1080</v>
      </c>
      <c r="H642">
        <v>-3</v>
      </c>
      <c r="I642">
        <v>1981</v>
      </c>
      <c r="J642" t="s">
        <v>62</v>
      </c>
      <c r="K642">
        <v>2574</v>
      </c>
      <c r="L642">
        <v>11.62</v>
      </c>
      <c r="M642">
        <v>7.4</v>
      </c>
      <c r="N642" s="4">
        <f t="shared" si="18"/>
        <v>1.0599415399999999E-2</v>
      </c>
      <c r="O642" s="4">
        <f t="shared" si="19"/>
        <v>7.8435673959999994E-2</v>
      </c>
      <c r="P642">
        <v>33</v>
      </c>
      <c r="Q642">
        <v>3</v>
      </c>
      <c r="R642">
        <v>3</v>
      </c>
      <c r="S642">
        <v>3.5</v>
      </c>
      <c r="T642">
        <v>3.5</v>
      </c>
      <c r="U642">
        <v>3.3</v>
      </c>
      <c r="V642" t="s">
        <v>38</v>
      </c>
    </row>
    <row r="643" spans="1:22" hidden="1" x14ac:dyDescent="0.25">
      <c r="A643" t="s">
        <v>93</v>
      </c>
      <c r="B643">
        <v>1</v>
      </c>
      <c r="C643" t="s">
        <v>66</v>
      </c>
      <c r="D643" t="s">
        <v>67</v>
      </c>
      <c r="E643" t="s">
        <v>68</v>
      </c>
      <c r="F643">
        <v>180</v>
      </c>
      <c r="G643">
        <v>1080</v>
      </c>
      <c r="H643">
        <v>-3</v>
      </c>
      <c r="I643">
        <v>1981</v>
      </c>
      <c r="J643" t="s">
        <v>37</v>
      </c>
      <c r="K643">
        <v>2575</v>
      </c>
      <c r="L643">
        <v>9.48</v>
      </c>
      <c r="M643">
        <v>6.16</v>
      </c>
      <c r="N643" s="4">
        <f t="shared" ref="N643:N706" si="20">3.14/4*((L643/100)^2)</f>
        <v>7.054826400000002E-3</v>
      </c>
      <c r="O643" s="4">
        <f t="shared" ref="O643:O706" si="21">3.14/4*((L643/100)^2)*M643</f>
        <v>4.3457730624000011E-2</v>
      </c>
      <c r="P643">
        <v>50</v>
      </c>
      <c r="Q643">
        <v>2</v>
      </c>
      <c r="R643">
        <v>1.8</v>
      </c>
      <c r="S643">
        <v>2.5</v>
      </c>
      <c r="T643">
        <v>3</v>
      </c>
      <c r="U643">
        <v>2.5</v>
      </c>
      <c r="V643" t="s">
        <v>30</v>
      </c>
    </row>
    <row r="644" spans="1:22" hidden="1" x14ac:dyDescent="0.25">
      <c r="A644" t="s">
        <v>93</v>
      </c>
      <c r="B644">
        <v>1</v>
      </c>
      <c r="C644" t="s">
        <v>66</v>
      </c>
      <c r="D644" t="s">
        <v>67</v>
      </c>
      <c r="E644" t="s">
        <v>68</v>
      </c>
      <c r="F644">
        <v>180</v>
      </c>
      <c r="G644">
        <v>1080</v>
      </c>
      <c r="H644">
        <v>-3</v>
      </c>
      <c r="I644">
        <v>1981</v>
      </c>
      <c r="J644" t="s">
        <v>35</v>
      </c>
      <c r="K644">
        <v>1785</v>
      </c>
      <c r="L644">
        <v>10.24</v>
      </c>
      <c r="M644">
        <v>6.95</v>
      </c>
      <c r="N644" s="4">
        <f t="shared" si="20"/>
        <v>8.2313216000000008E-3</v>
      </c>
      <c r="O644" s="4">
        <f t="shared" si="21"/>
        <v>5.7207685120000004E-2</v>
      </c>
      <c r="P644">
        <v>46</v>
      </c>
      <c r="Q644">
        <v>2</v>
      </c>
      <c r="R644">
        <v>2</v>
      </c>
      <c r="S644">
        <v>3</v>
      </c>
      <c r="T644">
        <v>4</v>
      </c>
      <c r="U644">
        <v>3</v>
      </c>
      <c r="V644" t="s">
        <v>30</v>
      </c>
    </row>
    <row r="645" spans="1:22" hidden="1" x14ac:dyDescent="0.25">
      <c r="A645" t="s">
        <v>93</v>
      </c>
      <c r="B645">
        <v>3</v>
      </c>
      <c r="C645" t="s">
        <v>66</v>
      </c>
      <c r="D645" t="s">
        <v>67</v>
      </c>
      <c r="E645" t="s">
        <v>68</v>
      </c>
      <c r="F645">
        <v>180</v>
      </c>
      <c r="G645">
        <v>1080</v>
      </c>
      <c r="H645">
        <v>-3</v>
      </c>
      <c r="I645">
        <v>1981</v>
      </c>
      <c r="J645" t="s">
        <v>76</v>
      </c>
      <c r="K645">
        <v>1592</v>
      </c>
      <c r="L645">
        <v>14.22</v>
      </c>
      <c r="M645">
        <v>11.45</v>
      </c>
      <c r="N645" s="4">
        <f t="shared" si="20"/>
        <v>1.5873359399999998E-2</v>
      </c>
      <c r="O645" s="4">
        <f t="shared" si="21"/>
        <v>0.18174996512999997</v>
      </c>
      <c r="P645">
        <v>35</v>
      </c>
      <c r="Q645">
        <v>3</v>
      </c>
      <c r="R645">
        <v>3</v>
      </c>
      <c r="S645">
        <v>3</v>
      </c>
      <c r="T645">
        <v>4</v>
      </c>
      <c r="U645">
        <v>3</v>
      </c>
      <c r="V645" t="s">
        <v>25</v>
      </c>
    </row>
    <row r="646" spans="1:22" hidden="1" x14ac:dyDescent="0.25">
      <c r="A646" t="s">
        <v>93</v>
      </c>
      <c r="B646">
        <v>3</v>
      </c>
      <c r="C646" t="s">
        <v>66</v>
      </c>
      <c r="D646" t="s">
        <v>67</v>
      </c>
      <c r="E646" t="s">
        <v>68</v>
      </c>
      <c r="F646">
        <v>180</v>
      </c>
      <c r="G646">
        <v>1080</v>
      </c>
      <c r="H646">
        <v>-3</v>
      </c>
      <c r="I646">
        <v>1981</v>
      </c>
      <c r="J646" t="s">
        <v>76</v>
      </c>
      <c r="K646">
        <v>2560</v>
      </c>
      <c r="L646">
        <v>9.16</v>
      </c>
      <c r="M646">
        <v>7.23</v>
      </c>
      <c r="N646" s="4">
        <f t="shared" si="20"/>
        <v>6.5865896000000005E-3</v>
      </c>
      <c r="O646" s="4">
        <f t="shared" si="21"/>
        <v>4.7621042808000009E-2</v>
      </c>
      <c r="P646">
        <v>17</v>
      </c>
      <c r="Q646">
        <v>3</v>
      </c>
      <c r="R646">
        <v>4</v>
      </c>
      <c r="S646">
        <v>3</v>
      </c>
      <c r="T646">
        <v>4</v>
      </c>
      <c r="U646">
        <v>4</v>
      </c>
      <c r="V646" t="s">
        <v>38</v>
      </c>
    </row>
    <row r="647" spans="1:22" hidden="1" x14ac:dyDescent="0.25">
      <c r="A647" t="s">
        <v>93</v>
      </c>
      <c r="B647">
        <v>3</v>
      </c>
      <c r="C647" t="s">
        <v>66</v>
      </c>
      <c r="D647" t="s">
        <v>67</v>
      </c>
      <c r="E647" t="s">
        <v>68</v>
      </c>
      <c r="F647">
        <v>180</v>
      </c>
      <c r="G647">
        <v>1080</v>
      </c>
      <c r="H647">
        <v>-3</v>
      </c>
      <c r="I647">
        <v>1981</v>
      </c>
      <c r="J647" t="s">
        <v>56</v>
      </c>
      <c r="K647">
        <v>1111</v>
      </c>
      <c r="L647">
        <v>6.92</v>
      </c>
      <c r="M647">
        <v>4.54</v>
      </c>
      <c r="N647" s="4">
        <f t="shared" si="20"/>
        <v>3.7590823999999997E-3</v>
      </c>
      <c r="O647" s="4">
        <f t="shared" si="21"/>
        <v>1.7066234095999999E-2</v>
      </c>
      <c r="P647">
        <v>48</v>
      </c>
      <c r="Q647">
        <v>3</v>
      </c>
      <c r="R647">
        <v>3</v>
      </c>
      <c r="S647">
        <v>2.5</v>
      </c>
      <c r="T647">
        <v>2</v>
      </c>
      <c r="U647">
        <v>2</v>
      </c>
      <c r="V647" t="s">
        <v>38</v>
      </c>
    </row>
    <row r="648" spans="1:22" hidden="1" x14ac:dyDescent="0.25">
      <c r="A648" t="s">
        <v>93</v>
      </c>
      <c r="B648">
        <v>3</v>
      </c>
      <c r="C648" t="s">
        <v>66</v>
      </c>
      <c r="D648" t="s">
        <v>67</v>
      </c>
      <c r="E648" t="s">
        <v>68</v>
      </c>
      <c r="F648">
        <v>180</v>
      </c>
      <c r="G648">
        <v>1080</v>
      </c>
      <c r="H648">
        <v>-3</v>
      </c>
      <c r="I648">
        <v>1981</v>
      </c>
      <c r="J648" t="s">
        <v>24</v>
      </c>
      <c r="K648">
        <v>2562</v>
      </c>
      <c r="L648">
        <v>8.83</v>
      </c>
      <c r="M648">
        <v>8.6</v>
      </c>
      <c r="N648" s="4">
        <f t="shared" si="20"/>
        <v>6.1205586500000008E-3</v>
      </c>
      <c r="O648" s="4">
        <f t="shared" si="21"/>
        <v>5.2636804390000007E-2</v>
      </c>
      <c r="P648">
        <v>63</v>
      </c>
      <c r="Q648">
        <v>3</v>
      </c>
      <c r="R648">
        <v>3.5</v>
      </c>
      <c r="S648">
        <v>3.5</v>
      </c>
      <c r="T648">
        <v>3.5</v>
      </c>
      <c r="U648">
        <v>3</v>
      </c>
      <c r="V648" t="s">
        <v>38</v>
      </c>
    </row>
    <row r="649" spans="1:22" hidden="1" x14ac:dyDescent="0.25">
      <c r="A649" t="s">
        <v>93</v>
      </c>
      <c r="B649">
        <v>3</v>
      </c>
      <c r="C649" t="s">
        <v>66</v>
      </c>
      <c r="D649" t="s">
        <v>67</v>
      </c>
      <c r="E649" t="s">
        <v>68</v>
      </c>
      <c r="F649">
        <v>180</v>
      </c>
      <c r="G649">
        <v>1080</v>
      </c>
      <c r="H649">
        <v>-3</v>
      </c>
      <c r="I649">
        <v>1981</v>
      </c>
      <c r="J649" t="s">
        <v>59</v>
      </c>
      <c r="K649">
        <v>2426</v>
      </c>
      <c r="L649">
        <v>17.420000000000002</v>
      </c>
      <c r="M649">
        <v>9.01</v>
      </c>
      <c r="N649" s="4">
        <f t="shared" si="20"/>
        <v>2.3821327400000005E-2</v>
      </c>
      <c r="O649" s="4">
        <f t="shared" si="21"/>
        <v>0.21463015987400005</v>
      </c>
      <c r="P649">
        <v>45</v>
      </c>
      <c r="Q649">
        <v>4.5</v>
      </c>
      <c r="R649">
        <v>4.5</v>
      </c>
      <c r="S649">
        <v>3</v>
      </c>
      <c r="T649">
        <v>2</v>
      </c>
      <c r="U649">
        <v>1.5</v>
      </c>
      <c r="V649" t="s">
        <v>27</v>
      </c>
    </row>
    <row r="650" spans="1:22" hidden="1" x14ac:dyDescent="0.25">
      <c r="A650" t="s">
        <v>93</v>
      </c>
      <c r="B650">
        <v>3</v>
      </c>
      <c r="C650" t="s">
        <v>66</v>
      </c>
      <c r="D650" t="s">
        <v>67</v>
      </c>
      <c r="E650" t="s">
        <v>68</v>
      </c>
      <c r="F650">
        <v>180</v>
      </c>
      <c r="G650">
        <v>1080</v>
      </c>
      <c r="H650">
        <v>-3</v>
      </c>
      <c r="I650">
        <v>1981</v>
      </c>
      <c r="J650" t="s">
        <v>59</v>
      </c>
      <c r="K650">
        <v>2548</v>
      </c>
      <c r="L650">
        <v>13.04</v>
      </c>
      <c r="M650">
        <v>9.36</v>
      </c>
      <c r="N650" s="4">
        <f t="shared" si="20"/>
        <v>1.3348265599999999E-2</v>
      </c>
      <c r="O650" s="4">
        <f t="shared" si="21"/>
        <v>0.12493976601599999</v>
      </c>
      <c r="P650">
        <v>55</v>
      </c>
      <c r="Q650">
        <v>4</v>
      </c>
      <c r="R650">
        <v>4</v>
      </c>
      <c r="S650">
        <v>3</v>
      </c>
      <c r="T650">
        <v>2.5</v>
      </c>
      <c r="U650">
        <v>2</v>
      </c>
      <c r="V650" t="s">
        <v>25</v>
      </c>
    </row>
    <row r="651" spans="1:22" hidden="1" x14ac:dyDescent="0.25">
      <c r="A651" t="s">
        <v>93</v>
      </c>
      <c r="B651">
        <v>3</v>
      </c>
      <c r="C651" t="s">
        <v>66</v>
      </c>
      <c r="D651" t="s">
        <v>67</v>
      </c>
      <c r="E651" t="s">
        <v>68</v>
      </c>
      <c r="F651">
        <v>180</v>
      </c>
      <c r="G651">
        <v>1080</v>
      </c>
      <c r="H651">
        <v>-3</v>
      </c>
      <c r="I651">
        <v>1981</v>
      </c>
      <c r="J651" t="s">
        <v>32</v>
      </c>
      <c r="K651">
        <v>1596</v>
      </c>
      <c r="L651">
        <v>17.27</v>
      </c>
      <c r="M651">
        <v>9.01</v>
      </c>
      <c r="N651" s="4">
        <f t="shared" si="20"/>
        <v>2.341285265E-2</v>
      </c>
      <c r="O651" s="4">
        <f t="shared" si="21"/>
        <v>0.21094980237649999</v>
      </c>
      <c r="P651">
        <v>48</v>
      </c>
      <c r="Q651">
        <v>3.5</v>
      </c>
      <c r="R651">
        <v>3</v>
      </c>
      <c r="S651">
        <v>3.3</v>
      </c>
      <c r="T651">
        <v>4</v>
      </c>
      <c r="U651">
        <v>3</v>
      </c>
      <c r="V651" t="s">
        <v>27</v>
      </c>
    </row>
    <row r="652" spans="1:22" hidden="1" x14ac:dyDescent="0.25">
      <c r="A652" t="s">
        <v>93</v>
      </c>
      <c r="B652">
        <v>3</v>
      </c>
      <c r="C652" t="s">
        <v>66</v>
      </c>
      <c r="D652" t="s">
        <v>67</v>
      </c>
      <c r="E652" t="s">
        <v>68</v>
      </c>
      <c r="F652">
        <v>180</v>
      </c>
      <c r="G652">
        <v>1080</v>
      </c>
      <c r="H652">
        <v>-3</v>
      </c>
      <c r="I652">
        <v>1981</v>
      </c>
      <c r="J652" t="s">
        <v>32</v>
      </c>
      <c r="K652">
        <v>2634</v>
      </c>
      <c r="L652">
        <v>11.84</v>
      </c>
      <c r="M652">
        <v>9.1300000000000008</v>
      </c>
      <c r="N652" s="4">
        <f t="shared" si="20"/>
        <v>1.1004569600000002E-2</v>
      </c>
      <c r="O652" s="4">
        <f t="shared" si="21"/>
        <v>0.10047172044800003</v>
      </c>
      <c r="P652">
        <v>18</v>
      </c>
      <c r="Q652">
        <v>2.5</v>
      </c>
      <c r="R652">
        <v>3.5</v>
      </c>
      <c r="S652">
        <v>2.5</v>
      </c>
      <c r="T652">
        <v>3.5</v>
      </c>
      <c r="U652">
        <v>3</v>
      </c>
      <c r="V652" t="s">
        <v>38</v>
      </c>
    </row>
    <row r="653" spans="1:22" hidden="1" x14ac:dyDescent="0.25">
      <c r="A653" t="s">
        <v>93</v>
      </c>
      <c r="B653">
        <v>3</v>
      </c>
      <c r="C653" t="s">
        <v>66</v>
      </c>
      <c r="D653" t="s">
        <v>67</v>
      </c>
      <c r="E653" t="s">
        <v>68</v>
      </c>
      <c r="F653">
        <v>180</v>
      </c>
      <c r="G653">
        <v>1080</v>
      </c>
      <c r="H653">
        <v>-3</v>
      </c>
      <c r="I653">
        <v>1981</v>
      </c>
      <c r="J653" t="s">
        <v>35</v>
      </c>
      <c r="K653">
        <v>1788</v>
      </c>
      <c r="L653">
        <v>9.5399999999999991</v>
      </c>
      <c r="M653">
        <v>6.83</v>
      </c>
      <c r="N653" s="4">
        <f t="shared" si="20"/>
        <v>7.1444105999999979E-3</v>
      </c>
      <c r="O653" s="4">
        <f t="shared" si="21"/>
        <v>4.8796324397999989E-2</v>
      </c>
      <c r="P653">
        <v>13</v>
      </c>
      <c r="Q653">
        <v>2.5</v>
      </c>
      <c r="R653">
        <v>1.8</v>
      </c>
      <c r="S653">
        <v>2.5</v>
      </c>
      <c r="T653">
        <v>4</v>
      </c>
      <c r="U653">
        <v>3</v>
      </c>
      <c r="V653" t="s">
        <v>38</v>
      </c>
    </row>
    <row r="654" spans="1:22" hidden="1" x14ac:dyDescent="0.25">
      <c r="A654" t="s">
        <v>93</v>
      </c>
      <c r="B654">
        <v>3</v>
      </c>
      <c r="C654" t="s">
        <v>66</v>
      </c>
      <c r="D654" t="s">
        <v>67</v>
      </c>
      <c r="E654" t="s">
        <v>68</v>
      </c>
      <c r="F654">
        <v>180</v>
      </c>
      <c r="G654">
        <v>1080</v>
      </c>
      <c r="H654">
        <v>-3</v>
      </c>
      <c r="I654">
        <v>1981</v>
      </c>
      <c r="J654" t="s">
        <v>35</v>
      </c>
      <c r="K654">
        <v>1785</v>
      </c>
      <c r="L654">
        <v>7.89</v>
      </c>
      <c r="M654">
        <v>5.65</v>
      </c>
      <c r="N654" s="4">
        <f t="shared" si="20"/>
        <v>4.88678985E-3</v>
      </c>
      <c r="O654" s="4">
        <f t="shared" si="21"/>
        <v>2.7610362652500001E-2</v>
      </c>
      <c r="P654">
        <v>45</v>
      </c>
      <c r="Q654">
        <v>2.5</v>
      </c>
      <c r="R654">
        <v>2</v>
      </c>
      <c r="S654">
        <v>3</v>
      </c>
      <c r="T654">
        <v>3.3</v>
      </c>
      <c r="U654">
        <v>2.5</v>
      </c>
      <c r="V654" t="s">
        <v>38</v>
      </c>
    </row>
    <row r="655" spans="1:22" hidden="1" x14ac:dyDescent="0.25">
      <c r="A655" t="s">
        <v>93</v>
      </c>
      <c r="B655">
        <v>3</v>
      </c>
      <c r="C655" t="s">
        <v>66</v>
      </c>
      <c r="D655" t="s">
        <v>67</v>
      </c>
      <c r="E655" t="s">
        <v>68</v>
      </c>
      <c r="F655">
        <v>180</v>
      </c>
      <c r="G655">
        <v>1080</v>
      </c>
      <c r="H655">
        <v>-3</v>
      </c>
      <c r="I655">
        <v>1981</v>
      </c>
      <c r="J655" t="s">
        <v>35</v>
      </c>
      <c r="K655">
        <v>2571</v>
      </c>
      <c r="L655">
        <v>12.72</v>
      </c>
      <c r="M655">
        <v>10.6</v>
      </c>
      <c r="N655" s="4">
        <f t="shared" si="20"/>
        <v>1.2701174400000001E-2</v>
      </c>
      <c r="O655" s="4">
        <f t="shared" si="21"/>
        <v>0.13463244864000001</v>
      </c>
      <c r="P655">
        <v>37</v>
      </c>
      <c r="Q655">
        <v>3</v>
      </c>
      <c r="R655">
        <v>2</v>
      </c>
      <c r="S655">
        <v>3.5</v>
      </c>
      <c r="T655">
        <v>4.5</v>
      </c>
      <c r="U655">
        <v>4.3</v>
      </c>
      <c r="V655" t="s">
        <v>27</v>
      </c>
    </row>
    <row r="656" spans="1:22" hidden="1" x14ac:dyDescent="0.25">
      <c r="A656" t="s">
        <v>93</v>
      </c>
      <c r="B656">
        <v>3</v>
      </c>
      <c r="C656" t="s">
        <v>66</v>
      </c>
      <c r="D656" t="s">
        <v>67</v>
      </c>
      <c r="E656" t="s">
        <v>68</v>
      </c>
      <c r="F656">
        <v>180</v>
      </c>
      <c r="G656">
        <v>1080</v>
      </c>
      <c r="H656">
        <v>-3</v>
      </c>
      <c r="I656">
        <v>1981</v>
      </c>
      <c r="J656" t="s">
        <v>35</v>
      </c>
      <c r="K656">
        <v>2622</v>
      </c>
      <c r="L656">
        <v>11.07</v>
      </c>
      <c r="M656">
        <v>8.9499999999999993</v>
      </c>
      <c r="N656" s="4">
        <f t="shared" si="20"/>
        <v>9.6197746500000011E-3</v>
      </c>
      <c r="O656" s="4">
        <f t="shared" si="21"/>
        <v>8.6096983117499998E-2</v>
      </c>
      <c r="P656">
        <v>70</v>
      </c>
      <c r="Q656">
        <v>3</v>
      </c>
      <c r="R656">
        <v>2</v>
      </c>
      <c r="S656">
        <v>2.5</v>
      </c>
      <c r="T656">
        <v>4</v>
      </c>
      <c r="U656">
        <v>3</v>
      </c>
      <c r="V656" t="s">
        <v>25</v>
      </c>
    </row>
    <row r="657" spans="1:22" hidden="1" x14ac:dyDescent="0.25">
      <c r="A657" t="s">
        <v>93</v>
      </c>
      <c r="B657">
        <v>3</v>
      </c>
      <c r="C657" t="s">
        <v>66</v>
      </c>
      <c r="D657" t="s">
        <v>67</v>
      </c>
      <c r="E657" t="s">
        <v>68</v>
      </c>
      <c r="F657">
        <v>180</v>
      </c>
      <c r="G657">
        <v>1080</v>
      </c>
      <c r="H657">
        <v>-3</v>
      </c>
      <c r="I657">
        <v>1981</v>
      </c>
      <c r="J657" t="s">
        <v>62</v>
      </c>
      <c r="K657">
        <v>2431</v>
      </c>
      <c r="L657">
        <v>10.25</v>
      </c>
      <c r="M657">
        <v>10.02</v>
      </c>
      <c r="N657" s="4">
        <f t="shared" si="20"/>
        <v>8.2474062499999987E-3</v>
      </c>
      <c r="O657" s="4">
        <f t="shared" si="21"/>
        <v>8.2639010624999981E-2</v>
      </c>
      <c r="P657">
        <v>36</v>
      </c>
      <c r="Q657">
        <v>3</v>
      </c>
      <c r="R657">
        <v>3</v>
      </c>
      <c r="S657">
        <v>4</v>
      </c>
      <c r="T657">
        <v>4.5</v>
      </c>
      <c r="U657">
        <v>3.5</v>
      </c>
      <c r="V657" t="s">
        <v>38</v>
      </c>
    </row>
    <row r="658" spans="1:22" hidden="1" x14ac:dyDescent="0.25">
      <c r="A658" t="s">
        <v>93</v>
      </c>
      <c r="B658">
        <v>3</v>
      </c>
      <c r="C658" t="s">
        <v>66</v>
      </c>
      <c r="D658" t="s">
        <v>67</v>
      </c>
      <c r="E658" t="s">
        <v>68</v>
      </c>
      <c r="F658">
        <v>180</v>
      </c>
      <c r="G658">
        <v>1080</v>
      </c>
      <c r="H658">
        <v>-3</v>
      </c>
      <c r="I658">
        <v>1981</v>
      </c>
      <c r="J658" t="s">
        <v>62</v>
      </c>
      <c r="K658">
        <v>2432</v>
      </c>
      <c r="L658">
        <v>14.46</v>
      </c>
      <c r="M658">
        <v>11.73</v>
      </c>
      <c r="N658" s="4">
        <f t="shared" si="20"/>
        <v>1.6413690600000003E-2</v>
      </c>
      <c r="O658" s="4">
        <f t="shared" si="21"/>
        <v>0.19253259073800003</v>
      </c>
      <c r="P658">
        <v>60</v>
      </c>
      <c r="Q658">
        <v>4.5</v>
      </c>
      <c r="R658">
        <v>4</v>
      </c>
      <c r="S658">
        <v>3.5</v>
      </c>
      <c r="T658">
        <v>3.5</v>
      </c>
      <c r="U658">
        <v>2.5</v>
      </c>
      <c r="V658" t="s">
        <v>27</v>
      </c>
    </row>
    <row r="659" spans="1:22" hidden="1" x14ac:dyDescent="0.25">
      <c r="A659" t="s">
        <v>93</v>
      </c>
      <c r="B659">
        <v>3</v>
      </c>
      <c r="C659" t="s">
        <v>66</v>
      </c>
      <c r="D659" t="s">
        <v>67</v>
      </c>
      <c r="E659" t="s">
        <v>68</v>
      </c>
      <c r="F659">
        <v>180</v>
      </c>
      <c r="G659">
        <v>1080</v>
      </c>
      <c r="H659">
        <v>-3</v>
      </c>
      <c r="I659">
        <v>1981</v>
      </c>
      <c r="J659" t="s">
        <v>62</v>
      </c>
      <c r="K659">
        <v>2550</v>
      </c>
      <c r="L659">
        <v>15.37</v>
      </c>
      <c r="M659">
        <v>10.82</v>
      </c>
      <c r="N659" s="4">
        <f t="shared" si="20"/>
        <v>1.8544596650000002E-2</v>
      </c>
      <c r="O659" s="4">
        <f t="shared" si="21"/>
        <v>0.20065253575300002</v>
      </c>
      <c r="P659">
        <v>13</v>
      </c>
      <c r="Q659">
        <v>3</v>
      </c>
      <c r="R659">
        <v>2.7</v>
      </c>
      <c r="S659">
        <v>3.5</v>
      </c>
      <c r="T659">
        <v>3.5</v>
      </c>
      <c r="U659">
        <v>3</v>
      </c>
      <c r="V659" t="s">
        <v>38</v>
      </c>
    </row>
    <row r="660" spans="1:22" hidden="1" x14ac:dyDescent="0.25">
      <c r="A660" t="s">
        <v>93</v>
      </c>
      <c r="B660">
        <v>3</v>
      </c>
      <c r="C660" t="s">
        <v>66</v>
      </c>
      <c r="D660" t="s">
        <v>67</v>
      </c>
      <c r="E660" t="s">
        <v>68</v>
      </c>
      <c r="F660">
        <v>180</v>
      </c>
      <c r="G660">
        <v>1080</v>
      </c>
      <c r="H660">
        <v>-3</v>
      </c>
      <c r="I660">
        <v>1981</v>
      </c>
      <c r="J660" t="s">
        <v>62</v>
      </c>
      <c r="K660">
        <v>2553</v>
      </c>
      <c r="L660">
        <v>11.96</v>
      </c>
      <c r="M660">
        <v>9.91</v>
      </c>
      <c r="N660" s="4">
        <f t="shared" si="20"/>
        <v>1.1228765600000003E-2</v>
      </c>
      <c r="O660" s="4">
        <f t="shared" si="21"/>
        <v>0.11127706709600003</v>
      </c>
      <c r="P660">
        <v>33</v>
      </c>
      <c r="Q660">
        <v>4</v>
      </c>
      <c r="R660">
        <v>4</v>
      </c>
      <c r="S660">
        <v>4</v>
      </c>
      <c r="T660">
        <v>4</v>
      </c>
      <c r="U660">
        <v>4</v>
      </c>
      <c r="V660" t="s">
        <v>25</v>
      </c>
    </row>
    <row r="661" spans="1:22" hidden="1" x14ac:dyDescent="0.25">
      <c r="A661" t="s">
        <v>93</v>
      </c>
      <c r="B661">
        <v>3</v>
      </c>
      <c r="C661" t="s">
        <v>66</v>
      </c>
      <c r="D661" t="s">
        <v>67</v>
      </c>
      <c r="E661" t="s">
        <v>68</v>
      </c>
      <c r="F661">
        <v>180</v>
      </c>
      <c r="G661">
        <v>1080</v>
      </c>
      <c r="H661">
        <v>-3</v>
      </c>
      <c r="I661">
        <v>1981</v>
      </c>
      <c r="J661" t="s">
        <v>62</v>
      </c>
      <c r="K661">
        <v>2574</v>
      </c>
      <c r="L661">
        <v>12.41</v>
      </c>
      <c r="M661">
        <v>9.68</v>
      </c>
      <c r="N661" s="4">
        <f t="shared" si="20"/>
        <v>1.2089635850000001E-2</v>
      </c>
      <c r="O661" s="4">
        <f t="shared" si="21"/>
        <v>0.117027675028</v>
      </c>
      <c r="P661">
        <v>67</v>
      </c>
      <c r="Q661">
        <v>4</v>
      </c>
      <c r="R661">
        <v>4</v>
      </c>
      <c r="S661">
        <v>3.5</v>
      </c>
      <c r="T661">
        <v>4</v>
      </c>
      <c r="U661">
        <v>3</v>
      </c>
      <c r="V661" t="s">
        <v>25</v>
      </c>
    </row>
    <row r="662" spans="1:22" hidden="1" x14ac:dyDescent="0.25">
      <c r="A662" t="s">
        <v>93</v>
      </c>
      <c r="B662">
        <v>3</v>
      </c>
      <c r="C662" t="s">
        <v>66</v>
      </c>
      <c r="D662" t="s">
        <v>67</v>
      </c>
      <c r="E662" t="s">
        <v>68</v>
      </c>
      <c r="F662">
        <v>180</v>
      </c>
      <c r="G662">
        <v>1080</v>
      </c>
      <c r="H662">
        <v>-3</v>
      </c>
      <c r="I662">
        <v>1981</v>
      </c>
      <c r="J662" t="s">
        <v>37</v>
      </c>
      <c r="K662">
        <v>2575</v>
      </c>
      <c r="L662">
        <v>7.94</v>
      </c>
      <c r="M662">
        <v>6.16</v>
      </c>
      <c r="N662" s="4">
        <f t="shared" si="20"/>
        <v>4.9489225999999999E-3</v>
      </c>
      <c r="O662" s="4">
        <f t="shared" si="21"/>
        <v>3.0485363216000001E-2</v>
      </c>
      <c r="P662">
        <v>51</v>
      </c>
      <c r="Q662">
        <v>2.5</v>
      </c>
      <c r="R662">
        <v>2</v>
      </c>
      <c r="S662">
        <v>2.5</v>
      </c>
      <c r="T662">
        <v>4.5</v>
      </c>
      <c r="U662">
        <v>4</v>
      </c>
      <c r="V662" t="s">
        <v>38</v>
      </c>
    </row>
    <row r="663" spans="1:22" hidden="1" x14ac:dyDescent="0.25">
      <c r="A663" t="s">
        <v>93</v>
      </c>
      <c r="B663">
        <v>3</v>
      </c>
      <c r="C663" t="s">
        <v>66</v>
      </c>
      <c r="D663" t="s">
        <v>67</v>
      </c>
      <c r="E663" t="s">
        <v>68</v>
      </c>
      <c r="F663">
        <v>180</v>
      </c>
      <c r="G663">
        <v>1080</v>
      </c>
      <c r="H663">
        <v>-3</v>
      </c>
      <c r="I663">
        <v>1981</v>
      </c>
      <c r="J663" t="s">
        <v>57</v>
      </c>
      <c r="K663">
        <v>2621</v>
      </c>
      <c r="L663">
        <v>5.98</v>
      </c>
      <c r="M663">
        <v>4.03</v>
      </c>
      <c r="N663" s="4">
        <f t="shared" si="20"/>
        <v>2.8071914000000007E-3</v>
      </c>
      <c r="O663" s="4">
        <f t="shared" si="21"/>
        <v>1.1312981342000003E-2</v>
      </c>
      <c r="P663">
        <v>43</v>
      </c>
      <c r="Q663">
        <v>2.5</v>
      </c>
      <c r="R663">
        <v>2</v>
      </c>
      <c r="S663">
        <v>3.3</v>
      </c>
      <c r="T663">
        <v>4</v>
      </c>
      <c r="U663">
        <v>3.5</v>
      </c>
      <c r="V663" t="s">
        <v>38</v>
      </c>
    </row>
    <row r="664" spans="1:22" hidden="1" x14ac:dyDescent="0.25">
      <c r="A664" t="s">
        <v>94</v>
      </c>
      <c r="B664">
        <v>1</v>
      </c>
      <c r="C664" t="s">
        <v>21</v>
      </c>
      <c r="D664" t="s">
        <v>95</v>
      </c>
      <c r="E664" t="s">
        <v>96</v>
      </c>
      <c r="F664">
        <v>150</v>
      </c>
      <c r="G664">
        <v>900</v>
      </c>
      <c r="H664">
        <v>-2</v>
      </c>
      <c r="I664">
        <v>1986</v>
      </c>
      <c r="J664" t="s">
        <v>76</v>
      </c>
      <c r="K664">
        <v>3266</v>
      </c>
      <c r="L664">
        <v>21.86</v>
      </c>
      <c r="M664">
        <v>10</v>
      </c>
      <c r="N664" s="4">
        <f t="shared" si="20"/>
        <v>3.7511978599999996E-2</v>
      </c>
      <c r="O664" s="4">
        <f t="shared" si="21"/>
        <v>0.37511978599999996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50</v>
      </c>
    </row>
    <row r="665" spans="1:22" hidden="1" x14ac:dyDescent="0.25">
      <c r="A665" t="s">
        <v>94</v>
      </c>
      <c r="B665">
        <v>1</v>
      </c>
      <c r="C665" t="s">
        <v>21</v>
      </c>
      <c r="D665" t="s">
        <v>95</v>
      </c>
      <c r="E665" t="s">
        <v>96</v>
      </c>
      <c r="F665">
        <v>150</v>
      </c>
      <c r="G665">
        <v>900</v>
      </c>
      <c r="H665">
        <v>-2</v>
      </c>
      <c r="I665">
        <v>1986</v>
      </c>
      <c r="J665" t="s">
        <v>76</v>
      </c>
      <c r="K665">
        <v>3267</v>
      </c>
      <c r="L665">
        <v>33.65</v>
      </c>
      <c r="M665">
        <v>15.36</v>
      </c>
      <c r="N665" s="4">
        <f t="shared" si="20"/>
        <v>8.8887316249999987E-2</v>
      </c>
      <c r="O665" s="4">
        <f t="shared" si="21"/>
        <v>1.3653091775999997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50</v>
      </c>
    </row>
    <row r="666" spans="1:22" hidden="1" x14ac:dyDescent="0.25">
      <c r="A666" t="s">
        <v>94</v>
      </c>
      <c r="B666">
        <v>1</v>
      </c>
      <c r="C666" t="s">
        <v>21</v>
      </c>
      <c r="D666" t="s">
        <v>95</v>
      </c>
      <c r="E666" t="s">
        <v>96</v>
      </c>
      <c r="F666">
        <v>150</v>
      </c>
      <c r="G666">
        <v>900</v>
      </c>
      <c r="H666">
        <v>-2</v>
      </c>
      <c r="I666">
        <v>1986</v>
      </c>
      <c r="J666" t="s">
        <v>76</v>
      </c>
      <c r="K666">
        <v>3268</v>
      </c>
      <c r="L666">
        <v>18.010000000000002</v>
      </c>
      <c r="M666">
        <v>3.26</v>
      </c>
      <c r="N666" s="4">
        <f t="shared" si="20"/>
        <v>2.5462267850000001E-2</v>
      </c>
      <c r="O666" s="4">
        <f t="shared" si="21"/>
        <v>8.3006993190999995E-2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50</v>
      </c>
    </row>
    <row r="667" spans="1:22" hidden="1" x14ac:dyDescent="0.25">
      <c r="A667" t="s">
        <v>94</v>
      </c>
      <c r="B667">
        <v>1</v>
      </c>
      <c r="C667" t="s">
        <v>21</v>
      </c>
      <c r="D667" t="s">
        <v>95</v>
      </c>
      <c r="E667" t="s">
        <v>96</v>
      </c>
      <c r="F667">
        <v>150</v>
      </c>
      <c r="G667">
        <v>900</v>
      </c>
      <c r="H667">
        <v>-2</v>
      </c>
      <c r="I667">
        <v>1986</v>
      </c>
      <c r="J667" t="s">
        <v>76</v>
      </c>
      <c r="K667">
        <v>3269</v>
      </c>
      <c r="L667">
        <v>24.72</v>
      </c>
      <c r="M667">
        <v>11.29</v>
      </c>
      <c r="N667" s="4">
        <f t="shared" si="20"/>
        <v>4.7969654399999992E-2</v>
      </c>
      <c r="O667" s="4">
        <f t="shared" si="21"/>
        <v>0.54157739817599981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50</v>
      </c>
    </row>
    <row r="668" spans="1:22" hidden="1" x14ac:dyDescent="0.25">
      <c r="A668" t="s">
        <v>94</v>
      </c>
      <c r="B668">
        <v>1</v>
      </c>
      <c r="C668" t="s">
        <v>21</v>
      </c>
      <c r="D668" t="s">
        <v>95</v>
      </c>
      <c r="E668" t="s">
        <v>96</v>
      </c>
      <c r="F668">
        <v>150</v>
      </c>
      <c r="G668">
        <v>900</v>
      </c>
      <c r="H668">
        <v>-2</v>
      </c>
      <c r="I668">
        <v>1986</v>
      </c>
      <c r="J668" t="s">
        <v>76</v>
      </c>
      <c r="K668">
        <v>2770</v>
      </c>
      <c r="L668">
        <v>20.85</v>
      </c>
      <c r="M668">
        <v>9.52</v>
      </c>
      <c r="N668" s="4">
        <f t="shared" si="20"/>
        <v>3.4125716250000007E-2</v>
      </c>
      <c r="O668" s="4">
        <f t="shared" si="21"/>
        <v>0.32487681870000007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50</v>
      </c>
    </row>
    <row r="669" spans="1:22" hidden="1" x14ac:dyDescent="0.25">
      <c r="A669" t="s">
        <v>94</v>
      </c>
      <c r="B669">
        <v>1</v>
      </c>
      <c r="C669" t="s">
        <v>21</v>
      </c>
      <c r="D669" t="s">
        <v>95</v>
      </c>
      <c r="E669" t="s">
        <v>96</v>
      </c>
      <c r="F669">
        <v>150</v>
      </c>
      <c r="G669">
        <v>900</v>
      </c>
      <c r="H669">
        <v>-2</v>
      </c>
      <c r="I669">
        <v>1986</v>
      </c>
      <c r="J669" t="s">
        <v>76</v>
      </c>
      <c r="K669">
        <v>2460</v>
      </c>
      <c r="L669">
        <v>29.6</v>
      </c>
      <c r="M669">
        <v>13.52</v>
      </c>
      <c r="N669" s="4">
        <f t="shared" si="20"/>
        <v>6.877856000000003E-2</v>
      </c>
      <c r="O669" s="4">
        <f t="shared" si="21"/>
        <v>0.92988613120000041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50</v>
      </c>
    </row>
    <row r="670" spans="1:22" hidden="1" x14ac:dyDescent="0.25">
      <c r="A670" t="s">
        <v>94</v>
      </c>
      <c r="B670">
        <v>1</v>
      </c>
      <c r="C670" t="s">
        <v>21</v>
      </c>
      <c r="D670" t="s">
        <v>95</v>
      </c>
      <c r="E670" t="s">
        <v>96</v>
      </c>
      <c r="F670">
        <v>150</v>
      </c>
      <c r="G670">
        <v>900</v>
      </c>
      <c r="H670">
        <v>-2</v>
      </c>
      <c r="I670">
        <v>1986</v>
      </c>
      <c r="J670" t="s">
        <v>24</v>
      </c>
      <c r="K670">
        <v>2562</v>
      </c>
      <c r="L670">
        <v>40.44</v>
      </c>
      <c r="M670">
        <v>17.059999999999999</v>
      </c>
      <c r="N670" s="4">
        <f t="shared" si="20"/>
        <v>0.1283783976</v>
      </c>
      <c r="O670" s="4">
        <f t="shared" si="21"/>
        <v>2.1901354630559999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50</v>
      </c>
    </row>
    <row r="671" spans="1:22" hidden="1" x14ac:dyDescent="0.25">
      <c r="A671" t="s">
        <v>94</v>
      </c>
      <c r="B671">
        <v>1</v>
      </c>
      <c r="C671" t="s">
        <v>21</v>
      </c>
      <c r="D671" t="s">
        <v>95</v>
      </c>
      <c r="E671" t="s">
        <v>96</v>
      </c>
      <c r="F671">
        <v>150</v>
      </c>
      <c r="G671">
        <v>900</v>
      </c>
      <c r="H671">
        <v>-2</v>
      </c>
      <c r="I671">
        <v>1986</v>
      </c>
      <c r="J671" t="s">
        <v>32</v>
      </c>
      <c r="K671">
        <v>3270</v>
      </c>
      <c r="L671">
        <v>27.7</v>
      </c>
      <c r="M671">
        <v>12.62</v>
      </c>
      <c r="N671" s="4">
        <f t="shared" si="20"/>
        <v>6.0232264999999986E-2</v>
      </c>
      <c r="O671" s="4">
        <f t="shared" si="21"/>
        <v>0.76013118429999982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50</v>
      </c>
    </row>
    <row r="672" spans="1:22" hidden="1" x14ac:dyDescent="0.25">
      <c r="A672" t="s">
        <v>94</v>
      </c>
      <c r="B672">
        <v>1</v>
      </c>
      <c r="C672" t="s">
        <v>21</v>
      </c>
      <c r="D672" t="s">
        <v>95</v>
      </c>
      <c r="E672" t="s">
        <v>96</v>
      </c>
      <c r="F672">
        <v>150</v>
      </c>
      <c r="G672">
        <v>900</v>
      </c>
      <c r="H672">
        <v>-2</v>
      </c>
      <c r="I672">
        <v>1986</v>
      </c>
      <c r="J672" t="s">
        <v>32</v>
      </c>
      <c r="K672">
        <v>3271</v>
      </c>
      <c r="L672">
        <v>18.73</v>
      </c>
      <c r="M672">
        <v>8.5299999999999994</v>
      </c>
      <c r="N672" s="4">
        <f t="shared" si="20"/>
        <v>2.7538812650000001E-2</v>
      </c>
      <c r="O672" s="4">
        <f t="shared" si="21"/>
        <v>0.2349060719045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50</v>
      </c>
    </row>
    <row r="673" spans="1:22" hidden="1" x14ac:dyDescent="0.25">
      <c r="A673" t="s">
        <v>94</v>
      </c>
      <c r="B673">
        <v>1</v>
      </c>
      <c r="C673" t="s">
        <v>21</v>
      </c>
      <c r="D673" t="s">
        <v>95</v>
      </c>
      <c r="E673" t="s">
        <v>96</v>
      </c>
      <c r="F673">
        <v>150</v>
      </c>
      <c r="G673">
        <v>900</v>
      </c>
      <c r="H673">
        <v>-2</v>
      </c>
      <c r="I673">
        <v>1986</v>
      </c>
      <c r="J673" t="s">
        <v>32</v>
      </c>
      <c r="K673">
        <v>2569</v>
      </c>
      <c r="L673">
        <v>36.65</v>
      </c>
      <c r="M673">
        <v>16.690000000000001</v>
      </c>
      <c r="N673" s="4">
        <f t="shared" si="20"/>
        <v>0.10544296625000001</v>
      </c>
      <c r="O673" s="4">
        <f t="shared" si="21"/>
        <v>1.7598431067125002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50</v>
      </c>
    </row>
    <row r="674" spans="1:22" hidden="1" x14ac:dyDescent="0.25">
      <c r="A674" t="s">
        <v>94</v>
      </c>
      <c r="B674">
        <v>1</v>
      </c>
      <c r="C674" t="s">
        <v>21</v>
      </c>
      <c r="D674" t="s">
        <v>95</v>
      </c>
      <c r="E674" t="s">
        <v>96</v>
      </c>
      <c r="F674">
        <v>150</v>
      </c>
      <c r="G674">
        <v>900</v>
      </c>
      <c r="H674">
        <v>-2</v>
      </c>
      <c r="I674">
        <v>1986</v>
      </c>
      <c r="J674" t="s">
        <v>32</v>
      </c>
      <c r="K674">
        <v>1596</v>
      </c>
      <c r="L674">
        <v>25.84</v>
      </c>
      <c r="M674">
        <v>11.76</v>
      </c>
      <c r="N674" s="4">
        <f t="shared" si="20"/>
        <v>5.2414889600000007E-2</v>
      </c>
      <c r="O674" s="4">
        <f t="shared" si="21"/>
        <v>0.6163991016960001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50</v>
      </c>
    </row>
    <row r="675" spans="1:22" hidden="1" x14ac:dyDescent="0.25">
      <c r="A675" t="s">
        <v>94</v>
      </c>
      <c r="B675">
        <v>1</v>
      </c>
      <c r="C675" t="s">
        <v>21</v>
      </c>
      <c r="D675" t="s">
        <v>95</v>
      </c>
      <c r="E675" t="s">
        <v>96</v>
      </c>
      <c r="F675">
        <v>150</v>
      </c>
      <c r="G675">
        <v>900</v>
      </c>
      <c r="H675">
        <v>-2</v>
      </c>
      <c r="I675">
        <v>1986</v>
      </c>
      <c r="J675" t="s">
        <v>32</v>
      </c>
      <c r="K675">
        <v>3068</v>
      </c>
      <c r="L675">
        <v>4.1399999999999997</v>
      </c>
      <c r="M675">
        <v>1.89</v>
      </c>
      <c r="N675" s="4">
        <f t="shared" si="20"/>
        <v>1.3454586000000001E-3</v>
      </c>
      <c r="O675" s="4">
        <f t="shared" si="21"/>
        <v>2.5429167540000001E-3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50</v>
      </c>
    </row>
    <row r="676" spans="1:22" hidden="1" x14ac:dyDescent="0.25">
      <c r="A676" t="s">
        <v>94</v>
      </c>
      <c r="B676">
        <v>1</v>
      </c>
      <c r="C676" t="s">
        <v>21</v>
      </c>
      <c r="D676" t="s">
        <v>95</v>
      </c>
      <c r="E676" t="s">
        <v>96</v>
      </c>
      <c r="F676">
        <v>150</v>
      </c>
      <c r="G676">
        <v>900</v>
      </c>
      <c r="H676">
        <v>-2</v>
      </c>
      <c r="I676">
        <v>1986</v>
      </c>
      <c r="J676" t="s">
        <v>36</v>
      </c>
      <c r="K676">
        <v>3272</v>
      </c>
      <c r="L676">
        <v>26.63</v>
      </c>
      <c r="M676">
        <v>11.4</v>
      </c>
      <c r="N676" s="4">
        <f t="shared" si="20"/>
        <v>5.5668816649999994E-2</v>
      </c>
      <c r="O676" s="4">
        <f t="shared" si="21"/>
        <v>0.63462450980999996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50</v>
      </c>
    </row>
    <row r="677" spans="1:22" hidden="1" x14ac:dyDescent="0.25">
      <c r="A677" t="s">
        <v>94</v>
      </c>
      <c r="B677">
        <v>1</v>
      </c>
      <c r="C677" t="s">
        <v>21</v>
      </c>
      <c r="D677" t="s">
        <v>95</v>
      </c>
      <c r="E677" t="s">
        <v>96</v>
      </c>
      <c r="F677">
        <v>150</v>
      </c>
      <c r="G677">
        <v>900</v>
      </c>
      <c r="H677">
        <v>-2</v>
      </c>
      <c r="I677">
        <v>1986</v>
      </c>
      <c r="J677" t="s">
        <v>36</v>
      </c>
      <c r="K677">
        <v>3273</v>
      </c>
      <c r="L677">
        <v>10.1</v>
      </c>
      <c r="M677">
        <v>4.32</v>
      </c>
      <c r="N677" s="4">
        <f t="shared" si="20"/>
        <v>8.0077849999999982E-3</v>
      </c>
      <c r="O677" s="4">
        <f t="shared" si="21"/>
        <v>3.4593631199999995E-2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50</v>
      </c>
    </row>
    <row r="678" spans="1:22" hidden="1" x14ac:dyDescent="0.25">
      <c r="A678" t="s">
        <v>94</v>
      </c>
      <c r="B678">
        <v>1</v>
      </c>
      <c r="C678" t="s">
        <v>21</v>
      </c>
      <c r="D678" t="s">
        <v>95</v>
      </c>
      <c r="E678" t="s">
        <v>96</v>
      </c>
      <c r="F678">
        <v>150</v>
      </c>
      <c r="G678">
        <v>900</v>
      </c>
      <c r="H678">
        <v>-2</v>
      </c>
      <c r="I678">
        <v>1986</v>
      </c>
      <c r="J678" t="s">
        <v>36</v>
      </c>
      <c r="K678">
        <v>2573</v>
      </c>
      <c r="L678">
        <v>23.62</v>
      </c>
      <c r="M678">
        <v>10.11</v>
      </c>
      <c r="N678" s="4">
        <f t="shared" si="20"/>
        <v>4.3795495400000009E-2</v>
      </c>
      <c r="O678" s="4">
        <f t="shared" si="21"/>
        <v>0.44277245849400004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50</v>
      </c>
    </row>
    <row r="679" spans="1:22" hidden="1" x14ac:dyDescent="0.25">
      <c r="A679" t="s">
        <v>94</v>
      </c>
      <c r="B679">
        <v>1</v>
      </c>
      <c r="C679" t="s">
        <v>21</v>
      </c>
      <c r="D679" t="s">
        <v>95</v>
      </c>
      <c r="E679" t="s">
        <v>96</v>
      </c>
      <c r="F679">
        <v>150</v>
      </c>
      <c r="G679">
        <v>900</v>
      </c>
      <c r="H679">
        <v>-2</v>
      </c>
      <c r="I679">
        <v>1986</v>
      </c>
      <c r="J679" t="s">
        <v>97</v>
      </c>
      <c r="K679">
        <v>1257</v>
      </c>
      <c r="L679">
        <v>21.07</v>
      </c>
      <c r="M679">
        <v>9.6199999999999992</v>
      </c>
      <c r="N679" s="4">
        <f t="shared" si="20"/>
        <v>3.4849674650000002E-2</v>
      </c>
      <c r="O679" s="4">
        <f t="shared" si="21"/>
        <v>0.33525387013300001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50</v>
      </c>
    </row>
    <row r="680" spans="1:22" hidden="1" x14ac:dyDescent="0.25">
      <c r="A680" t="s">
        <v>94</v>
      </c>
      <c r="B680">
        <v>1</v>
      </c>
      <c r="C680" t="s">
        <v>21</v>
      </c>
      <c r="D680" t="s">
        <v>95</v>
      </c>
      <c r="E680" t="s">
        <v>96</v>
      </c>
      <c r="F680">
        <v>150</v>
      </c>
      <c r="G680">
        <v>900</v>
      </c>
      <c r="H680">
        <v>-2</v>
      </c>
      <c r="I680">
        <v>1986</v>
      </c>
      <c r="J680" t="s">
        <v>97</v>
      </c>
      <c r="K680">
        <v>1825</v>
      </c>
      <c r="L680">
        <v>19.809999999999999</v>
      </c>
      <c r="M680">
        <v>9.0500000000000007</v>
      </c>
      <c r="N680" s="4">
        <f t="shared" si="20"/>
        <v>3.080623385E-2</v>
      </c>
      <c r="O680" s="4">
        <f t="shared" si="21"/>
        <v>0.27879641634250002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50</v>
      </c>
    </row>
    <row r="681" spans="1:22" hidden="1" x14ac:dyDescent="0.25">
      <c r="A681" t="s">
        <v>94</v>
      </c>
      <c r="B681">
        <v>1</v>
      </c>
      <c r="C681" t="s">
        <v>21</v>
      </c>
      <c r="D681" t="s">
        <v>95</v>
      </c>
      <c r="E681" t="s">
        <v>96</v>
      </c>
      <c r="F681">
        <v>150</v>
      </c>
      <c r="G681">
        <v>900</v>
      </c>
      <c r="H681">
        <v>-2</v>
      </c>
      <c r="I681">
        <v>1986</v>
      </c>
      <c r="J681" t="s">
        <v>98</v>
      </c>
      <c r="K681">
        <v>2768</v>
      </c>
      <c r="L681">
        <v>32.090000000000003</v>
      </c>
      <c r="M681">
        <v>12.03</v>
      </c>
      <c r="N681" s="4">
        <f t="shared" si="20"/>
        <v>8.0836795850000018E-2</v>
      </c>
      <c r="O681" s="4">
        <f t="shared" si="21"/>
        <v>0.97246665407550015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50</v>
      </c>
    </row>
    <row r="682" spans="1:22" hidden="1" x14ac:dyDescent="0.25">
      <c r="A682" t="s">
        <v>94</v>
      </c>
      <c r="B682">
        <v>1</v>
      </c>
      <c r="C682" t="s">
        <v>21</v>
      </c>
      <c r="D682" t="s">
        <v>95</v>
      </c>
      <c r="E682" t="s">
        <v>96</v>
      </c>
      <c r="F682">
        <v>150</v>
      </c>
      <c r="G682">
        <v>900</v>
      </c>
      <c r="H682">
        <v>-2</v>
      </c>
      <c r="I682">
        <v>1986</v>
      </c>
      <c r="J682" t="s">
        <v>98</v>
      </c>
      <c r="K682">
        <v>1609</v>
      </c>
      <c r="L682">
        <v>33.99</v>
      </c>
      <c r="M682">
        <v>12.75</v>
      </c>
      <c r="N682" s="4">
        <f t="shared" si="20"/>
        <v>9.0692627850000013E-2</v>
      </c>
      <c r="O682" s="4">
        <f t="shared" si="21"/>
        <v>1.1563310050875002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50</v>
      </c>
    </row>
    <row r="683" spans="1:22" hidden="1" x14ac:dyDescent="0.25">
      <c r="A683" t="s">
        <v>94</v>
      </c>
      <c r="B683">
        <v>1</v>
      </c>
      <c r="C683" t="s">
        <v>21</v>
      </c>
      <c r="D683" t="s">
        <v>95</v>
      </c>
      <c r="E683" t="s">
        <v>96</v>
      </c>
      <c r="F683">
        <v>150</v>
      </c>
      <c r="G683">
        <v>900</v>
      </c>
      <c r="H683">
        <v>-2</v>
      </c>
      <c r="I683">
        <v>1986</v>
      </c>
      <c r="J683" t="s">
        <v>98</v>
      </c>
      <c r="K683">
        <v>3275</v>
      </c>
      <c r="L683">
        <v>15.25</v>
      </c>
      <c r="M683">
        <v>5.72</v>
      </c>
      <c r="N683" s="4">
        <f t="shared" si="20"/>
        <v>1.8256156249999999E-2</v>
      </c>
      <c r="O683" s="4">
        <f t="shared" si="21"/>
        <v>0.10442521375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50</v>
      </c>
    </row>
    <row r="684" spans="1:22" hidden="1" x14ac:dyDescent="0.25">
      <c r="A684" t="s">
        <v>94</v>
      </c>
      <c r="B684">
        <v>1</v>
      </c>
      <c r="C684" t="s">
        <v>21</v>
      </c>
      <c r="D684" t="s">
        <v>95</v>
      </c>
      <c r="E684" t="s">
        <v>96</v>
      </c>
      <c r="F684">
        <v>150</v>
      </c>
      <c r="G684">
        <v>900</v>
      </c>
      <c r="H684">
        <v>-2</v>
      </c>
      <c r="I684">
        <v>1986</v>
      </c>
      <c r="J684" t="s">
        <v>98</v>
      </c>
      <c r="K684">
        <v>3274</v>
      </c>
      <c r="L684">
        <v>26.87</v>
      </c>
      <c r="M684">
        <v>10.08</v>
      </c>
      <c r="N684" s="4">
        <f t="shared" si="20"/>
        <v>5.667675665E-2</v>
      </c>
      <c r="O684" s="4">
        <f t="shared" si="21"/>
        <v>0.57130170703200001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50</v>
      </c>
    </row>
    <row r="685" spans="1:22" hidden="1" x14ac:dyDescent="0.25">
      <c r="A685" t="s">
        <v>94</v>
      </c>
      <c r="B685">
        <v>2</v>
      </c>
      <c r="C685" t="s">
        <v>21</v>
      </c>
      <c r="D685" t="s">
        <v>95</v>
      </c>
      <c r="E685" t="s">
        <v>96</v>
      </c>
      <c r="F685">
        <v>150</v>
      </c>
      <c r="G685">
        <v>900</v>
      </c>
      <c r="H685">
        <v>-2</v>
      </c>
      <c r="I685">
        <v>1986</v>
      </c>
      <c r="J685" t="s">
        <v>76</v>
      </c>
      <c r="K685">
        <v>3266</v>
      </c>
      <c r="L685">
        <v>25.73</v>
      </c>
      <c r="M685">
        <v>11.75</v>
      </c>
      <c r="N685" s="4">
        <f t="shared" si="20"/>
        <v>5.1969582650000012E-2</v>
      </c>
      <c r="O685" s="4">
        <f t="shared" si="21"/>
        <v>0.61064259613750016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50</v>
      </c>
    </row>
    <row r="686" spans="1:22" hidden="1" x14ac:dyDescent="0.25">
      <c r="A686" t="s">
        <v>94</v>
      </c>
      <c r="B686">
        <v>2</v>
      </c>
      <c r="C686" t="s">
        <v>21</v>
      </c>
      <c r="D686" t="s">
        <v>95</v>
      </c>
      <c r="E686" t="s">
        <v>96</v>
      </c>
      <c r="F686">
        <v>150</v>
      </c>
      <c r="G686">
        <v>900</v>
      </c>
      <c r="H686">
        <v>-2</v>
      </c>
      <c r="I686">
        <v>1986</v>
      </c>
      <c r="J686" t="s">
        <v>76</v>
      </c>
      <c r="K686">
        <v>3267</v>
      </c>
      <c r="L686">
        <v>19.91</v>
      </c>
      <c r="M686">
        <v>13.63</v>
      </c>
      <c r="N686" s="4">
        <f t="shared" si="20"/>
        <v>3.111803585E-2</v>
      </c>
      <c r="O686" s="4">
        <f t="shared" si="21"/>
        <v>0.42413882863550001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50</v>
      </c>
    </row>
    <row r="687" spans="1:22" hidden="1" x14ac:dyDescent="0.25">
      <c r="A687" t="s">
        <v>94</v>
      </c>
      <c r="B687">
        <v>2</v>
      </c>
      <c r="C687" t="s">
        <v>21</v>
      </c>
      <c r="D687" t="s">
        <v>95</v>
      </c>
      <c r="E687" t="s">
        <v>96</v>
      </c>
      <c r="F687">
        <v>150</v>
      </c>
      <c r="G687">
        <v>900</v>
      </c>
      <c r="H687">
        <v>-2</v>
      </c>
      <c r="I687">
        <v>1986</v>
      </c>
      <c r="J687" t="s">
        <v>76</v>
      </c>
      <c r="K687">
        <v>3268</v>
      </c>
      <c r="L687">
        <v>17.690000000000001</v>
      </c>
      <c r="M687">
        <v>8.08</v>
      </c>
      <c r="N687" s="4">
        <f t="shared" si="20"/>
        <v>2.456548385E-2</v>
      </c>
      <c r="O687" s="4">
        <f t="shared" si="21"/>
        <v>0.198489109508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50</v>
      </c>
    </row>
    <row r="688" spans="1:22" hidden="1" x14ac:dyDescent="0.25">
      <c r="A688" t="s">
        <v>94</v>
      </c>
      <c r="B688">
        <v>2</v>
      </c>
      <c r="C688" t="s">
        <v>21</v>
      </c>
      <c r="D688" t="s">
        <v>95</v>
      </c>
      <c r="E688" t="s">
        <v>96</v>
      </c>
      <c r="F688">
        <v>150</v>
      </c>
      <c r="G688">
        <v>900</v>
      </c>
      <c r="H688">
        <v>-2</v>
      </c>
      <c r="I688">
        <v>1986</v>
      </c>
      <c r="J688" t="s">
        <v>76</v>
      </c>
      <c r="K688">
        <v>3269</v>
      </c>
      <c r="L688">
        <v>25.71</v>
      </c>
      <c r="M688">
        <v>11.74</v>
      </c>
      <c r="N688" s="4">
        <f t="shared" si="20"/>
        <v>5.1888821850000003E-2</v>
      </c>
      <c r="O688" s="4">
        <f t="shared" si="21"/>
        <v>0.60917476851899999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50</v>
      </c>
    </row>
    <row r="689" spans="1:22" hidden="1" x14ac:dyDescent="0.25">
      <c r="A689" t="s">
        <v>94</v>
      </c>
      <c r="B689">
        <v>2</v>
      </c>
      <c r="C689" t="s">
        <v>21</v>
      </c>
      <c r="D689" t="s">
        <v>95</v>
      </c>
      <c r="E689" t="s">
        <v>96</v>
      </c>
      <c r="F689">
        <v>150</v>
      </c>
      <c r="G689">
        <v>900</v>
      </c>
      <c r="H689">
        <v>-2</v>
      </c>
      <c r="I689">
        <v>1986</v>
      </c>
      <c r="J689" t="s">
        <v>76</v>
      </c>
      <c r="K689">
        <v>2770</v>
      </c>
      <c r="L689">
        <v>11.25</v>
      </c>
      <c r="M689">
        <v>5.14</v>
      </c>
      <c r="N689" s="4">
        <f t="shared" si="20"/>
        <v>9.9351562500000004E-3</v>
      </c>
      <c r="O689" s="4">
        <f t="shared" si="21"/>
        <v>5.1066703125000001E-2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50</v>
      </c>
    </row>
    <row r="690" spans="1:22" hidden="1" x14ac:dyDescent="0.25">
      <c r="A690" t="s">
        <v>94</v>
      </c>
      <c r="B690">
        <v>2</v>
      </c>
      <c r="C690" t="s">
        <v>21</v>
      </c>
      <c r="D690" t="s">
        <v>95</v>
      </c>
      <c r="E690" t="s">
        <v>96</v>
      </c>
      <c r="F690">
        <v>150</v>
      </c>
      <c r="G690">
        <v>900</v>
      </c>
      <c r="H690">
        <v>-2</v>
      </c>
      <c r="I690">
        <v>1986</v>
      </c>
      <c r="J690" t="s">
        <v>76</v>
      </c>
      <c r="K690">
        <v>2460</v>
      </c>
      <c r="L690">
        <v>25.85</v>
      </c>
      <c r="M690">
        <v>11.8</v>
      </c>
      <c r="N690" s="4">
        <f t="shared" si="20"/>
        <v>5.2455466249999999E-2</v>
      </c>
      <c r="O690" s="4">
        <f t="shared" si="21"/>
        <v>0.61897450175000002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50</v>
      </c>
    </row>
    <row r="691" spans="1:22" hidden="1" x14ac:dyDescent="0.25">
      <c r="A691" t="s">
        <v>94</v>
      </c>
      <c r="B691">
        <v>2</v>
      </c>
      <c r="C691" t="s">
        <v>21</v>
      </c>
      <c r="D691" t="s">
        <v>95</v>
      </c>
      <c r="E691" t="s">
        <v>96</v>
      </c>
      <c r="F691">
        <v>150</v>
      </c>
      <c r="G691">
        <v>900</v>
      </c>
      <c r="H691">
        <v>-2</v>
      </c>
      <c r="I691">
        <v>1986</v>
      </c>
      <c r="J691" t="s">
        <v>24</v>
      </c>
      <c r="K691">
        <v>2562</v>
      </c>
      <c r="L691">
        <v>33.6</v>
      </c>
      <c r="M691">
        <v>14.17</v>
      </c>
      <c r="N691" s="4">
        <f t="shared" si="20"/>
        <v>8.8623360000000012E-2</v>
      </c>
      <c r="O691" s="4">
        <f t="shared" si="21"/>
        <v>1.2557930112000002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50</v>
      </c>
    </row>
    <row r="692" spans="1:22" hidden="1" x14ac:dyDescent="0.25">
      <c r="A692" t="s">
        <v>94</v>
      </c>
      <c r="B692">
        <v>2</v>
      </c>
      <c r="C692" t="s">
        <v>21</v>
      </c>
      <c r="D692" t="s">
        <v>95</v>
      </c>
      <c r="E692" t="s">
        <v>96</v>
      </c>
      <c r="F692">
        <v>150</v>
      </c>
      <c r="G692">
        <v>900</v>
      </c>
      <c r="H692">
        <v>-2</v>
      </c>
      <c r="I692">
        <v>1986</v>
      </c>
      <c r="J692" t="s">
        <v>32</v>
      </c>
      <c r="K692">
        <v>3270</v>
      </c>
      <c r="L692">
        <v>35.78</v>
      </c>
      <c r="M692">
        <v>16.29</v>
      </c>
      <c r="N692" s="4">
        <f t="shared" si="20"/>
        <v>0.1004963594</v>
      </c>
      <c r="O692" s="4">
        <f t="shared" si="21"/>
        <v>1.637085694626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50</v>
      </c>
    </row>
    <row r="693" spans="1:22" hidden="1" x14ac:dyDescent="0.25">
      <c r="A693" t="s">
        <v>94</v>
      </c>
      <c r="B693">
        <v>2</v>
      </c>
      <c r="C693" t="s">
        <v>21</v>
      </c>
      <c r="D693" t="s">
        <v>95</v>
      </c>
      <c r="E693" t="s">
        <v>96</v>
      </c>
      <c r="F693">
        <v>150</v>
      </c>
      <c r="G693">
        <v>900</v>
      </c>
      <c r="H693">
        <v>-2</v>
      </c>
      <c r="I693">
        <v>1986</v>
      </c>
      <c r="J693" t="s">
        <v>32</v>
      </c>
      <c r="K693">
        <v>3271</v>
      </c>
      <c r="L693">
        <v>23.46</v>
      </c>
      <c r="M693">
        <v>10.68</v>
      </c>
      <c r="N693" s="4">
        <f t="shared" si="20"/>
        <v>4.3204170600000001E-2</v>
      </c>
      <c r="O693" s="4">
        <f t="shared" si="21"/>
        <v>0.46142054200799998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50</v>
      </c>
    </row>
    <row r="694" spans="1:22" hidden="1" x14ac:dyDescent="0.25">
      <c r="A694" t="s">
        <v>94</v>
      </c>
      <c r="B694">
        <v>2</v>
      </c>
      <c r="C694" t="s">
        <v>21</v>
      </c>
      <c r="D694" t="s">
        <v>95</v>
      </c>
      <c r="E694" t="s">
        <v>96</v>
      </c>
      <c r="F694">
        <v>150</v>
      </c>
      <c r="G694">
        <v>900</v>
      </c>
      <c r="H694">
        <v>-2</v>
      </c>
      <c r="I694">
        <v>1986</v>
      </c>
      <c r="J694" t="s">
        <v>32</v>
      </c>
      <c r="K694">
        <v>2569</v>
      </c>
      <c r="L694">
        <v>27.79</v>
      </c>
      <c r="M694">
        <v>12.65</v>
      </c>
      <c r="N694" s="4">
        <f t="shared" si="20"/>
        <v>6.0624301849999992E-2</v>
      </c>
      <c r="O694" s="4">
        <f t="shared" si="21"/>
        <v>0.76689741840249992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50</v>
      </c>
    </row>
    <row r="695" spans="1:22" hidden="1" x14ac:dyDescent="0.25">
      <c r="A695" t="s">
        <v>94</v>
      </c>
      <c r="B695">
        <v>2</v>
      </c>
      <c r="C695" t="s">
        <v>21</v>
      </c>
      <c r="D695" t="s">
        <v>95</v>
      </c>
      <c r="E695" t="s">
        <v>96</v>
      </c>
      <c r="F695">
        <v>150</v>
      </c>
      <c r="G695">
        <v>900</v>
      </c>
      <c r="H695">
        <v>-2</v>
      </c>
      <c r="I695">
        <v>1986</v>
      </c>
      <c r="J695" t="s">
        <v>32</v>
      </c>
      <c r="K695">
        <v>1596</v>
      </c>
      <c r="L695">
        <v>32.880000000000003</v>
      </c>
      <c r="M695">
        <v>14.98</v>
      </c>
      <c r="N695" s="4">
        <f t="shared" si="20"/>
        <v>8.4865910400000022E-2</v>
      </c>
      <c r="O695" s="4">
        <f t="shared" si="21"/>
        <v>1.2712913377920003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50</v>
      </c>
    </row>
    <row r="696" spans="1:22" hidden="1" x14ac:dyDescent="0.25">
      <c r="A696" t="s">
        <v>94</v>
      </c>
      <c r="B696">
        <v>2</v>
      </c>
      <c r="C696" t="s">
        <v>21</v>
      </c>
      <c r="D696" t="s">
        <v>95</v>
      </c>
      <c r="E696" t="s">
        <v>96</v>
      </c>
      <c r="F696">
        <v>150</v>
      </c>
      <c r="G696">
        <v>900</v>
      </c>
      <c r="H696">
        <v>-2</v>
      </c>
      <c r="I696">
        <v>1986</v>
      </c>
      <c r="J696" t="s">
        <v>32</v>
      </c>
      <c r="K696">
        <v>3068</v>
      </c>
      <c r="L696">
        <v>32.15</v>
      </c>
      <c r="M696">
        <v>14.64</v>
      </c>
      <c r="N696" s="4">
        <f t="shared" si="20"/>
        <v>8.1139366250000011E-2</v>
      </c>
      <c r="O696" s="4">
        <f t="shared" si="21"/>
        <v>1.1878803219000003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50</v>
      </c>
    </row>
    <row r="697" spans="1:22" hidden="1" x14ac:dyDescent="0.25">
      <c r="A697" t="s">
        <v>94</v>
      </c>
      <c r="B697">
        <v>2</v>
      </c>
      <c r="C697" t="s">
        <v>21</v>
      </c>
      <c r="D697" t="s">
        <v>95</v>
      </c>
      <c r="E697" t="s">
        <v>96</v>
      </c>
      <c r="F697">
        <v>150</v>
      </c>
      <c r="G697">
        <v>900</v>
      </c>
      <c r="H697">
        <v>-2</v>
      </c>
      <c r="I697">
        <v>1986</v>
      </c>
      <c r="J697" t="s">
        <v>36</v>
      </c>
      <c r="K697">
        <v>3272</v>
      </c>
      <c r="L697">
        <v>35.369999999999997</v>
      </c>
      <c r="M697">
        <v>15.14</v>
      </c>
      <c r="N697" s="4">
        <f t="shared" si="20"/>
        <v>9.8206396649999972E-2</v>
      </c>
      <c r="O697" s="4">
        <f t="shared" si="21"/>
        <v>1.4868448452809997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50</v>
      </c>
    </row>
    <row r="698" spans="1:22" hidden="1" x14ac:dyDescent="0.25">
      <c r="A698" t="s">
        <v>94</v>
      </c>
      <c r="B698">
        <v>2</v>
      </c>
      <c r="C698" t="s">
        <v>21</v>
      </c>
      <c r="D698" t="s">
        <v>95</v>
      </c>
      <c r="E698" t="s">
        <v>96</v>
      </c>
      <c r="F698">
        <v>150</v>
      </c>
      <c r="G698">
        <v>900</v>
      </c>
      <c r="H698">
        <v>-2</v>
      </c>
      <c r="I698">
        <v>1986</v>
      </c>
      <c r="J698" t="s">
        <v>36</v>
      </c>
      <c r="K698">
        <v>3273</v>
      </c>
      <c r="L698">
        <v>24.72</v>
      </c>
      <c r="M698">
        <v>10.58</v>
      </c>
      <c r="N698" s="4">
        <f t="shared" si="20"/>
        <v>4.7969654399999992E-2</v>
      </c>
      <c r="O698" s="4">
        <f t="shared" si="21"/>
        <v>0.50751894355199989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50</v>
      </c>
    </row>
    <row r="699" spans="1:22" hidden="1" x14ac:dyDescent="0.25">
      <c r="A699" t="s">
        <v>94</v>
      </c>
      <c r="B699">
        <v>2</v>
      </c>
      <c r="C699" t="s">
        <v>21</v>
      </c>
      <c r="D699" t="s">
        <v>95</v>
      </c>
      <c r="E699" t="s">
        <v>96</v>
      </c>
      <c r="F699">
        <v>150</v>
      </c>
      <c r="G699">
        <v>900</v>
      </c>
      <c r="H699">
        <v>-2</v>
      </c>
      <c r="I699">
        <v>1986</v>
      </c>
      <c r="J699" t="s">
        <v>36</v>
      </c>
      <c r="K699">
        <v>2573</v>
      </c>
      <c r="L699">
        <v>27.66</v>
      </c>
      <c r="M699">
        <v>11.83</v>
      </c>
      <c r="N699" s="4">
        <f t="shared" si="20"/>
        <v>6.0058434600000002E-2</v>
      </c>
      <c r="O699" s="4">
        <f t="shared" si="21"/>
        <v>0.71049128131799999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50</v>
      </c>
    </row>
    <row r="700" spans="1:22" hidden="1" x14ac:dyDescent="0.25">
      <c r="A700" t="s">
        <v>94</v>
      </c>
      <c r="B700">
        <v>2</v>
      </c>
      <c r="C700" t="s">
        <v>21</v>
      </c>
      <c r="D700" t="s">
        <v>95</v>
      </c>
      <c r="E700" t="s">
        <v>96</v>
      </c>
      <c r="F700">
        <v>150</v>
      </c>
      <c r="G700">
        <v>900</v>
      </c>
      <c r="H700">
        <v>-2</v>
      </c>
      <c r="I700">
        <v>1986</v>
      </c>
      <c r="J700" t="s">
        <v>97</v>
      </c>
      <c r="K700">
        <v>1257</v>
      </c>
      <c r="L700">
        <v>26.18</v>
      </c>
      <c r="M700">
        <v>11.96</v>
      </c>
      <c r="N700" s="4">
        <f t="shared" si="20"/>
        <v>5.3803303399999995E-2</v>
      </c>
      <c r="O700" s="4">
        <f t="shared" si="21"/>
        <v>0.64348750866399995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50</v>
      </c>
    </row>
    <row r="701" spans="1:22" hidden="1" x14ac:dyDescent="0.25">
      <c r="A701" t="s">
        <v>94</v>
      </c>
      <c r="B701">
        <v>2</v>
      </c>
      <c r="C701" t="s">
        <v>21</v>
      </c>
      <c r="D701" t="s">
        <v>95</v>
      </c>
      <c r="E701" t="s">
        <v>96</v>
      </c>
      <c r="F701">
        <v>150</v>
      </c>
      <c r="G701">
        <v>900</v>
      </c>
      <c r="H701">
        <v>-2</v>
      </c>
      <c r="I701">
        <v>1986</v>
      </c>
      <c r="J701" t="s">
        <v>97</v>
      </c>
      <c r="K701">
        <v>1825</v>
      </c>
      <c r="L701">
        <v>17.5</v>
      </c>
      <c r="M701">
        <v>7.99</v>
      </c>
      <c r="N701" s="4">
        <f t="shared" si="20"/>
        <v>2.4040624999999999E-2</v>
      </c>
      <c r="O701" s="4">
        <f t="shared" si="21"/>
        <v>0.19208459375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50</v>
      </c>
    </row>
    <row r="702" spans="1:22" hidden="1" x14ac:dyDescent="0.25">
      <c r="A702" t="s">
        <v>94</v>
      </c>
      <c r="B702">
        <v>2</v>
      </c>
      <c r="C702" t="s">
        <v>21</v>
      </c>
      <c r="D702" t="s">
        <v>95</v>
      </c>
      <c r="E702" t="s">
        <v>96</v>
      </c>
      <c r="F702">
        <v>150</v>
      </c>
      <c r="G702">
        <v>900</v>
      </c>
      <c r="H702">
        <v>-2</v>
      </c>
      <c r="I702">
        <v>1986</v>
      </c>
      <c r="J702" t="s">
        <v>98</v>
      </c>
      <c r="K702">
        <v>2768</v>
      </c>
      <c r="L702">
        <v>29.91</v>
      </c>
      <c r="M702">
        <v>11.22</v>
      </c>
      <c r="N702" s="4">
        <f t="shared" si="20"/>
        <v>7.0226735849999999E-2</v>
      </c>
      <c r="O702" s="4">
        <f t="shared" si="21"/>
        <v>0.78794397623700008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50</v>
      </c>
    </row>
    <row r="703" spans="1:22" hidden="1" x14ac:dyDescent="0.25">
      <c r="A703" t="s">
        <v>94</v>
      </c>
      <c r="B703">
        <v>2</v>
      </c>
      <c r="C703" t="s">
        <v>21</v>
      </c>
      <c r="D703" t="s">
        <v>95</v>
      </c>
      <c r="E703" t="s">
        <v>96</v>
      </c>
      <c r="F703">
        <v>150</v>
      </c>
      <c r="G703">
        <v>900</v>
      </c>
      <c r="H703">
        <v>-2</v>
      </c>
      <c r="I703">
        <v>1986</v>
      </c>
      <c r="J703" t="s">
        <v>98</v>
      </c>
      <c r="K703">
        <v>1609</v>
      </c>
      <c r="L703">
        <v>21.89</v>
      </c>
      <c r="M703">
        <v>8.2100000000000009</v>
      </c>
      <c r="N703" s="4">
        <f t="shared" si="20"/>
        <v>3.7615009850000006E-2</v>
      </c>
      <c r="O703" s="4">
        <f t="shared" si="21"/>
        <v>0.30881923086850011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50</v>
      </c>
    </row>
    <row r="704" spans="1:22" hidden="1" x14ac:dyDescent="0.25">
      <c r="A704" t="s">
        <v>94</v>
      </c>
      <c r="B704">
        <v>2</v>
      </c>
      <c r="C704" t="s">
        <v>21</v>
      </c>
      <c r="D704" t="s">
        <v>95</v>
      </c>
      <c r="E704" t="s">
        <v>96</v>
      </c>
      <c r="F704">
        <v>150</v>
      </c>
      <c r="G704">
        <v>900</v>
      </c>
      <c r="H704">
        <v>-2</v>
      </c>
      <c r="I704">
        <v>1986</v>
      </c>
      <c r="J704" t="s">
        <v>98</v>
      </c>
      <c r="K704">
        <v>3275</v>
      </c>
      <c r="L704">
        <v>28.19</v>
      </c>
      <c r="M704">
        <v>10.57</v>
      </c>
      <c r="N704" s="4">
        <f t="shared" si="20"/>
        <v>6.2382073850000018E-2</v>
      </c>
      <c r="O704" s="4">
        <f t="shared" si="21"/>
        <v>0.65937852059450019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50</v>
      </c>
    </row>
    <row r="705" spans="1:22" hidden="1" x14ac:dyDescent="0.25">
      <c r="A705" t="s">
        <v>94</v>
      </c>
      <c r="B705">
        <v>2</v>
      </c>
      <c r="C705" t="s">
        <v>21</v>
      </c>
      <c r="D705" t="s">
        <v>95</v>
      </c>
      <c r="E705" t="s">
        <v>96</v>
      </c>
      <c r="F705">
        <v>150</v>
      </c>
      <c r="G705">
        <v>900</v>
      </c>
      <c r="H705">
        <v>-2</v>
      </c>
      <c r="I705">
        <v>1986</v>
      </c>
      <c r="J705" t="s">
        <v>98</v>
      </c>
      <c r="K705">
        <v>3274</v>
      </c>
      <c r="L705">
        <v>19.920000000000002</v>
      </c>
      <c r="M705">
        <v>7.47</v>
      </c>
      <c r="N705" s="4">
        <f t="shared" si="20"/>
        <v>3.1149302400000002E-2</v>
      </c>
      <c r="O705" s="4">
        <f t="shared" si="21"/>
        <v>0.232685288928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50</v>
      </c>
    </row>
    <row r="706" spans="1:22" hidden="1" x14ac:dyDescent="0.25">
      <c r="A706" t="s">
        <v>94</v>
      </c>
      <c r="B706">
        <v>3</v>
      </c>
      <c r="C706" t="s">
        <v>21</v>
      </c>
      <c r="D706" t="s">
        <v>95</v>
      </c>
      <c r="E706" t="s">
        <v>96</v>
      </c>
      <c r="F706">
        <v>150</v>
      </c>
      <c r="G706">
        <v>900</v>
      </c>
      <c r="H706">
        <v>-2</v>
      </c>
      <c r="I706">
        <v>1986</v>
      </c>
      <c r="J706" t="s">
        <v>76</v>
      </c>
      <c r="K706">
        <v>3266</v>
      </c>
      <c r="L706">
        <v>20.16</v>
      </c>
      <c r="M706">
        <v>9.2100000000000009</v>
      </c>
      <c r="N706" s="4">
        <f t="shared" si="20"/>
        <v>3.1904409600000003E-2</v>
      </c>
      <c r="O706" s="4">
        <f t="shared" si="21"/>
        <v>0.29383961241600004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50</v>
      </c>
    </row>
    <row r="707" spans="1:22" hidden="1" x14ac:dyDescent="0.25">
      <c r="A707" t="s">
        <v>94</v>
      </c>
      <c r="B707">
        <v>3</v>
      </c>
      <c r="C707" t="s">
        <v>21</v>
      </c>
      <c r="D707" t="s">
        <v>95</v>
      </c>
      <c r="E707" t="s">
        <v>96</v>
      </c>
      <c r="F707">
        <v>150</v>
      </c>
      <c r="G707">
        <v>900</v>
      </c>
      <c r="H707">
        <v>-2</v>
      </c>
      <c r="I707">
        <v>1986</v>
      </c>
      <c r="J707" t="s">
        <v>76</v>
      </c>
      <c r="K707">
        <v>3267</v>
      </c>
      <c r="L707">
        <v>16.63</v>
      </c>
      <c r="M707">
        <v>7.59</v>
      </c>
      <c r="N707" s="4">
        <f t="shared" ref="N707:N737" si="22">3.14/4*((L707/100)^2)</f>
        <v>2.1709716650000002E-2</v>
      </c>
      <c r="O707" s="4">
        <f t="shared" ref="O707:O737" si="23">3.14/4*((L707/100)^2)*M707</f>
        <v>0.16477674937350001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50</v>
      </c>
    </row>
    <row r="708" spans="1:22" hidden="1" x14ac:dyDescent="0.25">
      <c r="A708" t="s">
        <v>94</v>
      </c>
      <c r="B708">
        <v>3</v>
      </c>
      <c r="C708" t="s">
        <v>21</v>
      </c>
      <c r="D708" t="s">
        <v>95</v>
      </c>
      <c r="E708" t="s">
        <v>96</v>
      </c>
      <c r="F708">
        <v>150</v>
      </c>
      <c r="G708">
        <v>900</v>
      </c>
      <c r="H708">
        <v>-2</v>
      </c>
      <c r="I708">
        <v>1986</v>
      </c>
      <c r="J708" t="s">
        <v>76</v>
      </c>
      <c r="K708">
        <v>3268</v>
      </c>
      <c r="L708">
        <v>14.31</v>
      </c>
      <c r="M708">
        <v>6.53</v>
      </c>
      <c r="N708" s="4">
        <f t="shared" si="22"/>
        <v>1.6074923850000002E-2</v>
      </c>
      <c r="O708" s="4">
        <f t="shared" si="23"/>
        <v>0.10496925274050002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50</v>
      </c>
    </row>
    <row r="709" spans="1:22" hidden="1" x14ac:dyDescent="0.25">
      <c r="A709" t="s">
        <v>94</v>
      </c>
      <c r="B709">
        <v>3</v>
      </c>
      <c r="C709" t="s">
        <v>21</v>
      </c>
      <c r="D709" t="s">
        <v>95</v>
      </c>
      <c r="E709" t="s">
        <v>96</v>
      </c>
      <c r="F709">
        <v>150</v>
      </c>
      <c r="G709">
        <v>900</v>
      </c>
      <c r="H709">
        <v>-2</v>
      </c>
      <c r="I709">
        <v>1986</v>
      </c>
      <c r="J709" t="s">
        <v>76</v>
      </c>
      <c r="K709">
        <v>3269</v>
      </c>
      <c r="L709">
        <v>25.34</v>
      </c>
      <c r="M709">
        <v>11.57</v>
      </c>
      <c r="N709" s="4">
        <f t="shared" si="22"/>
        <v>5.0406074600000003E-2</v>
      </c>
      <c r="O709" s="4">
        <f t="shared" si="23"/>
        <v>0.58319828312200006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50</v>
      </c>
    </row>
    <row r="710" spans="1:22" hidden="1" x14ac:dyDescent="0.25">
      <c r="A710" t="s">
        <v>94</v>
      </c>
      <c r="B710">
        <v>3</v>
      </c>
      <c r="C710" t="s">
        <v>21</v>
      </c>
      <c r="D710" t="s">
        <v>95</v>
      </c>
      <c r="E710" t="s">
        <v>96</v>
      </c>
      <c r="F710">
        <v>150</v>
      </c>
      <c r="G710">
        <v>900</v>
      </c>
      <c r="H710">
        <v>-2</v>
      </c>
      <c r="I710">
        <v>1986</v>
      </c>
      <c r="J710" t="s">
        <v>76</v>
      </c>
      <c r="K710">
        <v>2770</v>
      </c>
      <c r="L710">
        <v>15.23</v>
      </c>
      <c r="M710">
        <v>6.96</v>
      </c>
      <c r="N710" s="4">
        <f t="shared" si="22"/>
        <v>1.8208302649999997E-2</v>
      </c>
      <c r="O710" s="4">
        <f t="shared" si="23"/>
        <v>0.12672978644399999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50</v>
      </c>
    </row>
    <row r="711" spans="1:22" hidden="1" x14ac:dyDescent="0.25">
      <c r="A711" t="s">
        <v>94</v>
      </c>
      <c r="B711">
        <v>3</v>
      </c>
      <c r="C711" t="s">
        <v>21</v>
      </c>
      <c r="D711" t="s">
        <v>95</v>
      </c>
      <c r="E711" t="s">
        <v>96</v>
      </c>
      <c r="F711">
        <v>150</v>
      </c>
      <c r="G711">
        <v>900</v>
      </c>
      <c r="H711">
        <v>-2</v>
      </c>
      <c r="I711">
        <v>1986</v>
      </c>
      <c r="J711" t="s">
        <v>76</v>
      </c>
      <c r="K711">
        <v>2460</v>
      </c>
      <c r="L711">
        <v>24.16</v>
      </c>
      <c r="M711">
        <v>11.03</v>
      </c>
      <c r="N711" s="4">
        <f t="shared" si="22"/>
        <v>4.5820889600000005E-2</v>
      </c>
      <c r="O711" s="4">
        <f t="shared" si="23"/>
        <v>0.50540441228800004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50</v>
      </c>
    </row>
    <row r="712" spans="1:22" hidden="1" x14ac:dyDescent="0.25">
      <c r="A712" t="s">
        <v>94</v>
      </c>
      <c r="B712">
        <v>3</v>
      </c>
      <c r="C712" t="s">
        <v>21</v>
      </c>
      <c r="D712" t="s">
        <v>95</v>
      </c>
      <c r="E712" t="s">
        <v>96</v>
      </c>
      <c r="F712">
        <v>150</v>
      </c>
      <c r="G712">
        <v>900</v>
      </c>
      <c r="H712">
        <v>-2</v>
      </c>
      <c r="I712">
        <v>1986</v>
      </c>
      <c r="J712" t="s">
        <v>24</v>
      </c>
      <c r="K712">
        <v>2562</v>
      </c>
      <c r="L712">
        <v>29.11</v>
      </c>
      <c r="M712">
        <v>12.28</v>
      </c>
      <c r="N712" s="4">
        <f t="shared" si="22"/>
        <v>6.6520279849999989E-2</v>
      </c>
      <c r="O712" s="4">
        <f t="shared" si="23"/>
        <v>0.81686903655799981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50</v>
      </c>
    </row>
    <row r="713" spans="1:22" hidden="1" x14ac:dyDescent="0.25">
      <c r="A713" t="s">
        <v>94</v>
      </c>
      <c r="B713">
        <v>3</v>
      </c>
      <c r="C713" t="s">
        <v>21</v>
      </c>
      <c r="D713" t="s">
        <v>95</v>
      </c>
      <c r="E713" t="s">
        <v>96</v>
      </c>
      <c r="F713">
        <v>150</v>
      </c>
      <c r="G713">
        <v>900</v>
      </c>
      <c r="H713">
        <v>-2</v>
      </c>
      <c r="I713">
        <v>1986</v>
      </c>
      <c r="J713" t="s">
        <v>32</v>
      </c>
      <c r="K713">
        <v>3270</v>
      </c>
      <c r="L713">
        <v>29.29</v>
      </c>
      <c r="M713">
        <v>13.33</v>
      </c>
      <c r="N713" s="4">
        <f t="shared" si="22"/>
        <v>6.7345471850000005E-2</v>
      </c>
      <c r="O713" s="4">
        <f t="shared" si="23"/>
        <v>0.8977151397605001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50</v>
      </c>
    </row>
    <row r="714" spans="1:22" hidden="1" x14ac:dyDescent="0.25">
      <c r="A714" t="s">
        <v>94</v>
      </c>
      <c r="B714">
        <v>3</v>
      </c>
      <c r="C714" t="s">
        <v>21</v>
      </c>
      <c r="D714" t="s">
        <v>95</v>
      </c>
      <c r="E714" t="s">
        <v>96</v>
      </c>
      <c r="F714">
        <v>150</v>
      </c>
      <c r="G714">
        <v>900</v>
      </c>
      <c r="H714">
        <v>-2</v>
      </c>
      <c r="I714">
        <v>1986</v>
      </c>
      <c r="J714" t="s">
        <v>32</v>
      </c>
      <c r="K714">
        <v>3271</v>
      </c>
      <c r="L714">
        <v>12.2</v>
      </c>
      <c r="M714">
        <v>5.56</v>
      </c>
      <c r="N714" s="4">
        <f t="shared" si="22"/>
        <v>1.168394E-2</v>
      </c>
      <c r="O714" s="4">
        <f t="shared" si="23"/>
        <v>6.49627064E-2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50</v>
      </c>
    </row>
    <row r="715" spans="1:22" hidden="1" x14ac:dyDescent="0.25">
      <c r="A715" t="s">
        <v>94</v>
      </c>
      <c r="B715">
        <v>3</v>
      </c>
      <c r="C715" t="s">
        <v>21</v>
      </c>
      <c r="D715" t="s">
        <v>95</v>
      </c>
      <c r="E715" t="s">
        <v>96</v>
      </c>
      <c r="F715">
        <v>150</v>
      </c>
      <c r="G715">
        <v>900</v>
      </c>
      <c r="H715">
        <v>-2</v>
      </c>
      <c r="I715">
        <v>1986</v>
      </c>
      <c r="J715" t="s">
        <v>32</v>
      </c>
      <c r="K715">
        <v>2569</v>
      </c>
      <c r="L715">
        <v>22.89</v>
      </c>
      <c r="M715">
        <v>10.42</v>
      </c>
      <c r="N715" s="4">
        <f t="shared" si="22"/>
        <v>4.113023985E-2</v>
      </c>
      <c r="O715" s="4">
        <f t="shared" si="23"/>
        <v>0.42857709923699999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50</v>
      </c>
    </row>
    <row r="716" spans="1:22" hidden="1" x14ac:dyDescent="0.25">
      <c r="A716" t="s">
        <v>94</v>
      </c>
      <c r="B716">
        <v>3</v>
      </c>
      <c r="C716" t="s">
        <v>21</v>
      </c>
      <c r="D716" t="s">
        <v>95</v>
      </c>
      <c r="E716" t="s">
        <v>96</v>
      </c>
      <c r="F716">
        <v>150</v>
      </c>
      <c r="G716">
        <v>900</v>
      </c>
      <c r="H716">
        <v>-2</v>
      </c>
      <c r="I716">
        <v>1986</v>
      </c>
      <c r="J716" t="s">
        <v>32</v>
      </c>
      <c r="K716">
        <v>1596</v>
      </c>
      <c r="L716">
        <v>30.15</v>
      </c>
      <c r="M716">
        <v>13.73</v>
      </c>
      <c r="N716" s="4">
        <f t="shared" si="22"/>
        <v>7.1358266249999996E-2</v>
      </c>
      <c r="O716" s="4">
        <f t="shared" si="23"/>
        <v>0.97974899561249995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50</v>
      </c>
    </row>
    <row r="717" spans="1:22" hidden="1" x14ac:dyDescent="0.25">
      <c r="A717" t="s">
        <v>94</v>
      </c>
      <c r="B717">
        <v>3</v>
      </c>
      <c r="C717" t="s">
        <v>21</v>
      </c>
      <c r="D717" t="s">
        <v>95</v>
      </c>
      <c r="E717" t="s">
        <v>96</v>
      </c>
      <c r="F717">
        <v>150</v>
      </c>
      <c r="G717">
        <v>900</v>
      </c>
      <c r="H717">
        <v>-2</v>
      </c>
      <c r="I717">
        <v>1986</v>
      </c>
      <c r="J717" t="s">
        <v>32</v>
      </c>
      <c r="K717">
        <v>3068</v>
      </c>
      <c r="L717">
        <v>29.76</v>
      </c>
      <c r="M717">
        <v>13.55</v>
      </c>
      <c r="N717" s="4">
        <f t="shared" si="22"/>
        <v>6.9524121600000016E-2</v>
      </c>
      <c r="O717" s="4">
        <f t="shared" si="23"/>
        <v>0.94205184768000028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50</v>
      </c>
    </row>
    <row r="718" spans="1:22" hidden="1" x14ac:dyDescent="0.25">
      <c r="A718" t="s">
        <v>94</v>
      </c>
      <c r="B718">
        <v>3</v>
      </c>
      <c r="C718" t="s">
        <v>21</v>
      </c>
      <c r="D718" t="s">
        <v>95</v>
      </c>
      <c r="E718" t="s">
        <v>96</v>
      </c>
      <c r="F718">
        <v>150</v>
      </c>
      <c r="G718">
        <v>900</v>
      </c>
      <c r="H718">
        <v>-2</v>
      </c>
      <c r="I718">
        <v>1986</v>
      </c>
      <c r="J718" t="s">
        <v>36</v>
      </c>
      <c r="K718">
        <v>3272</v>
      </c>
      <c r="L718">
        <v>33.68</v>
      </c>
      <c r="M718">
        <v>14.41</v>
      </c>
      <c r="N718" s="4">
        <f t="shared" si="22"/>
        <v>8.90458784E-2</v>
      </c>
      <c r="O718" s="4">
        <f t="shared" si="23"/>
        <v>1.2831511077440001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50</v>
      </c>
    </row>
    <row r="719" spans="1:22" hidden="1" x14ac:dyDescent="0.25">
      <c r="A719" t="s">
        <v>94</v>
      </c>
      <c r="B719">
        <v>3</v>
      </c>
      <c r="C719" t="s">
        <v>21</v>
      </c>
      <c r="D719" t="s">
        <v>95</v>
      </c>
      <c r="E719" t="s">
        <v>96</v>
      </c>
      <c r="F719">
        <v>150</v>
      </c>
      <c r="G719">
        <v>900</v>
      </c>
      <c r="H719">
        <v>-2</v>
      </c>
      <c r="I719">
        <v>1986</v>
      </c>
      <c r="J719" t="s">
        <v>36</v>
      </c>
      <c r="K719">
        <v>3273</v>
      </c>
      <c r="L719">
        <v>25.85</v>
      </c>
      <c r="M719">
        <v>11.06</v>
      </c>
      <c r="N719" s="4">
        <f t="shared" si="22"/>
        <v>5.2455466249999999E-2</v>
      </c>
      <c r="O719" s="4">
        <f t="shared" si="23"/>
        <v>0.58015745672499996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50</v>
      </c>
    </row>
    <row r="720" spans="1:22" hidden="1" x14ac:dyDescent="0.25">
      <c r="A720" t="s">
        <v>94</v>
      </c>
      <c r="B720">
        <v>3</v>
      </c>
      <c r="C720" t="s">
        <v>21</v>
      </c>
      <c r="D720" t="s">
        <v>95</v>
      </c>
      <c r="E720" t="s">
        <v>96</v>
      </c>
      <c r="F720">
        <v>150</v>
      </c>
      <c r="G720">
        <v>900</v>
      </c>
      <c r="H720">
        <v>-2</v>
      </c>
      <c r="I720">
        <v>1986</v>
      </c>
      <c r="J720" t="s">
        <v>36</v>
      </c>
      <c r="K720">
        <v>2573</v>
      </c>
      <c r="L720">
        <v>20.72</v>
      </c>
      <c r="M720">
        <v>8.8699999999999992</v>
      </c>
      <c r="N720" s="4">
        <f t="shared" si="22"/>
        <v>3.3701494400000004E-2</v>
      </c>
      <c r="O720" s="4">
        <f t="shared" si="23"/>
        <v>0.298932255328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50</v>
      </c>
    </row>
    <row r="721" spans="1:22" hidden="1" x14ac:dyDescent="0.25">
      <c r="A721" t="s">
        <v>94</v>
      </c>
      <c r="B721">
        <v>3</v>
      </c>
      <c r="C721" t="s">
        <v>21</v>
      </c>
      <c r="D721" t="s">
        <v>95</v>
      </c>
      <c r="E721" t="s">
        <v>96</v>
      </c>
      <c r="F721">
        <v>150</v>
      </c>
      <c r="G721">
        <v>900</v>
      </c>
      <c r="H721">
        <v>-2</v>
      </c>
      <c r="I721">
        <v>1986</v>
      </c>
      <c r="J721" t="s">
        <v>97</v>
      </c>
      <c r="K721">
        <v>1257</v>
      </c>
      <c r="L721">
        <v>21.27</v>
      </c>
      <c r="M721">
        <v>9.7200000000000006</v>
      </c>
      <c r="N721" s="4">
        <f t="shared" si="22"/>
        <v>3.5514412650000007E-2</v>
      </c>
      <c r="O721" s="4">
        <f t="shared" si="23"/>
        <v>0.34520009095800008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50</v>
      </c>
    </row>
    <row r="722" spans="1:22" hidden="1" x14ac:dyDescent="0.25">
      <c r="A722" t="s">
        <v>94</v>
      </c>
      <c r="B722">
        <v>3</v>
      </c>
      <c r="C722" t="s">
        <v>21</v>
      </c>
      <c r="D722" t="s">
        <v>95</v>
      </c>
      <c r="E722" t="s">
        <v>96</v>
      </c>
      <c r="F722">
        <v>150</v>
      </c>
      <c r="G722">
        <v>900</v>
      </c>
      <c r="H722">
        <v>-2</v>
      </c>
      <c r="I722">
        <v>1986</v>
      </c>
      <c r="J722" t="s">
        <v>97</v>
      </c>
      <c r="K722">
        <v>1825</v>
      </c>
      <c r="L722">
        <v>19.63</v>
      </c>
      <c r="M722">
        <v>8.9700000000000006</v>
      </c>
      <c r="N722" s="4">
        <f t="shared" si="22"/>
        <v>3.0248946650000004E-2</v>
      </c>
      <c r="O722" s="4">
        <f t="shared" si="23"/>
        <v>0.27133305145050007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50</v>
      </c>
    </row>
    <row r="723" spans="1:22" hidden="1" x14ac:dyDescent="0.25">
      <c r="A723" t="s">
        <v>94</v>
      </c>
      <c r="B723">
        <v>3</v>
      </c>
      <c r="C723" t="s">
        <v>21</v>
      </c>
      <c r="D723" t="s">
        <v>95</v>
      </c>
      <c r="E723" t="s">
        <v>96</v>
      </c>
      <c r="F723">
        <v>150</v>
      </c>
      <c r="G723">
        <v>900</v>
      </c>
      <c r="H723">
        <v>-2</v>
      </c>
      <c r="I723">
        <v>1986</v>
      </c>
      <c r="J723" t="s">
        <v>98</v>
      </c>
      <c r="K723">
        <v>2768</v>
      </c>
      <c r="L723">
        <v>26.37</v>
      </c>
      <c r="M723">
        <v>9.89</v>
      </c>
      <c r="N723" s="4">
        <f t="shared" si="22"/>
        <v>5.4587086649999998E-2</v>
      </c>
      <c r="O723" s="4">
        <f t="shared" si="23"/>
        <v>0.53986628696850003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50</v>
      </c>
    </row>
    <row r="724" spans="1:22" hidden="1" x14ac:dyDescent="0.25">
      <c r="A724" t="s">
        <v>94</v>
      </c>
      <c r="B724">
        <v>3</v>
      </c>
      <c r="C724" t="s">
        <v>21</v>
      </c>
      <c r="D724" t="s">
        <v>95</v>
      </c>
      <c r="E724" t="s">
        <v>96</v>
      </c>
      <c r="F724">
        <v>150</v>
      </c>
      <c r="G724">
        <v>900</v>
      </c>
      <c r="H724">
        <v>-2</v>
      </c>
      <c r="I724">
        <v>1986</v>
      </c>
      <c r="J724" t="s">
        <v>98</v>
      </c>
      <c r="K724">
        <v>1609</v>
      </c>
      <c r="L724">
        <v>26.19</v>
      </c>
      <c r="M724">
        <v>9.82</v>
      </c>
      <c r="N724" s="4">
        <f t="shared" si="22"/>
        <v>5.3844413850000009E-2</v>
      </c>
      <c r="O724" s="4">
        <f t="shared" si="23"/>
        <v>0.5287521440070001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50</v>
      </c>
    </row>
    <row r="725" spans="1:22" hidden="1" x14ac:dyDescent="0.25">
      <c r="A725" t="s">
        <v>94</v>
      </c>
      <c r="B725">
        <v>3</v>
      </c>
      <c r="C725" t="s">
        <v>21</v>
      </c>
      <c r="D725" t="s">
        <v>95</v>
      </c>
      <c r="E725" t="s">
        <v>96</v>
      </c>
      <c r="F725">
        <v>150</v>
      </c>
      <c r="G725">
        <v>900</v>
      </c>
      <c r="H725">
        <v>-2</v>
      </c>
      <c r="I725">
        <v>1986</v>
      </c>
      <c r="J725" t="s">
        <v>98</v>
      </c>
      <c r="K725">
        <v>3275</v>
      </c>
      <c r="L725">
        <v>17.350000000000001</v>
      </c>
      <c r="M725">
        <v>6.51</v>
      </c>
      <c r="N725" s="4">
        <f t="shared" si="22"/>
        <v>2.3630266250000004E-2</v>
      </c>
      <c r="O725" s="4">
        <f t="shared" si="23"/>
        <v>0.15383303328750003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50</v>
      </c>
    </row>
    <row r="726" spans="1:22" hidden="1" x14ac:dyDescent="0.25">
      <c r="A726" t="s">
        <v>94</v>
      </c>
      <c r="B726">
        <v>3</v>
      </c>
      <c r="C726" t="s">
        <v>21</v>
      </c>
      <c r="D726" t="s">
        <v>95</v>
      </c>
      <c r="E726" t="s">
        <v>96</v>
      </c>
      <c r="F726">
        <v>150</v>
      </c>
      <c r="G726">
        <v>900</v>
      </c>
      <c r="H726">
        <v>-2</v>
      </c>
      <c r="I726">
        <v>1986</v>
      </c>
      <c r="J726" t="s">
        <v>98</v>
      </c>
      <c r="K726">
        <v>3274</v>
      </c>
      <c r="L726">
        <v>20.57</v>
      </c>
      <c r="M726">
        <v>7.71</v>
      </c>
      <c r="N726" s="4">
        <f t="shared" si="22"/>
        <v>3.3215304649999999E-2</v>
      </c>
      <c r="O726" s="4">
        <f t="shared" si="23"/>
        <v>0.25608999885149997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50</v>
      </c>
    </row>
    <row r="727" spans="1:22" hidden="1" x14ac:dyDescent="0.25">
      <c r="A727" t="s">
        <v>99</v>
      </c>
      <c r="B727">
        <v>1</v>
      </c>
      <c r="C727" t="s">
        <v>100</v>
      </c>
      <c r="D727" t="s">
        <v>101</v>
      </c>
      <c r="E727" t="s">
        <v>102</v>
      </c>
      <c r="F727">
        <v>150</v>
      </c>
      <c r="G727">
        <v>1750</v>
      </c>
      <c r="H727">
        <v>-2</v>
      </c>
      <c r="I727">
        <v>1986</v>
      </c>
      <c r="J727" t="s">
        <v>76</v>
      </c>
      <c r="K727" t="s">
        <v>44</v>
      </c>
      <c r="L727">
        <v>27.68</v>
      </c>
      <c r="M727">
        <v>12.64</v>
      </c>
      <c r="N727" s="4">
        <f t="shared" si="22"/>
        <v>6.0145318399999995E-2</v>
      </c>
      <c r="O727" s="4">
        <f t="shared" si="23"/>
        <v>0.76023682457599995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50</v>
      </c>
    </row>
    <row r="728" spans="1:22" hidden="1" x14ac:dyDescent="0.25">
      <c r="A728" t="s">
        <v>99</v>
      </c>
      <c r="B728">
        <v>1</v>
      </c>
      <c r="C728" t="s">
        <v>100</v>
      </c>
      <c r="D728" t="s">
        <v>101</v>
      </c>
      <c r="E728" t="s">
        <v>102</v>
      </c>
      <c r="F728">
        <v>150</v>
      </c>
      <c r="G728">
        <v>1750</v>
      </c>
      <c r="H728">
        <v>-2</v>
      </c>
      <c r="I728">
        <v>1986</v>
      </c>
      <c r="J728" t="s">
        <v>24</v>
      </c>
      <c r="K728" t="s">
        <v>44</v>
      </c>
      <c r="L728">
        <v>30.93</v>
      </c>
      <c r="M728">
        <v>13.05</v>
      </c>
      <c r="N728" s="4">
        <f t="shared" si="22"/>
        <v>7.5098194650000005E-2</v>
      </c>
      <c r="O728" s="4">
        <f t="shared" si="23"/>
        <v>0.9800314401825001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50</v>
      </c>
    </row>
    <row r="729" spans="1:22" hidden="1" x14ac:dyDescent="0.25">
      <c r="A729" t="s">
        <v>99</v>
      </c>
      <c r="B729">
        <v>1</v>
      </c>
      <c r="C729" t="s">
        <v>100</v>
      </c>
      <c r="D729" t="s">
        <v>101</v>
      </c>
      <c r="E729" t="s">
        <v>102</v>
      </c>
      <c r="F729">
        <v>150</v>
      </c>
      <c r="G729">
        <v>1750</v>
      </c>
      <c r="H729">
        <v>-2</v>
      </c>
      <c r="I729">
        <v>1986</v>
      </c>
      <c r="J729" t="s">
        <v>32</v>
      </c>
      <c r="K729" t="s">
        <v>44</v>
      </c>
      <c r="L729">
        <v>26.16</v>
      </c>
      <c r="M729">
        <v>11.89</v>
      </c>
      <c r="N729" s="4">
        <f t="shared" si="22"/>
        <v>5.3721129600000007E-2</v>
      </c>
      <c r="O729" s="4">
        <f t="shared" si="23"/>
        <v>0.63874423094400012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50</v>
      </c>
    </row>
    <row r="730" spans="1:22" hidden="1" x14ac:dyDescent="0.25">
      <c r="A730" t="s">
        <v>99</v>
      </c>
      <c r="B730">
        <v>1</v>
      </c>
      <c r="C730" t="s">
        <v>100</v>
      </c>
      <c r="D730" t="s">
        <v>101</v>
      </c>
      <c r="E730" t="s">
        <v>102</v>
      </c>
      <c r="F730">
        <v>150</v>
      </c>
      <c r="G730">
        <v>1750</v>
      </c>
      <c r="H730">
        <v>-2</v>
      </c>
      <c r="I730">
        <v>1986</v>
      </c>
      <c r="J730" t="s">
        <v>36</v>
      </c>
      <c r="K730" t="s">
        <v>44</v>
      </c>
      <c r="L730">
        <v>38.51</v>
      </c>
      <c r="M730">
        <v>16.46</v>
      </c>
      <c r="N730" s="4">
        <f t="shared" si="22"/>
        <v>0.11641707785000001</v>
      </c>
      <c r="O730" s="4">
        <f t="shared" si="23"/>
        <v>1.9162251014110003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50</v>
      </c>
    </row>
    <row r="731" spans="1:22" hidden="1" x14ac:dyDescent="0.25">
      <c r="A731" t="s">
        <v>99</v>
      </c>
      <c r="B731">
        <v>1</v>
      </c>
      <c r="C731" t="s">
        <v>100</v>
      </c>
      <c r="D731" t="s">
        <v>101</v>
      </c>
      <c r="E731" t="s">
        <v>102</v>
      </c>
      <c r="F731">
        <v>150</v>
      </c>
      <c r="G731">
        <v>1750</v>
      </c>
      <c r="H731">
        <v>-2</v>
      </c>
      <c r="I731">
        <v>1986</v>
      </c>
      <c r="J731" t="s">
        <v>97</v>
      </c>
      <c r="K731" t="s">
        <v>44</v>
      </c>
      <c r="L731">
        <v>24</v>
      </c>
      <c r="M731">
        <v>10.96</v>
      </c>
      <c r="N731" s="4">
        <f t="shared" si="22"/>
        <v>4.5215999999999999E-2</v>
      </c>
      <c r="O731" s="4">
        <f t="shared" si="23"/>
        <v>0.49556736000000001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50</v>
      </c>
    </row>
    <row r="732" spans="1:22" hidden="1" x14ac:dyDescent="0.25">
      <c r="A732" t="s">
        <v>99</v>
      </c>
      <c r="B732">
        <v>1</v>
      </c>
      <c r="C732" t="s">
        <v>100</v>
      </c>
      <c r="D732" t="s">
        <v>101</v>
      </c>
      <c r="E732" t="s">
        <v>102</v>
      </c>
      <c r="F732">
        <v>150</v>
      </c>
      <c r="G732">
        <v>1750</v>
      </c>
      <c r="H732">
        <v>-2</v>
      </c>
      <c r="I732">
        <v>1986</v>
      </c>
      <c r="J732" t="s">
        <v>98</v>
      </c>
      <c r="K732" t="s">
        <v>44</v>
      </c>
      <c r="L732">
        <v>29.02</v>
      </c>
      <c r="M732">
        <v>10.87</v>
      </c>
      <c r="N732" s="4">
        <f t="shared" si="22"/>
        <v>6.6109591400000001E-2</v>
      </c>
      <c r="O732" s="4">
        <f t="shared" si="23"/>
        <v>0.71861125851800001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50</v>
      </c>
    </row>
    <row r="733" spans="1:22" hidden="1" x14ac:dyDescent="0.25">
      <c r="A733" t="s">
        <v>103</v>
      </c>
      <c r="B733">
        <v>1</v>
      </c>
      <c r="C733" t="s">
        <v>47</v>
      </c>
      <c r="D733" t="s">
        <v>104</v>
      </c>
      <c r="E733" t="s">
        <v>79</v>
      </c>
      <c r="F733">
        <v>100</v>
      </c>
      <c r="G733">
        <v>1250</v>
      </c>
      <c r="H733">
        <v>-2</v>
      </c>
      <c r="I733">
        <v>1983</v>
      </c>
      <c r="J733" t="s">
        <v>59</v>
      </c>
      <c r="K733">
        <v>2548</v>
      </c>
      <c r="L733">
        <v>41.63</v>
      </c>
      <c r="M733">
        <v>12.64</v>
      </c>
      <c r="N733" s="4">
        <f t="shared" si="22"/>
        <v>0.13604496665000002</v>
      </c>
      <c r="O733" s="4">
        <f t="shared" si="23"/>
        <v>1.7196083784560003</v>
      </c>
      <c r="P733">
        <v>28</v>
      </c>
      <c r="Q733">
        <v>4.2</v>
      </c>
      <c r="R733">
        <v>3.2</v>
      </c>
      <c r="S733">
        <v>2.2999999999999998</v>
      </c>
      <c r="T733">
        <v>1.9</v>
      </c>
      <c r="U733">
        <v>1.7</v>
      </c>
      <c r="V733" t="s">
        <v>38</v>
      </c>
    </row>
    <row r="734" spans="1:22" hidden="1" x14ac:dyDescent="0.25">
      <c r="A734" t="s">
        <v>103</v>
      </c>
      <c r="B734">
        <v>1</v>
      </c>
      <c r="C734" t="s">
        <v>47</v>
      </c>
      <c r="D734" t="s">
        <v>104</v>
      </c>
      <c r="E734" t="s">
        <v>79</v>
      </c>
      <c r="F734">
        <v>100</v>
      </c>
      <c r="G734">
        <v>1250</v>
      </c>
      <c r="H734">
        <v>-2</v>
      </c>
      <c r="I734">
        <v>1983</v>
      </c>
      <c r="J734" t="s">
        <v>26</v>
      </c>
      <c r="K734">
        <v>2552</v>
      </c>
      <c r="L734">
        <v>33.35</v>
      </c>
      <c r="M734">
        <v>10.61</v>
      </c>
      <c r="N734" s="4">
        <f t="shared" si="22"/>
        <v>8.7309466250000009E-2</v>
      </c>
      <c r="O734" s="4">
        <f t="shared" si="23"/>
        <v>0.92635343691250005</v>
      </c>
      <c r="P734">
        <v>33</v>
      </c>
      <c r="Q734">
        <v>4.5</v>
      </c>
      <c r="R734">
        <v>4</v>
      </c>
      <c r="S734">
        <v>2.8</v>
      </c>
      <c r="T734">
        <v>3</v>
      </c>
      <c r="U734">
        <v>1.5</v>
      </c>
      <c r="V734" t="s">
        <v>25</v>
      </c>
    </row>
    <row r="735" spans="1:22" hidden="1" x14ac:dyDescent="0.25">
      <c r="A735" t="s">
        <v>103</v>
      </c>
      <c r="B735">
        <v>1</v>
      </c>
      <c r="C735" t="s">
        <v>47</v>
      </c>
      <c r="D735" t="s">
        <v>104</v>
      </c>
      <c r="E735" t="s">
        <v>79</v>
      </c>
      <c r="F735">
        <v>100</v>
      </c>
      <c r="G735">
        <v>1250</v>
      </c>
      <c r="H735">
        <v>-2</v>
      </c>
      <c r="I735">
        <v>1983</v>
      </c>
      <c r="J735" t="s">
        <v>33</v>
      </c>
      <c r="K735">
        <v>2568</v>
      </c>
      <c r="L735">
        <v>28.21</v>
      </c>
      <c r="M735">
        <v>9.4700000000000006</v>
      </c>
      <c r="N735" s="4">
        <f t="shared" si="22"/>
        <v>6.2470621850000005E-2</v>
      </c>
      <c r="O735" s="4">
        <f t="shared" si="23"/>
        <v>0.59159678891950007</v>
      </c>
      <c r="P735">
        <v>94</v>
      </c>
      <c r="Q735">
        <v>4.5999999999999996</v>
      </c>
      <c r="R735">
        <v>3</v>
      </c>
      <c r="S735">
        <v>2</v>
      </c>
      <c r="T735">
        <v>1.8</v>
      </c>
      <c r="U735">
        <v>1.2</v>
      </c>
      <c r="V735" t="s">
        <v>25</v>
      </c>
    </row>
    <row r="736" spans="1:22" hidden="1" x14ac:dyDescent="0.25">
      <c r="A736" t="s">
        <v>103</v>
      </c>
      <c r="B736">
        <v>1</v>
      </c>
      <c r="C736" t="s">
        <v>47</v>
      </c>
      <c r="D736" t="s">
        <v>104</v>
      </c>
      <c r="E736" t="s">
        <v>79</v>
      </c>
      <c r="F736">
        <v>100</v>
      </c>
      <c r="G736">
        <v>1250</v>
      </c>
      <c r="H736">
        <v>-2</v>
      </c>
      <c r="I736">
        <v>1983</v>
      </c>
      <c r="J736" t="s">
        <v>34</v>
      </c>
      <c r="K736">
        <v>1522</v>
      </c>
      <c r="L736">
        <v>27.36</v>
      </c>
      <c r="M736">
        <v>11.49</v>
      </c>
      <c r="N736" s="4">
        <f t="shared" si="22"/>
        <v>5.8762713600000002E-2</v>
      </c>
      <c r="O736" s="4">
        <f t="shared" si="23"/>
        <v>0.67518357926400008</v>
      </c>
      <c r="P736">
        <v>67</v>
      </c>
      <c r="Q736">
        <v>4.7</v>
      </c>
      <c r="R736">
        <v>3.3</v>
      </c>
      <c r="S736">
        <v>3.4</v>
      </c>
      <c r="T736">
        <v>3.4</v>
      </c>
      <c r="U736">
        <v>3</v>
      </c>
      <c r="V736" t="s">
        <v>25</v>
      </c>
    </row>
    <row r="737" spans="1:22" hidden="1" x14ac:dyDescent="0.25">
      <c r="A737" t="s">
        <v>103</v>
      </c>
      <c r="B737">
        <v>1</v>
      </c>
      <c r="C737" t="s">
        <v>47</v>
      </c>
      <c r="D737" t="s">
        <v>104</v>
      </c>
      <c r="E737" t="s">
        <v>79</v>
      </c>
      <c r="F737">
        <v>100</v>
      </c>
      <c r="G737">
        <v>1250</v>
      </c>
      <c r="H737">
        <v>-2</v>
      </c>
      <c r="I737">
        <v>1983</v>
      </c>
      <c r="J737" t="s">
        <v>62</v>
      </c>
      <c r="K737" t="s">
        <v>44</v>
      </c>
      <c r="L737">
        <v>22.34</v>
      </c>
      <c r="M737">
        <v>8.84</v>
      </c>
      <c r="N737" s="4">
        <f t="shared" si="22"/>
        <v>3.9177434599999998E-2</v>
      </c>
      <c r="O737" s="4">
        <f t="shared" si="23"/>
        <v>0.34632852186399998</v>
      </c>
      <c r="P737">
        <v>25</v>
      </c>
      <c r="Q737">
        <v>3.8</v>
      </c>
      <c r="R737">
        <v>3.5</v>
      </c>
      <c r="S737">
        <v>3</v>
      </c>
      <c r="T737">
        <v>3.5</v>
      </c>
      <c r="U737">
        <v>3</v>
      </c>
      <c r="V737" t="s">
        <v>38</v>
      </c>
    </row>
  </sheetData>
  <autoFilter ref="A1:V737">
    <filterColumn colId="6">
      <filters>
        <filter val="1400"/>
      </filters>
    </filterColumn>
    <filterColumn colId="8">
      <filters>
        <filter val="1980"/>
      </filters>
    </filterColumn>
    <filterColumn colId="12">
      <customFilters>
        <customFilter operator="greaterThan" val="1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8"/>
  <sheetViews>
    <sheetView workbookViewId="0">
      <selection activeCell="L690" sqref="L690"/>
    </sheetView>
  </sheetViews>
  <sheetFormatPr baseColWidth="10" defaultColWidth="9.140625" defaultRowHeight="15" outlineLevelRow="2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4" width="12.5703125" style="7" bestFit="1" customWidth="1"/>
    <col min="15" max="15" width="14.140625" style="7" bestFit="1" customWidth="1"/>
    <col min="16" max="16" width="4.85546875" bestFit="1" customWidth="1"/>
    <col min="17" max="17" width="4" bestFit="1" customWidth="1"/>
    <col min="18" max="18" width="7.28515625" bestFit="1" customWidth="1"/>
    <col min="19" max="19" width="9.28515625" bestFit="1" customWidth="1"/>
    <col min="20" max="20" width="10.42578125" bestFit="1" customWidth="1"/>
    <col min="21" max="21" width="9.7109375" bestFit="1" customWidth="1"/>
    <col min="22" max="22" width="8" bestFit="1" customWidth="1"/>
    <col min="23" max="23" width="3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105</v>
      </c>
      <c r="O1" s="6" t="s">
        <v>106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5" hidden="1" outlineLevel="2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 s="7">
        <f t="shared" ref="N2:N31" si="0">3.14/4*((L2/100)^2)</f>
        <v>2.6721596250000004E-2</v>
      </c>
      <c r="O2" s="7">
        <f t="shared" ref="O2:O31" si="1">3.14/4*((L2/100)^2)*M2</f>
        <v>0.26614709865000008</v>
      </c>
      <c r="P2">
        <v>40</v>
      </c>
      <c r="Q2">
        <v>4</v>
      </c>
      <c r="R2">
        <v>3</v>
      </c>
      <c r="S2">
        <v>3.5</v>
      </c>
      <c r="T2">
        <v>4</v>
      </c>
      <c r="U2">
        <v>3.5</v>
      </c>
      <c r="V2" t="s">
        <v>25</v>
      </c>
    </row>
    <row r="3" spans="1:25" hidden="1" outlineLevel="2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 s="7">
        <f t="shared" si="0"/>
        <v>1.3574416250000002E-2</v>
      </c>
      <c r="O3" s="7">
        <f t="shared" si="1"/>
        <v>0.13099311681250003</v>
      </c>
      <c r="P3">
        <v>90</v>
      </c>
      <c r="Q3">
        <v>4.5</v>
      </c>
      <c r="R3">
        <v>4</v>
      </c>
      <c r="S3">
        <v>3.5</v>
      </c>
      <c r="T3">
        <v>3.5</v>
      </c>
      <c r="U3">
        <v>3</v>
      </c>
      <c r="V3" t="s">
        <v>27</v>
      </c>
      <c r="X3" s="2" t="s">
        <v>11</v>
      </c>
      <c r="Y3" t="s">
        <v>28</v>
      </c>
    </row>
    <row r="4" spans="1:25" hidden="1" outlineLevel="2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 s="7">
        <f t="shared" si="0"/>
        <v>8.3604383999999997E-3</v>
      </c>
      <c r="O4" s="7">
        <f t="shared" si="1"/>
        <v>5.43428496E-2</v>
      </c>
      <c r="P4">
        <v>50</v>
      </c>
      <c r="Q4">
        <v>2.2999999999999998</v>
      </c>
      <c r="R4">
        <v>2.5</v>
      </c>
      <c r="S4">
        <v>3</v>
      </c>
      <c r="T4">
        <v>3.5</v>
      </c>
      <c r="U4">
        <v>3</v>
      </c>
      <c r="V4" t="s">
        <v>30</v>
      </c>
      <c r="X4" s="2" t="s">
        <v>12</v>
      </c>
      <c r="Y4" s="2" t="s">
        <v>31</v>
      </c>
    </row>
    <row r="5" spans="1:25" hidden="1" outlineLevel="2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 s="7">
        <f t="shared" si="0"/>
        <v>1.7194640000000008E-2</v>
      </c>
      <c r="O5" s="7">
        <f t="shared" si="1"/>
        <v>0.16300518720000007</v>
      </c>
      <c r="P5">
        <v>70</v>
      </c>
      <c r="Q5">
        <v>3.7</v>
      </c>
      <c r="R5">
        <v>3</v>
      </c>
      <c r="S5">
        <v>3.3</v>
      </c>
      <c r="T5">
        <v>4</v>
      </c>
      <c r="U5">
        <v>3.5</v>
      </c>
      <c r="V5" t="s">
        <v>25</v>
      </c>
      <c r="X5" s="2" t="s">
        <v>10</v>
      </c>
    </row>
    <row r="6" spans="1:25" hidden="1" outlineLevel="2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 s="7">
        <f t="shared" si="0"/>
        <v>1.6504624999999998E-2</v>
      </c>
      <c r="O6" s="7">
        <f t="shared" si="1"/>
        <v>0.17791985749999997</v>
      </c>
      <c r="P6">
        <v>90</v>
      </c>
      <c r="Q6">
        <v>4</v>
      </c>
      <c r="R6">
        <v>2.7</v>
      </c>
      <c r="S6">
        <v>3.3</v>
      </c>
      <c r="T6">
        <v>3</v>
      </c>
      <c r="U6">
        <v>3</v>
      </c>
      <c r="V6" t="s">
        <v>25</v>
      </c>
      <c r="X6" t="s">
        <v>13</v>
      </c>
    </row>
    <row r="7" spans="1:25" hidden="1" outlineLevel="2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 s="7">
        <f t="shared" si="0"/>
        <v>2.2713197850000009E-2</v>
      </c>
      <c r="O7" s="7">
        <f t="shared" si="1"/>
        <v>0.27891806959800008</v>
      </c>
      <c r="P7">
        <v>70</v>
      </c>
      <c r="Q7">
        <v>5</v>
      </c>
      <c r="R7">
        <v>4</v>
      </c>
      <c r="S7">
        <v>5</v>
      </c>
      <c r="T7">
        <v>4</v>
      </c>
      <c r="U7">
        <v>4.5</v>
      </c>
      <c r="V7" t="s">
        <v>27</v>
      </c>
      <c r="X7" t="s">
        <v>14</v>
      </c>
    </row>
    <row r="8" spans="1:25" hidden="1" outlineLevel="2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 s="7">
        <f t="shared" si="0"/>
        <v>1.5232524650000002E-2</v>
      </c>
      <c r="O8" s="7">
        <f t="shared" si="1"/>
        <v>0.14882176583050002</v>
      </c>
      <c r="P8">
        <v>80</v>
      </c>
      <c r="Q8">
        <v>4</v>
      </c>
      <c r="R8">
        <v>2</v>
      </c>
      <c r="S8">
        <v>3</v>
      </c>
      <c r="T8">
        <v>3</v>
      </c>
      <c r="U8">
        <v>3</v>
      </c>
      <c r="V8" t="s">
        <v>25</v>
      </c>
      <c r="X8" t="s">
        <v>15</v>
      </c>
    </row>
    <row r="9" spans="1:25" hidden="1" outlineLevel="2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 s="7">
        <f t="shared" si="0"/>
        <v>2.8487846250000004E-2</v>
      </c>
      <c r="O9" s="7">
        <f t="shared" si="1"/>
        <v>0.32077314877500002</v>
      </c>
      <c r="P9">
        <v>100</v>
      </c>
      <c r="Q9">
        <v>5</v>
      </c>
      <c r="R9">
        <v>4.5</v>
      </c>
      <c r="S9">
        <v>3.5</v>
      </c>
      <c r="T9">
        <v>4</v>
      </c>
      <c r="U9">
        <v>2</v>
      </c>
      <c r="V9" t="s">
        <v>27</v>
      </c>
      <c r="X9" t="s">
        <v>16</v>
      </c>
    </row>
    <row r="10" spans="1:25" hidden="1" outlineLevel="2" x14ac:dyDescent="0.25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 s="7">
        <f t="shared" si="0"/>
        <v>4.5580554000000002E-3</v>
      </c>
      <c r="O10" s="7">
        <f t="shared" si="1"/>
        <v>3.0037585086000001E-2</v>
      </c>
      <c r="P10">
        <v>80</v>
      </c>
      <c r="Q10">
        <v>2.5</v>
      </c>
      <c r="R10">
        <v>2.5</v>
      </c>
      <c r="S10">
        <v>3.3</v>
      </c>
      <c r="T10">
        <v>3.5</v>
      </c>
      <c r="U10">
        <v>3.5</v>
      </c>
      <c r="V10" t="s">
        <v>38</v>
      </c>
      <c r="X10" t="s">
        <v>17</v>
      </c>
    </row>
    <row r="11" spans="1:25" hidden="1" outlineLevel="2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 s="7">
        <f t="shared" si="0"/>
        <v>1.7078656249999997E-2</v>
      </c>
      <c r="O11" s="7">
        <f t="shared" si="1"/>
        <v>0.15592813156249999</v>
      </c>
      <c r="P11">
        <v>50</v>
      </c>
      <c r="Q11">
        <v>4</v>
      </c>
      <c r="R11">
        <v>4</v>
      </c>
      <c r="S11">
        <v>3.3</v>
      </c>
      <c r="T11">
        <v>3</v>
      </c>
      <c r="U11">
        <v>3</v>
      </c>
      <c r="V11" t="s">
        <v>25</v>
      </c>
      <c r="X11" t="s">
        <v>18</v>
      </c>
    </row>
    <row r="12" spans="1:25" hidden="1" outlineLevel="2" x14ac:dyDescent="0.25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 s="7">
        <f t="shared" si="0"/>
        <v>5.2141662500000008E-3</v>
      </c>
      <c r="O12" s="7">
        <f t="shared" si="1"/>
        <v>3.5039197200000004E-2</v>
      </c>
      <c r="P12">
        <v>70</v>
      </c>
      <c r="Q12">
        <v>1.5</v>
      </c>
      <c r="R12">
        <v>3</v>
      </c>
      <c r="S12">
        <v>3</v>
      </c>
      <c r="T12">
        <v>3</v>
      </c>
      <c r="U12">
        <v>3</v>
      </c>
      <c r="V12" t="s">
        <v>30</v>
      </c>
      <c r="X12" t="s">
        <v>19</v>
      </c>
    </row>
    <row r="13" spans="1:25" hidden="1" outlineLevel="2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 s="7">
        <f t="shared" si="0"/>
        <v>1.782773465E-2</v>
      </c>
      <c r="O13" s="7">
        <f t="shared" si="1"/>
        <v>0.12782485744049998</v>
      </c>
      <c r="P13">
        <v>10</v>
      </c>
      <c r="Q13">
        <v>4</v>
      </c>
      <c r="R13">
        <v>4</v>
      </c>
      <c r="S13">
        <v>3.3</v>
      </c>
      <c r="T13">
        <v>3</v>
      </c>
      <c r="U13">
        <v>2</v>
      </c>
      <c r="V13" t="s">
        <v>25</v>
      </c>
    </row>
    <row r="14" spans="1:25" hidden="1" outlineLevel="2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 s="7">
        <f t="shared" si="0"/>
        <v>6.3443778500000009E-3</v>
      </c>
      <c r="O14" s="7">
        <f t="shared" si="1"/>
        <v>3.8383485992500008E-2</v>
      </c>
      <c r="P14">
        <v>60</v>
      </c>
      <c r="Q14">
        <v>2.5</v>
      </c>
      <c r="R14">
        <v>3</v>
      </c>
      <c r="S14">
        <v>3</v>
      </c>
      <c r="T14">
        <v>4</v>
      </c>
      <c r="U14">
        <v>4</v>
      </c>
      <c r="V14" t="s">
        <v>30</v>
      </c>
    </row>
    <row r="15" spans="1:25" hidden="1" outlineLevel="2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 s="7">
        <f t="shared" si="0"/>
        <v>1.3533156649999999E-2</v>
      </c>
      <c r="O15" s="7">
        <f t="shared" si="1"/>
        <v>8.2281592431999992E-2</v>
      </c>
      <c r="P15">
        <v>80</v>
      </c>
      <c r="Q15">
        <v>3.5</v>
      </c>
      <c r="R15">
        <v>4</v>
      </c>
      <c r="S15">
        <v>4</v>
      </c>
      <c r="T15">
        <v>3.5</v>
      </c>
      <c r="U15">
        <v>3.5</v>
      </c>
      <c r="V15" t="s">
        <v>27</v>
      </c>
    </row>
    <row r="16" spans="1:25" hidden="1" outlineLevel="2" x14ac:dyDescent="0.25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 s="7">
        <f t="shared" si="0"/>
        <v>9.1223593999999984E-3</v>
      </c>
      <c r="O16" s="7">
        <f t="shared" si="1"/>
        <v>8.146266944199998E-2</v>
      </c>
      <c r="P16">
        <v>100</v>
      </c>
      <c r="Q16">
        <v>3</v>
      </c>
      <c r="R16">
        <v>2</v>
      </c>
      <c r="S16">
        <v>3</v>
      </c>
      <c r="T16">
        <v>3</v>
      </c>
      <c r="U16">
        <v>3</v>
      </c>
      <c r="V16" t="s">
        <v>25</v>
      </c>
    </row>
    <row r="17" spans="1:22" hidden="1" outlineLevel="2" x14ac:dyDescent="0.25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 s="7">
        <f t="shared" si="0"/>
        <v>1.3430282400000002E-2</v>
      </c>
      <c r="O17" s="7">
        <f t="shared" si="1"/>
        <v>0.131482464696</v>
      </c>
      <c r="P17">
        <v>90</v>
      </c>
      <c r="Q17">
        <v>5</v>
      </c>
      <c r="R17">
        <v>4.5</v>
      </c>
      <c r="S17">
        <v>5</v>
      </c>
      <c r="T17">
        <v>4</v>
      </c>
      <c r="U17">
        <v>4</v>
      </c>
      <c r="V17" t="s">
        <v>27</v>
      </c>
    </row>
    <row r="18" spans="1:22" hidden="1" outlineLevel="2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 s="7">
        <f t="shared" si="0"/>
        <v>8.1991994000000026E-3</v>
      </c>
      <c r="O18" s="7">
        <f t="shared" si="1"/>
        <v>6.8217339008000019E-2</v>
      </c>
      <c r="P18">
        <v>100</v>
      </c>
      <c r="Q18">
        <v>3</v>
      </c>
      <c r="R18">
        <v>1.8</v>
      </c>
      <c r="S18">
        <v>3</v>
      </c>
      <c r="T18">
        <v>3</v>
      </c>
      <c r="U18">
        <v>3</v>
      </c>
      <c r="V18" t="s">
        <v>38</v>
      </c>
    </row>
    <row r="19" spans="1:22" hidden="1" outlineLevel="2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 s="7">
        <f t="shared" si="0"/>
        <v>2.7480031850000006E-2</v>
      </c>
      <c r="O19" s="7">
        <f t="shared" si="1"/>
        <v>0.2995323471650001</v>
      </c>
      <c r="P19">
        <v>100</v>
      </c>
      <c r="Q19">
        <v>4</v>
      </c>
      <c r="R19">
        <v>4</v>
      </c>
      <c r="S19">
        <v>3.3</v>
      </c>
      <c r="T19">
        <v>4</v>
      </c>
      <c r="U19">
        <v>3</v>
      </c>
      <c r="V19" t="s">
        <v>27</v>
      </c>
    </row>
    <row r="20" spans="1:22" hidden="1" outlineLevel="2" x14ac:dyDescent="0.25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 s="7">
        <f t="shared" si="0"/>
        <v>5.3170326500000002E-3</v>
      </c>
      <c r="O20" s="7">
        <f t="shared" si="1"/>
        <v>3.4560712224999998E-2</v>
      </c>
      <c r="P20">
        <v>70</v>
      </c>
      <c r="Q20">
        <v>2</v>
      </c>
      <c r="R20">
        <v>2</v>
      </c>
      <c r="S20">
        <v>3.3</v>
      </c>
      <c r="T20">
        <v>4</v>
      </c>
      <c r="U20">
        <v>3.5</v>
      </c>
      <c r="V20" t="s">
        <v>30</v>
      </c>
    </row>
    <row r="21" spans="1:22" hidden="1" outlineLevel="2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 s="7">
        <f t="shared" si="0"/>
        <v>2.40956064E-2</v>
      </c>
      <c r="O21" s="7">
        <f t="shared" si="1"/>
        <v>0.22216149100800001</v>
      </c>
      <c r="P21">
        <v>60</v>
      </c>
      <c r="Q21">
        <v>4</v>
      </c>
      <c r="R21">
        <v>3</v>
      </c>
      <c r="S21">
        <v>3</v>
      </c>
      <c r="T21">
        <v>3</v>
      </c>
      <c r="U21">
        <v>2</v>
      </c>
      <c r="V21" t="s">
        <v>25</v>
      </c>
    </row>
    <row r="22" spans="1:22" hidden="1" outlineLevel="2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 s="7">
        <f t="shared" si="0"/>
        <v>9.071656249999999E-3</v>
      </c>
      <c r="O22" s="7">
        <f t="shared" si="1"/>
        <v>5.3613488437499995E-2</v>
      </c>
      <c r="P22">
        <v>50</v>
      </c>
      <c r="Q22">
        <v>2.7</v>
      </c>
      <c r="R22">
        <v>4</v>
      </c>
      <c r="S22">
        <v>3.3</v>
      </c>
      <c r="T22">
        <v>3.5</v>
      </c>
      <c r="U22">
        <v>3</v>
      </c>
      <c r="V22" t="s">
        <v>38</v>
      </c>
    </row>
    <row r="23" spans="1:22" hidden="1" outlineLevel="2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 s="7">
        <f t="shared" si="0"/>
        <v>3.6354166399999999E-2</v>
      </c>
      <c r="O23" s="7">
        <f t="shared" si="1"/>
        <v>0.31882603932799997</v>
      </c>
      <c r="P23">
        <v>20</v>
      </c>
      <c r="Q23">
        <v>4</v>
      </c>
      <c r="R23">
        <v>3.5</v>
      </c>
      <c r="S23">
        <v>3</v>
      </c>
      <c r="T23">
        <v>3</v>
      </c>
      <c r="U23">
        <v>1</v>
      </c>
      <c r="V23" t="s">
        <v>38</v>
      </c>
    </row>
    <row r="24" spans="1:22" hidden="1" outlineLevel="2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 s="7">
        <f t="shared" si="0"/>
        <v>1.8184399399999999E-2</v>
      </c>
      <c r="O24" s="7">
        <f t="shared" si="1"/>
        <v>0.1181985961</v>
      </c>
      <c r="P24">
        <v>30</v>
      </c>
      <c r="Q24">
        <v>3</v>
      </c>
      <c r="R24">
        <v>4</v>
      </c>
      <c r="S24">
        <v>3</v>
      </c>
      <c r="T24">
        <v>3</v>
      </c>
      <c r="U24">
        <v>3</v>
      </c>
      <c r="V24" t="s">
        <v>38</v>
      </c>
    </row>
    <row r="25" spans="1:22" hidden="1" outlineLevel="2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 s="7">
        <f t="shared" si="0"/>
        <v>7.4318226500000003E-3</v>
      </c>
      <c r="O25" s="7">
        <f t="shared" si="1"/>
        <v>6.4433902375500007E-2</v>
      </c>
      <c r="P25">
        <v>70</v>
      </c>
      <c r="Q25">
        <v>2.7</v>
      </c>
      <c r="R25">
        <v>4</v>
      </c>
      <c r="S25">
        <v>3.5</v>
      </c>
      <c r="T25">
        <v>3.5</v>
      </c>
      <c r="U25">
        <v>3.5</v>
      </c>
      <c r="V25" t="s">
        <v>25</v>
      </c>
    </row>
    <row r="26" spans="1:22" hidden="1" outlineLevel="2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 s="7">
        <f t="shared" si="0"/>
        <v>2.3088616249999996E-2</v>
      </c>
      <c r="O26" s="7">
        <f t="shared" si="1"/>
        <v>0.18978842557499997</v>
      </c>
      <c r="P26">
        <v>60</v>
      </c>
      <c r="Q26">
        <v>5</v>
      </c>
      <c r="R26">
        <v>2.7</v>
      </c>
      <c r="S26">
        <v>3.5</v>
      </c>
      <c r="T26">
        <v>3</v>
      </c>
      <c r="U26">
        <v>2</v>
      </c>
      <c r="V26" t="s">
        <v>25</v>
      </c>
    </row>
    <row r="27" spans="1:22" hidden="1" outlineLevel="2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 s="7">
        <f t="shared" si="0"/>
        <v>2.042388665E-2</v>
      </c>
      <c r="O27" s="7">
        <f t="shared" si="1"/>
        <v>0.2032176721675</v>
      </c>
      <c r="P27">
        <v>50</v>
      </c>
      <c r="Q27">
        <v>4.3</v>
      </c>
      <c r="R27">
        <v>4.5</v>
      </c>
      <c r="S27">
        <v>3.3</v>
      </c>
      <c r="T27">
        <v>3.5</v>
      </c>
      <c r="U27">
        <v>3</v>
      </c>
      <c r="V27" t="s">
        <v>25</v>
      </c>
    </row>
    <row r="28" spans="1:22" hidden="1" outlineLevel="2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 s="7">
        <f t="shared" si="0"/>
        <v>6.0514393999999989E-3</v>
      </c>
      <c r="O28" s="7">
        <f t="shared" si="1"/>
        <v>3.5037834125999992E-2</v>
      </c>
      <c r="P28">
        <v>50</v>
      </c>
      <c r="Q28">
        <v>2.5</v>
      </c>
      <c r="R28">
        <v>2</v>
      </c>
      <c r="S28">
        <v>3.2</v>
      </c>
      <c r="T28">
        <v>3.3</v>
      </c>
      <c r="U28">
        <v>3</v>
      </c>
      <c r="V28" t="s">
        <v>38</v>
      </c>
    </row>
    <row r="29" spans="1:22" hidden="1" outlineLevel="2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 s="7">
        <f t="shared" si="0"/>
        <v>2.3169463400000003E-2</v>
      </c>
      <c r="O29" s="7">
        <f t="shared" si="1"/>
        <v>0.23146293936600004</v>
      </c>
      <c r="P29">
        <v>90</v>
      </c>
      <c r="Q29">
        <v>4.3</v>
      </c>
      <c r="R29">
        <v>4.5</v>
      </c>
      <c r="S29">
        <v>3.5</v>
      </c>
      <c r="T29">
        <v>4</v>
      </c>
      <c r="U29">
        <v>3.3</v>
      </c>
      <c r="V29" t="s">
        <v>25</v>
      </c>
    </row>
    <row r="30" spans="1:22" hidden="1" outlineLevel="2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 s="7">
        <f t="shared" si="0"/>
        <v>1.2050699850000002E-2</v>
      </c>
      <c r="O30" s="7">
        <f t="shared" si="1"/>
        <v>6.6881384167500016E-2</v>
      </c>
      <c r="P30">
        <v>80</v>
      </c>
      <c r="Q30">
        <v>3</v>
      </c>
      <c r="R30">
        <v>2.5</v>
      </c>
      <c r="S30">
        <v>2</v>
      </c>
      <c r="T30">
        <v>2</v>
      </c>
      <c r="U30">
        <v>2</v>
      </c>
      <c r="V30" t="s">
        <v>38</v>
      </c>
    </row>
    <row r="31" spans="1:22" hidden="1" outlineLevel="2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 s="7">
        <f t="shared" si="0"/>
        <v>1.7078656249999997E-2</v>
      </c>
      <c r="O31" s="7">
        <f t="shared" si="1"/>
        <v>0.13304273218749998</v>
      </c>
      <c r="P31">
        <v>30</v>
      </c>
      <c r="Q31">
        <v>4</v>
      </c>
      <c r="R31">
        <v>4</v>
      </c>
      <c r="S31">
        <v>4</v>
      </c>
      <c r="T31">
        <v>2.5</v>
      </c>
      <c r="U31">
        <v>2</v>
      </c>
      <c r="V31" t="s">
        <v>25</v>
      </c>
    </row>
    <row r="32" spans="1:22" outlineLevel="1" collapsed="1" x14ac:dyDescent="0.25">
      <c r="G32" s="5" t="s">
        <v>107</v>
      </c>
      <c r="K32">
        <f>SUBTOTAL(4,K2:K31)</f>
        <v>2088</v>
      </c>
      <c r="L32">
        <f>SUBTOTAL(4,L2:L31)</f>
        <v>21.52</v>
      </c>
      <c r="M32">
        <f>SUBTOTAL(4,M2:M31)</f>
        <v>12.28</v>
      </c>
      <c r="N32" s="7">
        <f>SUBTOTAL(4,N2:N31)</f>
        <v>3.6354166399999999E-2</v>
      </c>
      <c r="O32" s="7">
        <f>SUBTOTAL(4,O2:O31)</f>
        <v>0.32077314877500002</v>
      </c>
      <c r="V32">
        <f>SUBTOTAL(4,V2:V31)</f>
        <v>0</v>
      </c>
    </row>
    <row r="33" spans="1:22" hidden="1" outlineLevel="2" x14ac:dyDescent="0.25">
      <c r="A33" t="s">
        <v>94</v>
      </c>
      <c r="B33">
        <v>1</v>
      </c>
      <c r="C33" t="s">
        <v>21</v>
      </c>
      <c r="D33" t="s">
        <v>95</v>
      </c>
      <c r="E33" t="s">
        <v>96</v>
      </c>
      <c r="F33">
        <v>150</v>
      </c>
      <c r="G33">
        <v>900</v>
      </c>
      <c r="H33">
        <v>-2</v>
      </c>
      <c r="I33">
        <v>1986</v>
      </c>
      <c r="J33" t="s">
        <v>76</v>
      </c>
      <c r="K33">
        <v>3266</v>
      </c>
      <c r="L33">
        <v>21.86</v>
      </c>
      <c r="M33">
        <v>10</v>
      </c>
      <c r="N33" s="7">
        <f t="shared" ref="N33:N64" si="2">3.14/4*((L33/100)^2)</f>
        <v>3.7511978599999996E-2</v>
      </c>
      <c r="O33" s="7">
        <f t="shared" ref="O33:O64" si="3">3.14/4*((L33/100)^2)*M33</f>
        <v>0.37511978599999996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50</v>
      </c>
    </row>
    <row r="34" spans="1:22" hidden="1" outlineLevel="2" x14ac:dyDescent="0.25">
      <c r="A34" t="s">
        <v>94</v>
      </c>
      <c r="B34">
        <v>1</v>
      </c>
      <c r="C34" t="s">
        <v>21</v>
      </c>
      <c r="D34" t="s">
        <v>95</v>
      </c>
      <c r="E34" t="s">
        <v>96</v>
      </c>
      <c r="F34">
        <v>150</v>
      </c>
      <c r="G34">
        <v>900</v>
      </c>
      <c r="H34">
        <v>-2</v>
      </c>
      <c r="I34">
        <v>1986</v>
      </c>
      <c r="J34" t="s">
        <v>76</v>
      </c>
      <c r="K34">
        <v>3267</v>
      </c>
      <c r="L34">
        <v>33.65</v>
      </c>
      <c r="M34">
        <v>15.36</v>
      </c>
      <c r="N34" s="7">
        <f t="shared" si="2"/>
        <v>8.8887316249999987E-2</v>
      </c>
      <c r="O34" s="7">
        <f t="shared" si="3"/>
        <v>1.3653091775999997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50</v>
      </c>
    </row>
    <row r="35" spans="1:22" hidden="1" outlineLevel="2" x14ac:dyDescent="0.25">
      <c r="A35" t="s">
        <v>94</v>
      </c>
      <c r="B35">
        <v>1</v>
      </c>
      <c r="C35" t="s">
        <v>21</v>
      </c>
      <c r="D35" t="s">
        <v>95</v>
      </c>
      <c r="E35" t="s">
        <v>96</v>
      </c>
      <c r="F35">
        <v>150</v>
      </c>
      <c r="G35">
        <v>900</v>
      </c>
      <c r="H35">
        <v>-2</v>
      </c>
      <c r="I35">
        <v>1986</v>
      </c>
      <c r="J35" t="s">
        <v>76</v>
      </c>
      <c r="K35">
        <v>3268</v>
      </c>
      <c r="L35">
        <v>18.010000000000002</v>
      </c>
      <c r="M35">
        <v>3.26</v>
      </c>
      <c r="N35" s="7">
        <f t="shared" si="2"/>
        <v>2.5462267850000001E-2</v>
      </c>
      <c r="O35" s="7">
        <f t="shared" si="3"/>
        <v>8.3006993190999995E-2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50</v>
      </c>
    </row>
    <row r="36" spans="1:22" hidden="1" outlineLevel="2" x14ac:dyDescent="0.25">
      <c r="A36" t="s">
        <v>94</v>
      </c>
      <c r="B36">
        <v>1</v>
      </c>
      <c r="C36" t="s">
        <v>21</v>
      </c>
      <c r="D36" t="s">
        <v>95</v>
      </c>
      <c r="E36" t="s">
        <v>96</v>
      </c>
      <c r="F36">
        <v>150</v>
      </c>
      <c r="G36">
        <v>900</v>
      </c>
      <c r="H36">
        <v>-2</v>
      </c>
      <c r="I36">
        <v>1986</v>
      </c>
      <c r="J36" t="s">
        <v>76</v>
      </c>
      <c r="K36">
        <v>3269</v>
      </c>
      <c r="L36">
        <v>24.72</v>
      </c>
      <c r="M36">
        <v>11.29</v>
      </c>
      <c r="N36" s="7">
        <f t="shared" si="2"/>
        <v>4.7969654399999992E-2</v>
      </c>
      <c r="O36" s="7">
        <f t="shared" si="3"/>
        <v>0.54157739817599981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50</v>
      </c>
    </row>
    <row r="37" spans="1:22" hidden="1" outlineLevel="2" x14ac:dyDescent="0.25">
      <c r="A37" t="s">
        <v>94</v>
      </c>
      <c r="B37">
        <v>1</v>
      </c>
      <c r="C37" t="s">
        <v>21</v>
      </c>
      <c r="D37" t="s">
        <v>95</v>
      </c>
      <c r="E37" t="s">
        <v>96</v>
      </c>
      <c r="F37">
        <v>150</v>
      </c>
      <c r="G37">
        <v>900</v>
      </c>
      <c r="H37">
        <v>-2</v>
      </c>
      <c r="I37">
        <v>1986</v>
      </c>
      <c r="J37" t="s">
        <v>76</v>
      </c>
      <c r="K37">
        <v>2770</v>
      </c>
      <c r="L37">
        <v>20.85</v>
      </c>
      <c r="M37">
        <v>9.52</v>
      </c>
      <c r="N37" s="7">
        <f t="shared" si="2"/>
        <v>3.4125716250000007E-2</v>
      </c>
      <c r="O37" s="7">
        <f t="shared" si="3"/>
        <v>0.32487681870000007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50</v>
      </c>
    </row>
    <row r="38" spans="1:22" hidden="1" outlineLevel="2" x14ac:dyDescent="0.25">
      <c r="A38" t="s">
        <v>94</v>
      </c>
      <c r="B38">
        <v>1</v>
      </c>
      <c r="C38" t="s">
        <v>21</v>
      </c>
      <c r="D38" t="s">
        <v>95</v>
      </c>
      <c r="E38" t="s">
        <v>96</v>
      </c>
      <c r="F38">
        <v>150</v>
      </c>
      <c r="G38">
        <v>900</v>
      </c>
      <c r="H38">
        <v>-2</v>
      </c>
      <c r="I38">
        <v>1986</v>
      </c>
      <c r="J38" t="s">
        <v>76</v>
      </c>
      <c r="K38">
        <v>2460</v>
      </c>
      <c r="L38">
        <v>29.6</v>
      </c>
      <c r="M38">
        <v>13.52</v>
      </c>
      <c r="N38" s="7">
        <f t="shared" si="2"/>
        <v>6.877856000000003E-2</v>
      </c>
      <c r="O38" s="7">
        <f t="shared" si="3"/>
        <v>0.92988613120000041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50</v>
      </c>
    </row>
    <row r="39" spans="1:22" hidden="1" outlineLevel="2" x14ac:dyDescent="0.25">
      <c r="A39" t="s">
        <v>94</v>
      </c>
      <c r="B39">
        <v>1</v>
      </c>
      <c r="C39" t="s">
        <v>21</v>
      </c>
      <c r="D39" t="s">
        <v>95</v>
      </c>
      <c r="E39" t="s">
        <v>96</v>
      </c>
      <c r="F39">
        <v>150</v>
      </c>
      <c r="G39">
        <v>900</v>
      </c>
      <c r="H39">
        <v>-2</v>
      </c>
      <c r="I39">
        <v>1986</v>
      </c>
      <c r="J39" t="s">
        <v>24</v>
      </c>
      <c r="K39">
        <v>2562</v>
      </c>
      <c r="L39">
        <v>40.44</v>
      </c>
      <c r="M39">
        <v>17.059999999999999</v>
      </c>
      <c r="N39" s="7">
        <f t="shared" si="2"/>
        <v>0.1283783976</v>
      </c>
      <c r="O39" s="7">
        <f t="shared" si="3"/>
        <v>2.1901354630559999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50</v>
      </c>
    </row>
    <row r="40" spans="1:22" hidden="1" outlineLevel="2" x14ac:dyDescent="0.25">
      <c r="A40" t="s">
        <v>94</v>
      </c>
      <c r="B40">
        <v>1</v>
      </c>
      <c r="C40" t="s">
        <v>21</v>
      </c>
      <c r="D40" t="s">
        <v>95</v>
      </c>
      <c r="E40" t="s">
        <v>96</v>
      </c>
      <c r="F40">
        <v>150</v>
      </c>
      <c r="G40">
        <v>900</v>
      </c>
      <c r="H40">
        <v>-2</v>
      </c>
      <c r="I40">
        <v>1986</v>
      </c>
      <c r="J40" t="s">
        <v>32</v>
      </c>
      <c r="K40">
        <v>3270</v>
      </c>
      <c r="L40">
        <v>27.7</v>
      </c>
      <c r="M40">
        <v>12.62</v>
      </c>
      <c r="N40" s="7">
        <f t="shared" si="2"/>
        <v>6.0232264999999986E-2</v>
      </c>
      <c r="O40" s="7">
        <f t="shared" si="3"/>
        <v>0.76013118429999982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50</v>
      </c>
    </row>
    <row r="41" spans="1:22" hidden="1" outlineLevel="2" x14ac:dyDescent="0.25">
      <c r="A41" t="s">
        <v>94</v>
      </c>
      <c r="B41">
        <v>1</v>
      </c>
      <c r="C41" t="s">
        <v>21</v>
      </c>
      <c r="D41" t="s">
        <v>95</v>
      </c>
      <c r="E41" t="s">
        <v>96</v>
      </c>
      <c r="F41">
        <v>150</v>
      </c>
      <c r="G41">
        <v>900</v>
      </c>
      <c r="H41">
        <v>-2</v>
      </c>
      <c r="I41">
        <v>1986</v>
      </c>
      <c r="J41" t="s">
        <v>32</v>
      </c>
      <c r="K41">
        <v>3271</v>
      </c>
      <c r="L41">
        <v>18.73</v>
      </c>
      <c r="M41">
        <v>8.5299999999999994</v>
      </c>
      <c r="N41" s="7">
        <f t="shared" si="2"/>
        <v>2.7538812650000001E-2</v>
      </c>
      <c r="O41" s="7">
        <f t="shared" si="3"/>
        <v>0.2349060719045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50</v>
      </c>
    </row>
    <row r="42" spans="1:22" hidden="1" outlineLevel="2" x14ac:dyDescent="0.25">
      <c r="A42" t="s">
        <v>94</v>
      </c>
      <c r="B42">
        <v>1</v>
      </c>
      <c r="C42" t="s">
        <v>21</v>
      </c>
      <c r="D42" t="s">
        <v>95</v>
      </c>
      <c r="E42" t="s">
        <v>96</v>
      </c>
      <c r="F42">
        <v>150</v>
      </c>
      <c r="G42">
        <v>900</v>
      </c>
      <c r="H42">
        <v>-2</v>
      </c>
      <c r="I42">
        <v>1986</v>
      </c>
      <c r="J42" t="s">
        <v>32</v>
      </c>
      <c r="K42">
        <v>2569</v>
      </c>
      <c r="L42">
        <v>36.65</v>
      </c>
      <c r="M42">
        <v>16.690000000000001</v>
      </c>
      <c r="N42" s="7">
        <f t="shared" si="2"/>
        <v>0.10544296625000001</v>
      </c>
      <c r="O42" s="7">
        <f t="shared" si="3"/>
        <v>1.7598431067125002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50</v>
      </c>
    </row>
    <row r="43" spans="1:22" hidden="1" outlineLevel="2" x14ac:dyDescent="0.25">
      <c r="A43" t="s">
        <v>94</v>
      </c>
      <c r="B43">
        <v>1</v>
      </c>
      <c r="C43" t="s">
        <v>21</v>
      </c>
      <c r="D43" t="s">
        <v>95</v>
      </c>
      <c r="E43" t="s">
        <v>96</v>
      </c>
      <c r="F43">
        <v>150</v>
      </c>
      <c r="G43">
        <v>900</v>
      </c>
      <c r="H43">
        <v>-2</v>
      </c>
      <c r="I43">
        <v>1986</v>
      </c>
      <c r="J43" t="s">
        <v>32</v>
      </c>
      <c r="K43">
        <v>1596</v>
      </c>
      <c r="L43">
        <v>25.84</v>
      </c>
      <c r="M43">
        <v>11.76</v>
      </c>
      <c r="N43" s="7">
        <f t="shared" si="2"/>
        <v>5.2414889600000007E-2</v>
      </c>
      <c r="O43" s="7">
        <f t="shared" si="3"/>
        <v>0.6163991016960001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50</v>
      </c>
    </row>
    <row r="44" spans="1:22" hidden="1" outlineLevel="2" x14ac:dyDescent="0.25">
      <c r="A44" t="s">
        <v>94</v>
      </c>
      <c r="B44">
        <v>1</v>
      </c>
      <c r="C44" t="s">
        <v>21</v>
      </c>
      <c r="D44" t="s">
        <v>95</v>
      </c>
      <c r="E44" t="s">
        <v>96</v>
      </c>
      <c r="F44">
        <v>150</v>
      </c>
      <c r="G44">
        <v>900</v>
      </c>
      <c r="H44">
        <v>-2</v>
      </c>
      <c r="I44">
        <v>1986</v>
      </c>
      <c r="J44" t="s">
        <v>32</v>
      </c>
      <c r="K44">
        <v>3068</v>
      </c>
      <c r="L44">
        <v>4.1399999999999997</v>
      </c>
      <c r="M44">
        <v>1.89</v>
      </c>
      <c r="N44" s="7">
        <f t="shared" si="2"/>
        <v>1.3454586000000001E-3</v>
      </c>
      <c r="O44" s="7">
        <f t="shared" si="3"/>
        <v>2.5429167540000001E-3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50</v>
      </c>
    </row>
    <row r="45" spans="1:22" hidden="1" outlineLevel="2" x14ac:dyDescent="0.25">
      <c r="A45" t="s">
        <v>94</v>
      </c>
      <c r="B45">
        <v>1</v>
      </c>
      <c r="C45" t="s">
        <v>21</v>
      </c>
      <c r="D45" t="s">
        <v>95</v>
      </c>
      <c r="E45" t="s">
        <v>96</v>
      </c>
      <c r="F45">
        <v>150</v>
      </c>
      <c r="G45">
        <v>900</v>
      </c>
      <c r="H45">
        <v>-2</v>
      </c>
      <c r="I45">
        <v>1986</v>
      </c>
      <c r="J45" t="s">
        <v>36</v>
      </c>
      <c r="K45">
        <v>3272</v>
      </c>
      <c r="L45">
        <v>26.63</v>
      </c>
      <c r="M45">
        <v>11.4</v>
      </c>
      <c r="N45" s="7">
        <f t="shared" si="2"/>
        <v>5.5668816649999994E-2</v>
      </c>
      <c r="O45" s="7">
        <f t="shared" si="3"/>
        <v>0.63462450980999996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50</v>
      </c>
    </row>
    <row r="46" spans="1:22" hidden="1" outlineLevel="2" x14ac:dyDescent="0.25">
      <c r="A46" t="s">
        <v>94</v>
      </c>
      <c r="B46">
        <v>1</v>
      </c>
      <c r="C46" t="s">
        <v>21</v>
      </c>
      <c r="D46" t="s">
        <v>95</v>
      </c>
      <c r="E46" t="s">
        <v>96</v>
      </c>
      <c r="F46">
        <v>150</v>
      </c>
      <c r="G46">
        <v>900</v>
      </c>
      <c r="H46">
        <v>-2</v>
      </c>
      <c r="I46">
        <v>1986</v>
      </c>
      <c r="J46" t="s">
        <v>36</v>
      </c>
      <c r="K46">
        <v>3273</v>
      </c>
      <c r="L46">
        <v>10.1</v>
      </c>
      <c r="M46">
        <v>4.32</v>
      </c>
      <c r="N46" s="7">
        <f t="shared" si="2"/>
        <v>8.0077849999999982E-3</v>
      </c>
      <c r="O46" s="7">
        <f t="shared" si="3"/>
        <v>3.4593631199999995E-2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50</v>
      </c>
    </row>
    <row r="47" spans="1:22" hidden="1" outlineLevel="2" x14ac:dyDescent="0.25">
      <c r="A47" t="s">
        <v>94</v>
      </c>
      <c r="B47">
        <v>1</v>
      </c>
      <c r="C47" t="s">
        <v>21</v>
      </c>
      <c r="D47" t="s">
        <v>95</v>
      </c>
      <c r="E47" t="s">
        <v>96</v>
      </c>
      <c r="F47">
        <v>150</v>
      </c>
      <c r="G47">
        <v>900</v>
      </c>
      <c r="H47">
        <v>-2</v>
      </c>
      <c r="I47">
        <v>1986</v>
      </c>
      <c r="J47" t="s">
        <v>36</v>
      </c>
      <c r="K47">
        <v>2573</v>
      </c>
      <c r="L47">
        <v>23.62</v>
      </c>
      <c r="M47">
        <v>10.11</v>
      </c>
      <c r="N47" s="7">
        <f t="shared" si="2"/>
        <v>4.3795495400000009E-2</v>
      </c>
      <c r="O47" s="7">
        <f t="shared" si="3"/>
        <v>0.44277245849400004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50</v>
      </c>
    </row>
    <row r="48" spans="1:22" hidden="1" outlineLevel="2" x14ac:dyDescent="0.25">
      <c r="A48" t="s">
        <v>94</v>
      </c>
      <c r="B48">
        <v>1</v>
      </c>
      <c r="C48" t="s">
        <v>21</v>
      </c>
      <c r="D48" t="s">
        <v>95</v>
      </c>
      <c r="E48" t="s">
        <v>96</v>
      </c>
      <c r="F48">
        <v>150</v>
      </c>
      <c r="G48">
        <v>900</v>
      </c>
      <c r="H48">
        <v>-2</v>
      </c>
      <c r="I48">
        <v>1986</v>
      </c>
      <c r="J48" t="s">
        <v>97</v>
      </c>
      <c r="K48">
        <v>1257</v>
      </c>
      <c r="L48">
        <v>21.07</v>
      </c>
      <c r="M48">
        <v>9.6199999999999992</v>
      </c>
      <c r="N48" s="7">
        <f t="shared" si="2"/>
        <v>3.4849674650000002E-2</v>
      </c>
      <c r="O48" s="7">
        <f t="shared" si="3"/>
        <v>0.33525387013300001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50</v>
      </c>
    </row>
    <row r="49" spans="1:22" hidden="1" outlineLevel="2" x14ac:dyDescent="0.25">
      <c r="A49" t="s">
        <v>94</v>
      </c>
      <c r="B49">
        <v>1</v>
      </c>
      <c r="C49" t="s">
        <v>21</v>
      </c>
      <c r="D49" t="s">
        <v>95</v>
      </c>
      <c r="E49" t="s">
        <v>96</v>
      </c>
      <c r="F49">
        <v>150</v>
      </c>
      <c r="G49">
        <v>900</v>
      </c>
      <c r="H49">
        <v>-2</v>
      </c>
      <c r="I49">
        <v>1986</v>
      </c>
      <c r="J49" t="s">
        <v>97</v>
      </c>
      <c r="K49">
        <v>1825</v>
      </c>
      <c r="L49">
        <v>19.809999999999999</v>
      </c>
      <c r="M49">
        <v>9.0500000000000007</v>
      </c>
      <c r="N49" s="7">
        <f t="shared" si="2"/>
        <v>3.080623385E-2</v>
      </c>
      <c r="O49" s="7">
        <f t="shared" si="3"/>
        <v>0.27879641634250002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50</v>
      </c>
    </row>
    <row r="50" spans="1:22" hidden="1" outlineLevel="2" x14ac:dyDescent="0.25">
      <c r="A50" t="s">
        <v>94</v>
      </c>
      <c r="B50">
        <v>1</v>
      </c>
      <c r="C50" t="s">
        <v>21</v>
      </c>
      <c r="D50" t="s">
        <v>95</v>
      </c>
      <c r="E50" t="s">
        <v>96</v>
      </c>
      <c r="F50">
        <v>150</v>
      </c>
      <c r="G50">
        <v>900</v>
      </c>
      <c r="H50">
        <v>-2</v>
      </c>
      <c r="I50">
        <v>1986</v>
      </c>
      <c r="J50" t="s">
        <v>98</v>
      </c>
      <c r="K50">
        <v>2768</v>
      </c>
      <c r="L50">
        <v>32.090000000000003</v>
      </c>
      <c r="M50">
        <v>12.03</v>
      </c>
      <c r="N50" s="7">
        <f t="shared" si="2"/>
        <v>8.0836795850000018E-2</v>
      </c>
      <c r="O50" s="7">
        <f t="shared" si="3"/>
        <v>0.97246665407550015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50</v>
      </c>
    </row>
    <row r="51" spans="1:22" hidden="1" outlineLevel="2" x14ac:dyDescent="0.25">
      <c r="A51" t="s">
        <v>94</v>
      </c>
      <c r="B51">
        <v>1</v>
      </c>
      <c r="C51" t="s">
        <v>21</v>
      </c>
      <c r="D51" t="s">
        <v>95</v>
      </c>
      <c r="E51" t="s">
        <v>96</v>
      </c>
      <c r="F51">
        <v>150</v>
      </c>
      <c r="G51">
        <v>900</v>
      </c>
      <c r="H51">
        <v>-2</v>
      </c>
      <c r="I51">
        <v>1986</v>
      </c>
      <c r="J51" t="s">
        <v>98</v>
      </c>
      <c r="K51">
        <v>1609</v>
      </c>
      <c r="L51">
        <v>33.99</v>
      </c>
      <c r="M51">
        <v>12.75</v>
      </c>
      <c r="N51" s="7">
        <f t="shared" si="2"/>
        <v>9.0692627850000013E-2</v>
      </c>
      <c r="O51" s="7">
        <f t="shared" si="3"/>
        <v>1.1563310050875002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50</v>
      </c>
    </row>
    <row r="52" spans="1:22" hidden="1" outlineLevel="2" x14ac:dyDescent="0.25">
      <c r="A52" t="s">
        <v>94</v>
      </c>
      <c r="B52">
        <v>1</v>
      </c>
      <c r="C52" t="s">
        <v>21</v>
      </c>
      <c r="D52" t="s">
        <v>95</v>
      </c>
      <c r="E52" t="s">
        <v>96</v>
      </c>
      <c r="F52">
        <v>150</v>
      </c>
      <c r="G52">
        <v>900</v>
      </c>
      <c r="H52">
        <v>-2</v>
      </c>
      <c r="I52">
        <v>1986</v>
      </c>
      <c r="J52" t="s">
        <v>98</v>
      </c>
      <c r="K52">
        <v>3275</v>
      </c>
      <c r="L52">
        <v>15.25</v>
      </c>
      <c r="M52">
        <v>5.72</v>
      </c>
      <c r="N52" s="7">
        <f t="shared" si="2"/>
        <v>1.8256156249999999E-2</v>
      </c>
      <c r="O52" s="7">
        <f t="shared" si="3"/>
        <v>0.10442521375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50</v>
      </c>
    </row>
    <row r="53" spans="1:22" hidden="1" outlineLevel="2" x14ac:dyDescent="0.25">
      <c r="A53" t="s">
        <v>94</v>
      </c>
      <c r="B53">
        <v>1</v>
      </c>
      <c r="C53" t="s">
        <v>21</v>
      </c>
      <c r="D53" t="s">
        <v>95</v>
      </c>
      <c r="E53" t="s">
        <v>96</v>
      </c>
      <c r="F53">
        <v>150</v>
      </c>
      <c r="G53">
        <v>900</v>
      </c>
      <c r="H53">
        <v>-2</v>
      </c>
      <c r="I53">
        <v>1986</v>
      </c>
      <c r="J53" t="s">
        <v>98</v>
      </c>
      <c r="K53">
        <v>3274</v>
      </c>
      <c r="L53">
        <v>26.87</v>
      </c>
      <c r="M53">
        <v>10.08</v>
      </c>
      <c r="N53" s="7">
        <f t="shared" si="2"/>
        <v>5.667675665E-2</v>
      </c>
      <c r="O53" s="7">
        <f t="shared" si="3"/>
        <v>0.57130170703200001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50</v>
      </c>
    </row>
    <row r="54" spans="1:22" hidden="1" outlineLevel="2" x14ac:dyDescent="0.25">
      <c r="A54" t="s">
        <v>94</v>
      </c>
      <c r="B54">
        <v>2</v>
      </c>
      <c r="C54" t="s">
        <v>21</v>
      </c>
      <c r="D54" t="s">
        <v>95</v>
      </c>
      <c r="E54" t="s">
        <v>96</v>
      </c>
      <c r="F54">
        <v>150</v>
      </c>
      <c r="G54">
        <v>900</v>
      </c>
      <c r="H54">
        <v>-2</v>
      </c>
      <c r="I54">
        <v>1986</v>
      </c>
      <c r="J54" t="s">
        <v>76</v>
      </c>
      <c r="K54">
        <v>3266</v>
      </c>
      <c r="L54">
        <v>25.73</v>
      </c>
      <c r="M54">
        <v>11.75</v>
      </c>
      <c r="N54" s="7">
        <f t="shared" si="2"/>
        <v>5.1969582650000012E-2</v>
      </c>
      <c r="O54" s="7">
        <f t="shared" si="3"/>
        <v>0.61064259613750016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50</v>
      </c>
    </row>
    <row r="55" spans="1:22" hidden="1" outlineLevel="2" x14ac:dyDescent="0.25">
      <c r="A55" t="s">
        <v>94</v>
      </c>
      <c r="B55">
        <v>2</v>
      </c>
      <c r="C55" t="s">
        <v>21</v>
      </c>
      <c r="D55" t="s">
        <v>95</v>
      </c>
      <c r="E55" t="s">
        <v>96</v>
      </c>
      <c r="F55">
        <v>150</v>
      </c>
      <c r="G55">
        <v>900</v>
      </c>
      <c r="H55">
        <v>-2</v>
      </c>
      <c r="I55">
        <v>1986</v>
      </c>
      <c r="J55" t="s">
        <v>76</v>
      </c>
      <c r="K55">
        <v>3267</v>
      </c>
      <c r="L55">
        <v>19.91</v>
      </c>
      <c r="M55">
        <v>13.63</v>
      </c>
      <c r="N55" s="7">
        <f t="shared" si="2"/>
        <v>3.111803585E-2</v>
      </c>
      <c r="O55" s="7">
        <f t="shared" si="3"/>
        <v>0.42413882863550001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50</v>
      </c>
    </row>
    <row r="56" spans="1:22" hidden="1" outlineLevel="2" x14ac:dyDescent="0.25">
      <c r="A56" t="s">
        <v>94</v>
      </c>
      <c r="B56">
        <v>2</v>
      </c>
      <c r="C56" t="s">
        <v>21</v>
      </c>
      <c r="D56" t="s">
        <v>95</v>
      </c>
      <c r="E56" t="s">
        <v>96</v>
      </c>
      <c r="F56">
        <v>150</v>
      </c>
      <c r="G56">
        <v>900</v>
      </c>
      <c r="H56">
        <v>-2</v>
      </c>
      <c r="I56">
        <v>1986</v>
      </c>
      <c r="J56" t="s">
        <v>76</v>
      </c>
      <c r="K56">
        <v>3268</v>
      </c>
      <c r="L56">
        <v>17.690000000000001</v>
      </c>
      <c r="M56">
        <v>8.08</v>
      </c>
      <c r="N56" s="7">
        <f t="shared" si="2"/>
        <v>2.456548385E-2</v>
      </c>
      <c r="O56" s="7">
        <f t="shared" si="3"/>
        <v>0.198489109508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50</v>
      </c>
    </row>
    <row r="57" spans="1:22" hidden="1" outlineLevel="2" x14ac:dyDescent="0.25">
      <c r="A57" t="s">
        <v>94</v>
      </c>
      <c r="B57">
        <v>2</v>
      </c>
      <c r="C57" t="s">
        <v>21</v>
      </c>
      <c r="D57" t="s">
        <v>95</v>
      </c>
      <c r="E57" t="s">
        <v>96</v>
      </c>
      <c r="F57">
        <v>150</v>
      </c>
      <c r="G57">
        <v>900</v>
      </c>
      <c r="H57">
        <v>-2</v>
      </c>
      <c r="I57">
        <v>1986</v>
      </c>
      <c r="J57" t="s">
        <v>76</v>
      </c>
      <c r="K57">
        <v>3269</v>
      </c>
      <c r="L57">
        <v>25.71</v>
      </c>
      <c r="M57">
        <v>11.74</v>
      </c>
      <c r="N57" s="7">
        <f t="shared" si="2"/>
        <v>5.1888821850000003E-2</v>
      </c>
      <c r="O57" s="7">
        <f t="shared" si="3"/>
        <v>0.60917476851899999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50</v>
      </c>
    </row>
    <row r="58" spans="1:22" hidden="1" outlineLevel="2" x14ac:dyDescent="0.25">
      <c r="A58" t="s">
        <v>94</v>
      </c>
      <c r="B58">
        <v>2</v>
      </c>
      <c r="C58" t="s">
        <v>21</v>
      </c>
      <c r="D58" t="s">
        <v>95</v>
      </c>
      <c r="E58" t="s">
        <v>96</v>
      </c>
      <c r="F58">
        <v>150</v>
      </c>
      <c r="G58">
        <v>900</v>
      </c>
      <c r="H58">
        <v>-2</v>
      </c>
      <c r="I58">
        <v>1986</v>
      </c>
      <c r="J58" t="s">
        <v>76</v>
      </c>
      <c r="K58">
        <v>2770</v>
      </c>
      <c r="L58">
        <v>11.25</v>
      </c>
      <c r="M58">
        <v>5.14</v>
      </c>
      <c r="N58" s="7">
        <f t="shared" si="2"/>
        <v>9.9351562500000004E-3</v>
      </c>
      <c r="O58" s="7">
        <f t="shared" si="3"/>
        <v>5.1066703125000001E-2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50</v>
      </c>
    </row>
    <row r="59" spans="1:22" hidden="1" outlineLevel="2" x14ac:dyDescent="0.25">
      <c r="A59" t="s">
        <v>94</v>
      </c>
      <c r="B59">
        <v>2</v>
      </c>
      <c r="C59" t="s">
        <v>21</v>
      </c>
      <c r="D59" t="s">
        <v>95</v>
      </c>
      <c r="E59" t="s">
        <v>96</v>
      </c>
      <c r="F59">
        <v>150</v>
      </c>
      <c r="G59">
        <v>900</v>
      </c>
      <c r="H59">
        <v>-2</v>
      </c>
      <c r="I59">
        <v>1986</v>
      </c>
      <c r="J59" t="s">
        <v>76</v>
      </c>
      <c r="K59">
        <v>2460</v>
      </c>
      <c r="L59">
        <v>25.85</v>
      </c>
      <c r="M59">
        <v>11.8</v>
      </c>
      <c r="N59" s="7">
        <f t="shared" si="2"/>
        <v>5.2455466249999999E-2</v>
      </c>
      <c r="O59" s="7">
        <f t="shared" si="3"/>
        <v>0.61897450175000002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50</v>
      </c>
    </row>
    <row r="60" spans="1:22" hidden="1" outlineLevel="2" x14ac:dyDescent="0.25">
      <c r="A60" t="s">
        <v>94</v>
      </c>
      <c r="B60">
        <v>2</v>
      </c>
      <c r="C60" t="s">
        <v>21</v>
      </c>
      <c r="D60" t="s">
        <v>95</v>
      </c>
      <c r="E60" t="s">
        <v>96</v>
      </c>
      <c r="F60">
        <v>150</v>
      </c>
      <c r="G60">
        <v>900</v>
      </c>
      <c r="H60">
        <v>-2</v>
      </c>
      <c r="I60">
        <v>1986</v>
      </c>
      <c r="J60" t="s">
        <v>24</v>
      </c>
      <c r="K60">
        <v>2562</v>
      </c>
      <c r="L60">
        <v>33.6</v>
      </c>
      <c r="M60">
        <v>14.17</v>
      </c>
      <c r="N60" s="7">
        <f t="shared" si="2"/>
        <v>8.8623360000000012E-2</v>
      </c>
      <c r="O60" s="7">
        <f t="shared" si="3"/>
        <v>1.2557930112000002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50</v>
      </c>
    </row>
    <row r="61" spans="1:22" hidden="1" outlineLevel="2" x14ac:dyDescent="0.25">
      <c r="A61" t="s">
        <v>94</v>
      </c>
      <c r="B61">
        <v>2</v>
      </c>
      <c r="C61" t="s">
        <v>21</v>
      </c>
      <c r="D61" t="s">
        <v>95</v>
      </c>
      <c r="E61" t="s">
        <v>96</v>
      </c>
      <c r="F61">
        <v>150</v>
      </c>
      <c r="G61">
        <v>900</v>
      </c>
      <c r="H61">
        <v>-2</v>
      </c>
      <c r="I61">
        <v>1986</v>
      </c>
      <c r="J61" t="s">
        <v>32</v>
      </c>
      <c r="K61">
        <v>3270</v>
      </c>
      <c r="L61">
        <v>35.78</v>
      </c>
      <c r="M61">
        <v>16.29</v>
      </c>
      <c r="N61" s="7">
        <f t="shared" si="2"/>
        <v>0.1004963594</v>
      </c>
      <c r="O61" s="7">
        <f t="shared" si="3"/>
        <v>1.637085694626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50</v>
      </c>
    </row>
    <row r="62" spans="1:22" hidden="1" outlineLevel="2" x14ac:dyDescent="0.25">
      <c r="A62" t="s">
        <v>94</v>
      </c>
      <c r="B62">
        <v>2</v>
      </c>
      <c r="C62" t="s">
        <v>21</v>
      </c>
      <c r="D62" t="s">
        <v>95</v>
      </c>
      <c r="E62" t="s">
        <v>96</v>
      </c>
      <c r="F62">
        <v>150</v>
      </c>
      <c r="G62">
        <v>900</v>
      </c>
      <c r="H62">
        <v>-2</v>
      </c>
      <c r="I62">
        <v>1986</v>
      </c>
      <c r="J62" t="s">
        <v>32</v>
      </c>
      <c r="K62">
        <v>3271</v>
      </c>
      <c r="L62">
        <v>23.46</v>
      </c>
      <c r="M62">
        <v>10.68</v>
      </c>
      <c r="N62" s="7">
        <f t="shared" si="2"/>
        <v>4.3204170600000001E-2</v>
      </c>
      <c r="O62" s="7">
        <f t="shared" si="3"/>
        <v>0.46142054200799998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50</v>
      </c>
    </row>
    <row r="63" spans="1:22" hidden="1" outlineLevel="2" x14ac:dyDescent="0.25">
      <c r="A63" t="s">
        <v>94</v>
      </c>
      <c r="B63">
        <v>2</v>
      </c>
      <c r="C63" t="s">
        <v>21</v>
      </c>
      <c r="D63" t="s">
        <v>95</v>
      </c>
      <c r="E63" t="s">
        <v>96</v>
      </c>
      <c r="F63">
        <v>150</v>
      </c>
      <c r="G63">
        <v>900</v>
      </c>
      <c r="H63">
        <v>-2</v>
      </c>
      <c r="I63">
        <v>1986</v>
      </c>
      <c r="J63" t="s">
        <v>32</v>
      </c>
      <c r="K63">
        <v>2569</v>
      </c>
      <c r="L63">
        <v>27.79</v>
      </c>
      <c r="M63">
        <v>12.65</v>
      </c>
      <c r="N63" s="7">
        <f t="shared" si="2"/>
        <v>6.0624301849999992E-2</v>
      </c>
      <c r="O63" s="7">
        <f t="shared" si="3"/>
        <v>0.76689741840249992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50</v>
      </c>
    </row>
    <row r="64" spans="1:22" hidden="1" outlineLevel="2" x14ac:dyDescent="0.25">
      <c r="A64" t="s">
        <v>94</v>
      </c>
      <c r="B64">
        <v>2</v>
      </c>
      <c r="C64" t="s">
        <v>21</v>
      </c>
      <c r="D64" t="s">
        <v>95</v>
      </c>
      <c r="E64" t="s">
        <v>96</v>
      </c>
      <c r="F64">
        <v>150</v>
      </c>
      <c r="G64">
        <v>900</v>
      </c>
      <c r="H64">
        <v>-2</v>
      </c>
      <c r="I64">
        <v>1986</v>
      </c>
      <c r="J64" t="s">
        <v>32</v>
      </c>
      <c r="K64">
        <v>1596</v>
      </c>
      <c r="L64">
        <v>32.880000000000003</v>
      </c>
      <c r="M64">
        <v>14.98</v>
      </c>
      <c r="N64" s="7">
        <f t="shared" si="2"/>
        <v>8.4865910400000022E-2</v>
      </c>
      <c r="O64" s="7">
        <f t="shared" si="3"/>
        <v>1.2712913377920003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50</v>
      </c>
    </row>
    <row r="65" spans="1:22" hidden="1" outlineLevel="2" x14ac:dyDescent="0.25">
      <c r="A65" t="s">
        <v>94</v>
      </c>
      <c r="B65">
        <v>2</v>
      </c>
      <c r="C65" t="s">
        <v>21</v>
      </c>
      <c r="D65" t="s">
        <v>95</v>
      </c>
      <c r="E65" t="s">
        <v>96</v>
      </c>
      <c r="F65">
        <v>150</v>
      </c>
      <c r="G65">
        <v>900</v>
      </c>
      <c r="H65">
        <v>-2</v>
      </c>
      <c r="I65">
        <v>1986</v>
      </c>
      <c r="J65" t="s">
        <v>32</v>
      </c>
      <c r="K65">
        <v>3068</v>
      </c>
      <c r="L65">
        <v>32.15</v>
      </c>
      <c r="M65">
        <v>14.64</v>
      </c>
      <c r="N65" s="7">
        <f t="shared" ref="N65:N95" si="4">3.14/4*((L65/100)^2)</f>
        <v>8.1139366250000011E-2</v>
      </c>
      <c r="O65" s="7">
        <f t="shared" ref="O65:O95" si="5">3.14/4*((L65/100)^2)*M65</f>
        <v>1.1878803219000003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50</v>
      </c>
    </row>
    <row r="66" spans="1:22" hidden="1" outlineLevel="2" x14ac:dyDescent="0.25">
      <c r="A66" t="s">
        <v>94</v>
      </c>
      <c r="B66">
        <v>2</v>
      </c>
      <c r="C66" t="s">
        <v>21</v>
      </c>
      <c r="D66" t="s">
        <v>95</v>
      </c>
      <c r="E66" t="s">
        <v>96</v>
      </c>
      <c r="F66">
        <v>150</v>
      </c>
      <c r="G66">
        <v>900</v>
      </c>
      <c r="H66">
        <v>-2</v>
      </c>
      <c r="I66">
        <v>1986</v>
      </c>
      <c r="J66" t="s">
        <v>36</v>
      </c>
      <c r="K66">
        <v>3272</v>
      </c>
      <c r="L66">
        <v>35.369999999999997</v>
      </c>
      <c r="M66">
        <v>15.14</v>
      </c>
      <c r="N66" s="7">
        <f t="shared" si="4"/>
        <v>9.8206396649999972E-2</v>
      </c>
      <c r="O66" s="7">
        <f t="shared" si="5"/>
        <v>1.4868448452809997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50</v>
      </c>
    </row>
    <row r="67" spans="1:22" hidden="1" outlineLevel="2" x14ac:dyDescent="0.25">
      <c r="A67" t="s">
        <v>94</v>
      </c>
      <c r="B67">
        <v>2</v>
      </c>
      <c r="C67" t="s">
        <v>21</v>
      </c>
      <c r="D67" t="s">
        <v>95</v>
      </c>
      <c r="E67" t="s">
        <v>96</v>
      </c>
      <c r="F67">
        <v>150</v>
      </c>
      <c r="G67">
        <v>900</v>
      </c>
      <c r="H67">
        <v>-2</v>
      </c>
      <c r="I67">
        <v>1986</v>
      </c>
      <c r="J67" t="s">
        <v>36</v>
      </c>
      <c r="K67">
        <v>3273</v>
      </c>
      <c r="L67">
        <v>24.72</v>
      </c>
      <c r="M67">
        <v>10.58</v>
      </c>
      <c r="N67" s="7">
        <f t="shared" si="4"/>
        <v>4.7969654399999992E-2</v>
      </c>
      <c r="O67" s="7">
        <f t="shared" si="5"/>
        <v>0.50751894355199989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50</v>
      </c>
    </row>
    <row r="68" spans="1:22" hidden="1" outlineLevel="2" x14ac:dyDescent="0.25">
      <c r="A68" t="s">
        <v>94</v>
      </c>
      <c r="B68">
        <v>2</v>
      </c>
      <c r="C68" t="s">
        <v>21</v>
      </c>
      <c r="D68" t="s">
        <v>95</v>
      </c>
      <c r="E68" t="s">
        <v>96</v>
      </c>
      <c r="F68">
        <v>150</v>
      </c>
      <c r="G68">
        <v>900</v>
      </c>
      <c r="H68">
        <v>-2</v>
      </c>
      <c r="I68">
        <v>1986</v>
      </c>
      <c r="J68" t="s">
        <v>36</v>
      </c>
      <c r="K68">
        <v>2573</v>
      </c>
      <c r="L68">
        <v>27.66</v>
      </c>
      <c r="M68">
        <v>11.83</v>
      </c>
      <c r="N68" s="7">
        <f t="shared" si="4"/>
        <v>6.0058434600000002E-2</v>
      </c>
      <c r="O68" s="7">
        <f t="shared" si="5"/>
        <v>0.71049128131799999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50</v>
      </c>
    </row>
    <row r="69" spans="1:22" hidden="1" outlineLevel="2" x14ac:dyDescent="0.25">
      <c r="A69" t="s">
        <v>94</v>
      </c>
      <c r="B69">
        <v>2</v>
      </c>
      <c r="C69" t="s">
        <v>21</v>
      </c>
      <c r="D69" t="s">
        <v>95</v>
      </c>
      <c r="E69" t="s">
        <v>96</v>
      </c>
      <c r="F69">
        <v>150</v>
      </c>
      <c r="G69">
        <v>900</v>
      </c>
      <c r="H69">
        <v>-2</v>
      </c>
      <c r="I69">
        <v>1986</v>
      </c>
      <c r="J69" t="s">
        <v>97</v>
      </c>
      <c r="K69">
        <v>1257</v>
      </c>
      <c r="L69">
        <v>26.18</v>
      </c>
      <c r="M69">
        <v>11.96</v>
      </c>
      <c r="N69" s="7">
        <f t="shared" si="4"/>
        <v>5.3803303399999995E-2</v>
      </c>
      <c r="O69" s="7">
        <f t="shared" si="5"/>
        <v>0.64348750866399995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50</v>
      </c>
    </row>
    <row r="70" spans="1:22" hidden="1" outlineLevel="2" x14ac:dyDescent="0.25">
      <c r="A70" t="s">
        <v>94</v>
      </c>
      <c r="B70">
        <v>2</v>
      </c>
      <c r="C70" t="s">
        <v>21</v>
      </c>
      <c r="D70" t="s">
        <v>95</v>
      </c>
      <c r="E70" t="s">
        <v>96</v>
      </c>
      <c r="F70">
        <v>150</v>
      </c>
      <c r="G70">
        <v>900</v>
      </c>
      <c r="H70">
        <v>-2</v>
      </c>
      <c r="I70">
        <v>1986</v>
      </c>
      <c r="J70" t="s">
        <v>97</v>
      </c>
      <c r="K70">
        <v>1825</v>
      </c>
      <c r="L70">
        <v>17.5</v>
      </c>
      <c r="M70">
        <v>7.99</v>
      </c>
      <c r="N70" s="7">
        <f t="shared" si="4"/>
        <v>2.4040624999999999E-2</v>
      </c>
      <c r="O70" s="7">
        <f t="shared" si="5"/>
        <v>0.19208459375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50</v>
      </c>
    </row>
    <row r="71" spans="1:22" hidden="1" outlineLevel="2" x14ac:dyDescent="0.25">
      <c r="A71" t="s">
        <v>94</v>
      </c>
      <c r="B71">
        <v>2</v>
      </c>
      <c r="C71" t="s">
        <v>21</v>
      </c>
      <c r="D71" t="s">
        <v>95</v>
      </c>
      <c r="E71" t="s">
        <v>96</v>
      </c>
      <c r="F71">
        <v>150</v>
      </c>
      <c r="G71">
        <v>900</v>
      </c>
      <c r="H71">
        <v>-2</v>
      </c>
      <c r="I71">
        <v>1986</v>
      </c>
      <c r="J71" t="s">
        <v>98</v>
      </c>
      <c r="K71">
        <v>2768</v>
      </c>
      <c r="L71">
        <v>29.91</v>
      </c>
      <c r="M71">
        <v>11.22</v>
      </c>
      <c r="N71" s="7">
        <f t="shared" si="4"/>
        <v>7.0226735849999999E-2</v>
      </c>
      <c r="O71" s="7">
        <f t="shared" si="5"/>
        <v>0.78794397623700008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50</v>
      </c>
    </row>
    <row r="72" spans="1:22" hidden="1" outlineLevel="2" x14ac:dyDescent="0.25">
      <c r="A72" t="s">
        <v>94</v>
      </c>
      <c r="B72">
        <v>2</v>
      </c>
      <c r="C72" t="s">
        <v>21</v>
      </c>
      <c r="D72" t="s">
        <v>95</v>
      </c>
      <c r="E72" t="s">
        <v>96</v>
      </c>
      <c r="F72">
        <v>150</v>
      </c>
      <c r="G72">
        <v>900</v>
      </c>
      <c r="H72">
        <v>-2</v>
      </c>
      <c r="I72">
        <v>1986</v>
      </c>
      <c r="J72" t="s">
        <v>98</v>
      </c>
      <c r="K72">
        <v>1609</v>
      </c>
      <c r="L72">
        <v>21.89</v>
      </c>
      <c r="M72">
        <v>8.2100000000000009</v>
      </c>
      <c r="N72" s="7">
        <f t="shared" si="4"/>
        <v>3.7615009850000006E-2</v>
      </c>
      <c r="O72" s="7">
        <f t="shared" si="5"/>
        <v>0.30881923086850011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50</v>
      </c>
    </row>
    <row r="73" spans="1:22" hidden="1" outlineLevel="2" x14ac:dyDescent="0.25">
      <c r="A73" t="s">
        <v>94</v>
      </c>
      <c r="B73">
        <v>2</v>
      </c>
      <c r="C73" t="s">
        <v>21</v>
      </c>
      <c r="D73" t="s">
        <v>95</v>
      </c>
      <c r="E73" t="s">
        <v>96</v>
      </c>
      <c r="F73">
        <v>150</v>
      </c>
      <c r="G73">
        <v>900</v>
      </c>
      <c r="H73">
        <v>-2</v>
      </c>
      <c r="I73">
        <v>1986</v>
      </c>
      <c r="J73" t="s">
        <v>98</v>
      </c>
      <c r="K73">
        <v>3275</v>
      </c>
      <c r="L73">
        <v>28.19</v>
      </c>
      <c r="M73">
        <v>10.57</v>
      </c>
      <c r="N73" s="7">
        <f t="shared" si="4"/>
        <v>6.2382073850000018E-2</v>
      </c>
      <c r="O73" s="7">
        <f t="shared" si="5"/>
        <v>0.65937852059450019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50</v>
      </c>
    </row>
    <row r="74" spans="1:22" hidden="1" outlineLevel="2" x14ac:dyDescent="0.25">
      <c r="A74" t="s">
        <v>94</v>
      </c>
      <c r="B74">
        <v>2</v>
      </c>
      <c r="C74" t="s">
        <v>21</v>
      </c>
      <c r="D74" t="s">
        <v>95</v>
      </c>
      <c r="E74" t="s">
        <v>96</v>
      </c>
      <c r="F74">
        <v>150</v>
      </c>
      <c r="G74">
        <v>900</v>
      </c>
      <c r="H74">
        <v>-2</v>
      </c>
      <c r="I74">
        <v>1986</v>
      </c>
      <c r="J74" t="s">
        <v>98</v>
      </c>
      <c r="K74">
        <v>3274</v>
      </c>
      <c r="L74">
        <v>19.920000000000002</v>
      </c>
      <c r="M74">
        <v>7.47</v>
      </c>
      <c r="N74" s="7">
        <f t="shared" si="4"/>
        <v>3.1149302400000002E-2</v>
      </c>
      <c r="O74" s="7">
        <f t="shared" si="5"/>
        <v>0.232685288928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50</v>
      </c>
    </row>
    <row r="75" spans="1:22" hidden="1" outlineLevel="2" x14ac:dyDescent="0.25">
      <c r="A75" t="s">
        <v>94</v>
      </c>
      <c r="B75">
        <v>3</v>
      </c>
      <c r="C75" t="s">
        <v>21</v>
      </c>
      <c r="D75" t="s">
        <v>95</v>
      </c>
      <c r="E75" t="s">
        <v>96</v>
      </c>
      <c r="F75">
        <v>150</v>
      </c>
      <c r="G75">
        <v>900</v>
      </c>
      <c r="H75">
        <v>-2</v>
      </c>
      <c r="I75">
        <v>1986</v>
      </c>
      <c r="J75" t="s">
        <v>76</v>
      </c>
      <c r="K75">
        <v>3266</v>
      </c>
      <c r="L75">
        <v>20.16</v>
      </c>
      <c r="M75">
        <v>9.2100000000000009</v>
      </c>
      <c r="N75" s="7">
        <f t="shared" si="4"/>
        <v>3.1904409600000003E-2</v>
      </c>
      <c r="O75" s="7">
        <f t="shared" si="5"/>
        <v>0.29383961241600004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50</v>
      </c>
    </row>
    <row r="76" spans="1:22" hidden="1" outlineLevel="2" x14ac:dyDescent="0.25">
      <c r="A76" t="s">
        <v>94</v>
      </c>
      <c r="B76">
        <v>3</v>
      </c>
      <c r="C76" t="s">
        <v>21</v>
      </c>
      <c r="D76" t="s">
        <v>95</v>
      </c>
      <c r="E76" t="s">
        <v>96</v>
      </c>
      <c r="F76">
        <v>150</v>
      </c>
      <c r="G76">
        <v>900</v>
      </c>
      <c r="H76">
        <v>-2</v>
      </c>
      <c r="I76">
        <v>1986</v>
      </c>
      <c r="J76" t="s">
        <v>76</v>
      </c>
      <c r="K76">
        <v>3267</v>
      </c>
      <c r="L76">
        <v>16.63</v>
      </c>
      <c r="M76">
        <v>7.59</v>
      </c>
      <c r="N76" s="7">
        <f t="shared" si="4"/>
        <v>2.1709716650000002E-2</v>
      </c>
      <c r="O76" s="7">
        <f t="shared" si="5"/>
        <v>0.16477674937350001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50</v>
      </c>
    </row>
    <row r="77" spans="1:22" hidden="1" outlineLevel="2" x14ac:dyDescent="0.25">
      <c r="A77" t="s">
        <v>94</v>
      </c>
      <c r="B77">
        <v>3</v>
      </c>
      <c r="C77" t="s">
        <v>21</v>
      </c>
      <c r="D77" t="s">
        <v>95</v>
      </c>
      <c r="E77" t="s">
        <v>96</v>
      </c>
      <c r="F77">
        <v>150</v>
      </c>
      <c r="G77">
        <v>900</v>
      </c>
      <c r="H77">
        <v>-2</v>
      </c>
      <c r="I77">
        <v>1986</v>
      </c>
      <c r="J77" t="s">
        <v>76</v>
      </c>
      <c r="K77">
        <v>3268</v>
      </c>
      <c r="L77">
        <v>14.31</v>
      </c>
      <c r="M77">
        <v>6.53</v>
      </c>
      <c r="N77" s="7">
        <f t="shared" si="4"/>
        <v>1.6074923850000002E-2</v>
      </c>
      <c r="O77" s="7">
        <f t="shared" si="5"/>
        <v>0.10496925274050002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50</v>
      </c>
    </row>
    <row r="78" spans="1:22" hidden="1" outlineLevel="2" x14ac:dyDescent="0.25">
      <c r="A78" t="s">
        <v>94</v>
      </c>
      <c r="B78">
        <v>3</v>
      </c>
      <c r="C78" t="s">
        <v>21</v>
      </c>
      <c r="D78" t="s">
        <v>95</v>
      </c>
      <c r="E78" t="s">
        <v>96</v>
      </c>
      <c r="F78">
        <v>150</v>
      </c>
      <c r="G78">
        <v>900</v>
      </c>
      <c r="H78">
        <v>-2</v>
      </c>
      <c r="I78">
        <v>1986</v>
      </c>
      <c r="J78" t="s">
        <v>76</v>
      </c>
      <c r="K78">
        <v>3269</v>
      </c>
      <c r="L78">
        <v>25.34</v>
      </c>
      <c r="M78">
        <v>11.57</v>
      </c>
      <c r="N78" s="7">
        <f t="shared" si="4"/>
        <v>5.0406074600000003E-2</v>
      </c>
      <c r="O78" s="7">
        <f t="shared" si="5"/>
        <v>0.58319828312200006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50</v>
      </c>
    </row>
    <row r="79" spans="1:22" hidden="1" outlineLevel="2" x14ac:dyDescent="0.25">
      <c r="A79" t="s">
        <v>94</v>
      </c>
      <c r="B79">
        <v>3</v>
      </c>
      <c r="C79" t="s">
        <v>21</v>
      </c>
      <c r="D79" t="s">
        <v>95</v>
      </c>
      <c r="E79" t="s">
        <v>96</v>
      </c>
      <c r="F79">
        <v>150</v>
      </c>
      <c r="G79">
        <v>900</v>
      </c>
      <c r="H79">
        <v>-2</v>
      </c>
      <c r="I79">
        <v>1986</v>
      </c>
      <c r="J79" t="s">
        <v>76</v>
      </c>
      <c r="K79">
        <v>2770</v>
      </c>
      <c r="L79">
        <v>15.23</v>
      </c>
      <c r="M79">
        <v>6.96</v>
      </c>
      <c r="N79" s="7">
        <f t="shared" si="4"/>
        <v>1.8208302649999997E-2</v>
      </c>
      <c r="O79" s="7">
        <f t="shared" si="5"/>
        <v>0.12672978644399999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50</v>
      </c>
    </row>
    <row r="80" spans="1:22" hidden="1" outlineLevel="2" x14ac:dyDescent="0.25">
      <c r="A80" t="s">
        <v>94</v>
      </c>
      <c r="B80">
        <v>3</v>
      </c>
      <c r="C80" t="s">
        <v>21</v>
      </c>
      <c r="D80" t="s">
        <v>95</v>
      </c>
      <c r="E80" t="s">
        <v>96</v>
      </c>
      <c r="F80">
        <v>150</v>
      </c>
      <c r="G80">
        <v>900</v>
      </c>
      <c r="H80">
        <v>-2</v>
      </c>
      <c r="I80">
        <v>1986</v>
      </c>
      <c r="J80" t="s">
        <v>76</v>
      </c>
      <c r="K80">
        <v>2460</v>
      </c>
      <c r="L80">
        <v>24.16</v>
      </c>
      <c r="M80">
        <v>11.03</v>
      </c>
      <c r="N80" s="7">
        <f t="shared" si="4"/>
        <v>4.5820889600000005E-2</v>
      </c>
      <c r="O80" s="7">
        <f t="shared" si="5"/>
        <v>0.50540441228800004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50</v>
      </c>
    </row>
    <row r="81" spans="1:22" hidden="1" outlineLevel="2" x14ac:dyDescent="0.25">
      <c r="A81" t="s">
        <v>94</v>
      </c>
      <c r="B81">
        <v>3</v>
      </c>
      <c r="C81" t="s">
        <v>21</v>
      </c>
      <c r="D81" t="s">
        <v>95</v>
      </c>
      <c r="E81" t="s">
        <v>96</v>
      </c>
      <c r="F81">
        <v>150</v>
      </c>
      <c r="G81">
        <v>900</v>
      </c>
      <c r="H81">
        <v>-2</v>
      </c>
      <c r="I81">
        <v>1986</v>
      </c>
      <c r="J81" t="s">
        <v>24</v>
      </c>
      <c r="K81">
        <v>2562</v>
      </c>
      <c r="L81">
        <v>29.11</v>
      </c>
      <c r="M81">
        <v>12.28</v>
      </c>
      <c r="N81" s="7">
        <f t="shared" si="4"/>
        <v>6.6520279849999989E-2</v>
      </c>
      <c r="O81" s="7">
        <f t="shared" si="5"/>
        <v>0.81686903655799981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50</v>
      </c>
    </row>
    <row r="82" spans="1:22" hidden="1" outlineLevel="2" x14ac:dyDescent="0.25">
      <c r="A82" t="s">
        <v>94</v>
      </c>
      <c r="B82">
        <v>3</v>
      </c>
      <c r="C82" t="s">
        <v>21</v>
      </c>
      <c r="D82" t="s">
        <v>95</v>
      </c>
      <c r="E82" t="s">
        <v>96</v>
      </c>
      <c r="F82">
        <v>150</v>
      </c>
      <c r="G82">
        <v>900</v>
      </c>
      <c r="H82">
        <v>-2</v>
      </c>
      <c r="I82">
        <v>1986</v>
      </c>
      <c r="J82" t="s">
        <v>32</v>
      </c>
      <c r="K82">
        <v>3270</v>
      </c>
      <c r="L82">
        <v>29.29</v>
      </c>
      <c r="M82">
        <v>13.33</v>
      </c>
      <c r="N82" s="7">
        <f t="shared" si="4"/>
        <v>6.7345471850000005E-2</v>
      </c>
      <c r="O82" s="7">
        <f t="shared" si="5"/>
        <v>0.8977151397605001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50</v>
      </c>
    </row>
    <row r="83" spans="1:22" hidden="1" outlineLevel="2" x14ac:dyDescent="0.25">
      <c r="A83" t="s">
        <v>94</v>
      </c>
      <c r="B83">
        <v>3</v>
      </c>
      <c r="C83" t="s">
        <v>21</v>
      </c>
      <c r="D83" t="s">
        <v>95</v>
      </c>
      <c r="E83" t="s">
        <v>96</v>
      </c>
      <c r="F83">
        <v>150</v>
      </c>
      <c r="G83">
        <v>900</v>
      </c>
      <c r="H83">
        <v>-2</v>
      </c>
      <c r="I83">
        <v>1986</v>
      </c>
      <c r="J83" t="s">
        <v>32</v>
      </c>
      <c r="K83">
        <v>3271</v>
      </c>
      <c r="L83">
        <v>12.2</v>
      </c>
      <c r="M83">
        <v>5.56</v>
      </c>
      <c r="N83" s="7">
        <f t="shared" si="4"/>
        <v>1.168394E-2</v>
      </c>
      <c r="O83" s="7">
        <f t="shared" si="5"/>
        <v>6.49627064E-2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50</v>
      </c>
    </row>
    <row r="84" spans="1:22" hidden="1" outlineLevel="2" x14ac:dyDescent="0.25">
      <c r="A84" t="s">
        <v>94</v>
      </c>
      <c r="B84">
        <v>3</v>
      </c>
      <c r="C84" t="s">
        <v>21</v>
      </c>
      <c r="D84" t="s">
        <v>95</v>
      </c>
      <c r="E84" t="s">
        <v>96</v>
      </c>
      <c r="F84">
        <v>150</v>
      </c>
      <c r="G84">
        <v>900</v>
      </c>
      <c r="H84">
        <v>-2</v>
      </c>
      <c r="I84">
        <v>1986</v>
      </c>
      <c r="J84" t="s">
        <v>32</v>
      </c>
      <c r="K84">
        <v>2569</v>
      </c>
      <c r="L84">
        <v>22.89</v>
      </c>
      <c r="M84">
        <v>10.42</v>
      </c>
      <c r="N84" s="7">
        <f t="shared" si="4"/>
        <v>4.113023985E-2</v>
      </c>
      <c r="O84" s="7">
        <f t="shared" si="5"/>
        <v>0.42857709923699999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50</v>
      </c>
    </row>
    <row r="85" spans="1:22" hidden="1" outlineLevel="2" x14ac:dyDescent="0.25">
      <c r="A85" t="s">
        <v>94</v>
      </c>
      <c r="B85">
        <v>3</v>
      </c>
      <c r="C85" t="s">
        <v>21</v>
      </c>
      <c r="D85" t="s">
        <v>95</v>
      </c>
      <c r="E85" t="s">
        <v>96</v>
      </c>
      <c r="F85">
        <v>150</v>
      </c>
      <c r="G85">
        <v>900</v>
      </c>
      <c r="H85">
        <v>-2</v>
      </c>
      <c r="I85">
        <v>1986</v>
      </c>
      <c r="J85" t="s">
        <v>32</v>
      </c>
      <c r="K85">
        <v>1596</v>
      </c>
      <c r="L85">
        <v>30.15</v>
      </c>
      <c r="M85">
        <v>13.73</v>
      </c>
      <c r="N85" s="7">
        <f t="shared" si="4"/>
        <v>7.1358266249999996E-2</v>
      </c>
      <c r="O85" s="7">
        <f t="shared" si="5"/>
        <v>0.97974899561249995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50</v>
      </c>
    </row>
    <row r="86" spans="1:22" hidden="1" outlineLevel="2" x14ac:dyDescent="0.25">
      <c r="A86" t="s">
        <v>94</v>
      </c>
      <c r="B86">
        <v>3</v>
      </c>
      <c r="C86" t="s">
        <v>21</v>
      </c>
      <c r="D86" t="s">
        <v>95</v>
      </c>
      <c r="E86" t="s">
        <v>96</v>
      </c>
      <c r="F86">
        <v>150</v>
      </c>
      <c r="G86">
        <v>900</v>
      </c>
      <c r="H86">
        <v>-2</v>
      </c>
      <c r="I86">
        <v>1986</v>
      </c>
      <c r="J86" t="s">
        <v>32</v>
      </c>
      <c r="K86">
        <v>3068</v>
      </c>
      <c r="L86">
        <v>29.76</v>
      </c>
      <c r="M86">
        <v>13.55</v>
      </c>
      <c r="N86" s="7">
        <f t="shared" si="4"/>
        <v>6.9524121600000016E-2</v>
      </c>
      <c r="O86" s="7">
        <f t="shared" si="5"/>
        <v>0.94205184768000028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50</v>
      </c>
    </row>
    <row r="87" spans="1:22" hidden="1" outlineLevel="2" x14ac:dyDescent="0.25">
      <c r="A87" t="s">
        <v>94</v>
      </c>
      <c r="B87">
        <v>3</v>
      </c>
      <c r="C87" t="s">
        <v>21</v>
      </c>
      <c r="D87" t="s">
        <v>95</v>
      </c>
      <c r="E87" t="s">
        <v>96</v>
      </c>
      <c r="F87">
        <v>150</v>
      </c>
      <c r="G87">
        <v>900</v>
      </c>
      <c r="H87">
        <v>-2</v>
      </c>
      <c r="I87">
        <v>1986</v>
      </c>
      <c r="J87" t="s">
        <v>36</v>
      </c>
      <c r="K87">
        <v>3272</v>
      </c>
      <c r="L87">
        <v>33.68</v>
      </c>
      <c r="M87">
        <v>14.41</v>
      </c>
      <c r="N87" s="7">
        <f t="shared" si="4"/>
        <v>8.90458784E-2</v>
      </c>
      <c r="O87" s="7">
        <f t="shared" si="5"/>
        <v>1.2831511077440001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50</v>
      </c>
    </row>
    <row r="88" spans="1:22" hidden="1" outlineLevel="2" x14ac:dyDescent="0.25">
      <c r="A88" t="s">
        <v>94</v>
      </c>
      <c r="B88">
        <v>3</v>
      </c>
      <c r="C88" t="s">
        <v>21</v>
      </c>
      <c r="D88" t="s">
        <v>95</v>
      </c>
      <c r="E88" t="s">
        <v>96</v>
      </c>
      <c r="F88">
        <v>150</v>
      </c>
      <c r="G88">
        <v>900</v>
      </c>
      <c r="H88">
        <v>-2</v>
      </c>
      <c r="I88">
        <v>1986</v>
      </c>
      <c r="J88" t="s">
        <v>36</v>
      </c>
      <c r="K88">
        <v>3273</v>
      </c>
      <c r="L88">
        <v>25.85</v>
      </c>
      <c r="M88">
        <v>11.06</v>
      </c>
      <c r="N88" s="7">
        <f t="shared" si="4"/>
        <v>5.2455466249999999E-2</v>
      </c>
      <c r="O88" s="7">
        <f t="shared" si="5"/>
        <v>0.58015745672499996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50</v>
      </c>
    </row>
    <row r="89" spans="1:22" hidden="1" outlineLevel="2" x14ac:dyDescent="0.25">
      <c r="A89" t="s">
        <v>94</v>
      </c>
      <c r="B89">
        <v>3</v>
      </c>
      <c r="C89" t="s">
        <v>21</v>
      </c>
      <c r="D89" t="s">
        <v>95</v>
      </c>
      <c r="E89" t="s">
        <v>96</v>
      </c>
      <c r="F89">
        <v>150</v>
      </c>
      <c r="G89">
        <v>900</v>
      </c>
      <c r="H89">
        <v>-2</v>
      </c>
      <c r="I89">
        <v>1986</v>
      </c>
      <c r="J89" t="s">
        <v>36</v>
      </c>
      <c r="K89">
        <v>2573</v>
      </c>
      <c r="L89">
        <v>20.72</v>
      </c>
      <c r="M89">
        <v>8.8699999999999992</v>
      </c>
      <c r="N89" s="7">
        <f t="shared" si="4"/>
        <v>3.3701494400000004E-2</v>
      </c>
      <c r="O89" s="7">
        <f t="shared" si="5"/>
        <v>0.298932255328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50</v>
      </c>
    </row>
    <row r="90" spans="1:22" hidden="1" outlineLevel="2" x14ac:dyDescent="0.25">
      <c r="A90" t="s">
        <v>94</v>
      </c>
      <c r="B90">
        <v>3</v>
      </c>
      <c r="C90" t="s">
        <v>21</v>
      </c>
      <c r="D90" t="s">
        <v>95</v>
      </c>
      <c r="E90" t="s">
        <v>96</v>
      </c>
      <c r="F90">
        <v>150</v>
      </c>
      <c r="G90">
        <v>900</v>
      </c>
      <c r="H90">
        <v>-2</v>
      </c>
      <c r="I90">
        <v>1986</v>
      </c>
      <c r="J90" t="s">
        <v>97</v>
      </c>
      <c r="K90">
        <v>1257</v>
      </c>
      <c r="L90">
        <v>21.27</v>
      </c>
      <c r="M90">
        <v>9.7200000000000006</v>
      </c>
      <c r="N90" s="7">
        <f t="shared" si="4"/>
        <v>3.5514412650000007E-2</v>
      </c>
      <c r="O90" s="7">
        <f t="shared" si="5"/>
        <v>0.34520009095800008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50</v>
      </c>
    </row>
    <row r="91" spans="1:22" hidden="1" outlineLevel="2" x14ac:dyDescent="0.25">
      <c r="A91" t="s">
        <v>94</v>
      </c>
      <c r="B91">
        <v>3</v>
      </c>
      <c r="C91" t="s">
        <v>21</v>
      </c>
      <c r="D91" t="s">
        <v>95</v>
      </c>
      <c r="E91" t="s">
        <v>96</v>
      </c>
      <c r="F91">
        <v>150</v>
      </c>
      <c r="G91">
        <v>900</v>
      </c>
      <c r="H91">
        <v>-2</v>
      </c>
      <c r="I91">
        <v>1986</v>
      </c>
      <c r="J91" t="s">
        <v>97</v>
      </c>
      <c r="K91">
        <v>1825</v>
      </c>
      <c r="L91">
        <v>19.63</v>
      </c>
      <c r="M91">
        <v>8.9700000000000006</v>
      </c>
      <c r="N91" s="7">
        <f t="shared" si="4"/>
        <v>3.0248946650000004E-2</v>
      </c>
      <c r="O91" s="7">
        <f t="shared" si="5"/>
        <v>0.27133305145050007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50</v>
      </c>
    </row>
    <row r="92" spans="1:22" hidden="1" outlineLevel="2" x14ac:dyDescent="0.25">
      <c r="A92" t="s">
        <v>94</v>
      </c>
      <c r="B92">
        <v>3</v>
      </c>
      <c r="C92" t="s">
        <v>21</v>
      </c>
      <c r="D92" t="s">
        <v>95</v>
      </c>
      <c r="E92" t="s">
        <v>96</v>
      </c>
      <c r="F92">
        <v>150</v>
      </c>
      <c r="G92">
        <v>900</v>
      </c>
      <c r="H92">
        <v>-2</v>
      </c>
      <c r="I92">
        <v>1986</v>
      </c>
      <c r="J92" t="s">
        <v>98</v>
      </c>
      <c r="K92">
        <v>2768</v>
      </c>
      <c r="L92">
        <v>26.37</v>
      </c>
      <c r="M92">
        <v>9.89</v>
      </c>
      <c r="N92" s="7">
        <f t="shared" si="4"/>
        <v>5.4587086649999998E-2</v>
      </c>
      <c r="O92" s="7">
        <f t="shared" si="5"/>
        <v>0.53986628696850003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50</v>
      </c>
    </row>
    <row r="93" spans="1:22" hidden="1" outlineLevel="2" x14ac:dyDescent="0.25">
      <c r="A93" t="s">
        <v>94</v>
      </c>
      <c r="B93">
        <v>3</v>
      </c>
      <c r="C93" t="s">
        <v>21</v>
      </c>
      <c r="D93" t="s">
        <v>95</v>
      </c>
      <c r="E93" t="s">
        <v>96</v>
      </c>
      <c r="F93">
        <v>150</v>
      </c>
      <c r="G93">
        <v>900</v>
      </c>
      <c r="H93">
        <v>-2</v>
      </c>
      <c r="I93">
        <v>1986</v>
      </c>
      <c r="J93" t="s">
        <v>98</v>
      </c>
      <c r="K93">
        <v>1609</v>
      </c>
      <c r="L93">
        <v>26.19</v>
      </c>
      <c r="M93">
        <v>9.82</v>
      </c>
      <c r="N93" s="7">
        <f t="shared" si="4"/>
        <v>5.3844413850000009E-2</v>
      </c>
      <c r="O93" s="7">
        <f t="shared" si="5"/>
        <v>0.5287521440070001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50</v>
      </c>
    </row>
    <row r="94" spans="1:22" hidden="1" outlineLevel="2" x14ac:dyDescent="0.25">
      <c r="A94" t="s">
        <v>94</v>
      </c>
      <c r="B94">
        <v>3</v>
      </c>
      <c r="C94" t="s">
        <v>21</v>
      </c>
      <c r="D94" t="s">
        <v>95</v>
      </c>
      <c r="E94" t="s">
        <v>96</v>
      </c>
      <c r="F94">
        <v>150</v>
      </c>
      <c r="G94">
        <v>900</v>
      </c>
      <c r="H94">
        <v>-2</v>
      </c>
      <c r="I94">
        <v>1986</v>
      </c>
      <c r="J94" t="s">
        <v>98</v>
      </c>
      <c r="K94">
        <v>3275</v>
      </c>
      <c r="L94">
        <v>17.350000000000001</v>
      </c>
      <c r="M94">
        <v>6.51</v>
      </c>
      <c r="N94" s="7">
        <f t="shared" si="4"/>
        <v>2.3630266250000004E-2</v>
      </c>
      <c r="O94" s="7">
        <f t="shared" si="5"/>
        <v>0.15383303328750003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50</v>
      </c>
    </row>
    <row r="95" spans="1:22" hidden="1" outlineLevel="2" x14ac:dyDescent="0.25">
      <c r="A95" t="s">
        <v>94</v>
      </c>
      <c r="B95">
        <v>3</v>
      </c>
      <c r="C95" t="s">
        <v>21</v>
      </c>
      <c r="D95" t="s">
        <v>95</v>
      </c>
      <c r="E95" t="s">
        <v>96</v>
      </c>
      <c r="F95">
        <v>150</v>
      </c>
      <c r="G95">
        <v>900</v>
      </c>
      <c r="H95">
        <v>-2</v>
      </c>
      <c r="I95">
        <v>1986</v>
      </c>
      <c r="J95" t="s">
        <v>98</v>
      </c>
      <c r="K95">
        <v>3274</v>
      </c>
      <c r="L95">
        <v>20.57</v>
      </c>
      <c r="M95">
        <v>7.71</v>
      </c>
      <c r="N95" s="7">
        <f t="shared" si="4"/>
        <v>3.3215304649999999E-2</v>
      </c>
      <c r="O95" s="7">
        <f t="shared" si="5"/>
        <v>0.25608999885149997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50</v>
      </c>
    </row>
    <row r="96" spans="1:22" outlineLevel="1" collapsed="1" x14ac:dyDescent="0.25">
      <c r="G96" s="5" t="s">
        <v>115</v>
      </c>
      <c r="K96">
        <f>SUBTOTAL(4,K33:K95)</f>
        <v>3275</v>
      </c>
      <c r="L96">
        <f>SUBTOTAL(4,L33:L95)</f>
        <v>40.44</v>
      </c>
      <c r="M96">
        <f>SUBTOTAL(4,M33:M95)</f>
        <v>17.059999999999999</v>
      </c>
      <c r="N96" s="7">
        <f>SUBTOTAL(4,N33:N95)</f>
        <v>0.1283783976</v>
      </c>
      <c r="O96" s="7">
        <f>SUBTOTAL(4,O33:O95)</f>
        <v>2.1901354630559999</v>
      </c>
      <c r="V96">
        <f>SUBTOTAL(4,V33:V95)</f>
        <v>0</v>
      </c>
    </row>
    <row r="97" spans="1:22" hidden="1" outlineLevel="2" x14ac:dyDescent="0.25">
      <c r="A97" t="s">
        <v>46</v>
      </c>
      <c r="B97">
        <v>1</v>
      </c>
      <c r="C97" t="s">
        <v>47</v>
      </c>
      <c r="D97" t="s">
        <v>48</v>
      </c>
      <c r="E97" t="s">
        <v>49</v>
      </c>
      <c r="F97">
        <v>130</v>
      </c>
      <c r="G97">
        <v>1000</v>
      </c>
      <c r="H97">
        <v>-3</v>
      </c>
      <c r="I97">
        <v>1980</v>
      </c>
      <c r="J97" t="s">
        <v>24</v>
      </c>
      <c r="K97">
        <v>1520</v>
      </c>
      <c r="L97">
        <v>10.1</v>
      </c>
      <c r="M97">
        <v>8.1999999999999993</v>
      </c>
      <c r="N97" s="7">
        <f t="shared" ref="N97:N128" si="6">3.14/4*((L97/100)^2)</f>
        <v>8.0077849999999982E-3</v>
      </c>
      <c r="O97" s="7">
        <f t="shared" ref="O97:O128" si="7">3.14/4*((L97/100)^2)*M97</f>
        <v>6.5663836999999975E-2</v>
      </c>
      <c r="P97">
        <v>60</v>
      </c>
      <c r="Q97">
        <v>3</v>
      </c>
      <c r="R97">
        <v>4</v>
      </c>
      <c r="S97">
        <v>3.5</v>
      </c>
      <c r="T97">
        <v>3.5</v>
      </c>
      <c r="U97">
        <v>3.2</v>
      </c>
      <c r="V97" t="s">
        <v>38</v>
      </c>
    </row>
    <row r="98" spans="1:22" hidden="1" outlineLevel="2" x14ac:dyDescent="0.25">
      <c r="A98" t="s">
        <v>46</v>
      </c>
      <c r="B98">
        <v>1</v>
      </c>
      <c r="C98" t="s">
        <v>47</v>
      </c>
      <c r="D98" t="s">
        <v>48</v>
      </c>
      <c r="E98" t="s">
        <v>49</v>
      </c>
      <c r="F98">
        <v>130</v>
      </c>
      <c r="G98">
        <v>1000</v>
      </c>
      <c r="H98">
        <v>-3</v>
      </c>
      <c r="I98">
        <v>1980</v>
      </c>
      <c r="J98" t="s">
        <v>45</v>
      </c>
      <c r="K98">
        <v>1362</v>
      </c>
      <c r="L98">
        <v>4.7</v>
      </c>
      <c r="M98">
        <v>5.5</v>
      </c>
      <c r="N98" s="7">
        <f t="shared" si="6"/>
        <v>1.7340650000000001E-3</v>
      </c>
      <c r="O98" s="7">
        <f t="shared" si="7"/>
        <v>9.5373575000000013E-3</v>
      </c>
      <c r="P98">
        <v>20</v>
      </c>
      <c r="Q98">
        <v>1</v>
      </c>
      <c r="R98">
        <v>1.5</v>
      </c>
      <c r="S98">
        <v>2</v>
      </c>
      <c r="T98">
        <v>3</v>
      </c>
      <c r="U98">
        <v>3</v>
      </c>
      <c r="V98" t="s">
        <v>50</v>
      </c>
    </row>
    <row r="99" spans="1:22" hidden="1" outlineLevel="2" x14ac:dyDescent="0.25">
      <c r="A99" t="s">
        <v>46</v>
      </c>
      <c r="B99">
        <v>1</v>
      </c>
      <c r="C99" t="s">
        <v>47</v>
      </c>
      <c r="D99" t="s">
        <v>48</v>
      </c>
      <c r="E99" t="s">
        <v>49</v>
      </c>
      <c r="F99">
        <v>130</v>
      </c>
      <c r="G99">
        <v>1000</v>
      </c>
      <c r="H99">
        <v>-3</v>
      </c>
      <c r="I99">
        <v>1980</v>
      </c>
      <c r="J99" t="s">
        <v>32</v>
      </c>
      <c r="K99">
        <v>1596</v>
      </c>
      <c r="L99">
        <v>17</v>
      </c>
      <c r="M99">
        <v>12.6</v>
      </c>
      <c r="N99" s="7">
        <f t="shared" si="6"/>
        <v>2.2686500000000005E-2</v>
      </c>
      <c r="O99" s="7">
        <f t="shared" si="7"/>
        <v>0.28584990000000005</v>
      </c>
      <c r="P99">
        <v>50</v>
      </c>
      <c r="Q99">
        <v>4.3</v>
      </c>
      <c r="R99">
        <v>4</v>
      </c>
      <c r="S99">
        <v>3.2</v>
      </c>
      <c r="T99">
        <v>4</v>
      </c>
      <c r="U99">
        <v>3.5</v>
      </c>
      <c r="V99" t="s">
        <v>25</v>
      </c>
    </row>
    <row r="100" spans="1:22" hidden="1" outlineLevel="2" x14ac:dyDescent="0.25">
      <c r="A100" t="s">
        <v>46</v>
      </c>
      <c r="B100">
        <v>1</v>
      </c>
      <c r="C100" t="s">
        <v>47</v>
      </c>
      <c r="D100" t="s">
        <v>48</v>
      </c>
      <c r="E100" t="s">
        <v>49</v>
      </c>
      <c r="F100">
        <v>130</v>
      </c>
      <c r="G100">
        <v>1000</v>
      </c>
      <c r="H100">
        <v>-3</v>
      </c>
      <c r="I100">
        <v>1980</v>
      </c>
      <c r="J100" t="s">
        <v>33</v>
      </c>
      <c r="K100">
        <v>2088</v>
      </c>
      <c r="L100">
        <v>10.3</v>
      </c>
      <c r="M100">
        <v>9.4</v>
      </c>
      <c r="N100" s="7">
        <f t="shared" si="6"/>
        <v>8.3280650000000025E-3</v>
      </c>
      <c r="O100" s="7">
        <f t="shared" si="7"/>
        <v>7.8283811000000023E-2</v>
      </c>
      <c r="P100">
        <v>80</v>
      </c>
      <c r="Q100">
        <v>3</v>
      </c>
      <c r="R100">
        <v>2.5</v>
      </c>
      <c r="S100">
        <v>3</v>
      </c>
      <c r="T100">
        <v>3</v>
      </c>
      <c r="U100">
        <v>3</v>
      </c>
      <c r="V100" t="s">
        <v>25</v>
      </c>
    </row>
    <row r="101" spans="1:22" hidden="1" outlineLevel="2" x14ac:dyDescent="0.25">
      <c r="A101" t="s">
        <v>46</v>
      </c>
      <c r="B101">
        <v>1</v>
      </c>
      <c r="C101" t="s">
        <v>47</v>
      </c>
      <c r="D101" t="s">
        <v>48</v>
      </c>
      <c r="E101" t="s">
        <v>49</v>
      </c>
      <c r="F101">
        <v>130</v>
      </c>
      <c r="G101">
        <v>1000</v>
      </c>
      <c r="H101">
        <v>-3</v>
      </c>
      <c r="I101">
        <v>1980</v>
      </c>
      <c r="J101" t="s">
        <v>34</v>
      </c>
      <c r="K101">
        <v>1522</v>
      </c>
      <c r="L101">
        <v>21.6</v>
      </c>
      <c r="M101">
        <v>12</v>
      </c>
      <c r="N101" s="7">
        <f t="shared" si="6"/>
        <v>3.6624960000000012E-2</v>
      </c>
      <c r="O101" s="7">
        <f t="shared" si="7"/>
        <v>0.43949952000000014</v>
      </c>
      <c r="P101">
        <v>40</v>
      </c>
      <c r="Q101">
        <v>4</v>
      </c>
      <c r="R101">
        <v>3.7</v>
      </c>
      <c r="S101">
        <v>3.5</v>
      </c>
      <c r="T101">
        <v>3.5</v>
      </c>
      <c r="U101">
        <v>3</v>
      </c>
      <c r="V101" t="s">
        <v>25</v>
      </c>
    </row>
    <row r="102" spans="1:22" hidden="1" outlineLevel="2" x14ac:dyDescent="0.25">
      <c r="A102" t="s">
        <v>46</v>
      </c>
      <c r="B102">
        <v>1</v>
      </c>
      <c r="C102" t="s">
        <v>47</v>
      </c>
      <c r="D102" t="s">
        <v>48</v>
      </c>
      <c r="E102" t="s">
        <v>49</v>
      </c>
      <c r="F102">
        <v>130</v>
      </c>
      <c r="G102">
        <v>1000</v>
      </c>
      <c r="H102">
        <v>-3</v>
      </c>
      <c r="I102">
        <v>1980</v>
      </c>
      <c r="J102" t="s">
        <v>35</v>
      </c>
      <c r="K102">
        <v>1521</v>
      </c>
      <c r="L102">
        <v>11.3</v>
      </c>
      <c r="M102">
        <v>10</v>
      </c>
      <c r="N102" s="7">
        <f t="shared" si="6"/>
        <v>1.0023665000000001E-2</v>
      </c>
      <c r="O102" s="7">
        <f t="shared" si="7"/>
        <v>0.10023665000000001</v>
      </c>
      <c r="P102">
        <v>40</v>
      </c>
      <c r="Q102">
        <v>2.7</v>
      </c>
      <c r="R102">
        <v>2</v>
      </c>
      <c r="S102">
        <v>3.2</v>
      </c>
      <c r="T102">
        <v>4</v>
      </c>
      <c r="U102">
        <v>3</v>
      </c>
      <c r="V102" t="s">
        <v>38</v>
      </c>
    </row>
    <row r="103" spans="1:22" hidden="1" outlineLevel="2" x14ac:dyDescent="0.25">
      <c r="A103" t="s">
        <v>46</v>
      </c>
      <c r="B103">
        <v>1</v>
      </c>
      <c r="C103" t="s">
        <v>47</v>
      </c>
      <c r="D103" t="s">
        <v>48</v>
      </c>
      <c r="E103" t="s">
        <v>49</v>
      </c>
      <c r="F103">
        <v>130</v>
      </c>
      <c r="G103">
        <v>1000</v>
      </c>
      <c r="H103">
        <v>-3</v>
      </c>
      <c r="I103">
        <v>1980</v>
      </c>
      <c r="J103" t="s">
        <v>36</v>
      </c>
      <c r="K103">
        <v>1523</v>
      </c>
      <c r="L103">
        <v>12.7</v>
      </c>
      <c r="M103">
        <v>9.3000000000000007</v>
      </c>
      <c r="N103" s="7">
        <f t="shared" si="6"/>
        <v>1.2661265000000001E-2</v>
      </c>
      <c r="O103" s="7">
        <f t="shared" si="7"/>
        <v>0.11774976450000002</v>
      </c>
      <c r="P103">
        <v>80</v>
      </c>
      <c r="Q103">
        <v>2.9</v>
      </c>
      <c r="R103">
        <v>4</v>
      </c>
      <c r="S103">
        <v>3.2</v>
      </c>
      <c r="T103">
        <v>3.9</v>
      </c>
      <c r="U103">
        <v>3.4</v>
      </c>
      <c r="V103" t="s">
        <v>25</v>
      </c>
    </row>
    <row r="104" spans="1:22" hidden="1" outlineLevel="2" x14ac:dyDescent="0.25">
      <c r="A104" t="s">
        <v>46</v>
      </c>
      <c r="B104">
        <v>1</v>
      </c>
      <c r="C104" t="s">
        <v>47</v>
      </c>
      <c r="D104" t="s">
        <v>48</v>
      </c>
      <c r="E104" t="s">
        <v>49</v>
      </c>
      <c r="F104">
        <v>130</v>
      </c>
      <c r="G104">
        <v>1000</v>
      </c>
      <c r="H104">
        <v>-3</v>
      </c>
      <c r="I104">
        <v>1980</v>
      </c>
      <c r="J104" t="s">
        <v>37</v>
      </c>
      <c r="K104">
        <v>1524</v>
      </c>
      <c r="L104">
        <v>5.4</v>
      </c>
      <c r="M104">
        <v>4.5</v>
      </c>
      <c r="N104" s="7">
        <f t="shared" si="6"/>
        <v>2.2890600000000007E-3</v>
      </c>
      <c r="O104" s="7">
        <f t="shared" si="7"/>
        <v>1.0300770000000004E-2</v>
      </c>
      <c r="P104">
        <v>20</v>
      </c>
      <c r="Q104">
        <v>1</v>
      </c>
      <c r="R104">
        <v>2</v>
      </c>
      <c r="S104">
        <v>3</v>
      </c>
      <c r="T104">
        <v>3</v>
      </c>
      <c r="U104">
        <v>3</v>
      </c>
      <c r="V104" t="s">
        <v>50</v>
      </c>
    </row>
    <row r="105" spans="1:22" hidden="1" outlineLevel="2" x14ac:dyDescent="0.25">
      <c r="A105" t="s">
        <v>46</v>
      </c>
      <c r="B105">
        <v>2</v>
      </c>
      <c r="C105" t="s">
        <v>47</v>
      </c>
      <c r="D105" t="s">
        <v>48</v>
      </c>
      <c r="E105" t="s">
        <v>49</v>
      </c>
      <c r="F105">
        <v>130</v>
      </c>
      <c r="G105">
        <v>1000</v>
      </c>
      <c r="H105">
        <v>-3</v>
      </c>
      <c r="I105">
        <v>1980</v>
      </c>
      <c r="J105" t="s">
        <v>24</v>
      </c>
      <c r="K105">
        <v>1520</v>
      </c>
      <c r="L105">
        <v>6.8</v>
      </c>
      <c r="M105">
        <v>5.5</v>
      </c>
      <c r="N105" s="7">
        <f t="shared" si="6"/>
        <v>3.6298400000000005E-3</v>
      </c>
      <c r="O105" s="7">
        <f t="shared" si="7"/>
        <v>1.9964120000000002E-2</v>
      </c>
      <c r="P105">
        <v>60</v>
      </c>
      <c r="Q105">
        <v>2.5</v>
      </c>
      <c r="R105">
        <v>3.5</v>
      </c>
      <c r="S105">
        <v>3.5</v>
      </c>
      <c r="T105">
        <v>3.5</v>
      </c>
      <c r="U105">
        <v>3</v>
      </c>
      <c r="V105" t="s">
        <v>30</v>
      </c>
    </row>
    <row r="106" spans="1:22" hidden="1" outlineLevel="2" x14ac:dyDescent="0.25">
      <c r="A106" t="s">
        <v>46</v>
      </c>
      <c r="B106">
        <v>2</v>
      </c>
      <c r="C106" t="s">
        <v>47</v>
      </c>
      <c r="D106" t="s">
        <v>48</v>
      </c>
      <c r="E106" t="s">
        <v>49</v>
      </c>
      <c r="F106">
        <v>130</v>
      </c>
      <c r="G106">
        <v>1000</v>
      </c>
      <c r="H106">
        <v>-3</v>
      </c>
      <c r="I106">
        <v>1980</v>
      </c>
      <c r="J106" t="s">
        <v>26</v>
      </c>
      <c r="K106">
        <v>1487</v>
      </c>
      <c r="L106">
        <v>17.8</v>
      </c>
      <c r="M106">
        <v>10</v>
      </c>
      <c r="N106" s="7">
        <f t="shared" si="6"/>
        <v>2.4871940000000006E-2</v>
      </c>
      <c r="O106" s="7">
        <f t="shared" si="7"/>
        <v>0.24871940000000006</v>
      </c>
      <c r="P106">
        <v>10</v>
      </c>
      <c r="Q106">
        <v>4</v>
      </c>
      <c r="R106">
        <v>4</v>
      </c>
      <c r="S106">
        <v>3.5</v>
      </c>
      <c r="T106">
        <v>4</v>
      </c>
      <c r="U106">
        <v>2</v>
      </c>
      <c r="V106" t="s">
        <v>25</v>
      </c>
    </row>
    <row r="107" spans="1:22" hidden="1" outlineLevel="2" x14ac:dyDescent="0.25">
      <c r="A107" t="s">
        <v>46</v>
      </c>
      <c r="B107">
        <v>2</v>
      </c>
      <c r="C107" t="s">
        <v>47</v>
      </c>
      <c r="D107" t="s">
        <v>48</v>
      </c>
      <c r="E107" t="s">
        <v>49</v>
      </c>
      <c r="F107">
        <v>130</v>
      </c>
      <c r="G107">
        <v>1000</v>
      </c>
      <c r="H107">
        <v>-3</v>
      </c>
      <c r="I107">
        <v>1980</v>
      </c>
      <c r="J107" t="s">
        <v>32</v>
      </c>
      <c r="K107">
        <v>1596</v>
      </c>
      <c r="L107">
        <v>20.399999999999999</v>
      </c>
      <c r="M107">
        <v>10.199999999999999</v>
      </c>
      <c r="N107" s="7">
        <f t="shared" si="6"/>
        <v>3.2668559999999999E-2</v>
      </c>
      <c r="O107" s="7">
        <f t="shared" si="7"/>
        <v>0.33321931199999999</v>
      </c>
      <c r="P107">
        <v>60</v>
      </c>
      <c r="Q107">
        <v>4</v>
      </c>
      <c r="R107">
        <v>4</v>
      </c>
      <c r="S107">
        <v>3</v>
      </c>
      <c r="T107">
        <v>3</v>
      </c>
      <c r="U107">
        <v>2.5</v>
      </c>
      <c r="V107" t="s">
        <v>25</v>
      </c>
    </row>
    <row r="108" spans="1:22" hidden="1" outlineLevel="2" x14ac:dyDescent="0.25">
      <c r="A108" t="s">
        <v>46</v>
      </c>
      <c r="B108">
        <v>2</v>
      </c>
      <c r="C108" t="s">
        <v>47</v>
      </c>
      <c r="D108" t="s">
        <v>48</v>
      </c>
      <c r="E108" t="s">
        <v>49</v>
      </c>
      <c r="F108">
        <v>130</v>
      </c>
      <c r="G108">
        <v>1000</v>
      </c>
      <c r="H108">
        <v>-3</v>
      </c>
      <c r="I108">
        <v>1980</v>
      </c>
      <c r="J108" t="s">
        <v>33</v>
      </c>
      <c r="K108">
        <v>2088</v>
      </c>
      <c r="L108">
        <v>19.100000000000001</v>
      </c>
      <c r="M108">
        <v>9.6999999999999993</v>
      </c>
      <c r="N108" s="7">
        <f t="shared" si="6"/>
        <v>2.8637585E-2</v>
      </c>
      <c r="O108" s="7">
        <f t="shared" si="7"/>
        <v>0.27778457449999999</v>
      </c>
      <c r="P108">
        <v>60</v>
      </c>
      <c r="Q108">
        <v>3.7</v>
      </c>
      <c r="R108">
        <v>3</v>
      </c>
      <c r="S108">
        <v>2</v>
      </c>
      <c r="T108">
        <v>2</v>
      </c>
      <c r="U108">
        <v>1.5</v>
      </c>
      <c r="V108" t="s">
        <v>25</v>
      </c>
    </row>
    <row r="109" spans="1:22" hidden="1" outlineLevel="2" x14ac:dyDescent="0.25">
      <c r="A109" t="s">
        <v>46</v>
      </c>
      <c r="B109">
        <v>2</v>
      </c>
      <c r="C109" t="s">
        <v>47</v>
      </c>
      <c r="D109" t="s">
        <v>48</v>
      </c>
      <c r="E109" t="s">
        <v>49</v>
      </c>
      <c r="F109">
        <v>130</v>
      </c>
      <c r="G109">
        <v>1000</v>
      </c>
      <c r="H109">
        <v>-3</v>
      </c>
      <c r="I109">
        <v>1980</v>
      </c>
      <c r="J109" t="s">
        <v>34</v>
      </c>
      <c r="K109">
        <v>1522</v>
      </c>
      <c r="L109">
        <v>15.5</v>
      </c>
      <c r="M109">
        <v>9.8000000000000007</v>
      </c>
      <c r="N109" s="7">
        <f t="shared" si="6"/>
        <v>1.8859625000000001E-2</v>
      </c>
      <c r="O109" s="7">
        <f t="shared" si="7"/>
        <v>0.18482432500000004</v>
      </c>
      <c r="P109">
        <v>40</v>
      </c>
      <c r="Q109">
        <v>4</v>
      </c>
      <c r="R109">
        <v>3.5</v>
      </c>
      <c r="S109">
        <v>3.5</v>
      </c>
      <c r="T109">
        <v>3.5</v>
      </c>
      <c r="U109">
        <v>3</v>
      </c>
      <c r="V109" t="s">
        <v>25</v>
      </c>
    </row>
    <row r="110" spans="1:22" hidden="1" outlineLevel="2" x14ac:dyDescent="0.25">
      <c r="A110" t="s">
        <v>46</v>
      </c>
      <c r="B110">
        <v>2</v>
      </c>
      <c r="C110" t="s">
        <v>47</v>
      </c>
      <c r="D110" t="s">
        <v>48</v>
      </c>
      <c r="E110" t="s">
        <v>49</v>
      </c>
      <c r="F110">
        <v>130</v>
      </c>
      <c r="G110">
        <v>1000</v>
      </c>
      <c r="H110">
        <v>-3</v>
      </c>
      <c r="I110">
        <v>1980</v>
      </c>
      <c r="J110" t="s">
        <v>35</v>
      </c>
      <c r="K110">
        <v>1521</v>
      </c>
      <c r="L110">
        <v>13.5</v>
      </c>
      <c r="M110">
        <v>7.7</v>
      </c>
      <c r="N110" s="7">
        <f t="shared" si="6"/>
        <v>1.4306625000000002E-2</v>
      </c>
      <c r="O110" s="7">
        <f t="shared" si="7"/>
        <v>0.11016101250000002</v>
      </c>
      <c r="P110">
        <v>30</v>
      </c>
      <c r="Q110">
        <v>3</v>
      </c>
      <c r="R110">
        <v>2</v>
      </c>
      <c r="S110">
        <v>3.3</v>
      </c>
      <c r="T110">
        <v>4</v>
      </c>
      <c r="U110">
        <v>3.5</v>
      </c>
      <c r="V110" t="s">
        <v>25</v>
      </c>
    </row>
    <row r="111" spans="1:22" hidden="1" outlineLevel="2" x14ac:dyDescent="0.25">
      <c r="A111" t="s">
        <v>46</v>
      </c>
      <c r="B111">
        <v>2</v>
      </c>
      <c r="C111" t="s">
        <v>47</v>
      </c>
      <c r="D111" t="s">
        <v>48</v>
      </c>
      <c r="E111" t="s">
        <v>49</v>
      </c>
      <c r="F111">
        <v>130</v>
      </c>
      <c r="G111">
        <v>1000</v>
      </c>
      <c r="H111">
        <v>-3</v>
      </c>
      <c r="I111">
        <v>1980</v>
      </c>
      <c r="J111" t="s">
        <v>36</v>
      </c>
      <c r="K111">
        <v>1523</v>
      </c>
      <c r="L111">
        <v>20.8</v>
      </c>
      <c r="M111">
        <v>12</v>
      </c>
      <c r="N111" s="7">
        <f t="shared" si="6"/>
        <v>3.3962240000000012E-2</v>
      </c>
      <c r="O111" s="7">
        <f t="shared" si="7"/>
        <v>0.40754688000000017</v>
      </c>
      <c r="P111">
        <v>20</v>
      </c>
      <c r="Q111">
        <v>3</v>
      </c>
      <c r="R111">
        <v>4</v>
      </c>
      <c r="S111">
        <v>3</v>
      </c>
      <c r="T111">
        <v>3.5</v>
      </c>
      <c r="U111">
        <v>3</v>
      </c>
      <c r="V111" t="s">
        <v>38</v>
      </c>
    </row>
    <row r="112" spans="1:22" hidden="1" outlineLevel="2" x14ac:dyDescent="0.25">
      <c r="A112" t="s">
        <v>46</v>
      </c>
      <c r="B112">
        <v>2</v>
      </c>
      <c r="C112" t="s">
        <v>47</v>
      </c>
      <c r="D112" t="s">
        <v>48</v>
      </c>
      <c r="E112" t="s">
        <v>49</v>
      </c>
      <c r="F112">
        <v>130</v>
      </c>
      <c r="G112">
        <v>1000</v>
      </c>
      <c r="H112">
        <v>-3</v>
      </c>
      <c r="I112">
        <v>1980</v>
      </c>
      <c r="J112" t="s">
        <v>37</v>
      </c>
      <c r="K112">
        <v>1524</v>
      </c>
      <c r="L112">
        <v>11.5</v>
      </c>
      <c r="M112">
        <v>5.8</v>
      </c>
      <c r="N112" s="7">
        <f t="shared" si="6"/>
        <v>1.0381625E-2</v>
      </c>
      <c r="O112" s="7">
        <f t="shared" si="7"/>
        <v>6.0213425000000001E-2</v>
      </c>
      <c r="P112">
        <v>40</v>
      </c>
      <c r="Q112">
        <v>1.5</v>
      </c>
      <c r="R112">
        <v>2</v>
      </c>
      <c r="S112">
        <v>2.5</v>
      </c>
      <c r="T112">
        <v>3.5</v>
      </c>
      <c r="U112">
        <v>2.5</v>
      </c>
      <c r="V112" t="s">
        <v>50</v>
      </c>
    </row>
    <row r="113" spans="1:22" hidden="1" outlineLevel="2" x14ac:dyDescent="0.25">
      <c r="A113" t="s">
        <v>46</v>
      </c>
      <c r="B113">
        <v>3</v>
      </c>
      <c r="C113" t="s">
        <v>47</v>
      </c>
      <c r="D113" t="s">
        <v>48</v>
      </c>
      <c r="E113" t="s">
        <v>49</v>
      </c>
      <c r="F113">
        <v>130</v>
      </c>
      <c r="G113">
        <v>1000</v>
      </c>
      <c r="H113">
        <v>-3</v>
      </c>
      <c r="I113">
        <v>1980</v>
      </c>
      <c r="J113" t="s">
        <v>26</v>
      </c>
      <c r="K113">
        <v>1487</v>
      </c>
      <c r="L113">
        <v>37.6</v>
      </c>
      <c r="M113">
        <v>13</v>
      </c>
      <c r="N113" s="7">
        <f t="shared" si="6"/>
        <v>0.11098016000000001</v>
      </c>
      <c r="O113" s="7">
        <f t="shared" si="7"/>
        <v>1.4427420800000001</v>
      </c>
      <c r="P113">
        <v>10</v>
      </c>
      <c r="Q113">
        <v>5</v>
      </c>
      <c r="R113">
        <v>4</v>
      </c>
      <c r="S113">
        <v>2</v>
      </c>
      <c r="T113">
        <v>2</v>
      </c>
      <c r="U113">
        <v>1</v>
      </c>
      <c r="V113" t="s">
        <v>25</v>
      </c>
    </row>
    <row r="114" spans="1:22" hidden="1" outlineLevel="2" x14ac:dyDescent="0.25">
      <c r="A114" t="s">
        <v>46</v>
      </c>
      <c r="B114">
        <v>3</v>
      </c>
      <c r="C114" t="s">
        <v>47</v>
      </c>
      <c r="D114" t="s">
        <v>48</v>
      </c>
      <c r="E114" t="s">
        <v>49</v>
      </c>
      <c r="F114">
        <v>130</v>
      </c>
      <c r="G114">
        <v>1000</v>
      </c>
      <c r="H114">
        <v>-3</v>
      </c>
      <c r="I114">
        <v>1980</v>
      </c>
      <c r="J114" t="s">
        <v>32</v>
      </c>
      <c r="K114">
        <v>1596</v>
      </c>
      <c r="L114">
        <v>24.5</v>
      </c>
      <c r="M114">
        <v>12</v>
      </c>
      <c r="N114" s="7">
        <f t="shared" si="6"/>
        <v>4.7119624999999998E-2</v>
      </c>
      <c r="O114" s="7">
        <f t="shared" si="7"/>
        <v>0.56543549999999998</v>
      </c>
      <c r="P114">
        <v>20</v>
      </c>
      <c r="Q114">
        <v>4</v>
      </c>
      <c r="R114">
        <v>4</v>
      </c>
      <c r="S114">
        <v>4</v>
      </c>
      <c r="T114">
        <v>4</v>
      </c>
      <c r="U114">
        <v>2</v>
      </c>
      <c r="V114" t="s">
        <v>25</v>
      </c>
    </row>
    <row r="115" spans="1:22" hidden="1" outlineLevel="2" x14ac:dyDescent="0.25">
      <c r="A115" t="s">
        <v>46</v>
      </c>
      <c r="B115">
        <v>3</v>
      </c>
      <c r="C115" t="s">
        <v>47</v>
      </c>
      <c r="D115" t="s">
        <v>48</v>
      </c>
      <c r="E115" t="s">
        <v>49</v>
      </c>
      <c r="F115">
        <v>130</v>
      </c>
      <c r="G115">
        <v>1000</v>
      </c>
      <c r="H115">
        <v>-3</v>
      </c>
      <c r="I115">
        <v>1980</v>
      </c>
      <c r="J115" t="s">
        <v>33</v>
      </c>
      <c r="K115">
        <v>2088</v>
      </c>
      <c r="L115">
        <v>17.600000000000001</v>
      </c>
      <c r="M115">
        <v>9</v>
      </c>
      <c r="N115" s="7">
        <f t="shared" si="6"/>
        <v>2.4316160000000007E-2</v>
      </c>
      <c r="O115" s="7">
        <f t="shared" si="7"/>
        <v>0.21884544000000006</v>
      </c>
      <c r="P115">
        <v>90</v>
      </c>
      <c r="Q115">
        <v>4.5</v>
      </c>
      <c r="R115">
        <v>2.5</v>
      </c>
      <c r="S115">
        <v>3</v>
      </c>
      <c r="T115">
        <v>2</v>
      </c>
      <c r="U115">
        <v>1.5</v>
      </c>
      <c r="V115" t="s">
        <v>25</v>
      </c>
    </row>
    <row r="116" spans="1:22" hidden="1" outlineLevel="2" x14ac:dyDescent="0.25">
      <c r="A116" t="s">
        <v>46</v>
      </c>
      <c r="B116">
        <v>3</v>
      </c>
      <c r="C116" t="s">
        <v>47</v>
      </c>
      <c r="D116" t="s">
        <v>48</v>
      </c>
      <c r="E116" t="s">
        <v>49</v>
      </c>
      <c r="F116">
        <v>130</v>
      </c>
      <c r="G116">
        <v>1000</v>
      </c>
      <c r="H116">
        <v>-3</v>
      </c>
      <c r="I116">
        <v>1980</v>
      </c>
      <c r="J116" t="s">
        <v>35</v>
      </c>
      <c r="K116">
        <v>1521</v>
      </c>
      <c r="L116">
        <v>16.2</v>
      </c>
      <c r="M116">
        <v>10.199999999999999</v>
      </c>
      <c r="N116" s="7">
        <f t="shared" si="6"/>
        <v>2.0601540000000002E-2</v>
      </c>
      <c r="O116" s="7">
        <f t="shared" si="7"/>
        <v>0.210135708</v>
      </c>
      <c r="P116">
        <v>60</v>
      </c>
      <c r="Q116">
        <v>4</v>
      </c>
      <c r="R116">
        <v>2.2999999999999998</v>
      </c>
      <c r="S116">
        <v>3</v>
      </c>
      <c r="T116">
        <v>3.3</v>
      </c>
      <c r="U116">
        <v>3</v>
      </c>
      <c r="V116" t="s">
        <v>27</v>
      </c>
    </row>
    <row r="117" spans="1:22" hidden="1" outlineLevel="2" x14ac:dyDescent="0.25">
      <c r="A117" t="s">
        <v>46</v>
      </c>
      <c r="B117">
        <v>3</v>
      </c>
      <c r="C117" t="s">
        <v>47</v>
      </c>
      <c r="D117" t="s">
        <v>48</v>
      </c>
      <c r="E117" t="s">
        <v>49</v>
      </c>
      <c r="F117">
        <v>130</v>
      </c>
      <c r="G117">
        <v>1000</v>
      </c>
      <c r="H117">
        <v>-3</v>
      </c>
      <c r="I117">
        <v>1980</v>
      </c>
      <c r="J117" t="s">
        <v>36</v>
      </c>
      <c r="K117">
        <v>1523</v>
      </c>
      <c r="L117">
        <v>11.5</v>
      </c>
      <c r="M117">
        <v>9</v>
      </c>
      <c r="N117" s="7">
        <f t="shared" si="6"/>
        <v>1.0381625E-2</v>
      </c>
      <c r="O117" s="7">
        <f t="shared" si="7"/>
        <v>9.3434625000000007E-2</v>
      </c>
      <c r="P117">
        <v>20</v>
      </c>
      <c r="Q117">
        <v>2.7</v>
      </c>
      <c r="R117">
        <v>3.7</v>
      </c>
      <c r="S117">
        <v>4</v>
      </c>
      <c r="T117">
        <v>4</v>
      </c>
      <c r="U117">
        <v>3</v>
      </c>
      <c r="V117" t="s">
        <v>25</v>
      </c>
    </row>
    <row r="118" spans="1:22" hidden="1" outlineLevel="2" x14ac:dyDescent="0.25">
      <c r="A118" t="s">
        <v>46</v>
      </c>
      <c r="B118">
        <v>3</v>
      </c>
      <c r="C118" t="s">
        <v>47</v>
      </c>
      <c r="D118" t="s">
        <v>48</v>
      </c>
      <c r="E118" t="s">
        <v>49</v>
      </c>
      <c r="F118">
        <v>130</v>
      </c>
      <c r="G118">
        <v>1000</v>
      </c>
      <c r="H118">
        <v>-3</v>
      </c>
      <c r="I118">
        <v>1980</v>
      </c>
      <c r="J118" t="s">
        <v>37</v>
      </c>
      <c r="K118">
        <v>1524</v>
      </c>
      <c r="L118">
        <v>7.6</v>
      </c>
      <c r="M118">
        <v>5.5</v>
      </c>
      <c r="N118" s="7">
        <f t="shared" si="6"/>
        <v>4.5341599999999998E-3</v>
      </c>
      <c r="O118" s="7">
        <f t="shared" si="7"/>
        <v>2.4937879999999999E-2</v>
      </c>
      <c r="P118">
        <v>20</v>
      </c>
      <c r="Q118">
        <v>1</v>
      </c>
      <c r="R118">
        <v>2</v>
      </c>
      <c r="S118">
        <v>2</v>
      </c>
      <c r="T118">
        <v>3</v>
      </c>
      <c r="U118">
        <v>3</v>
      </c>
      <c r="V118" t="s">
        <v>50</v>
      </c>
    </row>
    <row r="119" spans="1:22" hidden="1" outlineLevel="2" x14ac:dyDescent="0.25">
      <c r="A119" t="s">
        <v>51</v>
      </c>
      <c r="B119">
        <v>1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55</v>
      </c>
      <c r="K119">
        <v>1094</v>
      </c>
      <c r="L119">
        <v>3.4</v>
      </c>
      <c r="M119">
        <v>5.5</v>
      </c>
      <c r="N119" s="7">
        <f t="shared" si="6"/>
        <v>9.0746000000000012E-4</v>
      </c>
      <c r="O119" s="7">
        <f t="shared" si="7"/>
        <v>4.9910300000000005E-3</v>
      </c>
      <c r="P119">
        <v>50</v>
      </c>
      <c r="Q119">
        <v>1</v>
      </c>
      <c r="R119">
        <v>1</v>
      </c>
      <c r="S119">
        <v>3</v>
      </c>
      <c r="T119">
        <v>3</v>
      </c>
      <c r="U119">
        <v>3</v>
      </c>
      <c r="V119" t="s">
        <v>50</v>
      </c>
    </row>
    <row r="120" spans="1:22" hidden="1" outlineLevel="2" x14ac:dyDescent="0.25">
      <c r="A120" t="s">
        <v>51</v>
      </c>
      <c r="B120">
        <v>1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56</v>
      </c>
      <c r="K120">
        <v>1111</v>
      </c>
      <c r="L120">
        <v>17.600000000000001</v>
      </c>
      <c r="M120">
        <v>12.6</v>
      </c>
      <c r="N120" s="7">
        <f t="shared" si="6"/>
        <v>2.4316160000000007E-2</v>
      </c>
      <c r="O120" s="7">
        <f t="shared" si="7"/>
        <v>0.30638361600000008</v>
      </c>
      <c r="P120">
        <v>71</v>
      </c>
      <c r="Q120">
        <v>3.5</v>
      </c>
      <c r="R120">
        <v>3</v>
      </c>
      <c r="S120">
        <v>3.3</v>
      </c>
      <c r="T120">
        <v>2.5</v>
      </c>
      <c r="U120">
        <v>2</v>
      </c>
      <c r="V120" t="s">
        <v>25</v>
      </c>
    </row>
    <row r="121" spans="1:22" hidden="1" outlineLevel="2" x14ac:dyDescent="0.25">
      <c r="A121" t="s">
        <v>51</v>
      </c>
      <c r="B121">
        <v>1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57</v>
      </c>
      <c r="K121">
        <v>1112</v>
      </c>
      <c r="L121">
        <v>14</v>
      </c>
      <c r="M121">
        <v>10</v>
      </c>
      <c r="N121" s="7">
        <f t="shared" si="6"/>
        <v>1.5386000000000002E-2</v>
      </c>
      <c r="O121" s="7">
        <f t="shared" si="7"/>
        <v>0.15386000000000002</v>
      </c>
      <c r="P121">
        <v>100</v>
      </c>
      <c r="Q121">
        <v>2.5</v>
      </c>
      <c r="R121">
        <v>1.5</v>
      </c>
      <c r="S121">
        <v>3</v>
      </c>
      <c r="T121">
        <v>4</v>
      </c>
      <c r="U121">
        <v>4</v>
      </c>
      <c r="V121" t="s">
        <v>30</v>
      </c>
    </row>
    <row r="122" spans="1:22" hidden="1" outlineLevel="2" x14ac:dyDescent="0.25">
      <c r="A122" t="s">
        <v>51</v>
      </c>
      <c r="B122">
        <v>1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57</v>
      </c>
      <c r="K122">
        <v>1113</v>
      </c>
      <c r="L122">
        <v>8.8000000000000007</v>
      </c>
      <c r="M122">
        <v>11.4</v>
      </c>
      <c r="N122" s="7">
        <f t="shared" si="6"/>
        <v>6.0790400000000017E-3</v>
      </c>
      <c r="O122" s="7">
        <f t="shared" si="7"/>
        <v>6.9301056000000028E-2</v>
      </c>
      <c r="P122">
        <v>100</v>
      </c>
      <c r="Q122">
        <v>2</v>
      </c>
      <c r="R122">
        <v>2</v>
      </c>
      <c r="S122">
        <v>4</v>
      </c>
      <c r="T122">
        <v>4</v>
      </c>
      <c r="U122">
        <v>4</v>
      </c>
      <c r="V122" t="s">
        <v>30</v>
      </c>
    </row>
    <row r="123" spans="1:22" hidden="1" outlineLevel="2" x14ac:dyDescent="0.25">
      <c r="A123" t="s">
        <v>51</v>
      </c>
      <c r="B123">
        <v>1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58</v>
      </c>
      <c r="K123">
        <v>1338</v>
      </c>
      <c r="L123">
        <v>15.8</v>
      </c>
      <c r="M123">
        <v>10</v>
      </c>
      <c r="N123" s="7">
        <f t="shared" si="6"/>
        <v>1.9596740000000001E-2</v>
      </c>
      <c r="O123" s="7">
        <f t="shared" si="7"/>
        <v>0.19596740000000001</v>
      </c>
      <c r="P123">
        <v>38</v>
      </c>
      <c r="Q123">
        <v>3.5</v>
      </c>
      <c r="R123">
        <v>3.5</v>
      </c>
      <c r="S123">
        <v>3.3</v>
      </c>
      <c r="T123">
        <v>3.5</v>
      </c>
      <c r="U123">
        <v>3</v>
      </c>
      <c r="V123" t="s">
        <v>38</v>
      </c>
    </row>
    <row r="124" spans="1:22" hidden="1" outlineLevel="2" x14ac:dyDescent="0.25">
      <c r="A124" t="s">
        <v>51</v>
      </c>
      <c r="B124">
        <v>1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59</v>
      </c>
      <c r="K124">
        <v>1482</v>
      </c>
      <c r="L124">
        <v>15.5</v>
      </c>
      <c r="M124">
        <v>10.5</v>
      </c>
      <c r="N124" s="7">
        <f t="shared" si="6"/>
        <v>1.8859625000000001E-2</v>
      </c>
      <c r="O124" s="7">
        <f t="shared" si="7"/>
        <v>0.19802606250000002</v>
      </c>
      <c r="P124">
        <v>50</v>
      </c>
      <c r="Q124">
        <v>3</v>
      </c>
      <c r="R124">
        <v>3.3</v>
      </c>
      <c r="S124">
        <v>3.3</v>
      </c>
      <c r="T124">
        <v>3</v>
      </c>
      <c r="U124">
        <v>3</v>
      </c>
      <c r="V124" t="s">
        <v>27</v>
      </c>
    </row>
    <row r="125" spans="1:22" hidden="1" outlineLevel="2" x14ac:dyDescent="0.25">
      <c r="A125" t="s">
        <v>51</v>
      </c>
      <c r="B125">
        <v>1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59</v>
      </c>
      <c r="K125">
        <v>1978</v>
      </c>
      <c r="L125">
        <v>14.6</v>
      </c>
      <c r="M125">
        <v>11.1</v>
      </c>
      <c r="N125" s="7">
        <f t="shared" si="6"/>
        <v>1.6733059999999998E-2</v>
      </c>
      <c r="O125" s="7">
        <f t="shared" si="7"/>
        <v>0.18573696599999998</v>
      </c>
      <c r="P125">
        <v>100</v>
      </c>
      <c r="Q125">
        <v>4</v>
      </c>
      <c r="R125">
        <v>3</v>
      </c>
      <c r="S125">
        <v>3.5</v>
      </c>
      <c r="T125">
        <v>3.5</v>
      </c>
      <c r="U125">
        <v>3.3</v>
      </c>
      <c r="V125" t="s">
        <v>25</v>
      </c>
    </row>
    <row r="126" spans="1:22" hidden="1" outlineLevel="2" x14ac:dyDescent="0.25">
      <c r="A126" t="s">
        <v>51</v>
      </c>
      <c r="B126">
        <v>1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26</v>
      </c>
      <c r="K126">
        <v>1339</v>
      </c>
      <c r="L126">
        <v>17.3</v>
      </c>
      <c r="M126">
        <v>13.2</v>
      </c>
      <c r="N126" s="7">
        <f t="shared" si="6"/>
        <v>2.3494265000000004E-2</v>
      </c>
      <c r="O126" s="7">
        <f t="shared" si="7"/>
        <v>0.31012429800000002</v>
      </c>
      <c r="P126">
        <v>71</v>
      </c>
      <c r="Q126">
        <v>3.3</v>
      </c>
      <c r="R126">
        <v>3</v>
      </c>
      <c r="S126">
        <v>3</v>
      </c>
      <c r="T126">
        <v>3</v>
      </c>
      <c r="U126">
        <v>3</v>
      </c>
      <c r="V126" t="s">
        <v>38</v>
      </c>
    </row>
    <row r="127" spans="1:22" hidden="1" outlineLevel="2" x14ac:dyDescent="0.25">
      <c r="A127" t="s">
        <v>51</v>
      </c>
      <c r="B127">
        <v>1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26</v>
      </c>
      <c r="K127">
        <v>1786</v>
      </c>
      <c r="L127">
        <v>13.3</v>
      </c>
      <c r="M127">
        <v>10.8</v>
      </c>
      <c r="N127" s="7">
        <f t="shared" si="6"/>
        <v>1.3885865000000002E-2</v>
      </c>
      <c r="O127" s="7">
        <f t="shared" si="7"/>
        <v>0.14996734200000003</v>
      </c>
      <c r="P127">
        <v>75</v>
      </c>
      <c r="Q127">
        <v>4</v>
      </c>
      <c r="R127">
        <v>3.8</v>
      </c>
      <c r="S127">
        <v>4</v>
      </c>
      <c r="T127">
        <v>4</v>
      </c>
      <c r="U127">
        <v>4</v>
      </c>
      <c r="V127" t="s">
        <v>27</v>
      </c>
    </row>
    <row r="128" spans="1:22" hidden="1" outlineLevel="2" x14ac:dyDescent="0.25">
      <c r="A128" t="s">
        <v>51</v>
      </c>
      <c r="B128">
        <v>1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26</v>
      </c>
      <c r="K128">
        <v>2447</v>
      </c>
      <c r="L128">
        <v>19.8</v>
      </c>
      <c r="M128">
        <v>10.7</v>
      </c>
      <c r="N128" s="7">
        <f t="shared" si="6"/>
        <v>3.0775140000000003E-2</v>
      </c>
      <c r="O128" s="7">
        <f t="shared" si="7"/>
        <v>0.32929399800000003</v>
      </c>
      <c r="P128">
        <v>75</v>
      </c>
      <c r="Q128">
        <v>4.5</v>
      </c>
      <c r="R128">
        <v>3</v>
      </c>
      <c r="S128">
        <v>3</v>
      </c>
      <c r="T128">
        <v>3</v>
      </c>
      <c r="U128">
        <v>2.5</v>
      </c>
      <c r="V128" t="s">
        <v>25</v>
      </c>
    </row>
    <row r="129" spans="1:22" hidden="1" outlineLevel="2" x14ac:dyDescent="0.25">
      <c r="A129" t="s">
        <v>51</v>
      </c>
      <c r="B129">
        <v>1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60</v>
      </c>
      <c r="K129">
        <v>1595</v>
      </c>
      <c r="L129">
        <v>5.2</v>
      </c>
      <c r="M129">
        <v>4.3</v>
      </c>
      <c r="N129" s="7">
        <f t="shared" ref="N129:N160" si="8">3.14/4*((L129/100)^2)</f>
        <v>2.1226400000000007E-3</v>
      </c>
      <c r="O129" s="7">
        <f t="shared" ref="O129:O160" si="9">3.14/4*((L129/100)^2)*M129</f>
        <v>9.1273520000000035E-3</v>
      </c>
      <c r="P129">
        <v>75</v>
      </c>
      <c r="Q129">
        <v>0.5</v>
      </c>
      <c r="R129">
        <v>0.5</v>
      </c>
      <c r="S129">
        <v>4</v>
      </c>
      <c r="T129">
        <v>4</v>
      </c>
      <c r="U129">
        <v>4</v>
      </c>
      <c r="V129" t="s">
        <v>50</v>
      </c>
    </row>
    <row r="130" spans="1:22" hidden="1" outlineLevel="2" x14ac:dyDescent="0.25">
      <c r="A130" t="s">
        <v>51</v>
      </c>
      <c r="B130">
        <v>1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61</v>
      </c>
      <c r="K130">
        <v>1171</v>
      </c>
      <c r="L130">
        <v>15</v>
      </c>
      <c r="M130">
        <v>11.3</v>
      </c>
      <c r="N130" s="7">
        <f t="shared" si="8"/>
        <v>1.7662500000000001E-2</v>
      </c>
      <c r="O130" s="7">
        <f t="shared" si="9"/>
        <v>0.19958625000000002</v>
      </c>
      <c r="P130">
        <v>88</v>
      </c>
      <c r="Q130">
        <v>2.2999999999999998</v>
      </c>
      <c r="R130">
        <v>1.7</v>
      </c>
      <c r="S130">
        <v>3</v>
      </c>
      <c r="T130">
        <v>3</v>
      </c>
      <c r="U130">
        <v>2</v>
      </c>
      <c r="V130" t="s">
        <v>30</v>
      </c>
    </row>
    <row r="131" spans="1:22" hidden="1" outlineLevel="2" x14ac:dyDescent="0.25">
      <c r="A131" t="s">
        <v>51</v>
      </c>
      <c r="B131">
        <v>1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32</v>
      </c>
      <c r="K131">
        <v>1596</v>
      </c>
      <c r="L131">
        <v>15.3</v>
      </c>
      <c r="M131">
        <v>10.8</v>
      </c>
      <c r="N131" s="7">
        <f t="shared" si="8"/>
        <v>1.8376065E-2</v>
      </c>
      <c r="O131" s="7">
        <f t="shared" si="9"/>
        <v>0.19846150200000001</v>
      </c>
      <c r="P131">
        <v>75</v>
      </c>
      <c r="Q131">
        <v>3</v>
      </c>
      <c r="R131">
        <v>3</v>
      </c>
      <c r="S131">
        <v>3</v>
      </c>
      <c r="T131">
        <v>4</v>
      </c>
      <c r="U131">
        <v>3.5</v>
      </c>
      <c r="V131" t="s">
        <v>27</v>
      </c>
    </row>
    <row r="132" spans="1:22" hidden="1" outlineLevel="2" x14ac:dyDescent="0.25">
      <c r="A132" t="s">
        <v>51</v>
      </c>
      <c r="B132">
        <v>1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34</v>
      </c>
      <c r="K132">
        <v>2459</v>
      </c>
      <c r="L132">
        <v>19</v>
      </c>
      <c r="M132">
        <v>16</v>
      </c>
      <c r="N132" s="7">
        <f t="shared" si="8"/>
        <v>2.8338500000000003E-2</v>
      </c>
      <c r="O132" s="7">
        <f t="shared" si="9"/>
        <v>0.45341600000000004</v>
      </c>
      <c r="P132">
        <v>88</v>
      </c>
      <c r="Q132">
        <v>4.3</v>
      </c>
      <c r="R132">
        <v>3</v>
      </c>
      <c r="S132">
        <v>4.8</v>
      </c>
      <c r="T132">
        <v>4</v>
      </c>
      <c r="U132">
        <v>4</v>
      </c>
      <c r="V132" t="s">
        <v>27</v>
      </c>
    </row>
    <row r="133" spans="1:22" hidden="1" outlineLevel="2" x14ac:dyDescent="0.25">
      <c r="A133" t="s">
        <v>51</v>
      </c>
      <c r="B133">
        <v>1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35</v>
      </c>
      <c r="K133">
        <v>1785</v>
      </c>
      <c r="L133">
        <v>7.2</v>
      </c>
      <c r="M133">
        <v>6</v>
      </c>
      <c r="N133" s="7">
        <f t="shared" si="8"/>
        <v>4.0694400000000014E-3</v>
      </c>
      <c r="O133" s="7">
        <f t="shared" si="9"/>
        <v>2.441664000000001E-2</v>
      </c>
      <c r="P133">
        <v>50</v>
      </c>
      <c r="Q133">
        <v>1.3</v>
      </c>
      <c r="R133">
        <v>1.3</v>
      </c>
      <c r="S133">
        <v>4</v>
      </c>
      <c r="T133">
        <v>4</v>
      </c>
      <c r="U133">
        <v>4</v>
      </c>
      <c r="V133" t="s">
        <v>50</v>
      </c>
    </row>
    <row r="134" spans="1:22" hidden="1" outlineLevel="2" x14ac:dyDescent="0.25">
      <c r="A134" t="s">
        <v>51</v>
      </c>
      <c r="B134">
        <v>1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36</v>
      </c>
      <c r="K134">
        <v>1598</v>
      </c>
      <c r="L134">
        <v>15.9</v>
      </c>
      <c r="M134">
        <v>12.8</v>
      </c>
      <c r="N134" s="7">
        <f t="shared" si="8"/>
        <v>1.9845585000000002E-2</v>
      </c>
      <c r="O134" s="7">
        <f t="shared" si="9"/>
        <v>0.25402348800000002</v>
      </c>
      <c r="P134">
        <v>100</v>
      </c>
      <c r="Q134">
        <v>4</v>
      </c>
      <c r="R134">
        <v>4</v>
      </c>
      <c r="S134">
        <v>3.3</v>
      </c>
      <c r="T134">
        <v>4</v>
      </c>
      <c r="U134">
        <v>3</v>
      </c>
      <c r="V134" t="s">
        <v>27</v>
      </c>
    </row>
    <row r="135" spans="1:22" hidden="1" outlineLevel="2" x14ac:dyDescent="0.25">
      <c r="A135" t="s">
        <v>51</v>
      </c>
      <c r="B135">
        <v>1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62</v>
      </c>
      <c r="K135">
        <v>1787</v>
      </c>
      <c r="L135">
        <v>18.100000000000001</v>
      </c>
      <c r="M135">
        <v>14.8</v>
      </c>
      <c r="N135" s="7">
        <f t="shared" si="8"/>
        <v>2.5717385000000006E-2</v>
      </c>
      <c r="O135" s="7">
        <f t="shared" si="9"/>
        <v>0.3806172980000001</v>
      </c>
      <c r="P135">
        <v>100</v>
      </c>
      <c r="Q135">
        <v>4.5999999999999996</v>
      </c>
      <c r="R135">
        <v>4</v>
      </c>
      <c r="S135">
        <v>4.3</v>
      </c>
      <c r="T135">
        <v>4.3</v>
      </c>
      <c r="U135">
        <v>4</v>
      </c>
      <c r="V135" t="s">
        <v>27</v>
      </c>
    </row>
    <row r="136" spans="1:22" hidden="1" outlineLevel="2" x14ac:dyDescent="0.25">
      <c r="A136" t="s">
        <v>51</v>
      </c>
      <c r="B136">
        <v>1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62</v>
      </c>
      <c r="K136">
        <v>2482</v>
      </c>
      <c r="L136">
        <v>17</v>
      </c>
      <c r="M136">
        <v>14.1</v>
      </c>
      <c r="N136" s="7">
        <f t="shared" si="8"/>
        <v>2.2686500000000005E-2</v>
      </c>
      <c r="O136" s="7">
        <f t="shared" si="9"/>
        <v>0.31987965000000007</v>
      </c>
      <c r="P136">
        <v>88</v>
      </c>
      <c r="Q136">
        <v>4.5</v>
      </c>
      <c r="R136">
        <v>3</v>
      </c>
      <c r="S136">
        <v>3.7</v>
      </c>
      <c r="T136">
        <v>3.7</v>
      </c>
      <c r="U136">
        <v>3.7</v>
      </c>
      <c r="V136" t="s">
        <v>27</v>
      </c>
    </row>
    <row r="137" spans="1:22" hidden="1" outlineLevel="2" x14ac:dyDescent="0.25">
      <c r="A137" t="s">
        <v>51</v>
      </c>
      <c r="B137">
        <v>1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62</v>
      </c>
      <c r="K137">
        <v>2431</v>
      </c>
      <c r="L137">
        <v>26.1</v>
      </c>
      <c r="M137">
        <v>16</v>
      </c>
      <c r="N137" s="7">
        <f t="shared" si="8"/>
        <v>5.3474985000000003E-2</v>
      </c>
      <c r="O137" s="7">
        <f t="shared" si="9"/>
        <v>0.85559976000000004</v>
      </c>
      <c r="P137">
        <v>38</v>
      </c>
      <c r="Q137">
        <v>5</v>
      </c>
      <c r="R137">
        <v>3</v>
      </c>
      <c r="S137">
        <v>4</v>
      </c>
      <c r="T137">
        <v>4</v>
      </c>
      <c r="U137">
        <v>2.7</v>
      </c>
      <c r="V137" t="s">
        <v>27</v>
      </c>
    </row>
    <row r="138" spans="1:22" hidden="1" outlineLevel="2" x14ac:dyDescent="0.25">
      <c r="A138" t="s">
        <v>51</v>
      </c>
      <c r="B138">
        <v>1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37</v>
      </c>
      <c r="K138">
        <v>1524</v>
      </c>
      <c r="L138">
        <v>12.2</v>
      </c>
      <c r="M138">
        <v>13.8</v>
      </c>
      <c r="N138" s="7">
        <f t="shared" si="8"/>
        <v>1.168394E-2</v>
      </c>
      <c r="O138" s="7">
        <f t="shared" si="9"/>
        <v>0.16123837200000002</v>
      </c>
      <c r="P138">
        <v>50</v>
      </c>
      <c r="Q138">
        <v>2</v>
      </c>
      <c r="R138">
        <v>1.5</v>
      </c>
      <c r="S138">
        <v>3</v>
      </c>
      <c r="T138">
        <v>3</v>
      </c>
      <c r="U138">
        <v>3</v>
      </c>
      <c r="V138" t="s">
        <v>30</v>
      </c>
    </row>
    <row r="139" spans="1:22" hidden="1" outlineLevel="2" x14ac:dyDescent="0.25">
      <c r="A139" t="s">
        <v>51</v>
      </c>
      <c r="B139">
        <v>1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63</v>
      </c>
      <c r="K139">
        <v>1340</v>
      </c>
      <c r="L139">
        <v>9.3000000000000007</v>
      </c>
      <c r="M139">
        <v>4.3</v>
      </c>
      <c r="N139" s="7">
        <f t="shared" si="8"/>
        <v>6.7894650000000023E-3</v>
      </c>
      <c r="O139" s="7">
        <f t="shared" si="9"/>
        <v>2.9194699500000008E-2</v>
      </c>
      <c r="P139">
        <v>63</v>
      </c>
      <c r="Q139">
        <v>1</v>
      </c>
      <c r="R139">
        <v>1.2</v>
      </c>
      <c r="S139">
        <v>1</v>
      </c>
      <c r="T139">
        <v>1</v>
      </c>
      <c r="U139">
        <v>1</v>
      </c>
      <c r="V139" t="s">
        <v>50</v>
      </c>
    </row>
    <row r="140" spans="1:22" hidden="1" outlineLevel="2" x14ac:dyDescent="0.25">
      <c r="A140" t="s">
        <v>51</v>
      </c>
      <c r="B140">
        <v>1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62</v>
      </c>
      <c r="K140">
        <v>2428</v>
      </c>
      <c r="L140">
        <v>22.6</v>
      </c>
      <c r="M140">
        <v>13.4</v>
      </c>
      <c r="N140" s="7">
        <f t="shared" si="8"/>
        <v>4.0094660000000004E-2</v>
      </c>
      <c r="O140" s="7">
        <f t="shared" si="9"/>
        <v>0.53726844400000007</v>
      </c>
      <c r="P140">
        <v>100</v>
      </c>
      <c r="Q140">
        <v>5</v>
      </c>
      <c r="R140">
        <v>3</v>
      </c>
      <c r="S140">
        <v>2.2999999999999998</v>
      </c>
      <c r="T140">
        <v>2.7</v>
      </c>
      <c r="U140">
        <v>2</v>
      </c>
      <c r="V140" t="s">
        <v>27</v>
      </c>
    </row>
    <row r="141" spans="1:22" hidden="1" outlineLevel="2" x14ac:dyDescent="0.25">
      <c r="A141" t="s">
        <v>51</v>
      </c>
      <c r="B141">
        <v>2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55</v>
      </c>
      <c r="K141">
        <v>1094</v>
      </c>
      <c r="L141">
        <v>7.8</v>
      </c>
      <c r="M141">
        <v>7.4</v>
      </c>
      <c r="N141" s="7">
        <f t="shared" si="8"/>
        <v>4.7759400000000002E-3</v>
      </c>
      <c r="O141" s="7">
        <f t="shared" si="9"/>
        <v>3.5341956000000001E-2</v>
      </c>
      <c r="P141">
        <v>63</v>
      </c>
      <c r="Q141">
        <v>1</v>
      </c>
      <c r="R141">
        <v>1</v>
      </c>
      <c r="S141">
        <v>3</v>
      </c>
      <c r="T141">
        <v>3</v>
      </c>
      <c r="U141">
        <v>3</v>
      </c>
      <c r="V141" t="s">
        <v>50</v>
      </c>
    </row>
    <row r="142" spans="1:22" hidden="1" outlineLevel="2" x14ac:dyDescent="0.25">
      <c r="A142" t="s">
        <v>51</v>
      </c>
      <c r="B142">
        <v>2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56</v>
      </c>
      <c r="K142">
        <v>1111</v>
      </c>
      <c r="L142">
        <v>16.399999999999999</v>
      </c>
      <c r="M142">
        <v>13.3</v>
      </c>
      <c r="N142" s="7">
        <f t="shared" si="8"/>
        <v>2.1113359999999994E-2</v>
      </c>
      <c r="O142" s="7">
        <f t="shared" si="9"/>
        <v>0.28080768799999994</v>
      </c>
      <c r="P142">
        <v>100</v>
      </c>
      <c r="Q142">
        <v>4.5</v>
      </c>
      <c r="R142">
        <v>3</v>
      </c>
      <c r="S142">
        <v>3.3</v>
      </c>
      <c r="T142">
        <v>3.3</v>
      </c>
      <c r="U142">
        <v>2.7</v>
      </c>
      <c r="V142" t="s">
        <v>25</v>
      </c>
    </row>
    <row r="143" spans="1:22" hidden="1" outlineLevel="2" x14ac:dyDescent="0.25">
      <c r="A143" t="s">
        <v>51</v>
      </c>
      <c r="B143">
        <v>2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57</v>
      </c>
      <c r="K143">
        <v>1112</v>
      </c>
      <c r="L143">
        <v>11.9</v>
      </c>
      <c r="M143">
        <v>9.6999999999999993</v>
      </c>
      <c r="N143" s="7">
        <f t="shared" si="8"/>
        <v>1.1116385000000001E-2</v>
      </c>
      <c r="O143" s="7">
        <f t="shared" si="9"/>
        <v>0.1078289345</v>
      </c>
      <c r="P143">
        <v>100</v>
      </c>
      <c r="Q143">
        <v>2.2999999999999998</v>
      </c>
      <c r="R143">
        <v>1.8</v>
      </c>
      <c r="S143">
        <v>3</v>
      </c>
      <c r="T143">
        <v>3.5</v>
      </c>
      <c r="U143">
        <v>3.2</v>
      </c>
      <c r="V143" t="s">
        <v>30</v>
      </c>
    </row>
    <row r="144" spans="1:22" hidden="1" outlineLevel="2" x14ac:dyDescent="0.25">
      <c r="A144" t="s">
        <v>51</v>
      </c>
      <c r="B144">
        <v>2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57</v>
      </c>
      <c r="K144">
        <v>1113</v>
      </c>
      <c r="L144">
        <v>10.4</v>
      </c>
      <c r="M144">
        <v>9.4</v>
      </c>
      <c r="N144" s="7">
        <f t="shared" si="8"/>
        <v>8.4905600000000029E-3</v>
      </c>
      <c r="O144" s="7">
        <f t="shared" si="9"/>
        <v>7.9811264000000035E-2</v>
      </c>
      <c r="P144">
        <v>88</v>
      </c>
      <c r="Q144">
        <v>2</v>
      </c>
      <c r="R144">
        <v>1.7</v>
      </c>
      <c r="S144">
        <v>4</v>
      </c>
      <c r="T144">
        <v>4</v>
      </c>
      <c r="U144">
        <v>4</v>
      </c>
      <c r="V144" t="s">
        <v>30</v>
      </c>
    </row>
    <row r="145" spans="1:22" hidden="1" outlineLevel="2" x14ac:dyDescent="0.25">
      <c r="A145" t="s">
        <v>51</v>
      </c>
      <c r="B145">
        <v>2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58</v>
      </c>
      <c r="K145">
        <v>1338</v>
      </c>
      <c r="L145">
        <v>13.5</v>
      </c>
      <c r="M145">
        <v>10</v>
      </c>
      <c r="N145" s="7">
        <f t="shared" si="8"/>
        <v>1.4306625000000002E-2</v>
      </c>
      <c r="O145" s="7">
        <f t="shared" si="9"/>
        <v>0.14306625000000001</v>
      </c>
      <c r="P145">
        <v>13</v>
      </c>
      <c r="Q145">
        <v>3</v>
      </c>
      <c r="R145">
        <v>4</v>
      </c>
      <c r="S145">
        <v>3</v>
      </c>
      <c r="T145">
        <v>4</v>
      </c>
      <c r="U145">
        <v>3.3</v>
      </c>
      <c r="V145" t="s">
        <v>30</v>
      </c>
    </row>
    <row r="146" spans="1:22" hidden="1" outlineLevel="2" x14ac:dyDescent="0.25">
      <c r="A146" t="s">
        <v>51</v>
      </c>
      <c r="B146">
        <v>2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59</v>
      </c>
      <c r="K146">
        <v>1482</v>
      </c>
      <c r="L146">
        <v>23</v>
      </c>
      <c r="M146">
        <v>11</v>
      </c>
      <c r="N146" s="7">
        <f t="shared" si="8"/>
        <v>4.1526500000000001E-2</v>
      </c>
      <c r="O146" s="7">
        <f t="shared" si="9"/>
        <v>0.45679150000000002</v>
      </c>
      <c r="P146">
        <v>13</v>
      </c>
      <c r="Q146">
        <v>3</v>
      </c>
      <c r="R146">
        <v>3.5</v>
      </c>
      <c r="S146">
        <v>2</v>
      </c>
      <c r="T146">
        <v>1</v>
      </c>
      <c r="U146">
        <v>1</v>
      </c>
      <c r="V146" t="s">
        <v>38</v>
      </c>
    </row>
    <row r="147" spans="1:22" hidden="1" outlineLevel="2" x14ac:dyDescent="0.25">
      <c r="A147" t="s">
        <v>51</v>
      </c>
      <c r="B147">
        <v>2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59</v>
      </c>
      <c r="K147">
        <v>1978</v>
      </c>
      <c r="L147">
        <v>23.7</v>
      </c>
      <c r="M147">
        <v>12.6</v>
      </c>
      <c r="N147" s="7">
        <f t="shared" si="8"/>
        <v>4.4092664999999996E-2</v>
      </c>
      <c r="O147" s="7">
        <f t="shared" si="9"/>
        <v>0.55556757899999998</v>
      </c>
      <c r="P147">
        <v>88</v>
      </c>
      <c r="Q147">
        <v>5</v>
      </c>
      <c r="R147">
        <v>3.3</v>
      </c>
      <c r="S147">
        <v>3</v>
      </c>
      <c r="T147">
        <v>2</v>
      </c>
      <c r="U147">
        <v>2</v>
      </c>
      <c r="V147" t="s">
        <v>25</v>
      </c>
    </row>
    <row r="148" spans="1:22" hidden="1" outlineLevel="2" x14ac:dyDescent="0.25">
      <c r="A148" t="s">
        <v>51</v>
      </c>
      <c r="B148">
        <v>2</v>
      </c>
      <c r="C148" t="s">
        <v>52</v>
      </c>
      <c r="D148" t="s">
        <v>53</v>
      </c>
      <c r="E148" t="s">
        <v>54</v>
      </c>
      <c r="F148">
        <v>70</v>
      </c>
      <c r="G148">
        <v>1000</v>
      </c>
      <c r="H148">
        <v>-2</v>
      </c>
      <c r="I148">
        <v>1981</v>
      </c>
      <c r="J148" t="s">
        <v>26</v>
      </c>
      <c r="K148">
        <v>1339</v>
      </c>
      <c r="L148">
        <v>33.799999999999997</v>
      </c>
      <c r="M148">
        <v>16</v>
      </c>
      <c r="N148" s="7">
        <f t="shared" si="8"/>
        <v>8.968153999999999E-2</v>
      </c>
      <c r="O148" s="7">
        <f t="shared" si="9"/>
        <v>1.4349046399999998</v>
      </c>
      <c r="P148">
        <v>50</v>
      </c>
      <c r="Q148">
        <v>5</v>
      </c>
      <c r="R148">
        <v>3</v>
      </c>
      <c r="S148">
        <v>2</v>
      </c>
      <c r="T148">
        <v>2</v>
      </c>
      <c r="U148">
        <v>0.5</v>
      </c>
      <c r="V148" t="s">
        <v>25</v>
      </c>
    </row>
    <row r="149" spans="1:22" hidden="1" outlineLevel="2" x14ac:dyDescent="0.25">
      <c r="A149" t="s">
        <v>51</v>
      </c>
      <c r="B149">
        <v>2</v>
      </c>
      <c r="C149" t="s">
        <v>52</v>
      </c>
      <c r="D149" t="s">
        <v>53</v>
      </c>
      <c r="E149" t="s">
        <v>54</v>
      </c>
      <c r="F149">
        <v>70</v>
      </c>
      <c r="G149">
        <v>1000</v>
      </c>
      <c r="H149">
        <v>-2</v>
      </c>
      <c r="I149">
        <v>1981</v>
      </c>
      <c r="J149" t="s">
        <v>26</v>
      </c>
      <c r="K149">
        <v>1786</v>
      </c>
      <c r="L149">
        <v>17</v>
      </c>
      <c r="M149">
        <v>15.3</v>
      </c>
      <c r="N149" s="7">
        <f t="shared" si="8"/>
        <v>2.2686500000000005E-2</v>
      </c>
      <c r="O149" s="7">
        <f t="shared" si="9"/>
        <v>0.34710345000000009</v>
      </c>
      <c r="P149">
        <v>75</v>
      </c>
      <c r="Q149">
        <v>4.7</v>
      </c>
      <c r="R149">
        <v>4</v>
      </c>
      <c r="S149">
        <v>3.5</v>
      </c>
      <c r="T149">
        <v>4</v>
      </c>
      <c r="U149">
        <v>4</v>
      </c>
      <c r="V149" t="s">
        <v>27</v>
      </c>
    </row>
    <row r="150" spans="1:22" hidden="1" outlineLevel="2" x14ac:dyDescent="0.25">
      <c r="A150" t="s">
        <v>51</v>
      </c>
      <c r="B150">
        <v>2</v>
      </c>
      <c r="C150" t="s">
        <v>52</v>
      </c>
      <c r="D150" t="s">
        <v>53</v>
      </c>
      <c r="E150" t="s">
        <v>54</v>
      </c>
      <c r="F150">
        <v>70</v>
      </c>
      <c r="G150">
        <v>1000</v>
      </c>
      <c r="H150">
        <v>-2</v>
      </c>
      <c r="I150">
        <v>1981</v>
      </c>
      <c r="J150" t="s">
        <v>26</v>
      </c>
      <c r="K150">
        <v>2447</v>
      </c>
      <c r="L150">
        <v>20.8</v>
      </c>
      <c r="M150">
        <v>12.6</v>
      </c>
      <c r="N150" s="7">
        <f t="shared" si="8"/>
        <v>3.3962240000000012E-2</v>
      </c>
      <c r="O150" s="7">
        <f t="shared" si="9"/>
        <v>0.42792422400000013</v>
      </c>
      <c r="P150">
        <v>63</v>
      </c>
      <c r="Q150">
        <v>4</v>
      </c>
      <c r="R150">
        <v>3</v>
      </c>
      <c r="S150">
        <v>3.3</v>
      </c>
      <c r="T150">
        <v>3.5</v>
      </c>
      <c r="U150">
        <v>3.5</v>
      </c>
      <c r="V150" t="s">
        <v>25</v>
      </c>
    </row>
    <row r="151" spans="1:22" hidden="1" outlineLevel="2" x14ac:dyDescent="0.25">
      <c r="A151" t="s">
        <v>51</v>
      </c>
      <c r="B151">
        <v>2</v>
      </c>
      <c r="C151" t="s">
        <v>52</v>
      </c>
      <c r="D151" t="s">
        <v>53</v>
      </c>
      <c r="E151" t="s">
        <v>54</v>
      </c>
      <c r="F151">
        <v>70</v>
      </c>
      <c r="G151">
        <v>1000</v>
      </c>
      <c r="H151">
        <v>-2</v>
      </c>
      <c r="I151">
        <v>1981</v>
      </c>
      <c r="J151" t="s">
        <v>60</v>
      </c>
      <c r="K151">
        <v>1595</v>
      </c>
      <c r="L151">
        <v>6.5</v>
      </c>
      <c r="M151">
        <v>4.4000000000000004</v>
      </c>
      <c r="N151" s="7">
        <f t="shared" si="8"/>
        <v>3.3166250000000006E-3</v>
      </c>
      <c r="O151" s="7">
        <f t="shared" si="9"/>
        <v>1.4593150000000004E-2</v>
      </c>
      <c r="P151">
        <v>63</v>
      </c>
      <c r="Q151">
        <v>0.5</v>
      </c>
      <c r="R151">
        <v>0.5</v>
      </c>
      <c r="S151">
        <v>4</v>
      </c>
      <c r="T151">
        <v>4.5</v>
      </c>
      <c r="U151">
        <v>4</v>
      </c>
      <c r="V151" t="s">
        <v>50</v>
      </c>
    </row>
    <row r="152" spans="1:22" hidden="1" outlineLevel="2" x14ac:dyDescent="0.25">
      <c r="A152" t="s">
        <v>51</v>
      </c>
      <c r="B152">
        <v>2</v>
      </c>
      <c r="C152" t="s">
        <v>52</v>
      </c>
      <c r="D152" t="s">
        <v>53</v>
      </c>
      <c r="E152" t="s">
        <v>54</v>
      </c>
      <c r="F152">
        <v>70</v>
      </c>
      <c r="G152">
        <v>1000</v>
      </c>
      <c r="H152">
        <v>-2</v>
      </c>
      <c r="I152">
        <v>1981</v>
      </c>
      <c r="J152" t="s">
        <v>61</v>
      </c>
      <c r="K152">
        <v>1171</v>
      </c>
      <c r="L152">
        <v>10.4</v>
      </c>
      <c r="M152">
        <v>6.4</v>
      </c>
      <c r="N152" s="7">
        <f t="shared" si="8"/>
        <v>8.4905600000000029E-3</v>
      </c>
      <c r="O152" s="7">
        <f t="shared" si="9"/>
        <v>5.4339584000000024E-2</v>
      </c>
      <c r="P152">
        <v>75</v>
      </c>
      <c r="Q152">
        <v>1.7</v>
      </c>
      <c r="R152">
        <v>1.5</v>
      </c>
      <c r="S152">
        <v>0</v>
      </c>
      <c r="T152">
        <v>0</v>
      </c>
      <c r="U152">
        <v>0</v>
      </c>
      <c r="V152" t="s">
        <v>50</v>
      </c>
    </row>
    <row r="153" spans="1:22" hidden="1" outlineLevel="2" x14ac:dyDescent="0.25">
      <c r="A153" t="s">
        <v>51</v>
      </c>
      <c r="B153">
        <v>2</v>
      </c>
      <c r="C153" t="s">
        <v>52</v>
      </c>
      <c r="D153" t="s">
        <v>53</v>
      </c>
      <c r="E153" t="s">
        <v>54</v>
      </c>
      <c r="F153">
        <v>70</v>
      </c>
      <c r="G153">
        <v>1000</v>
      </c>
      <c r="H153">
        <v>-2</v>
      </c>
      <c r="I153">
        <v>1981</v>
      </c>
      <c r="J153" t="s">
        <v>32</v>
      </c>
      <c r="K153">
        <v>1596</v>
      </c>
      <c r="L153">
        <v>12.6</v>
      </c>
      <c r="M153">
        <v>8</v>
      </c>
      <c r="N153" s="7">
        <f t="shared" si="8"/>
        <v>1.2462660000000002E-2</v>
      </c>
      <c r="O153" s="7">
        <f t="shared" si="9"/>
        <v>9.9701280000000017E-2</v>
      </c>
      <c r="P153">
        <v>37</v>
      </c>
      <c r="Q153">
        <v>2.5</v>
      </c>
      <c r="R153">
        <v>3.5</v>
      </c>
      <c r="S153">
        <v>4</v>
      </c>
      <c r="T153">
        <v>4</v>
      </c>
      <c r="U153">
        <v>4</v>
      </c>
      <c r="V153" t="s">
        <v>38</v>
      </c>
    </row>
    <row r="154" spans="1:22" hidden="1" outlineLevel="2" x14ac:dyDescent="0.25">
      <c r="A154" t="s">
        <v>51</v>
      </c>
      <c r="B154">
        <v>2</v>
      </c>
      <c r="C154" t="s">
        <v>52</v>
      </c>
      <c r="D154" t="s">
        <v>53</v>
      </c>
      <c r="E154" t="s">
        <v>54</v>
      </c>
      <c r="F154">
        <v>70</v>
      </c>
      <c r="G154">
        <v>1000</v>
      </c>
      <c r="H154">
        <v>-2</v>
      </c>
      <c r="I154">
        <v>1981</v>
      </c>
      <c r="J154" t="s">
        <v>34</v>
      </c>
      <c r="K154">
        <v>1337</v>
      </c>
      <c r="L154">
        <v>22.2</v>
      </c>
      <c r="M154">
        <v>14.6</v>
      </c>
      <c r="N154" s="7">
        <f t="shared" si="8"/>
        <v>3.8687940000000004E-2</v>
      </c>
      <c r="O154" s="7">
        <f t="shared" si="9"/>
        <v>0.56484392400000005</v>
      </c>
      <c r="P154">
        <v>63</v>
      </c>
      <c r="Q154">
        <v>5</v>
      </c>
      <c r="R154">
        <v>3</v>
      </c>
      <c r="S154">
        <v>4</v>
      </c>
      <c r="T154">
        <v>4</v>
      </c>
      <c r="U154">
        <v>3.2</v>
      </c>
      <c r="V154" t="s">
        <v>27</v>
      </c>
    </row>
    <row r="155" spans="1:22" hidden="1" outlineLevel="2" x14ac:dyDescent="0.25">
      <c r="A155" t="s">
        <v>51</v>
      </c>
      <c r="B155">
        <v>2</v>
      </c>
      <c r="C155" t="s">
        <v>52</v>
      </c>
      <c r="D155" t="s">
        <v>53</v>
      </c>
      <c r="E155" t="s">
        <v>54</v>
      </c>
      <c r="F155">
        <v>70</v>
      </c>
      <c r="G155">
        <v>1000</v>
      </c>
      <c r="H155">
        <v>-2</v>
      </c>
      <c r="I155">
        <v>1981</v>
      </c>
      <c r="J155" t="s">
        <v>34</v>
      </c>
      <c r="K155">
        <v>2459</v>
      </c>
      <c r="L155">
        <v>19.600000000000001</v>
      </c>
      <c r="M155">
        <v>15.4</v>
      </c>
      <c r="N155" s="7">
        <f t="shared" si="8"/>
        <v>3.0156560000000006E-2</v>
      </c>
      <c r="O155" s="7">
        <f t="shared" si="9"/>
        <v>0.46441102400000012</v>
      </c>
      <c r="P155">
        <v>100</v>
      </c>
      <c r="Q155">
        <v>5</v>
      </c>
      <c r="R155">
        <v>3</v>
      </c>
      <c r="S155">
        <v>5</v>
      </c>
      <c r="T155">
        <v>4.3</v>
      </c>
      <c r="U155">
        <v>3</v>
      </c>
      <c r="V155" t="s">
        <v>27</v>
      </c>
    </row>
    <row r="156" spans="1:22" hidden="1" outlineLevel="2" x14ac:dyDescent="0.25">
      <c r="A156" t="s">
        <v>51</v>
      </c>
      <c r="B156">
        <v>2</v>
      </c>
      <c r="C156" t="s">
        <v>52</v>
      </c>
      <c r="D156" t="s">
        <v>53</v>
      </c>
      <c r="E156" t="s">
        <v>54</v>
      </c>
      <c r="F156">
        <v>70</v>
      </c>
      <c r="G156">
        <v>1000</v>
      </c>
      <c r="H156">
        <v>-2</v>
      </c>
      <c r="I156">
        <v>1981</v>
      </c>
      <c r="J156" t="s">
        <v>35</v>
      </c>
      <c r="K156">
        <v>1785</v>
      </c>
      <c r="L156">
        <v>9.8000000000000007</v>
      </c>
      <c r="M156">
        <v>7.5</v>
      </c>
      <c r="N156" s="7">
        <f t="shared" si="8"/>
        <v>7.5391400000000015E-3</v>
      </c>
      <c r="O156" s="7">
        <f t="shared" si="9"/>
        <v>5.6543550000000012E-2</v>
      </c>
      <c r="P156">
        <v>75</v>
      </c>
      <c r="Q156">
        <v>1.7</v>
      </c>
      <c r="R156">
        <v>1.3</v>
      </c>
      <c r="S156">
        <v>3.3</v>
      </c>
      <c r="T156">
        <v>4</v>
      </c>
      <c r="U156">
        <v>3.5</v>
      </c>
      <c r="V156" t="s">
        <v>30</v>
      </c>
    </row>
    <row r="157" spans="1:22" hidden="1" outlineLevel="2" x14ac:dyDescent="0.25">
      <c r="A157" t="s">
        <v>51</v>
      </c>
      <c r="B157">
        <v>2</v>
      </c>
      <c r="C157" t="s">
        <v>52</v>
      </c>
      <c r="D157" t="s">
        <v>53</v>
      </c>
      <c r="E157" t="s">
        <v>54</v>
      </c>
      <c r="F157">
        <v>70</v>
      </c>
      <c r="G157">
        <v>1000</v>
      </c>
      <c r="H157">
        <v>-2</v>
      </c>
      <c r="I157">
        <v>1981</v>
      </c>
      <c r="J157" t="s">
        <v>36</v>
      </c>
      <c r="K157">
        <v>1598</v>
      </c>
      <c r="L157">
        <v>15.2</v>
      </c>
      <c r="M157">
        <v>14.4</v>
      </c>
      <c r="N157" s="7">
        <f t="shared" si="8"/>
        <v>1.8136639999999999E-2</v>
      </c>
      <c r="O157" s="7">
        <f t="shared" si="9"/>
        <v>0.26116761599999999</v>
      </c>
      <c r="P157">
        <v>100</v>
      </c>
      <c r="Q157">
        <v>4.5</v>
      </c>
      <c r="R157">
        <v>4</v>
      </c>
      <c r="S157">
        <v>3</v>
      </c>
      <c r="T157">
        <v>4</v>
      </c>
      <c r="U157">
        <v>3</v>
      </c>
      <c r="V157" t="s">
        <v>25</v>
      </c>
    </row>
    <row r="158" spans="1:22" hidden="1" outlineLevel="2" x14ac:dyDescent="0.25">
      <c r="A158" t="s">
        <v>51</v>
      </c>
      <c r="B158">
        <v>2</v>
      </c>
      <c r="C158" t="s">
        <v>52</v>
      </c>
      <c r="D158" t="s">
        <v>53</v>
      </c>
      <c r="E158" t="s">
        <v>54</v>
      </c>
      <c r="F158">
        <v>70</v>
      </c>
      <c r="G158">
        <v>1000</v>
      </c>
      <c r="H158">
        <v>-2</v>
      </c>
      <c r="I158">
        <v>1981</v>
      </c>
      <c r="J158" t="s">
        <v>62</v>
      </c>
      <c r="K158">
        <v>1787</v>
      </c>
      <c r="L158">
        <v>19.600000000000001</v>
      </c>
      <c r="M158">
        <v>16.600000000000001</v>
      </c>
      <c r="N158" s="7">
        <f t="shared" si="8"/>
        <v>3.0156560000000006E-2</v>
      </c>
      <c r="O158" s="7">
        <f t="shared" si="9"/>
        <v>0.50059889600000018</v>
      </c>
      <c r="P158">
        <v>100</v>
      </c>
      <c r="Q158">
        <v>5</v>
      </c>
      <c r="R158">
        <v>3</v>
      </c>
      <c r="S158">
        <v>4</v>
      </c>
      <c r="T158">
        <v>4</v>
      </c>
      <c r="U158">
        <v>3</v>
      </c>
      <c r="V158" t="s">
        <v>27</v>
      </c>
    </row>
    <row r="159" spans="1:22" hidden="1" outlineLevel="2" x14ac:dyDescent="0.25">
      <c r="A159" t="s">
        <v>51</v>
      </c>
      <c r="B159">
        <v>2</v>
      </c>
      <c r="C159" t="s">
        <v>52</v>
      </c>
      <c r="D159" t="s">
        <v>53</v>
      </c>
      <c r="E159" t="s">
        <v>54</v>
      </c>
      <c r="F159">
        <v>70</v>
      </c>
      <c r="G159">
        <v>1000</v>
      </c>
      <c r="H159">
        <v>-2</v>
      </c>
      <c r="I159">
        <v>1981</v>
      </c>
      <c r="J159" t="s">
        <v>62</v>
      </c>
      <c r="K159">
        <v>2482</v>
      </c>
      <c r="L159">
        <v>17</v>
      </c>
      <c r="M159">
        <v>14.1</v>
      </c>
      <c r="N159" s="7">
        <f t="shared" si="8"/>
        <v>2.2686500000000005E-2</v>
      </c>
      <c r="O159" s="7">
        <f t="shared" si="9"/>
        <v>0.31987965000000007</v>
      </c>
      <c r="P159">
        <v>88</v>
      </c>
      <c r="Q159">
        <v>4.5</v>
      </c>
      <c r="R159">
        <v>3</v>
      </c>
      <c r="S159">
        <v>3.7</v>
      </c>
      <c r="T159">
        <v>3.7</v>
      </c>
      <c r="U159">
        <v>3.7</v>
      </c>
      <c r="V159" t="s">
        <v>27</v>
      </c>
    </row>
    <row r="160" spans="1:22" hidden="1" outlineLevel="2" x14ac:dyDescent="0.25">
      <c r="A160" t="s">
        <v>51</v>
      </c>
      <c r="B160">
        <v>2</v>
      </c>
      <c r="C160" t="s">
        <v>52</v>
      </c>
      <c r="D160" t="s">
        <v>53</v>
      </c>
      <c r="E160" t="s">
        <v>54</v>
      </c>
      <c r="F160">
        <v>70</v>
      </c>
      <c r="G160">
        <v>1000</v>
      </c>
      <c r="H160">
        <v>-2</v>
      </c>
      <c r="I160">
        <v>1981</v>
      </c>
      <c r="J160" t="s">
        <v>62</v>
      </c>
      <c r="K160">
        <v>2431</v>
      </c>
      <c r="L160">
        <v>26</v>
      </c>
      <c r="M160">
        <v>14</v>
      </c>
      <c r="N160" s="7">
        <f t="shared" si="8"/>
        <v>5.3066000000000009E-2</v>
      </c>
      <c r="O160" s="7">
        <f t="shared" si="9"/>
        <v>0.74292400000000014</v>
      </c>
      <c r="P160">
        <v>88</v>
      </c>
      <c r="Q160">
        <v>5</v>
      </c>
      <c r="R160">
        <v>3.5</v>
      </c>
      <c r="S160">
        <v>3.5</v>
      </c>
      <c r="T160">
        <v>4</v>
      </c>
      <c r="U160">
        <v>3.3</v>
      </c>
      <c r="V160" t="s">
        <v>27</v>
      </c>
    </row>
    <row r="161" spans="1:22" hidden="1" outlineLevel="2" x14ac:dyDescent="0.25">
      <c r="A161" t="s">
        <v>51</v>
      </c>
      <c r="B161">
        <v>2</v>
      </c>
      <c r="C161" t="s">
        <v>52</v>
      </c>
      <c r="D161" t="s">
        <v>53</v>
      </c>
      <c r="E161" t="s">
        <v>54</v>
      </c>
      <c r="F161">
        <v>70</v>
      </c>
      <c r="G161">
        <v>1000</v>
      </c>
      <c r="H161">
        <v>-2</v>
      </c>
      <c r="I161">
        <v>1981</v>
      </c>
      <c r="J161" t="s">
        <v>64</v>
      </c>
      <c r="K161">
        <v>1192</v>
      </c>
      <c r="L161">
        <v>8.9</v>
      </c>
      <c r="M161">
        <v>5.2</v>
      </c>
      <c r="N161" s="7">
        <f t="shared" ref="N161:N192" si="10">3.14/4*((L161/100)^2)</f>
        <v>6.2179850000000014E-3</v>
      </c>
      <c r="O161" s="7">
        <f t="shared" ref="O161:O192" si="11">3.14/4*((L161/100)^2)*M161</f>
        <v>3.233352200000001E-2</v>
      </c>
      <c r="P161">
        <v>63</v>
      </c>
      <c r="Q161">
        <v>2.5</v>
      </c>
      <c r="R161">
        <v>1.8</v>
      </c>
      <c r="S161">
        <v>3</v>
      </c>
      <c r="T161">
        <v>3</v>
      </c>
      <c r="U161">
        <v>3</v>
      </c>
      <c r="V161" t="s">
        <v>50</v>
      </c>
    </row>
    <row r="162" spans="1:22" hidden="1" outlineLevel="2" x14ac:dyDescent="0.25">
      <c r="A162" t="s">
        <v>51</v>
      </c>
      <c r="B162">
        <v>2</v>
      </c>
      <c r="C162" t="s">
        <v>52</v>
      </c>
      <c r="D162" t="s">
        <v>53</v>
      </c>
      <c r="E162" t="s">
        <v>54</v>
      </c>
      <c r="F162">
        <v>70</v>
      </c>
      <c r="G162">
        <v>1000</v>
      </c>
      <c r="H162">
        <v>-2</v>
      </c>
      <c r="I162">
        <v>1981</v>
      </c>
      <c r="J162" t="s">
        <v>37</v>
      </c>
      <c r="K162">
        <v>1524</v>
      </c>
      <c r="L162">
        <v>10.3</v>
      </c>
      <c r="M162">
        <v>7.8</v>
      </c>
      <c r="N162" s="7">
        <f t="shared" si="10"/>
        <v>8.3280650000000025E-3</v>
      </c>
      <c r="O162" s="7">
        <f t="shared" si="11"/>
        <v>6.4958907000000024E-2</v>
      </c>
      <c r="P162">
        <v>100</v>
      </c>
      <c r="Q162">
        <v>2.2999999999999998</v>
      </c>
      <c r="R162">
        <v>2</v>
      </c>
      <c r="S162">
        <v>3</v>
      </c>
      <c r="T162">
        <v>3</v>
      </c>
      <c r="U162">
        <v>3</v>
      </c>
      <c r="V162" t="s">
        <v>30</v>
      </c>
    </row>
    <row r="163" spans="1:22" hidden="1" outlineLevel="2" x14ac:dyDescent="0.25">
      <c r="A163" t="s">
        <v>51</v>
      </c>
      <c r="B163">
        <v>22</v>
      </c>
      <c r="C163" t="s">
        <v>52</v>
      </c>
      <c r="D163" t="s">
        <v>53</v>
      </c>
      <c r="E163" t="s">
        <v>54</v>
      </c>
      <c r="F163">
        <v>70</v>
      </c>
      <c r="G163">
        <v>1000</v>
      </c>
      <c r="H163">
        <v>-2</v>
      </c>
      <c r="I163">
        <v>1981</v>
      </c>
      <c r="J163" t="s">
        <v>39</v>
      </c>
      <c r="K163">
        <v>2435</v>
      </c>
      <c r="L163">
        <v>19.600000000000001</v>
      </c>
      <c r="M163">
        <v>12.3</v>
      </c>
      <c r="N163" s="7">
        <f t="shared" si="10"/>
        <v>3.0156560000000006E-2</v>
      </c>
      <c r="O163" s="7">
        <f t="shared" si="11"/>
        <v>0.37092568800000009</v>
      </c>
      <c r="P163">
        <v>75</v>
      </c>
      <c r="Q163">
        <v>3.3</v>
      </c>
      <c r="R163">
        <v>3</v>
      </c>
      <c r="S163">
        <v>3.3</v>
      </c>
      <c r="T163">
        <v>3.5</v>
      </c>
      <c r="U163">
        <v>3.5</v>
      </c>
      <c r="V163" t="s">
        <v>27</v>
      </c>
    </row>
    <row r="164" spans="1:22" hidden="1" outlineLevel="2" x14ac:dyDescent="0.25">
      <c r="A164" t="s">
        <v>51</v>
      </c>
      <c r="B164">
        <v>2</v>
      </c>
      <c r="C164" t="s">
        <v>52</v>
      </c>
      <c r="D164" t="s">
        <v>53</v>
      </c>
      <c r="E164" t="s">
        <v>54</v>
      </c>
      <c r="F164">
        <v>70</v>
      </c>
      <c r="G164">
        <v>1000</v>
      </c>
      <c r="H164">
        <v>-2</v>
      </c>
      <c r="I164">
        <v>1981</v>
      </c>
      <c r="J164" t="s">
        <v>63</v>
      </c>
      <c r="K164">
        <v>1340</v>
      </c>
      <c r="L164">
        <v>20.100000000000001</v>
      </c>
      <c r="M164">
        <v>6.9</v>
      </c>
      <c r="N164" s="7">
        <f t="shared" si="10"/>
        <v>3.1714785000000009E-2</v>
      </c>
      <c r="O164" s="7">
        <f t="shared" si="11"/>
        <v>0.21883201650000009</v>
      </c>
      <c r="P164">
        <v>88</v>
      </c>
      <c r="Q164">
        <v>3</v>
      </c>
      <c r="R164">
        <v>2.5</v>
      </c>
      <c r="S164">
        <v>1</v>
      </c>
      <c r="T164">
        <v>0.5</v>
      </c>
      <c r="U164">
        <v>0</v>
      </c>
      <c r="V164" t="s">
        <v>30</v>
      </c>
    </row>
    <row r="165" spans="1:22" hidden="1" outlineLevel="2" x14ac:dyDescent="0.25">
      <c r="A165" t="s">
        <v>51</v>
      </c>
      <c r="B165">
        <v>3</v>
      </c>
      <c r="C165" t="s">
        <v>52</v>
      </c>
      <c r="D165" t="s">
        <v>53</v>
      </c>
      <c r="E165" t="s">
        <v>54</v>
      </c>
      <c r="F165">
        <v>70</v>
      </c>
      <c r="G165">
        <v>1000</v>
      </c>
      <c r="H165">
        <v>-2</v>
      </c>
      <c r="I165">
        <v>1981</v>
      </c>
      <c r="J165" t="s">
        <v>55</v>
      </c>
      <c r="K165">
        <v>1094</v>
      </c>
      <c r="L165">
        <v>13.5</v>
      </c>
      <c r="M165">
        <v>4</v>
      </c>
      <c r="N165" s="7">
        <f t="shared" si="10"/>
        <v>1.4306625000000002E-2</v>
      </c>
      <c r="O165" s="7">
        <f t="shared" si="11"/>
        <v>5.7226500000000007E-2</v>
      </c>
      <c r="P165">
        <v>13</v>
      </c>
      <c r="Q165">
        <v>0.5</v>
      </c>
      <c r="R165">
        <v>0</v>
      </c>
      <c r="S165">
        <v>1</v>
      </c>
      <c r="T165">
        <v>1</v>
      </c>
      <c r="U165">
        <v>1</v>
      </c>
      <c r="V165" t="s">
        <v>50</v>
      </c>
    </row>
    <row r="166" spans="1:22" hidden="1" outlineLevel="2" x14ac:dyDescent="0.25">
      <c r="A166" t="s">
        <v>51</v>
      </c>
      <c r="B166">
        <v>3</v>
      </c>
      <c r="C166" t="s">
        <v>52</v>
      </c>
      <c r="D166" t="s">
        <v>53</v>
      </c>
      <c r="E166" t="s">
        <v>54</v>
      </c>
      <c r="F166">
        <v>70</v>
      </c>
      <c r="G166">
        <v>1000</v>
      </c>
      <c r="H166">
        <v>-2</v>
      </c>
      <c r="I166">
        <v>1981</v>
      </c>
      <c r="J166" t="s">
        <v>56</v>
      </c>
      <c r="K166">
        <v>1111</v>
      </c>
      <c r="L166">
        <v>14.2</v>
      </c>
      <c r="M166">
        <v>10.8</v>
      </c>
      <c r="N166" s="7">
        <f t="shared" si="10"/>
        <v>1.5828739999999997E-2</v>
      </c>
      <c r="O166" s="7">
        <f t="shared" si="11"/>
        <v>0.17095039199999998</v>
      </c>
      <c r="P166">
        <v>100</v>
      </c>
      <c r="Q166">
        <v>3</v>
      </c>
      <c r="R166">
        <v>2.8</v>
      </c>
      <c r="S166">
        <v>3.3</v>
      </c>
      <c r="T166">
        <v>3.3</v>
      </c>
      <c r="U166">
        <v>3</v>
      </c>
      <c r="V166" t="s">
        <v>25</v>
      </c>
    </row>
    <row r="167" spans="1:22" hidden="1" outlineLevel="2" x14ac:dyDescent="0.25">
      <c r="A167" t="s">
        <v>51</v>
      </c>
      <c r="B167">
        <v>3</v>
      </c>
      <c r="C167" t="s">
        <v>52</v>
      </c>
      <c r="D167" t="s">
        <v>53</v>
      </c>
      <c r="E167" t="s">
        <v>54</v>
      </c>
      <c r="F167">
        <v>70</v>
      </c>
      <c r="G167">
        <v>1000</v>
      </c>
      <c r="H167">
        <v>-2</v>
      </c>
      <c r="I167">
        <v>1981</v>
      </c>
      <c r="J167" t="s">
        <v>57</v>
      </c>
      <c r="K167">
        <v>1112</v>
      </c>
      <c r="L167">
        <v>13.1</v>
      </c>
      <c r="M167">
        <v>10.6</v>
      </c>
      <c r="N167" s="7">
        <f t="shared" si="10"/>
        <v>1.3471385000000002E-2</v>
      </c>
      <c r="O167" s="7">
        <f t="shared" si="11"/>
        <v>0.14279668100000001</v>
      </c>
      <c r="P167">
        <v>88</v>
      </c>
      <c r="Q167">
        <v>2</v>
      </c>
      <c r="R167">
        <v>2</v>
      </c>
      <c r="S167">
        <v>3</v>
      </c>
      <c r="T167">
        <v>3</v>
      </c>
      <c r="U167">
        <v>3</v>
      </c>
      <c r="V167" t="s">
        <v>50</v>
      </c>
    </row>
    <row r="168" spans="1:22" hidden="1" outlineLevel="2" x14ac:dyDescent="0.25">
      <c r="A168" t="s">
        <v>51</v>
      </c>
      <c r="B168">
        <v>3</v>
      </c>
      <c r="C168" t="s">
        <v>52</v>
      </c>
      <c r="D168" t="s">
        <v>53</v>
      </c>
      <c r="E168" t="s">
        <v>54</v>
      </c>
      <c r="F168">
        <v>70</v>
      </c>
      <c r="G168">
        <v>1000</v>
      </c>
      <c r="H168">
        <v>-2</v>
      </c>
      <c r="I168">
        <v>1981</v>
      </c>
      <c r="J168" t="s">
        <v>57</v>
      </c>
      <c r="K168">
        <v>1113</v>
      </c>
      <c r="L168">
        <v>9.6</v>
      </c>
      <c r="M168">
        <v>7</v>
      </c>
      <c r="N168" s="7">
        <f t="shared" si="10"/>
        <v>7.2345600000000001E-3</v>
      </c>
      <c r="O168" s="7">
        <f t="shared" si="11"/>
        <v>5.064192E-2</v>
      </c>
      <c r="P168">
        <v>100</v>
      </c>
      <c r="Q168">
        <v>2.6</v>
      </c>
      <c r="R168">
        <v>2</v>
      </c>
      <c r="S168">
        <v>3</v>
      </c>
      <c r="T168">
        <v>3</v>
      </c>
      <c r="U168">
        <v>3</v>
      </c>
      <c r="V168" t="s">
        <v>30</v>
      </c>
    </row>
    <row r="169" spans="1:22" hidden="1" outlineLevel="2" x14ac:dyDescent="0.25">
      <c r="A169" t="s">
        <v>51</v>
      </c>
      <c r="B169">
        <v>3</v>
      </c>
      <c r="C169" t="s">
        <v>52</v>
      </c>
      <c r="D169" t="s">
        <v>53</v>
      </c>
      <c r="E169" t="s">
        <v>54</v>
      </c>
      <c r="F169">
        <v>70</v>
      </c>
      <c r="G169">
        <v>1000</v>
      </c>
      <c r="H169">
        <v>-2</v>
      </c>
      <c r="I169">
        <v>1981</v>
      </c>
      <c r="J169" t="s">
        <v>58</v>
      </c>
      <c r="K169">
        <v>1338</v>
      </c>
      <c r="L169">
        <v>18.899999999999999</v>
      </c>
      <c r="M169">
        <v>9</v>
      </c>
      <c r="N169" s="7">
        <f t="shared" si="10"/>
        <v>2.8040984999999994E-2</v>
      </c>
      <c r="O169" s="7">
        <f t="shared" si="11"/>
        <v>0.25236886499999994</v>
      </c>
      <c r="P169">
        <v>13</v>
      </c>
      <c r="Q169">
        <v>2</v>
      </c>
      <c r="R169">
        <v>3.5</v>
      </c>
      <c r="S169">
        <v>3</v>
      </c>
      <c r="T169">
        <v>3.5</v>
      </c>
      <c r="U169">
        <v>3</v>
      </c>
      <c r="V169" t="s">
        <v>50</v>
      </c>
    </row>
    <row r="170" spans="1:22" hidden="1" outlineLevel="2" x14ac:dyDescent="0.25">
      <c r="A170" t="s">
        <v>51</v>
      </c>
      <c r="B170">
        <v>3</v>
      </c>
      <c r="C170" t="s">
        <v>52</v>
      </c>
      <c r="D170" t="s">
        <v>53</v>
      </c>
      <c r="E170" t="s">
        <v>54</v>
      </c>
      <c r="F170">
        <v>70</v>
      </c>
      <c r="G170">
        <v>1000</v>
      </c>
      <c r="H170">
        <v>-2</v>
      </c>
      <c r="I170">
        <v>1981</v>
      </c>
      <c r="J170" t="s">
        <v>59</v>
      </c>
      <c r="K170">
        <v>1482</v>
      </c>
      <c r="L170">
        <v>20</v>
      </c>
      <c r="M170">
        <v>13.2</v>
      </c>
      <c r="N170" s="7">
        <f t="shared" si="10"/>
        <v>3.1400000000000004E-2</v>
      </c>
      <c r="O170" s="7">
        <f t="shared" si="11"/>
        <v>0.41448000000000002</v>
      </c>
      <c r="P170">
        <v>75</v>
      </c>
      <c r="Q170">
        <v>4.5</v>
      </c>
      <c r="R170">
        <v>3</v>
      </c>
      <c r="S170">
        <v>4</v>
      </c>
      <c r="T170">
        <v>4</v>
      </c>
      <c r="U170">
        <v>4</v>
      </c>
      <c r="V170" t="s">
        <v>27</v>
      </c>
    </row>
    <row r="171" spans="1:22" hidden="1" outlineLevel="2" x14ac:dyDescent="0.25">
      <c r="A171" t="s">
        <v>51</v>
      </c>
      <c r="B171">
        <v>3</v>
      </c>
      <c r="C171" t="s">
        <v>52</v>
      </c>
      <c r="D171" t="s">
        <v>53</v>
      </c>
      <c r="E171" t="s">
        <v>54</v>
      </c>
      <c r="F171">
        <v>70</v>
      </c>
      <c r="G171">
        <v>1000</v>
      </c>
      <c r="H171">
        <v>-2</v>
      </c>
      <c r="I171">
        <v>1981</v>
      </c>
      <c r="J171" t="s">
        <v>59</v>
      </c>
      <c r="K171">
        <v>1978</v>
      </c>
      <c r="L171">
        <v>26.6</v>
      </c>
      <c r="M171">
        <v>13.5</v>
      </c>
      <c r="N171" s="7">
        <f t="shared" si="10"/>
        <v>5.554346000000001E-2</v>
      </c>
      <c r="O171" s="7">
        <f t="shared" si="11"/>
        <v>0.74983671000000018</v>
      </c>
      <c r="P171">
        <v>75</v>
      </c>
      <c r="Q171">
        <v>5</v>
      </c>
      <c r="R171">
        <v>3</v>
      </c>
      <c r="S171">
        <v>2.5</v>
      </c>
      <c r="T171">
        <v>2</v>
      </c>
      <c r="U171">
        <v>1</v>
      </c>
      <c r="V171" t="s">
        <v>25</v>
      </c>
    </row>
    <row r="172" spans="1:22" hidden="1" outlineLevel="2" x14ac:dyDescent="0.25">
      <c r="A172" t="s">
        <v>51</v>
      </c>
      <c r="B172">
        <v>3</v>
      </c>
      <c r="C172" t="s">
        <v>52</v>
      </c>
      <c r="D172" t="s">
        <v>53</v>
      </c>
      <c r="E172" t="s">
        <v>54</v>
      </c>
      <c r="F172">
        <v>70</v>
      </c>
      <c r="G172">
        <v>1000</v>
      </c>
      <c r="H172">
        <v>-2</v>
      </c>
      <c r="I172">
        <v>1981</v>
      </c>
      <c r="J172" t="s">
        <v>26</v>
      </c>
      <c r="K172">
        <v>1339</v>
      </c>
      <c r="L172">
        <v>23.9</v>
      </c>
      <c r="M172">
        <v>12.7</v>
      </c>
      <c r="N172" s="7">
        <f t="shared" si="10"/>
        <v>4.4839984999999999E-2</v>
      </c>
      <c r="O172" s="7">
        <f t="shared" si="11"/>
        <v>0.56946780949999998</v>
      </c>
      <c r="P172">
        <v>37</v>
      </c>
      <c r="Q172">
        <v>4</v>
      </c>
      <c r="R172">
        <v>3</v>
      </c>
      <c r="S172">
        <v>3</v>
      </c>
      <c r="T172">
        <v>3</v>
      </c>
      <c r="U172">
        <v>3</v>
      </c>
      <c r="V172" t="s">
        <v>25</v>
      </c>
    </row>
    <row r="173" spans="1:22" hidden="1" outlineLevel="2" x14ac:dyDescent="0.25">
      <c r="A173" t="s">
        <v>51</v>
      </c>
      <c r="B173">
        <v>3</v>
      </c>
      <c r="C173" t="s">
        <v>52</v>
      </c>
      <c r="D173" t="s">
        <v>53</v>
      </c>
      <c r="E173" t="s">
        <v>54</v>
      </c>
      <c r="F173">
        <v>70</v>
      </c>
      <c r="G173">
        <v>1000</v>
      </c>
      <c r="H173">
        <v>-2</v>
      </c>
      <c r="I173">
        <v>1981</v>
      </c>
      <c r="J173" t="s">
        <v>26</v>
      </c>
      <c r="K173">
        <v>1786</v>
      </c>
      <c r="L173">
        <v>17.8</v>
      </c>
      <c r="M173">
        <v>12.2</v>
      </c>
      <c r="N173" s="7">
        <f t="shared" si="10"/>
        <v>2.4871940000000006E-2</v>
      </c>
      <c r="O173" s="7">
        <f t="shared" si="11"/>
        <v>0.30343766800000005</v>
      </c>
      <c r="P173">
        <v>63</v>
      </c>
      <c r="Q173">
        <v>4.7</v>
      </c>
      <c r="R173">
        <v>3.1</v>
      </c>
      <c r="S173">
        <v>3</v>
      </c>
      <c r="T173">
        <v>3</v>
      </c>
      <c r="U173">
        <v>3</v>
      </c>
      <c r="V173" t="s">
        <v>25</v>
      </c>
    </row>
    <row r="174" spans="1:22" hidden="1" outlineLevel="2" x14ac:dyDescent="0.25">
      <c r="A174" t="s">
        <v>51</v>
      </c>
      <c r="B174">
        <v>3</v>
      </c>
      <c r="C174" t="s">
        <v>52</v>
      </c>
      <c r="D174" t="s">
        <v>53</v>
      </c>
      <c r="E174" t="s">
        <v>54</v>
      </c>
      <c r="F174">
        <v>70</v>
      </c>
      <c r="G174">
        <v>1000</v>
      </c>
      <c r="H174">
        <v>-2</v>
      </c>
      <c r="I174">
        <v>1981</v>
      </c>
      <c r="J174" t="s">
        <v>26</v>
      </c>
      <c r="K174">
        <v>2447</v>
      </c>
      <c r="L174">
        <v>21.4</v>
      </c>
      <c r="M174">
        <v>12.7</v>
      </c>
      <c r="N174" s="7">
        <f t="shared" si="10"/>
        <v>3.594986E-2</v>
      </c>
      <c r="O174" s="7">
        <f t="shared" si="11"/>
        <v>0.45656322199999999</v>
      </c>
      <c r="P174">
        <v>75</v>
      </c>
      <c r="Q174">
        <v>4.5999999999999996</v>
      </c>
      <c r="R174">
        <v>4</v>
      </c>
      <c r="S174">
        <v>3</v>
      </c>
      <c r="T174">
        <v>3</v>
      </c>
      <c r="U174">
        <v>3</v>
      </c>
      <c r="V174" t="s">
        <v>27</v>
      </c>
    </row>
    <row r="175" spans="1:22" hidden="1" outlineLevel="2" x14ac:dyDescent="0.25">
      <c r="A175" t="s">
        <v>51</v>
      </c>
      <c r="B175">
        <v>3</v>
      </c>
      <c r="C175" t="s">
        <v>52</v>
      </c>
      <c r="D175" t="s">
        <v>53</v>
      </c>
      <c r="E175" t="s">
        <v>54</v>
      </c>
      <c r="F175">
        <v>70</v>
      </c>
      <c r="G175">
        <v>1000</v>
      </c>
      <c r="H175">
        <v>-2</v>
      </c>
      <c r="I175">
        <v>1981</v>
      </c>
      <c r="J175" t="s">
        <v>60</v>
      </c>
      <c r="K175">
        <v>1595</v>
      </c>
      <c r="L175">
        <v>7.8</v>
      </c>
      <c r="M175">
        <v>5.3</v>
      </c>
      <c r="N175" s="7">
        <f t="shared" si="10"/>
        <v>4.7759400000000002E-3</v>
      </c>
      <c r="O175" s="7">
        <f t="shared" si="11"/>
        <v>2.5312482000000001E-2</v>
      </c>
      <c r="P175">
        <v>50</v>
      </c>
      <c r="Q175">
        <v>1</v>
      </c>
      <c r="R175">
        <v>1.5</v>
      </c>
      <c r="S175">
        <v>4</v>
      </c>
      <c r="T175">
        <v>4</v>
      </c>
      <c r="U175">
        <v>4</v>
      </c>
      <c r="V175" t="s">
        <v>50</v>
      </c>
    </row>
    <row r="176" spans="1:22" hidden="1" outlineLevel="2" x14ac:dyDescent="0.25">
      <c r="A176" t="s">
        <v>51</v>
      </c>
      <c r="B176">
        <v>3</v>
      </c>
      <c r="C176" t="s">
        <v>52</v>
      </c>
      <c r="D176" t="s">
        <v>53</v>
      </c>
      <c r="E176" t="s">
        <v>54</v>
      </c>
      <c r="F176">
        <v>70</v>
      </c>
      <c r="G176">
        <v>1000</v>
      </c>
      <c r="H176">
        <v>-2</v>
      </c>
      <c r="I176">
        <v>1981</v>
      </c>
      <c r="J176" t="s">
        <v>61</v>
      </c>
      <c r="K176">
        <v>1171</v>
      </c>
      <c r="L176">
        <v>13.1</v>
      </c>
      <c r="M176">
        <v>10.1</v>
      </c>
      <c r="N176" s="7">
        <f t="shared" si="10"/>
        <v>1.3471385000000002E-2</v>
      </c>
      <c r="O176" s="7">
        <f t="shared" si="11"/>
        <v>0.13606098850000001</v>
      </c>
      <c r="P176">
        <v>100</v>
      </c>
      <c r="Q176">
        <v>2</v>
      </c>
      <c r="R176">
        <v>2</v>
      </c>
      <c r="S176">
        <v>2</v>
      </c>
      <c r="T176">
        <v>2</v>
      </c>
      <c r="U176">
        <v>2</v>
      </c>
      <c r="V176" t="s">
        <v>30</v>
      </c>
    </row>
    <row r="177" spans="1:22" hidden="1" outlineLevel="2" x14ac:dyDescent="0.25">
      <c r="A177" t="s">
        <v>51</v>
      </c>
      <c r="B177">
        <v>3</v>
      </c>
      <c r="C177" t="s">
        <v>52</v>
      </c>
      <c r="D177" t="s">
        <v>53</v>
      </c>
      <c r="E177" t="s">
        <v>54</v>
      </c>
      <c r="F177">
        <v>70</v>
      </c>
      <c r="G177">
        <v>1000</v>
      </c>
      <c r="H177">
        <v>-2</v>
      </c>
      <c r="I177">
        <v>1981</v>
      </c>
      <c r="J177" t="s">
        <v>32</v>
      </c>
      <c r="K177">
        <v>1596</v>
      </c>
      <c r="L177">
        <v>15.1</v>
      </c>
      <c r="M177">
        <v>12.3</v>
      </c>
      <c r="N177" s="7">
        <f t="shared" si="10"/>
        <v>1.7898785E-2</v>
      </c>
      <c r="O177" s="7">
        <f t="shared" si="11"/>
        <v>0.22015505550000003</v>
      </c>
      <c r="P177">
        <v>88</v>
      </c>
      <c r="Q177">
        <v>3.5</v>
      </c>
      <c r="R177">
        <v>3</v>
      </c>
      <c r="S177">
        <v>3.3</v>
      </c>
      <c r="T177">
        <v>4</v>
      </c>
      <c r="U177">
        <v>4</v>
      </c>
      <c r="V177" t="s">
        <v>27</v>
      </c>
    </row>
    <row r="178" spans="1:22" hidden="1" outlineLevel="2" x14ac:dyDescent="0.25">
      <c r="A178" t="s">
        <v>51</v>
      </c>
      <c r="B178">
        <v>3</v>
      </c>
      <c r="C178" t="s">
        <v>52</v>
      </c>
      <c r="D178" t="s">
        <v>53</v>
      </c>
      <c r="E178" t="s">
        <v>54</v>
      </c>
      <c r="F178">
        <v>70</v>
      </c>
      <c r="G178">
        <v>1000</v>
      </c>
      <c r="H178">
        <v>-2</v>
      </c>
      <c r="I178">
        <v>1981</v>
      </c>
      <c r="J178" t="s">
        <v>34</v>
      </c>
      <c r="K178">
        <v>1337</v>
      </c>
      <c r="L178">
        <v>24.5</v>
      </c>
      <c r="M178">
        <v>13.5</v>
      </c>
      <c r="N178" s="7">
        <f t="shared" si="10"/>
        <v>4.7119624999999998E-2</v>
      </c>
      <c r="O178" s="7">
        <f t="shared" si="11"/>
        <v>0.63611493749999992</v>
      </c>
      <c r="P178">
        <v>75</v>
      </c>
      <c r="Q178">
        <v>5</v>
      </c>
      <c r="R178">
        <v>3</v>
      </c>
      <c r="S178">
        <v>4</v>
      </c>
      <c r="T178">
        <v>4</v>
      </c>
      <c r="U178">
        <v>2.5</v>
      </c>
      <c r="V178" t="s">
        <v>27</v>
      </c>
    </row>
    <row r="179" spans="1:22" hidden="1" outlineLevel="2" x14ac:dyDescent="0.25">
      <c r="A179" t="s">
        <v>51</v>
      </c>
      <c r="B179">
        <v>3</v>
      </c>
      <c r="C179" t="s">
        <v>52</v>
      </c>
      <c r="D179" t="s">
        <v>53</v>
      </c>
      <c r="E179" t="s">
        <v>54</v>
      </c>
      <c r="F179">
        <v>70</v>
      </c>
      <c r="G179">
        <v>1000</v>
      </c>
      <c r="H179">
        <v>-2</v>
      </c>
      <c r="I179">
        <v>1981</v>
      </c>
      <c r="J179" t="s">
        <v>34</v>
      </c>
      <c r="K179">
        <v>2459</v>
      </c>
      <c r="L179">
        <v>23.7</v>
      </c>
      <c r="M179">
        <v>13.3</v>
      </c>
      <c r="N179" s="7">
        <f t="shared" si="10"/>
        <v>4.4092664999999996E-2</v>
      </c>
      <c r="O179" s="7">
        <f t="shared" si="11"/>
        <v>0.58643244449999998</v>
      </c>
      <c r="P179">
        <v>88</v>
      </c>
      <c r="Q179">
        <v>5</v>
      </c>
      <c r="R179">
        <v>3</v>
      </c>
      <c r="S179">
        <v>3.5</v>
      </c>
      <c r="T179">
        <v>3.5</v>
      </c>
      <c r="U179">
        <v>2.5</v>
      </c>
      <c r="V179" t="s">
        <v>27</v>
      </c>
    </row>
    <row r="180" spans="1:22" hidden="1" outlineLevel="2" x14ac:dyDescent="0.25">
      <c r="A180" t="s">
        <v>51</v>
      </c>
      <c r="B180">
        <v>3</v>
      </c>
      <c r="C180" t="s">
        <v>52</v>
      </c>
      <c r="D180" t="s">
        <v>53</v>
      </c>
      <c r="E180" t="s">
        <v>54</v>
      </c>
      <c r="F180">
        <v>70</v>
      </c>
      <c r="G180">
        <v>1000</v>
      </c>
      <c r="H180">
        <v>-2</v>
      </c>
      <c r="I180">
        <v>1981</v>
      </c>
      <c r="J180" t="s">
        <v>35</v>
      </c>
      <c r="K180">
        <v>1785</v>
      </c>
      <c r="L180">
        <v>10.5</v>
      </c>
      <c r="M180">
        <v>7.6</v>
      </c>
      <c r="N180" s="7">
        <f t="shared" si="10"/>
        <v>8.6546249999999991E-3</v>
      </c>
      <c r="O180" s="7">
        <f t="shared" si="11"/>
        <v>6.5775149999999991E-2</v>
      </c>
      <c r="P180">
        <v>88</v>
      </c>
      <c r="Q180">
        <v>2.2999999999999998</v>
      </c>
      <c r="R180">
        <v>2</v>
      </c>
      <c r="S180">
        <v>3</v>
      </c>
      <c r="T180">
        <v>3.5</v>
      </c>
      <c r="U180">
        <v>3</v>
      </c>
      <c r="V180" t="s">
        <v>30</v>
      </c>
    </row>
    <row r="181" spans="1:22" hidden="1" outlineLevel="2" x14ac:dyDescent="0.25">
      <c r="A181" t="s">
        <v>51</v>
      </c>
      <c r="B181">
        <v>3</v>
      </c>
      <c r="C181" t="s">
        <v>52</v>
      </c>
      <c r="D181" t="s">
        <v>53</v>
      </c>
      <c r="E181" t="s">
        <v>54</v>
      </c>
      <c r="F181">
        <v>70</v>
      </c>
      <c r="G181">
        <v>1000</v>
      </c>
      <c r="H181">
        <v>-2</v>
      </c>
      <c r="I181">
        <v>1981</v>
      </c>
      <c r="J181" t="s">
        <v>36</v>
      </c>
      <c r="K181">
        <v>1598</v>
      </c>
      <c r="L181">
        <v>14</v>
      </c>
      <c r="M181">
        <v>10.3</v>
      </c>
      <c r="N181" s="7">
        <f t="shared" si="10"/>
        <v>1.5386000000000002E-2</v>
      </c>
      <c r="O181" s="7">
        <f t="shared" si="11"/>
        <v>0.15847580000000003</v>
      </c>
      <c r="P181">
        <v>100</v>
      </c>
      <c r="Q181">
        <v>3.5</v>
      </c>
      <c r="R181">
        <v>4</v>
      </c>
      <c r="S181">
        <v>2</v>
      </c>
      <c r="T181">
        <v>3</v>
      </c>
      <c r="U181">
        <v>2</v>
      </c>
      <c r="V181" t="s">
        <v>38</v>
      </c>
    </row>
    <row r="182" spans="1:22" hidden="1" outlineLevel="2" x14ac:dyDescent="0.25">
      <c r="A182" t="s">
        <v>51</v>
      </c>
      <c r="B182">
        <v>3</v>
      </c>
      <c r="C182" t="s">
        <v>52</v>
      </c>
      <c r="D182" t="s">
        <v>53</v>
      </c>
      <c r="E182" t="s">
        <v>54</v>
      </c>
      <c r="F182">
        <v>70</v>
      </c>
      <c r="G182">
        <v>1000</v>
      </c>
      <c r="H182">
        <v>-2</v>
      </c>
      <c r="I182">
        <v>1981</v>
      </c>
      <c r="J182" t="s">
        <v>62</v>
      </c>
      <c r="K182">
        <v>1787</v>
      </c>
      <c r="L182">
        <v>21.8</v>
      </c>
      <c r="M182">
        <v>13.8</v>
      </c>
      <c r="N182" s="7">
        <f t="shared" si="10"/>
        <v>3.730634E-2</v>
      </c>
      <c r="O182" s="7">
        <f t="shared" si="11"/>
        <v>0.514827492</v>
      </c>
      <c r="P182">
        <v>100</v>
      </c>
      <c r="Q182">
        <v>5</v>
      </c>
      <c r="R182">
        <v>3</v>
      </c>
      <c r="S182">
        <v>3</v>
      </c>
      <c r="T182">
        <v>3</v>
      </c>
      <c r="U182">
        <v>2</v>
      </c>
      <c r="V182" t="s">
        <v>27</v>
      </c>
    </row>
    <row r="183" spans="1:22" hidden="1" outlineLevel="2" x14ac:dyDescent="0.25">
      <c r="A183" t="s">
        <v>51</v>
      </c>
      <c r="B183">
        <v>3</v>
      </c>
      <c r="C183" t="s">
        <v>52</v>
      </c>
      <c r="D183" t="s">
        <v>53</v>
      </c>
      <c r="E183" t="s">
        <v>54</v>
      </c>
      <c r="F183">
        <v>70</v>
      </c>
      <c r="G183">
        <v>1000</v>
      </c>
      <c r="H183">
        <v>-2</v>
      </c>
      <c r="I183">
        <v>1981</v>
      </c>
      <c r="J183" t="s">
        <v>62</v>
      </c>
      <c r="K183">
        <v>2482</v>
      </c>
      <c r="L183">
        <v>16.399999999999999</v>
      </c>
      <c r="M183">
        <v>12.1</v>
      </c>
      <c r="N183" s="7">
        <f t="shared" si="10"/>
        <v>2.1113359999999994E-2</v>
      </c>
      <c r="O183" s="7">
        <f t="shared" si="11"/>
        <v>0.25547165599999994</v>
      </c>
      <c r="P183">
        <v>88</v>
      </c>
      <c r="Q183">
        <v>4.8</v>
      </c>
      <c r="R183">
        <v>3</v>
      </c>
      <c r="S183">
        <v>3.3</v>
      </c>
      <c r="T183">
        <v>3.5</v>
      </c>
      <c r="U183">
        <v>2</v>
      </c>
      <c r="V183" t="s">
        <v>27</v>
      </c>
    </row>
    <row r="184" spans="1:22" hidden="1" outlineLevel="2" x14ac:dyDescent="0.25">
      <c r="A184" t="s">
        <v>51</v>
      </c>
      <c r="B184">
        <v>3</v>
      </c>
      <c r="C184" t="s">
        <v>52</v>
      </c>
      <c r="D184" t="s">
        <v>53</v>
      </c>
      <c r="E184" t="s">
        <v>54</v>
      </c>
      <c r="F184">
        <v>70</v>
      </c>
      <c r="G184">
        <v>1000</v>
      </c>
      <c r="H184">
        <v>-2</v>
      </c>
      <c r="I184">
        <v>1981</v>
      </c>
      <c r="J184" t="s">
        <v>62</v>
      </c>
      <c r="K184">
        <v>2431</v>
      </c>
      <c r="L184">
        <v>17.600000000000001</v>
      </c>
      <c r="M184">
        <v>12.4</v>
      </c>
      <c r="N184" s="7">
        <f t="shared" si="10"/>
        <v>2.4316160000000007E-2</v>
      </c>
      <c r="O184" s="7">
        <f t="shared" si="11"/>
        <v>0.30152038400000009</v>
      </c>
      <c r="P184">
        <v>100</v>
      </c>
      <c r="Q184">
        <v>3.5</v>
      </c>
      <c r="R184">
        <v>3.3</v>
      </c>
      <c r="S184">
        <v>3</v>
      </c>
      <c r="T184">
        <v>3</v>
      </c>
      <c r="U184">
        <v>2</v>
      </c>
      <c r="V184" t="s">
        <v>25</v>
      </c>
    </row>
    <row r="185" spans="1:22" hidden="1" outlineLevel="2" x14ac:dyDescent="0.25">
      <c r="A185" t="s">
        <v>51</v>
      </c>
      <c r="B185">
        <v>3</v>
      </c>
      <c r="C185" t="s">
        <v>52</v>
      </c>
      <c r="D185" t="s">
        <v>53</v>
      </c>
      <c r="E185" t="s">
        <v>54</v>
      </c>
      <c r="F185">
        <v>70</v>
      </c>
      <c r="G185">
        <v>1000</v>
      </c>
      <c r="H185">
        <v>-2</v>
      </c>
      <c r="I185">
        <v>1981</v>
      </c>
      <c r="J185" t="s">
        <v>64</v>
      </c>
      <c r="K185">
        <v>1192</v>
      </c>
      <c r="L185">
        <v>12.2</v>
      </c>
      <c r="M185">
        <v>4.4000000000000004</v>
      </c>
      <c r="N185" s="7">
        <f t="shared" si="10"/>
        <v>1.168394E-2</v>
      </c>
      <c r="O185" s="7">
        <f t="shared" si="11"/>
        <v>5.1409336000000007E-2</v>
      </c>
      <c r="P185">
        <v>75</v>
      </c>
      <c r="Q185">
        <v>3</v>
      </c>
      <c r="R185">
        <v>2</v>
      </c>
      <c r="S185">
        <v>3</v>
      </c>
      <c r="T185">
        <v>2.5</v>
      </c>
      <c r="U185">
        <v>2.5</v>
      </c>
      <c r="V185" t="s">
        <v>30</v>
      </c>
    </row>
    <row r="186" spans="1:22" hidden="1" outlineLevel="2" x14ac:dyDescent="0.25">
      <c r="A186" t="s">
        <v>51</v>
      </c>
      <c r="B186">
        <v>3</v>
      </c>
      <c r="C186" t="s">
        <v>52</v>
      </c>
      <c r="D186" t="s">
        <v>53</v>
      </c>
      <c r="E186" t="s">
        <v>54</v>
      </c>
      <c r="F186">
        <v>70</v>
      </c>
      <c r="G186">
        <v>1000</v>
      </c>
      <c r="H186">
        <v>-2</v>
      </c>
      <c r="I186">
        <v>1981</v>
      </c>
      <c r="J186" t="s">
        <v>37</v>
      </c>
      <c r="K186">
        <v>1524</v>
      </c>
      <c r="L186">
        <v>9</v>
      </c>
      <c r="M186">
        <v>6.8</v>
      </c>
      <c r="N186" s="7">
        <f t="shared" si="10"/>
        <v>6.3584999999999996E-3</v>
      </c>
      <c r="O186" s="7">
        <f t="shared" si="11"/>
        <v>4.3237799999999993E-2</v>
      </c>
      <c r="P186">
        <v>100</v>
      </c>
      <c r="Q186">
        <v>2</v>
      </c>
      <c r="R186">
        <v>1.5</v>
      </c>
      <c r="S186">
        <v>2</v>
      </c>
      <c r="T186">
        <v>4</v>
      </c>
      <c r="U186">
        <v>3.5</v>
      </c>
      <c r="V186" t="s">
        <v>50</v>
      </c>
    </row>
    <row r="187" spans="1:22" hidden="1" outlineLevel="2" x14ac:dyDescent="0.25">
      <c r="A187" t="s">
        <v>51</v>
      </c>
      <c r="B187">
        <v>3</v>
      </c>
      <c r="C187" t="s">
        <v>52</v>
      </c>
      <c r="D187" t="s">
        <v>53</v>
      </c>
      <c r="E187" t="s">
        <v>54</v>
      </c>
      <c r="F187">
        <v>70</v>
      </c>
      <c r="G187">
        <v>1000</v>
      </c>
      <c r="H187">
        <v>-2</v>
      </c>
      <c r="I187">
        <v>1981</v>
      </c>
      <c r="J187" t="s">
        <v>39</v>
      </c>
      <c r="K187">
        <v>2435</v>
      </c>
      <c r="L187">
        <v>20.3</v>
      </c>
      <c r="M187">
        <v>13.6</v>
      </c>
      <c r="N187" s="7">
        <f t="shared" si="10"/>
        <v>3.2349065000000003E-2</v>
      </c>
      <c r="O187" s="7">
        <f t="shared" si="11"/>
        <v>0.43994728400000005</v>
      </c>
      <c r="P187">
        <v>63</v>
      </c>
      <c r="Q187">
        <v>4</v>
      </c>
      <c r="R187">
        <v>2.7</v>
      </c>
      <c r="S187">
        <v>3</v>
      </c>
      <c r="T187">
        <v>2.5</v>
      </c>
      <c r="U187">
        <v>2</v>
      </c>
      <c r="V187" t="s">
        <v>25</v>
      </c>
    </row>
    <row r="188" spans="1:22" hidden="1" outlineLevel="2" x14ac:dyDescent="0.25">
      <c r="A188" t="s">
        <v>51</v>
      </c>
      <c r="B188">
        <v>3</v>
      </c>
      <c r="C188" t="s">
        <v>52</v>
      </c>
      <c r="D188" t="s">
        <v>53</v>
      </c>
      <c r="E188" t="s">
        <v>54</v>
      </c>
      <c r="F188">
        <v>70</v>
      </c>
      <c r="G188">
        <v>1000</v>
      </c>
      <c r="H188">
        <v>-2</v>
      </c>
      <c r="I188">
        <v>1981</v>
      </c>
      <c r="J188" t="s">
        <v>63</v>
      </c>
      <c r="K188">
        <v>1340</v>
      </c>
      <c r="L188">
        <v>8.8000000000000007</v>
      </c>
      <c r="M188">
        <v>6.3</v>
      </c>
      <c r="N188" s="7">
        <f t="shared" si="10"/>
        <v>6.0790400000000017E-3</v>
      </c>
      <c r="O188" s="7">
        <f t="shared" si="11"/>
        <v>3.829795200000001E-2</v>
      </c>
      <c r="P188">
        <v>100</v>
      </c>
      <c r="Q188">
        <v>2</v>
      </c>
      <c r="R188">
        <v>2</v>
      </c>
      <c r="S188">
        <v>1</v>
      </c>
      <c r="T188">
        <v>2</v>
      </c>
      <c r="U188">
        <v>2</v>
      </c>
      <c r="V188" t="s">
        <v>50</v>
      </c>
    </row>
    <row r="189" spans="1:22" hidden="1" outlineLevel="2" x14ac:dyDescent="0.25">
      <c r="A189" t="s">
        <v>70</v>
      </c>
      <c r="B189">
        <v>1</v>
      </c>
      <c r="C189" t="s">
        <v>71</v>
      </c>
      <c r="D189" t="s">
        <v>72</v>
      </c>
      <c r="E189" t="s">
        <v>73</v>
      </c>
      <c r="F189">
        <v>160</v>
      </c>
      <c r="G189">
        <v>1000</v>
      </c>
      <c r="H189">
        <v>-3</v>
      </c>
      <c r="I189">
        <v>1981</v>
      </c>
      <c r="J189" t="s">
        <v>55</v>
      </c>
      <c r="K189">
        <v>1094</v>
      </c>
      <c r="L189">
        <v>12</v>
      </c>
      <c r="M189">
        <v>10.3</v>
      </c>
      <c r="N189" s="7">
        <f t="shared" si="10"/>
        <v>1.1304E-2</v>
      </c>
      <c r="O189" s="7">
        <f t="shared" si="11"/>
        <v>0.11643120000000001</v>
      </c>
      <c r="P189">
        <v>38</v>
      </c>
      <c r="Q189">
        <v>2.8</v>
      </c>
      <c r="R189">
        <v>3.2</v>
      </c>
      <c r="S189">
        <v>2.8</v>
      </c>
      <c r="T189">
        <v>3.2</v>
      </c>
      <c r="U189">
        <v>3</v>
      </c>
      <c r="V189" t="s">
        <v>30</v>
      </c>
    </row>
    <row r="190" spans="1:22" hidden="1" outlineLevel="2" x14ac:dyDescent="0.25">
      <c r="A190" t="s">
        <v>70</v>
      </c>
      <c r="B190">
        <v>1</v>
      </c>
      <c r="C190" t="s">
        <v>71</v>
      </c>
      <c r="D190" t="s">
        <v>72</v>
      </c>
      <c r="E190" t="s">
        <v>73</v>
      </c>
      <c r="F190">
        <v>160</v>
      </c>
      <c r="G190">
        <v>1000</v>
      </c>
      <c r="H190">
        <v>-3</v>
      </c>
      <c r="I190">
        <v>1981</v>
      </c>
      <c r="J190" t="s">
        <v>56</v>
      </c>
      <c r="K190">
        <v>1111</v>
      </c>
      <c r="L190">
        <v>15</v>
      </c>
      <c r="M190">
        <v>8.4</v>
      </c>
      <c r="N190" s="7">
        <f t="shared" si="10"/>
        <v>1.7662500000000001E-2</v>
      </c>
      <c r="O190" s="7">
        <f t="shared" si="11"/>
        <v>0.14836500000000002</v>
      </c>
      <c r="P190">
        <v>88</v>
      </c>
      <c r="Q190">
        <v>3</v>
      </c>
      <c r="R190">
        <v>3</v>
      </c>
      <c r="S190">
        <v>3</v>
      </c>
      <c r="T190">
        <v>3</v>
      </c>
      <c r="U190">
        <v>2</v>
      </c>
      <c r="V190" t="s">
        <v>38</v>
      </c>
    </row>
    <row r="191" spans="1:22" hidden="1" outlineLevel="2" x14ac:dyDescent="0.25">
      <c r="A191" t="s">
        <v>70</v>
      </c>
      <c r="B191">
        <v>1</v>
      </c>
      <c r="C191" t="s">
        <v>71</v>
      </c>
      <c r="D191" t="s">
        <v>72</v>
      </c>
      <c r="E191" t="s">
        <v>73</v>
      </c>
      <c r="F191">
        <v>160</v>
      </c>
      <c r="G191">
        <v>1000</v>
      </c>
      <c r="H191">
        <v>-3</v>
      </c>
      <c r="I191">
        <v>1981</v>
      </c>
      <c r="J191" t="s">
        <v>57</v>
      </c>
      <c r="K191">
        <v>1112</v>
      </c>
      <c r="L191">
        <v>13</v>
      </c>
      <c r="M191">
        <v>11.1</v>
      </c>
      <c r="N191" s="7">
        <f t="shared" si="10"/>
        <v>1.3266500000000002E-2</v>
      </c>
      <c r="O191" s="7">
        <f t="shared" si="11"/>
        <v>0.14725815000000003</v>
      </c>
      <c r="P191">
        <v>100</v>
      </c>
      <c r="Q191">
        <v>3</v>
      </c>
      <c r="R191">
        <v>2</v>
      </c>
      <c r="S191">
        <v>3.5</v>
      </c>
      <c r="T191">
        <v>3</v>
      </c>
      <c r="U191">
        <v>3</v>
      </c>
      <c r="V191" t="s">
        <v>38</v>
      </c>
    </row>
    <row r="192" spans="1:22" hidden="1" outlineLevel="2" x14ac:dyDescent="0.25">
      <c r="A192" t="s">
        <v>70</v>
      </c>
      <c r="B192">
        <v>1</v>
      </c>
      <c r="C192" t="s">
        <v>71</v>
      </c>
      <c r="D192" t="s">
        <v>72</v>
      </c>
      <c r="E192" t="s">
        <v>73</v>
      </c>
      <c r="F192">
        <v>160</v>
      </c>
      <c r="G192">
        <v>1000</v>
      </c>
      <c r="H192">
        <v>-3</v>
      </c>
      <c r="I192">
        <v>1981</v>
      </c>
      <c r="J192" t="s">
        <v>57</v>
      </c>
      <c r="K192">
        <v>1113</v>
      </c>
      <c r="L192">
        <v>8.6</v>
      </c>
      <c r="M192">
        <v>9.5</v>
      </c>
      <c r="N192" s="7">
        <f t="shared" si="10"/>
        <v>5.8058599999999995E-3</v>
      </c>
      <c r="O192" s="7">
        <f t="shared" si="11"/>
        <v>5.5155669999999997E-2</v>
      </c>
      <c r="P192">
        <v>100</v>
      </c>
      <c r="Q192">
        <v>2</v>
      </c>
      <c r="R192">
        <v>1.5</v>
      </c>
      <c r="S192">
        <v>4</v>
      </c>
      <c r="T192">
        <v>4</v>
      </c>
      <c r="U192">
        <v>4</v>
      </c>
      <c r="V192" t="s">
        <v>30</v>
      </c>
    </row>
    <row r="193" spans="1:22" hidden="1" outlineLevel="2" x14ac:dyDescent="0.25">
      <c r="A193" t="s">
        <v>70</v>
      </c>
      <c r="B193">
        <v>1</v>
      </c>
      <c r="C193" t="s">
        <v>71</v>
      </c>
      <c r="D193" t="s">
        <v>72</v>
      </c>
      <c r="E193" t="s">
        <v>73</v>
      </c>
      <c r="F193">
        <v>160</v>
      </c>
      <c r="G193">
        <v>1000</v>
      </c>
      <c r="H193">
        <v>-3</v>
      </c>
      <c r="I193">
        <v>1981</v>
      </c>
      <c r="J193" t="s">
        <v>58</v>
      </c>
      <c r="K193">
        <v>1338</v>
      </c>
      <c r="L193">
        <v>8.1999999999999993</v>
      </c>
      <c r="M193">
        <v>6.6</v>
      </c>
      <c r="N193" s="7">
        <f t="shared" ref="N193:N224" si="12">3.14/4*((L193/100)^2)</f>
        <v>5.2783399999999986E-3</v>
      </c>
      <c r="O193" s="7">
        <f t="shared" ref="O193:O224" si="13">3.14/4*((L193/100)^2)*M193</f>
        <v>3.4837043999999991E-2</v>
      </c>
      <c r="P193">
        <v>63</v>
      </c>
      <c r="Q193">
        <v>4</v>
      </c>
      <c r="R193">
        <v>4</v>
      </c>
      <c r="S193">
        <v>3</v>
      </c>
      <c r="T193">
        <v>3</v>
      </c>
      <c r="U193">
        <v>3</v>
      </c>
      <c r="V193" t="s">
        <v>38</v>
      </c>
    </row>
    <row r="194" spans="1:22" hidden="1" outlineLevel="2" x14ac:dyDescent="0.25">
      <c r="A194" t="s">
        <v>70</v>
      </c>
      <c r="B194">
        <v>1</v>
      </c>
      <c r="C194" t="s">
        <v>71</v>
      </c>
      <c r="D194" t="s">
        <v>72</v>
      </c>
      <c r="E194" t="s">
        <v>73</v>
      </c>
      <c r="F194">
        <v>160</v>
      </c>
      <c r="G194">
        <v>1000</v>
      </c>
      <c r="H194">
        <v>-3</v>
      </c>
      <c r="I194">
        <v>1981</v>
      </c>
      <c r="J194" t="s">
        <v>59</v>
      </c>
      <c r="K194">
        <v>1978</v>
      </c>
      <c r="L194">
        <v>15.7</v>
      </c>
      <c r="M194">
        <v>10</v>
      </c>
      <c r="N194" s="7">
        <f t="shared" si="12"/>
        <v>1.9349465E-2</v>
      </c>
      <c r="O194" s="7">
        <f t="shared" si="13"/>
        <v>0.19349464999999999</v>
      </c>
      <c r="P194">
        <v>100</v>
      </c>
      <c r="Q194">
        <v>4</v>
      </c>
      <c r="R194">
        <v>3</v>
      </c>
      <c r="S194">
        <v>2.5</v>
      </c>
      <c r="T194">
        <v>2.5</v>
      </c>
      <c r="U194">
        <v>2.5</v>
      </c>
      <c r="V194" t="s">
        <v>25</v>
      </c>
    </row>
    <row r="195" spans="1:22" hidden="1" outlineLevel="2" x14ac:dyDescent="0.25">
      <c r="A195" t="s">
        <v>70</v>
      </c>
      <c r="B195">
        <v>1</v>
      </c>
      <c r="C195" t="s">
        <v>71</v>
      </c>
      <c r="D195" t="s">
        <v>72</v>
      </c>
      <c r="E195" t="s">
        <v>73</v>
      </c>
      <c r="F195">
        <v>160</v>
      </c>
      <c r="G195">
        <v>1000</v>
      </c>
      <c r="H195">
        <v>-3</v>
      </c>
      <c r="I195">
        <v>1981</v>
      </c>
      <c r="J195" t="s">
        <v>59</v>
      </c>
      <c r="K195">
        <v>1482</v>
      </c>
      <c r="L195">
        <v>15.9</v>
      </c>
      <c r="M195">
        <v>8.8000000000000007</v>
      </c>
      <c r="N195" s="7">
        <f t="shared" si="12"/>
        <v>1.9845585000000002E-2</v>
      </c>
      <c r="O195" s="7">
        <f t="shared" si="13"/>
        <v>0.17464114800000002</v>
      </c>
      <c r="P195">
        <v>75</v>
      </c>
      <c r="Q195">
        <v>4</v>
      </c>
      <c r="R195">
        <v>3</v>
      </c>
      <c r="S195">
        <v>3</v>
      </c>
      <c r="T195">
        <v>2</v>
      </c>
      <c r="U195">
        <v>2.5</v>
      </c>
      <c r="V195" t="s">
        <v>25</v>
      </c>
    </row>
    <row r="196" spans="1:22" hidden="1" outlineLevel="2" x14ac:dyDescent="0.25">
      <c r="A196" t="s">
        <v>70</v>
      </c>
      <c r="B196">
        <v>1</v>
      </c>
      <c r="C196" t="s">
        <v>71</v>
      </c>
      <c r="D196" t="s">
        <v>72</v>
      </c>
      <c r="E196" t="s">
        <v>73</v>
      </c>
      <c r="F196">
        <v>160</v>
      </c>
      <c r="G196">
        <v>1000</v>
      </c>
      <c r="H196">
        <v>-3</v>
      </c>
      <c r="I196">
        <v>1981</v>
      </c>
      <c r="J196" t="s">
        <v>26</v>
      </c>
      <c r="K196">
        <v>1339</v>
      </c>
      <c r="L196">
        <v>13.7</v>
      </c>
      <c r="M196">
        <v>9.9</v>
      </c>
      <c r="N196" s="7">
        <f t="shared" si="12"/>
        <v>1.4733664999999996E-2</v>
      </c>
      <c r="O196" s="7">
        <f t="shared" si="13"/>
        <v>0.14586328349999997</v>
      </c>
      <c r="P196">
        <v>88</v>
      </c>
      <c r="Q196">
        <v>4</v>
      </c>
      <c r="R196">
        <v>3</v>
      </c>
      <c r="S196">
        <v>2.5</v>
      </c>
      <c r="T196">
        <v>2.5</v>
      </c>
      <c r="U196">
        <v>2.5</v>
      </c>
      <c r="V196" t="s">
        <v>38</v>
      </c>
    </row>
    <row r="197" spans="1:22" hidden="1" outlineLevel="2" x14ac:dyDescent="0.25">
      <c r="A197" t="s">
        <v>70</v>
      </c>
      <c r="B197">
        <v>1</v>
      </c>
      <c r="C197" t="s">
        <v>71</v>
      </c>
      <c r="D197" t="s">
        <v>72</v>
      </c>
      <c r="E197" t="s">
        <v>73</v>
      </c>
      <c r="F197">
        <v>160</v>
      </c>
      <c r="G197">
        <v>1000</v>
      </c>
      <c r="H197">
        <v>-3</v>
      </c>
      <c r="I197">
        <v>1981</v>
      </c>
      <c r="J197" t="s">
        <v>26</v>
      </c>
      <c r="K197">
        <v>2447</v>
      </c>
      <c r="L197">
        <v>11.2</v>
      </c>
      <c r="M197">
        <v>9.1</v>
      </c>
      <c r="N197" s="7">
        <f t="shared" si="12"/>
        <v>9.8470399999999979E-3</v>
      </c>
      <c r="O197" s="7">
        <f t="shared" si="13"/>
        <v>8.9608063999999973E-2</v>
      </c>
      <c r="P197">
        <v>88</v>
      </c>
      <c r="Q197">
        <v>4</v>
      </c>
      <c r="R197">
        <v>3.5</v>
      </c>
      <c r="S197">
        <v>3</v>
      </c>
      <c r="T197">
        <v>3.5</v>
      </c>
      <c r="U197">
        <v>3</v>
      </c>
      <c r="V197" t="s">
        <v>25</v>
      </c>
    </row>
    <row r="198" spans="1:22" hidden="1" outlineLevel="2" x14ac:dyDescent="0.25">
      <c r="A198" t="s">
        <v>70</v>
      </c>
      <c r="B198">
        <v>1</v>
      </c>
      <c r="C198" t="s">
        <v>71</v>
      </c>
      <c r="D198" t="s">
        <v>72</v>
      </c>
      <c r="E198" t="s">
        <v>73</v>
      </c>
      <c r="F198">
        <v>160</v>
      </c>
      <c r="G198">
        <v>1000</v>
      </c>
      <c r="H198">
        <v>-3</v>
      </c>
      <c r="I198">
        <v>1981</v>
      </c>
      <c r="J198" t="s">
        <v>26</v>
      </c>
      <c r="K198">
        <v>1786</v>
      </c>
      <c r="L198">
        <v>18.899999999999999</v>
      </c>
      <c r="M198">
        <v>11.8</v>
      </c>
      <c r="N198" s="7">
        <f t="shared" si="12"/>
        <v>2.8040984999999994E-2</v>
      </c>
      <c r="O198" s="7">
        <f t="shared" si="13"/>
        <v>0.33088362299999996</v>
      </c>
      <c r="P198">
        <v>75</v>
      </c>
      <c r="Q198">
        <v>5</v>
      </c>
      <c r="R198">
        <v>3</v>
      </c>
      <c r="S198">
        <v>2.5</v>
      </c>
      <c r="T198">
        <v>2.5</v>
      </c>
      <c r="U198">
        <v>2</v>
      </c>
      <c r="V198" t="s">
        <v>38</v>
      </c>
    </row>
    <row r="199" spans="1:22" hidden="1" outlineLevel="2" x14ac:dyDescent="0.25">
      <c r="A199" t="s">
        <v>70</v>
      </c>
      <c r="B199">
        <v>1</v>
      </c>
      <c r="C199" t="s">
        <v>71</v>
      </c>
      <c r="D199" t="s">
        <v>72</v>
      </c>
      <c r="E199" t="s">
        <v>73</v>
      </c>
      <c r="F199">
        <v>160</v>
      </c>
      <c r="G199">
        <v>1000</v>
      </c>
      <c r="H199">
        <v>-3</v>
      </c>
      <c r="I199">
        <v>1981</v>
      </c>
      <c r="J199" t="s">
        <v>32</v>
      </c>
      <c r="K199">
        <v>1596</v>
      </c>
      <c r="L199">
        <v>11.6</v>
      </c>
      <c r="M199">
        <v>8.9</v>
      </c>
      <c r="N199" s="7">
        <f t="shared" si="12"/>
        <v>1.0562959999999998E-2</v>
      </c>
      <c r="O199" s="7">
        <f t="shared" si="13"/>
        <v>9.4010343999999982E-2</v>
      </c>
      <c r="P199">
        <v>100</v>
      </c>
      <c r="Q199">
        <v>4</v>
      </c>
      <c r="R199">
        <v>3</v>
      </c>
      <c r="S199">
        <v>4</v>
      </c>
      <c r="T199">
        <v>4</v>
      </c>
      <c r="U199">
        <v>4</v>
      </c>
      <c r="V199" t="s">
        <v>27</v>
      </c>
    </row>
    <row r="200" spans="1:22" hidden="1" outlineLevel="2" x14ac:dyDescent="0.25">
      <c r="A200" t="s">
        <v>70</v>
      </c>
      <c r="B200">
        <v>1</v>
      </c>
      <c r="C200" t="s">
        <v>71</v>
      </c>
      <c r="D200" t="s">
        <v>72</v>
      </c>
      <c r="E200" t="s">
        <v>73</v>
      </c>
      <c r="F200">
        <v>160</v>
      </c>
      <c r="G200">
        <v>1000</v>
      </c>
      <c r="H200">
        <v>-3</v>
      </c>
      <c r="I200">
        <v>1981</v>
      </c>
      <c r="J200" t="s">
        <v>61</v>
      </c>
      <c r="K200">
        <v>1171</v>
      </c>
      <c r="L200">
        <v>8.6</v>
      </c>
      <c r="M200">
        <v>8.9</v>
      </c>
      <c r="N200" s="7">
        <f t="shared" si="12"/>
        <v>5.8058599999999995E-3</v>
      </c>
      <c r="O200" s="7">
        <f t="shared" si="13"/>
        <v>5.1672153999999998E-2</v>
      </c>
      <c r="P200">
        <v>100</v>
      </c>
      <c r="Q200">
        <v>3</v>
      </c>
      <c r="R200">
        <v>2.5</v>
      </c>
      <c r="S200">
        <v>2.8</v>
      </c>
      <c r="T200">
        <v>3</v>
      </c>
      <c r="U200">
        <v>2.8</v>
      </c>
      <c r="V200" t="s">
        <v>30</v>
      </c>
    </row>
    <row r="201" spans="1:22" hidden="1" outlineLevel="2" x14ac:dyDescent="0.25">
      <c r="A201" t="s">
        <v>70</v>
      </c>
      <c r="B201">
        <v>1</v>
      </c>
      <c r="C201" t="s">
        <v>71</v>
      </c>
      <c r="D201" t="s">
        <v>72</v>
      </c>
      <c r="E201" t="s">
        <v>73</v>
      </c>
      <c r="F201">
        <v>160</v>
      </c>
      <c r="G201">
        <v>1000</v>
      </c>
      <c r="H201">
        <v>-3</v>
      </c>
      <c r="I201">
        <v>1981</v>
      </c>
      <c r="J201" t="s">
        <v>34</v>
      </c>
      <c r="K201">
        <v>2469</v>
      </c>
      <c r="L201">
        <v>13.4</v>
      </c>
      <c r="M201">
        <v>12.3</v>
      </c>
      <c r="N201" s="7">
        <f t="shared" si="12"/>
        <v>1.4095460000000002E-2</v>
      </c>
      <c r="O201" s="7">
        <f t="shared" si="13"/>
        <v>0.17337415800000003</v>
      </c>
      <c r="P201">
        <v>88</v>
      </c>
      <c r="Q201">
        <v>4</v>
      </c>
      <c r="R201">
        <v>3</v>
      </c>
      <c r="S201">
        <v>3.5</v>
      </c>
      <c r="T201">
        <v>3</v>
      </c>
      <c r="U201">
        <v>2.5</v>
      </c>
      <c r="V201" t="s">
        <v>27</v>
      </c>
    </row>
    <row r="202" spans="1:22" hidden="1" outlineLevel="2" x14ac:dyDescent="0.25">
      <c r="A202" t="s">
        <v>70</v>
      </c>
      <c r="B202">
        <v>1</v>
      </c>
      <c r="C202" t="s">
        <v>71</v>
      </c>
      <c r="D202" t="s">
        <v>72</v>
      </c>
      <c r="E202" t="s">
        <v>73</v>
      </c>
      <c r="F202">
        <v>160</v>
      </c>
      <c r="G202">
        <v>1000</v>
      </c>
      <c r="H202">
        <v>-3</v>
      </c>
      <c r="I202">
        <v>1981</v>
      </c>
      <c r="J202" t="s">
        <v>34</v>
      </c>
      <c r="K202">
        <v>1337</v>
      </c>
      <c r="L202">
        <v>19.600000000000001</v>
      </c>
      <c r="M202">
        <v>11.8</v>
      </c>
      <c r="N202" s="7">
        <f t="shared" si="12"/>
        <v>3.0156560000000006E-2</v>
      </c>
      <c r="O202" s="7">
        <f t="shared" si="13"/>
        <v>0.35584740800000009</v>
      </c>
      <c r="P202">
        <v>63</v>
      </c>
      <c r="Q202">
        <v>5</v>
      </c>
      <c r="R202">
        <v>3</v>
      </c>
      <c r="S202">
        <v>3.5</v>
      </c>
      <c r="T202">
        <v>3</v>
      </c>
      <c r="U202">
        <v>2</v>
      </c>
      <c r="V202" t="s">
        <v>27</v>
      </c>
    </row>
    <row r="203" spans="1:22" hidden="1" outlineLevel="2" x14ac:dyDescent="0.25">
      <c r="A203" t="s">
        <v>70</v>
      </c>
      <c r="B203">
        <v>1</v>
      </c>
      <c r="C203" t="s">
        <v>71</v>
      </c>
      <c r="D203" t="s">
        <v>72</v>
      </c>
      <c r="E203" t="s">
        <v>73</v>
      </c>
      <c r="F203">
        <v>160</v>
      </c>
      <c r="G203">
        <v>1000</v>
      </c>
      <c r="H203">
        <v>-3</v>
      </c>
      <c r="I203">
        <v>1981</v>
      </c>
      <c r="J203" t="s">
        <v>35</v>
      </c>
      <c r="K203">
        <v>1785</v>
      </c>
      <c r="L203">
        <v>11.1</v>
      </c>
      <c r="M203">
        <v>8.6999999999999993</v>
      </c>
      <c r="N203" s="7">
        <f t="shared" si="12"/>
        <v>9.671985000000001E-3</v>
      </c>
      <c r="O203" s="7">
        <f t="shared" si="13"/>
        <v>8.4146269499999996E-2</v>
      </c>
      <c r="P203">
        <v>88</v>
      </c>
      <c r="Q203">
        <v>3</v>
      </c>
      <c r="R203">
        <v>2</v>
      </c>
      <c r="S203">
        <v>3</v>
      </c>
      <c r="T203">
        <v>4</v>
      </c>
      <c r="U203">
        <v>4</v>
      </c>
      <c r="V203" t="s">
        <v>25</v>
      </c>
    </row>
    <row r="204" spans="1:22" hidden="1" outlineLevel="2" x14ac:dyDescent="0.25">
      <c r="A204" t="s">
        <v>70</v>
      </c>
      <c r="B204">
        <v>1</v>
      </c>
      <c r="C204" t="s">
        <v>71</v>
      </c>
      <c r="D204" t="s">
        <v>72</v>
      </c>
      <c r="E204" t="s">
        <v>73</v>
      </c>
      <c r="F204">
        <v>160</v>
      </c>
      <c r="G204">
        <v>1000</v>
      </c>
      <c r="H204">
        <v>-3</v>
      </c>
      <c r="I204">
        <v>1981</v>
      </c>
      <c r="J204" t="s">
        <v>36</v>
      </c>
      <c r="K204">
        <v>1598</v>
      </c>
      <c r="L204">
        <v>10.8</v>
      </c>
      <c r="M204">
        <v>10</v>
      </c>
      <c r="N204" s="7">
        <f t="shared" si="12"/>
        <v>9.156240000000003E-3</v>
      </c>
      <c r="O204" s="7">
        <f t="shared" si="13"/>
        <v>9.156240000000003E-2</v>
      </c>
      <c r="P204">
        <v>75</v>
      </c>
      <c r="Q204">
        <v>3</v>
      </c>
      <c r="R204">
        <v>4</v>
      </c>
      <c r="S204">
        <v>3</v>
      </c>
      <c r="T204">
        <v>4</v>
      </c>
      <c r="U204">
        <v>3</v>
      </c>
      <c r="V204" t="s">
        <v>25</v>
      </c>
    </row>
    <row r="205" spans="1:22" hidden="1" outlineLevel="2" x14ac:dyDescent="0.25">
      <c r="A205" t="s">
        <v>70</v>
      </c>
      <c r="B205">
        <v>1</v>
      </c>
      <c r="C205" t="s">
        <v>71</v>
      </c>
      <c r="D205" t="s">
        <v>72</v>
      </c>
      <c r="E205" t="s">
        <v>73</v>
      </c>
      <c r="F205">
        <v>160</v>
      </c>
      <c r="G205">
        <v>1000</v>
      </c>
      <c r="H205">
        <v>-3</v>
      </c>
      <c r="I205">
        <v>1981</v>
      </c>
      <c r="J205" t="s">
        <v>62</v>
      </c>
      <c r="K205">
        <v>2428</v>
      </c>
      <c r="L205">
        <v>11.2</v>
      </c>
      <c r="M205">
        <v>12.2</v>
      </c>
      <c r="N205" s="7">
        <f t="shared" si="12"/>
        <v>9.8470399999999979E-3</v>
      </c>
      <c r="O205" s="7">
        <f t="shared" si="13"/>
        <v>0.12013388799999997</v>
      </c>
      <c r="P205">
        <v>75</v>
      </c>
      <c r="Q205">
        <v>5</v>
      </c>
      <c r="R205">
        <v>3</v>
      </c>
      <c r="S205">
        <v>4</v>
      </c>
      <c r="T205">
        <v>3.5</v>
      </c>
      <c r="U205">
        <v>3.5</v>
      </c>
      <c r="V205" t="s">
        <v>25</v>
      </c>
    </row>
    <row r="206" spans="1:22" hidden="1" outlineLevel="2" x14ac:dyDescent="0.25">
      <c r="A206" t="s">
        <v>70</v>
      </c>
      <c r="B206">
        <v>1</v>
      </c>
      <c r="C206" t="s">
        <v>71</v>
      </c>
      <c r="D206" t="s">
        <v>72</v>
      </c>
      <c r="E206" t="s">
        <v>73</v>
      </c>
      <c r="F206">
        <v>160</v>
      </c>
      <c r="G206">
        <v>1000</v>
      </c>
      <c r="H206">
        <v>-3</v>
      </c>
      <c r="I206">
        <v>1981</v>
      </c>
      <c r="J206" t="s">
        <v>62</v>
      </c>
      <c r="K206">
        <v>2430</v>
      </c>
      <c r="L206">
        <v>14</v>
      </c>
      <c r="M206">
        <v>13</v>
      </c>
      <c r="N206" s="7">
        <f t="shared" si="12"/>
        <v>1.5386000000000002E-2</v>
      </c>
      <c r="O206" s="7">
        <f t="shared" si="13"/>
        <v>0.20001800000000003</v>
      </c>
      <c r="P206">
        <v>63</v>
      </c>
      <c r="Q206">
        <v>5</v>
      </c>
      <c r="R206">
        <v>3</v>
      </c>
      <c r="S206">
        <v>3</v>
      </c>
      <c r="T206">
        <v>2</v>
      </c>
      <c r="U206">
        <v>2.5</v>
      </c>
      <c r="V206" t="s">
        <v>25</v>
      </c>
    </row>
    <row r="207" spans="1:22" hidden="1" outlineLevel="2" x14ac:dyDescent="0.25">
      <c r="A207" t="s">
        <v>70</v>
      </c>
      <c r="B207">
        <v>1</v>
      </c>
      <c r="C207" t="s">
        <v>71</v>
      </c>
      <c r="D207" t="s">
        <v>72</v>
      </c>
      <c r="E207" t="s">
        <v>73</v>
      </c>
      <c r="F207">
        <v>160</v>
      </c>
      <c r="G207">
        <v>1000</v>
      </c>
      <c r="H207">
        <v>-3</v>
      </c>
      <c r="I207">
        <v>1981</v>
      </c>
      <c r="J207" t="s">
        <v>62</v>
      </c>
      <c r="K207">
        <v>2431</v>
      </c>
      <c r="L207">
        <v>9</v>
      </c>
      <c r="M207">
        <v>9.6</v>
      </c>
      <c r="N207" s="7">
        <f t="shared" si="12"/>
        <v>6.3584999999999996E-3</v>
      </c>
      <c r="O207" s="7">
        <f t="shared" si="13"/>
        <v>6.1041599999999994E-2</v>
      </c>
      <c r="P207">
        <v>75</v>
      </c>
      <c r="Q207">
        <v>4</v>
      </c>
      <c r="R207">
        <v>3</v>
      </c>
      <c r="S207">
        <v>4</v>
      </c>
      <c r="T207">
        <v>3</v>
      </c>
      <c r="U207">
        <v>2.5</v>
      </c>
      <c r="V207" t="s">
        <v>25</v>
      </c>
    </row>
    <row r="208" spans="1:22" hidden="1" outlineLevel="2" x14ac:dyDescent="0.25">
      <c r="A208" t="s">
        <v>70</v>
      </c>
      <c r="B208">
        <v>1</v>
      </c>
      <c r="C208" t="s">
        <v>71</v>
      </c>
      <c r="D208" t="s">
        <v>72</v>
      </c>
      <c r="E208" t="s">
        <v>73</v>
      </c>
      <c r="F208">
        <v>160</v>
      </c>
      <c r="G208">
        <v>1000</v>
      </c>
      <c r="H208">
        <v>-3</v>
      </c>
      <c r="I208">
        <v>1981</v>
      </c>
      <c r="J208" t="s">
        <v>62</v>
      </c>
      <c r="K208">
        <v>1787</v>
      </c>
      <c r="L208">
        <v>14.4</v>
      </c>
      <c r="M208">
        <v>12.9</v>
      </c>
      <c r="N208" s="7">
        <f t="shared" si="12"/>
        <v>1.6277760000000006E-2</v>
      </c>
      <c r="O208" s="7">
        <f t="shared" si="13"/>
        <v>0.20998310400000009</v>
      </c>
      <c r="P208">
        <v>88</v>
      </c>
      <c r="Q208">
        <v>5</v>
      </c>
      <c r="R208">
        <v>3</v>
      </c>
      <c r="S208">
        <v>3</v>
      </c>
      <c r="T208">
        <v>3</v>
      </c>
      <c r="U208">
        <v>2.5</v>
      </c>
      <c r="V208" t="s">
        <v>25</v>
      </c>
    </row>
    <row r="209" spans="1:22" hidden="1" outlineLevel="2" x14ac:dyDescent="0.25">
      <c r="A209" t="s">
        <v>70</v>
      </c>
      <c r="B209">
        <v>1</v>
      </c>
      <c r="C209" t="s">
        <v>71</v>
      </c>
      <c r="D209" t="s">
        <v>72</v>
      </c>
      <c r="E209" t="s">
        <v>73</v>
      </c>
      <c r="F209">
        <v>160</v>
      </c>
      <c r="G209">
        <v>1000</v>
      </c>
      <c r="H209">
        <v>-3</v>
      </c>
      <c r="I209">
        <v>1981</v>
      </c>
      <c r="J209" t="s">
        <v>69</v>
      </c>
      <c r="K209">
        <v>1780</v>
      </c>
      <c r="L209">
        <v>8.8000000000000007</v>
      </c>
      <c r="M209">
        <v>5.3</v>
      </c>
      <c r="N209" s="7">
        <f t="shared" si="12"/>
        <v>6.0790400000000017E-3</v>
      </c>
      <c r="O209" s="7">
        <f t="shared" si="13"/>
        <v>3.2218912000000009E-2</v>
      </c>
      <c r="P209">
        <v>63</v>
      </c>
      <c r="Q209">
        <v>3</v>
      </c>
      <c r="R209">
        <v>3</v>
      </c>
      <c r="S209">
        <v>3</v>
      </c>
      <c r="T209">
        <v>4</v>
      </c>
      <c r="U209">
        <v>4</v>
      </c>
      <c r="V209" t="s">
        <v>38</v>
      </c>
    </row>
    <row r="210" spans="1:22" hidden="1" outlineLevel="2" x14ac:dyDescent="0.25">
      <c r="A210" t="s">
        <v>70</v>
      </c>
      <c r="B210">
        <v>1</v>
      </c>
      <c r="C210" t="s">
        <v>71</v>
      </c>
      <c r="D210" t="s">
        <v>72</v>
      </c>
      <c r="E210" t="s">
        <v>73</v>
      </c>
      <c r="F210">
        <v>160</v>
      </c>
      <c r="G210">
        <v>1000</v>
      </c>
      <c r="H210">
        <v>-3</v>
      </c>
      <c r="I210">
        <v>1981</v>
      </c>
      <c r="J210" t="s">
        <v>37</v>
      </c>
      <c r="K210">
        <v>1524</v>
      </c>
      <c r="L210">
        <v>6.5</v>
      </c>
      <c r="M210">
        <v>7</v>
      </c>
      <c r="N210" s="7">
        <f t="shared" si="12"/>
        <v>3.3166250000000006E-3</v>
      </c>
      <c r="O210" s="7">
        <f t="shared" si="13"/>
        <v>2.3216375000000004E-2</v>
      </c>
      <c r="P210">
        <v>50</v>
      </c>
      <c r="Q210">
        <v>2.5</v>
      </c>
      <c r="R210">
        <v>2.5</v>
      </c>
      <c r="S210">
        <v>3</v>
      </c>
      <c r="T210">
        <v>3</v>
      </c>
      <c r="U210">
        <v>3</v>
      </c>
      <c r="V210" t="s">
        <v>30</v>
      </c>
    </row>
    <row r="211" spans="1:22" hidden="1" outlineLevel="2" x14ac:dyDescent="0.25">
      <c r="A211" t="s">
        <v>70</v>
      </c>
      <c r="B211">
        <v>1</v>
      </c>
      <c r="C211" t="s">
        <v>71</v>
      </c>
      <c r="D211" t="s">
        <v>72</v>
      </c>
      <c r="E211" t="s">
        <v>73</v>
      </c>
      <c r="F211">
        <v>160</v>
      </c>
      <c r="G211">
        <v>1000</v>
      </c>
      <c r="H211">
        <v>-3</v>
      </c>
      <c r="I211">
        <v>1981</v>
      </c>
      <c r="J211" t="s">
        <v>63</v>
      </c>
      <c r="K211">
        <v>1340</v>
      </c>
      <c r="L211">
        <v>5.7</v>
      </c>
      <c r="M211">
        <v>5.7</v>
      </c>
      <c r="N211" s="7">
        <f t="shared" si="12"/>
        <v>2.550465E-3</v>
      </c>
      <c r="O211" s="7">
        <f t="shared" si="13"/>
        <v>1.4537650500000001E-2</v>
      </c>
      <c r="P211">
        <v>100</v>
      </c>
      <c r="Q211">
        <v>3</v>
      </c>
      <c r="R211">
        <v>2</v>
      </c>
      <c r="S211">
        <v>3</v>
      </c>
      <c r="T211">
        <v>3</v>
      </c>
      <c r="U211">
        <v>3</v>
      </c>
      <c r="V211" t="s">
        <v>30</v>
      </c>
    </row>
    <row r="212" spans="1:22" hidden="1" outlineLevel="2" x14ac:dyDescent="0.25">
      <c r="A212" t="s">
        <v>70</v>
      </c>
      <c r="B212">
        <v>1</v>
      </c>
      <c r="C212" t="s">
        <v>71</v>
      </c>
      <c r="D212" t="s">
        <v>72</v>
      </c>
      <c r="E212" t="s">
        <v>73</v>
      </c>
      <c r="F212">
        <v>160</v>
      </c>
      <c r="G212">
        <v>1000</v>
      </c>
      <c r="H212">
        <v>-3</v>
      </c>
      <c r="I212">
        <v>1981</v>
      </c>
      <c r="J212" t="s">
        <v>60</v>
      </c>
      <c r="K212">
        <v>1595</v>
      </c>
      <c r="L212">
        <v>8</v>
      </c>
      <c r="M212">
        <v>4.9000000000000004</v>
      </c>
      <c r="N212" s="7">
        <f t="shared" si="12"/>
        <v>5.0240000000000007E-3</v>
      </c>
      <c r="O212" s="7">
        <f t="shared" si="13"/>
        <v>2.4617600000000007E-2</v>
      </c>
      <c r="P212">
        <v>88</v>
      </c>
      <c r="Q212">
        <v>3.5</v>
      </c>
      <c r="R212">
        <v>1.5</v>
      </c>
      <c r="S212">
        <v>4</v>
      </c>
      <c r="T212">
        <v>4</v>
      </c>
      <c r="U212">
        <v>4</v>
      </c>
      <c r="V212" t="s">
        <v>38</v>
      </c>
    </row>
    <row r="213" spans="1:22" hidden="1" outlineLevel="2" x14ac:dyDescent="0.25">
      <c r="A213" t="s">
        <v>70</v>
      </c>
      <c r="B213">
        <v>2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7.3</v>
      </c>
      <c r="M213">
        <v>6.8</v>
      </c>
      <c r="N213" s="7">
        <f t="shared" si="12"/>
        <v>4.1832649999999994E-3</v>
      </c>
      <c r="O213" s="7">
        <f t="shared" si="13"/>
        <v>2.8446201999999993E-2</v>
      </c>
      <c r="P213">
        <v>2.5</v>
      </c>
      <c r="Q213">
        <v>3.5</v>
      </c>
      <c r="R213">
        <v>3.5</v>
      </c>
      <c r="S213">
        <v>3.5</v>
      </c>
      <c r="T213">
        <v>3.5</v>
      </c>
      <c r="U213">
        <v>1.5</v>
      </c>
      <c r="V213" t="s">
        <v>50</v>
      </c>
    </row>
    <row r="214" spans="1:22" hidden="1" outlineLevel="2" x14ac:dyDescent="0.25">
      <c r="A214" t="s">
        <v>70</v>
      </c>
      <c r="B214">
        <v>2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6.9</v>
      </c>
      <c r="M214">
        <v>5.6</v>
      </c>
      <c r="N214" s="7">
        <f t="shared" si="12"/>
        <v>3.7373850000000006E-3</v>
      </c>
      <c r="O214" s="7">
        <f t="shared" si="13"/>
        <v>2.0929356000000003E-2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2</v>
      </c>
      <c r="V214" t="s">
        <v>50</v>
      </c>
    </row>
    <row r="215" spans="1:22" hidden="1" outlineLevel="2" x14ac:dyDescent="0.25">
      <c r="A215" t="s">
        <v>70</v>
      </c>
      <c r="B215">
        <v>2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7.4</v>
      </c>
      <c r="M215">
        <v>6.6</v>
      </c>
      <c r="N215" s="7">
        <f t="shared" si="12"/>
        <v>4.2986600000000019E-3</v>
      </c>
      <c r="O215" s="7">
        <f t="shared" si="13"/>
        <v>2.8371156000000012E-2</v>
      </c>
      <c r="P215">
        <v>3</v>
      </c>
      <c r="Q215">
        <v>2</v>
      </c>
      <c r="R215">
        <v>3</v>
      </c>
      <c r="S215">
        <v>3</v>
      </c>
      <c r="T215">
        <v>3</v>
      </c>
      <c r="U215">
        <v>1</v>
      </c>
      <c r="V215" t="s">
        <v>50</v>
      </c>
    </row>
    <row r="216" spans="1:22" hidden="1" outlineLevel="2" x14ac:dyDescent="0.25">
      <c r="A216" t="s">
        <v>70</v>
      </c>
      <c r="B216">
        <v>2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6.6</v>
      </c>
      <c r="M216">
        <v>5.4</v>
      </c>
      <c r="N216" s="7">
        <f t="shared" si="12"/>
        <v>3.4194600000000005E-3</v>
      </c>
      <c r="O216" s="7">
        <f t="shared" si="13"/>
        <v>1.8465084000000003E-2</v>
      </c>
      <c r="P216">
        <v>3</v>
      </c>
      <c r="Q216">
        <v>2</v>
      </c>
      <c r="R216">
        <v>3</v>
      </c>
      <c r="S216">
        <v>3</v>
      </c>
      <c r="T216">
        <v>3.5</v>
      </c>
      <c r="U216">
        <v>1.5</v>
      </c>
      <c r="V216" t="s">
        <v>50</v>
      </c>
    </row>
    <row r="217" spans="1:22" hidden="1" outlineLevel="2" x14ac:dyDescent="0.25">
      <c r="A217" t="s">
        <v>70</v>
      </c>
      <c r="B217">
        <v>2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7.3</v>
      </c>
      <c r="M217">
        <v>5.6</v>
      </c>
      <c r="N217" s="7">
        <f t="shared" si="12"/>
        <v>4.1832649999999994E-3</v>
      </c>
      <c r="O217" s="7">
        <f t="shared" si="13"/>
        <v>2.3426283999999995E-2</v>
      </c>
      <c r="P217">
        <v>3.5</v>
      </c>
      <c r="Q217">
        <v>3</v>
      </c>
      <c r="R217">
        <v>2.5</v>
      </c>
      <c r="S217">
        <v>2.5</v>
      </c>
      <c r="T217">
        <v>2.5</v>
      </c>
      <c r="U217">
        <v>1.5</v>
      </c>
      <c r="V217" t="s">
        <v>50</v>
      </c>
    </row>
    <row r="218" spans="1:22" hidden="1" outlineLevel="2" x14ac:dyDescent="0.25">
      <c r="A218" t="s">
        <v>70</v>
      </c>
      <c r="B218">
        <v>2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19.600000000000001</v>
      </c>
      <c r="M218">
        <v>10.3</v>
      </c>
      <c r="N218" s="7">
        <f t="shared" si="12"/>
        <v>3.0156560000000006E-2</v>
      </c>
      <c r="O218" s="7">
        <f t="shared" si="13"/>
        <v>0.31061256800000009</v>
      </c>
      <c r="P218">
        <v>3</v>
      </c>
      <c r="Q218">
        <v>3</v>
      </c>
      <c r="R218">
        <v>2.5</v>
      </c>
      <c r="S218">
        <v>2.5</v>
      </c>
      <c r="T218">
        <v>2</v>
      </c>
      <c r="U218">
        <v>2</v>
      </c>
      <c r="V218" t="s">
        <v>50</v>
      </c>
    </row>
    <row r="219" spans="1:22" hidden="1" outlineLevel="2" x14ac:dyDescent="0.25">
      <c r="A219" t="s">
        <v>70</v>
      </c>
      <c r="B219">
        <v>2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15.4</v>
      </c>
      <c r="M219">
        <v>15.8</v>
      </c>
      <c r="N219" s="7">
        <f t="shared" si="12"/>
        <v>1.8617060000000001E-2</v>
      </c>
      <c r="O219" s="7">
        <f t="shared" si="13"/>
        <v>0.29414954800000004</v>
      </c>
      <c r="P219">
        <v>4</v>
      </c>
      <c r="Q219">
        <v>3</v>
      </c>
      <c r="R219">
        <v>3</v>
      </c>
      <c r="S219">
        <v>3</v>
      </c>
      <c r="T219">
        <v>3</v>
      </c>
      <c r="U219">
        <v>3</v>
      </c>
      <c r="V219" t="s">
        <v>50</v>
      </c>
    </row>
    <row r="220" spans="1:22" hidden="1" outlineLevel="2" x14ac:dyDescent="0.25">
      <c r="A220" t="s">
        <v>70</v>
      </c>
      <c r="B220">
        <v>2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15</v>
      </c>
      <c r="M220">
        <v>11.6</v>
      </c>
      <c r="N220" s="7">
        <f t="shared" si="12"/>
        <v>1.7662500000000001E-2</v>
      </c>
      <c r="O220" s="7">
        <f t="shared" si="13"/>
        <v>0.20488500000000001</v>
      </c>
      <c r="P220">
        <v>4</v>
      </c>
      <c r="Q220">
        <v>3</v>
      </c>
      <c r="R220">
        <v>2</v>
      </c>
      <c r="S220">
        <v>2</v>
      </c>
      <c r="T220">
        <v>2</v>
      </c>
      <c r="U220">
        <v>3</v>
      </c>
      <c r="V220" t="s">
        <v>50</v>
      </c>
    </row>
    <row r="221" spans="1:22" hidden="1" outlineLevel="2" x14ac:dyDescent="0.25">
      <c r="A221" t="s">
        <v>70</v>
      </c>
      <c r="B221">
        <v>2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13.9</v>
      </c>
      <c r="M221">
        <v>11.1</v>
      </c>
      <c r="N221" s="7">
        <f t="shared" si="12"/>
        <v>1.5166985000000004E-2</v>
      </c>
      <c r="O221" s="7">
        <f t="shared" si="13"/>
        <v>0.16835353350000004</v>
      </c>
      <c r="P221">
        <v>5</v>
      </c>
      <c r="Q221">
        <v>3</v>
      </c>
      <c r="R221">
        <v>3</v>
      </c>
      <c r="S221">
        <v>2.5</v>
      </c>
      <c r="T221">
        <v>2</v>
      </c>
      <c r="U221">
        <v>3</v>
      </c>
      <c r="V221" t="s">
        <v>50</v>
      </c>
    </row>
    <row r="222" spans="1:22" hidden="1" outlineLevel="2" x14ac:dyDescent="0.25">
      <c r="A222" t="s">
        <v>70</v>
      </c>
      <c r="B222">
        <v>2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15.6</v>
      </c>
      <c r="M222">
        <v>12.1</v>
      </c>
      <c r="N222" s="7">
        <f t="shared" si="12"/>
        <v>1.9103760000000001E-2</v>
      </c>
      <c r="O222" s="7">
        <f t="shared" si="13"/>
        <v>0.23115549600000002</v>
      </c>
      <c r="P222">
        <v>4</v>
      </c>
      <c r="Q222">
        <v>3</v>
      </c>
      <c r="R222">
        <v>3.5</v>
      </c>
      <c r="S222">
        <v>3</v>
      </c>
      <c r="T222">
        <v>2</v>
      </c>
      <c r="U222">
        <v>3</v>
      </c>
      <c r="V222" t="s">
        <v>50</v>
      </c>
    </row>
    <row r="223" spans="1:22" hidden="1" outlineLevel="2" x14ac:dyDescent="0.25">
      <c r="A223" t="s">
        <v>70</v>
      </c>
      <c r="B223">
        <v>2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7.9</v>
      </c>
      <c r="M223">
        <v>8.6</v>
      </c>
      <c r="N223" s="7">
        <f t="shared" si="12"/>
        <v>4.8991850000000003E-3</v>
      </c>
      <c r="O223" s="7">
        <f t="shared" si="13"/>
        <v>4.2132991000000002E-2</v>
      </c>
      <c r="P223">
        <v>2.5</v>
      </c>
      <c r="Q223">
        <v>3</v>
      </c>
      <c r="R223">
        <v>2.5</v>
      </c>
      <c r="S223">
        <v>4</v>
      </c>
      <c r="T223">
        <v>3.5</v>
      </c>
      <c r="U223">
        <v>1</v>
      </c>
      <c r="V223" t="s">
        <v>50</v>
      </c>
    </row>
    <row r="224" spans="1:22" hidden="1" outlineLevel="2" x14ac:dyDescent="0.25">
      <c r="A224" t="s">
        <v>70</v>
      </c>
      <c r="B224">
        <v>2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6.6</v>
      </c>
      <c r="M224">
        <v>5.8</v>
      </c>
      <c r="N224" s="7">
        <f t="shared" si="12"/>
        <v>3.4194600000000005E-3</v>
      </c>
      <c r="O224" s="7">
        <f t="shared" si="13"/>
        <v>1.9832868000000003E-2</v>
      </c>
      <c r="P224">
        <v>2</v>
      </c>
      <c r="Q224">
        <v>3</v>
      </c>
      <c r="R224">
        <v>2.5</v>
      </c>
      <c r="S224">
        <v>2.5</v>
      </c>
      <c r="T224">
        <v>3</v>
      </c>
      <c r="U224">
        <v>0.5</v>
      </c>
      <c r="V224" t="s">
        <v>50</v>
      </c>
    </row>
    <row r="225" spans="1:22" hidden="1" outlineLevel="2" x14ac:dyDescent="0.25">
      <c r="A225" t="s">
        <v>70</v>
      </c>
      <c r="B225">
        <v>2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15.2</v>
      </c>
      <c r="M225">
        <v>12.3</v>
      </c>
      <c r="N225" s="7">
        <f t="shared" ref="N225:N261" si="14">3.14/4*((L225/100)^2)</f>
        <v>1.8136639999999999E-2</v>
      </c>
      <c r="O225" s="7">
        <f t="shared" ref="O225:O261" si="15">3.14/4*((L225/100)^2)*M225</f>
        <v>0.22308067200000001</v>
      </c>
      <c r="P225">
        <v>5</v>
      </c>
      <c r="Q225">
        <v>3</v>
      </c>
      <c r="R225">
        <v>4</v>
      </c>
      <c r="S225">
        <v>3.5</v>
      </c>
      <c r="T225">
        <v>3</v>
      </c>
      <c r="U225">
        <v>4</v>
      </c>
      <c r="V225" t="s">
        <v>50</v>
      </c>
    </row>
    <row r="226" spans="1:22" hidden="1" outlineLevel="2" x14ac:dyDescent="0.25">
      <c r="A226" t="s">
        <v>70</v>
      </c>
      <c r="B226">
        <v>2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17.100000000000001</v>
      </c>
      <c r="M226">
        <v>12.1</v>
      </c>
      <c r="N226" s="7">
        <f t="shared" si="14"/>
        <v>2.2954185000000002E-2</v>
      </c>
      <c r="O226" s="7">
        <f t="shared" si="15"/>
        <v>0.2777456385</v>
      </c>
      <c r="P226">
        <v>5</v>
      </c>
      <c r="Q226">
        <v>3</v>
      </c>
      <c r="R226">
        <v>3.5</v>
      </c>
      <c r="S226">
        <v>3</v>
      </c>
      <c r="T226">
        <v>3</v>
      </c>
      <c r="U226">
        <v>4</v>
      </c>
      <c r="V226" t="s">
        <v>50</v>
      </c>
    </row>
    <row r="227" spans="1:22" hidden="1" outlineLevel="2" x14ac:dyDescent="0.25">
      <c r="A227" t="s">
        <v>70</v>
      </c>
      <c r="B227">
        <v>2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5.5</v>
      </c>
      <c r="M227">
        <v>3.4</v>
      </c>
      <c r="N227" s="7">
        <f t="shared" si="14"/>
        <v>2.374625E-3</v>
      </c>
      <c r="O227" s="7">
        <f t="shared" si="15"/>
        <v>8.0737250000000003E-3</v>
      </c>
      <c r="P227">
        <v>2</v>
      </c>
      <c r="Q227">
        <v>1</v>
      </c>
      <c r="R227">
        <v>3</v>
      </c>
      <c r="S227">
        <v>2.5</v>
      </c>
      <c r="T227">
        <v>3</v>
      </c>
      <c r="U227">
        <v>1</v>
      </c>
      <c r="V227" t="s">
        <v>50</v>
      </c>
    </row>
    <row r="228" spans="1:22" hidden="1" outlineLevel="2" x14ac:dyDescent="0.25">
      <c r="A228" t="s">
        <v>70</v>
      </c>
      <c r="B228">
        <v>2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15.3</v>
      </c>
      <c r="M228">
        <v>12.7</v>
      </c>
      <c r="N228" s="7">
        <f t="shared" si="14"/>
        <v>1.8376065E-2</v>
      </c>
      <c r="O228" s="7">
        <f t="shared" si="15"/>
        <v>0.2333760255</v>
      </c>
      <c r="P228">
        <v>3</v>
      </c>
      <c r="Q228">
        <v>4</v>
      </c>
      <c r="R228">
        <v>2.5</v>
      </c>
      <c r="S228">
        <v>3</v>
      </c>
      <c r="T228">
        <v>2</v>
      </c>
      <c r="U228">
        <v>3</v>
      </c>
      <c r="V228" t="s">
        <v>50</v>
      </c>
    </row>
    <row r="229" spans="1:22" hidden="1" outlineLevel="2" x14ac:dyDescent="0.25">
      <c r="A229" t="s">
        <v>70</v>
      </c>
      <c r="B229">
        <v>2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10.9</v>
      </c>
      <c r="M229">
        <v>9.8000000000000007</v>
      </c>
      <c r="N229" s="7">
        <f t="shared" si="14"/>
        <v>9.3265850000000001E-3</v>
      </c>
      <c r="O229" s="7">
        <f t="shared" si="15"/>
        <v>9.1400533000000006E-2</v>
      </c>
      <c r="P229">
        <v>4</v>
      </c>
      <c r="Q229">
        <v>3</v>
      </c>
      <c r="R229">
        <v>2.5</v>
      </c>
      <c r="S229">
        <v>2</v>
      </c>
      <c r="T229">
        <v>3</v>
      </c>
      <c r="U229">
        <v>4</v>
      </c>
      <c r="V229" t="s">
        <v>50</v>
      </c>
    </row>
    <row r="230" spans="1:22" hidden="1" outlineLevel="2" x14ac:dyDescent="0.25">
      <c r="A230" t="s">
        <v>70</v>
      </c>
      <c r="B230">
        <v>2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13</v>
      </c>
      <c r="M230">
        <v>10.4</v>
      </c>
      <c r="N230" s="7">
        <f t="shared" si="14"/>
        <v>1.3266500000000002E-2</v>
      </c>
      <c r="O230" s="7">
        <f t="shared" si="15"/>
        <v>0.13797160000000003</v>
      </c>
      <c r="P230">
        <v>4</v>
      </c>
      <c r="Q230">
        <v>3</v>
      </c>
      <c r="R230">
        <v>3.5</v>
      </c>
      <c r="S230">
        <v>2.5</v>
      </c>
      <c r="T230">
        <v>2</v>
      </c>
      <c r="U230">
        <v>4</v>
      </c>
      <c r="V230" t="s">
        <v>50</v>
      </c>
    </row>
    <row r="231" spans="1:22" hidden="1" outlineLevel="2" x14ac:dyDescent="0.25">
      <c r="A231" t="s">
        <v>70</v>
      </c>
      <c r="B231">
        <v>2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10.6</v>
      </c>
      <c r="M231">
        <v>10.199999999999999</v>
      </c>
      <c r="N231" s="7">
        <f t="shared" si="14"/>
        <v>8.8202599999999999E-3</v>
      </c>
      <c r="O231" s="7">
        <f t="shared" si="15"/>
        <v>8.9966651999999994E-2</v>
      </c>
      <c r="P231">
        <v>4</v>
      </c>
      <c r="Q231">
        <v>3</v>
      </c>
      <c r="R231">
        <v>3.5</v>
      </c>
      <c r="S231">
        <v>2.5</v>
      </c>
      <c r="T231">
        <v>3</v>
      </c>
      <c r="U231">
        <v>3</v>
      </c>
      <c r="V231" t="s">
        <v>50</v>
      </c>
    </row>
    <row r="232" spans="1:22" hidden="1" outlineLevel="2" x14ac:dyDescent="0.25">
      <c r="A232" t="s">
        <v>70</v>
      </c>
      <c r="B232">
        <v>2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10.3</v>
      </c>
      <c r="M232">
        <v>10</v>
      </c>
      <c r="N232" s="7">
        <f t="shared" si="14"/>
        <v>8.3280650000000025E-3</v>
      </c>
      <c r="O232" s="7">
        <f t="shared" si="15"/>
        <v>8.3280650000000025E-2</v>
      </c>
      <c r="P232">
        <v>4</v>
      </c>
      <c r="Q232">
        <v>3</v>
      </c>
      <c r="R232">
        <v>4</v>
      </c>
      <c r="S232">
        <v>3</v>
      </c>
      <c r="T232">
        <v>3</v>
      </c>
      <c r="U232">
        <v>3</v>
      </c>
      <c r="V232" t="s">
        <v>50</v>
      </c>
    </row>
    <row r="233" spans="1:22" hidden="1" outlineLevel="2" x14ac:dyDescent="0.25">
      <c r="A233" t="s">
        <v>70</v>
      </c>
      <c r="B233">
        <v>2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3.2</v>
      </c>
      <c r="M233">
        <v>5.9</v>
      </c>
      <c r="N233" s="7">
        <f t="shared" si="14"/>
        <v>8.0384E-4</v>
      </c>
      <c r="O233" s="7">
        <f t="shared" si="15"/>
        <v>4.7426560000000005E-3</v>
      </c>
      <c r="P233">
        <v>1.5</v>
      </c>
      <c r="Q233">
        <v>3</v>
      </c>
      <c r="R233">
        <v>2</v>
      </c>
      <c r="S233">
        <v>2</v>
      </c>
      <c r="T233">
        <v>2</v>
      </c>
      <c r="U233">
        <v>0</v>
      </c>
      <c r="V233" t="s">
        <v>50</v>
      </c>
    </row>
    <row r="234" spans="1:22" hidden="1" outlineLevel="2" x14ac:dyDescent="0.25">
      <c r="A234" t="s">
        <v>70</v>
      </c>
      <c r="B234">
        <v>2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39</v>
      </c>
      <c r="K234">
        <v>2435</v>
      </c>
      <c r="L234">
        <v>15</v>
      </c>
      <c r="M234">
        <v>13</v>
      </c>
      <c r="N234" s="7">
        <f t="shared" si="14"/>
        <v>1.7662500000000001E-2</v>
      </c>
      <c r="O234" s="7">
        <f t="shared" si="15"/>
        <v>0.22961250000000002</v>
      </c>
      <c r="P234">
        <v>2.5</v>
      </c>
      <c r="Q234">
        <v>3</v>
      </c>
      <c r="R234">
        <v>4</v>
      </c>
      <c r="S234">
        <v>4</v>
      </c>
      <c r="T234">
        <v>4</v>
      </c>
      <c r="U234">
        <v>2</v>
      </c>
      <c r="V234" t="s">
        <v>50</v>
      </c>
    </row>
    <row r="235" spans="1:22" hidden="1" outlineLevel="2" x14ac:dyDescent="0.25">
      <c r="A235" t="s">
        <v>70</v>
      </c>
      <c r="B235">
        <v>2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37</v>
      </c>
      <c r="K235">
        <v>1524</v>
      </c>
      <c r="L235">
        <v>6.8</v>
      </c>
      <c r="M235">
        <v>5.6</v>
      </c>
      <c r="N235" s="7">
        <f t="shared" si="14"/>
        <v>3.6298400000000005E-3</v>
      </c>
      <c r="O235" s="7">
        <f t="shared" si="15"/>
        <v>2.0327104000000002E-2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0</v>
      </c>
      <c r="V235" t="s">
        <v>50</v>
      </c>
    </row>
    <row r="236" spans="1:22" hidden="1" outlineLevel="2" x14ac:dyDescent="0.25">
      <c r="A236" t="s">
        <v>70</v>
      </c>
      <c r="B236">
        <v>2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63</v>
      </c>
      <c r="K236">
        <v>1340</v>
      </c>
      <c r="L236">
        <v>7.7</v>
      </c>
      <c r="M236">
        <v>6.1</v>
      </c>
      <c r="N236" s="7">
        <f t="shared" si="14"/>
        <v>4.6542650000000003E-3</v>
      </c>
      <c r="O236" s="7">
        <f t="shared" si="15"/>
        <v>2.8391016500000001E-2</v>
      </c>
      <c r="P236">
        <v>2</v>
      </c>
      <c r="Q236">
        <v>2</v>
      </c>
      <c r="R236">
        <v>2</v>
      </c>
      <c r="S236">
        <v>2</v>
      </c>
      <c r="T236">
        <v>3</v>
      </c>
      <c r="U236">
        <v>0.5</v>
      </c>
      <c r="V236" t="s">
        <v>50</v>
      </c>
    </row>
    <row r="237" spans="1:22" hidden="1" outlineLevel="2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60</v>
      </c>
      <c r="K237">
        <v>1595</v>
      </c>
      <c r="L237">
        <v>3.1</v>
      </c>
      <c r="M237">
        <v>2.9</v>
      </c>
      <c r="N237" s="7">
        <f t="shared" si="14"/>
        <v>7.5438499999999999E-4</v>
      </c>
      <c r="O237" s="7">
        <f t="shared" si="15"/>
        <v>2.1877164999999999E-3</v>
      </c>
      <c r="P237">
        <v>2</v>
      </c>
      <c r="Q237">
        <v>1.5</v>
      </c>
      <c r="R237">
        <v>3</v>
      </c>
      <c r="S237">
        <v>3</v>
      </c>
      <c r="T237">
        <v>3.5</v>
      </c>
      <c r="U237">
        <v>1</v>
      </c>
      <c r="V237" t="s">
        <v>50</v>
      </c>
    </row>
    <row r="238" spans="1:22" hidden="1" outlineLevel="2" x14ac:dyDescent="0.25">
      <c r="A238" t="s">
        <v>70</v>
      </c>
      <c r="B238">
        <v>3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55</v>
      </c>
      <c r="K238">
        <v>1094</v>
      </c>
      <c r="L238">
        <v>10.5</v>
      </c>
      <c r="M238">
        <v>6</v>
      </c>
      <c r="N238" s="7">
        <f t="shared" si="14"/>
        <v>8.6546249999999991E-3</v>
      </c>
      <c r="O238" s="7">
        <f t="shared" si="15"/>
        <v>5.1927749999999995E-2</v>
      </c>
      <c r="P238">
        <v>25</v>
      </c>
      <c r="Q238">
        <v>3</v>
      </c>
      <c r="R238">
        <v>3</v>
      </c>
      <c r="S238">
        <v>2</v>
      </c>
      <c r="T238">
        <v>3</v>
      </c>
      <c r="U238">
        <v>2.5</v>
      </c>
      <c r="V238" t="s">
        <v>30</v>
      </c>
    </row>
    <row r="239" spans="1:22" hidden="1" outlineLevel="2" x14ac:dyDescent="0.25">
      <c r="A239" t="s">
        <v>70</v>
      </c>
      <c r="B239">
        <v>3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56</v>
      </c>
      <c r="K239">
        <v>1111</v>
      </c>
      <c r="L239">
        <v>1.6</v>
      </c>
      <c r="M239">
        <v>1.8</v>
      </c>
      <c r="N239" s="7">
        <f t="shared" si="14"/>
        <v>2.0096E-4</v>
      </c>
      <c r="O239" s="7">
        <f t="shared" si="15"/>
        <v>3.6172800000000002E-4</v>
      </c>
      <c r="P239">
        <v>88</v>
      </c>
      <c r="Q239">
        <v>1</v>
      </c>
      <c r="R239">
        <v>2</v>
      </c>
      <c r="S239">
        <v>3</v>
      </c>
      <c r="T239">
        <v>3</v>
      </c>
      <c r="U239">
        <v>3</v>
      </c>
      <c r="V239" t="s">
        <v>50</v>
      </c>
    </row>
    <row r="240" spans="1:22" hidden="1" outlineLevel="2" x14ac:dyDescent="0.25">
      <c r="A240" t="s">
        <v>70</v>
      </c>
      <c r="B240">
        <v>3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1112</v>
      </c>
      <c r="L240">
        <v>4</v>
      </c>
      <c r="M240">
        <v>3.2</v>
      </c>
      <c r="N240" s="7">
        <f t="shared" si="14"/>
        <v>1.2560000000000002E-3</v>
      </c>
      <c r="O240" s="7">
        <f t="shared" si="15"/>
        <v>4.0192000000000005E-3</v>
      </c>
      <c r="P240">
        <v>63</v>
      </c>
      <c r="Q240">
        <v>2</v>
      </c>
      <c r="R240">
        <v>1.5</v>
      </c>
      <c r="S240">
        <v>3</v>
      </c>
      <c r="T240">
        <v>3</v>
      </c>
      <c r="U240">
        <v>3</v>
      </c>
      <c r="V240" t="s">
        <v>30</v>
      </c>
    </row>
    <row r="241" spans="1:22" hidden="1" outlineLevel="2" x14ac:dyDescent="0.25">
      <c r="A241" t="s">
        <v>70</v>
      </c>
      <c r="B241">
        <v>3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57</v>
      </c>
      <c r="K241">
        <v>1113</v>
      </c>
      <c r="L241">
        <v>3.3</v>
      </c>
      <c r="M241">
        <v>2.7</v>
      </c>
      <c r="N241" s="7">
        <f t="shared" si="14"/>
        <v>8.5486500000000012E-4</v>
      </c>
      <c r="O241" s="7">
        <f t="shared" si="15"/>
        <v>2.3081355000000004E-3</v>
      </c>
      <c r="P241">
        <v>100</v>
      </c>
      <c r="Q241">
        <v>1.5</v>
      </c>
      <c r="R241">
        <v>1</v>
      </c>
      <c r="S241">
        <v>2</v>
      </c>
      <c r="T241">
        <v>3</v>
      </c>
      <c r="U241">
        <v>3</v>
      </c>
      <c r="V241" t="s">
        <v>50</v>
      </c>
    </row>
    <row r="242" spans="1:22" hidden="1" outlineLevel="2" x14ac:dyDescent="0.25">
      <c r="A242" t="s">
        <v>70</v>
      </c>
      <c r="B242">
        <v>3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58</v>
      </c>
      <c r="K242">
        <v>1338</v>
      </c>
      <c r="L242">
        <v>9.4</v>
      </c>
      <c r="M242">
        <v>8.5</v>
      </c>
      <c r="N242" s="7">
        <f t="shared" si="14"/>
        <v>6.9362600000000005E-3</v>
      </c>
      <c r="O242" s="7">
        <f t="shared" si="15"/>
        <v>5.8958210000000004E-2</v>
      </c>
      <c r="P242">
        <v>38</v>
      </c>
      <c r="Q242">
        <v>3</v>
      </c>
      <c r="R242">
        <v>3</v>
      </c>
      <c r="S242">
        <v>2</v>
      </c>
      <c r="T242">
        <v>1.5</v>
      </c>
      <c r="U242">
        <v>1</v>
      </c>
      <c r="V242" t="s">
        <v>30</v>
      </c>
    </row>
    <row r="243" spans="1:22" hidden="1" outlineLevel="2" x14ac:dyDescent="0.25">
      <c r="A243" t="s">
        <v>70</v>
      </c>
      <c r="B243">
        <v>3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1978</v>
      </c>
      <c r="L243">
        <v>11</v>
      </c>
      <c r="M243">
        <v>8.1</v>
      </c>
      <c r="N243" s="7">
        <f t="shared" si="14"/>
        <v>9.4985E-3</v>
      </c>
      <c r="O243" s="7">
        <f t="shared" si="15"/>
        <v>7.6937850000000002E-2</v>
      </c>
      <c r="P243">
        <v>100</v>
      </c>
      <c r="Q243">
        <v>4</v>
      </c>
      <c r="R243">
        <v>3</v>
      </c>
      <c r="S243">
        <v>2</v>
      </c>
      <c r="T243">
        <v>2</v>
      </c>
      <c r="U243">
        <v>2</v>
      </c>
      <c r="V243" t="s">
        <v>27</v>
      </c>
    </row>
    <row r="244" spans="1:22" hidden="1" outlineLevel="2" x14ac:dyDescent="0.25">
      <c r="A244" t="s">
        <v>70</v>
      </c>
      <c r="B244">
        <v>3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59</v>
      </c>
      <c r="K244">
        <v>1482</v>
      </c>
      <c r="L244">
        <v>7.8</v>
      </c>
      <c r="M244">
        <v>5.6</v>
      </c>
      <c r="N244" s="7">
        <f t="shared" si="14"/>
        <v>4.7759400000000002E-3</v>
      </c>
      <c r="O244" s="7">
        <f t="shared" si="15"/>
        <v>2.6745264000000001E-2</v>
      </c>
      <c r="P244">
        <v>88</v>
      </c>
      <c r="Q244">
        <v>3</v>
      </c>
      <c r="R244">
        <v>3</v>
      </c>
      <c r="S244">
        <v>2</v>
      </c>
      <c r="T244">
        <v>2</v>
      </c>
      <c r="U244">
        <v>2</v>
      </c>
      <c r="V244" t="s">
        <v>25</v>
      </c>
    </row>
    <row r="245" spans="1:22" hidden="1" outlineLevel="2" x14ac:dyDescent="0.25">
      <c r="A245" t="s">
        <v>70</v>
      </c>
      <c r="B245">
        <v>3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1339</v>
      </c>
      <c r="L245">
        <v>10.1</v>
      </c>
      <c r="M245">
        <v>9.5</v>
      </c>
      <c r="N245" s="7">
        <f t="shared" si="14"/>
        <v>8.0077849999999982E-3</v>
      </c>
      <c r="O245" s="7">
        <f t="shared" si="15"/>
        <v>7.6073957499999983E-2</v>
      </c>
      <c r="P245">
        <v>75</v>
      </c>
      <c r="Q245">
        <v>3</v>
      </c>
      <c r="R245">
        <v>3</v>
      </c>
      <c r="S245">
        <v>2</v>
      </c>
      <c r="T245">
        <v>2</v>
      </c>
      <c r="U245">
        <v>2</v>
      </c>
      <c r="V245" t="s">
        <v>38</v>
      </c>
    </row>
    <row r="246" spans="1:22" hidden="1" outlineLevel="2" x14ac:dyDescent="0.25">
      <c r="A246" t="s">
        <v>70</v>
      </c>
      <c r="B246">
        <v>3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2447</v>
      </c>
      <c r="L246">
        <v>6.9</v>
      </c>
      <c r="M246">
        <v>7.3</v>
      </c>
      <c r="N246" s="7">
        <f t="shared" si="14"/>
        <v>3.7373850000000006E-3</v>
      </c>
      <c r="O246" s="7">
        <f t="shared" si="15"/>
        <v>2.7282910500000004E-2</v>
      </c>
      <c r="P246">
        <v>88</v>
      </c>
      <c r="Q246">
        <v>3.5</v>
      </c>
      <c r="R246">
        <v>3</v>
      </c>
      <c r="S246">
        <v>3</v>
      </c>
      <c r="T246">
        <v>3.5</v>
      </c>
      <c r="U246">
        <v>3</v>
      </c>
      <c r="V246" t="s">
        <v>25</v>
      </c>
    </row>
    <row r="247" spans="1:22" hidden="1" outlineLevel="2" x14ac:dyDescent="0.25">
      <c r="A247" t="s">
        <v>70</v>
      </c>
      <c r="B247">
        <v>3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26</v>
      </c>
      <c r="K247">
        <v>1786</v>
      </c>
      <c r="L247">
        <v>11.9</v>
      </c>
      <c r="M247">
        <v>9.6</v>
      </c>
      <c r="N247" s="7">
        <f t="shared" si="14"/>
        <v>1.1116385000000001E-2</v>
      </c>
      <c r="O247" s="7">
        <f t="shared" si="15"/>
        <v>0.106717296</v>
      </c>
      <c r="P247">
        <v>88</v>
      </c>
      <c r="Q247">
        <v>4</v>
      </c>
      <c r="R247">
        <v>3</v>
      </c>
      <c r="S247">
        <v>2.5</v>
      </c>
      <c r="T247">
        <v>2.5</v>
      </c>
      <c r="U247">
        <v>2.5</v>
      </c>
      <c r="V247" t="s">
        <v>25</v>
      </c>
    </row>
    <row r="248" spans="1:22" hidden="1" outlineLevel="2" x14ac:dyDescent="0.25">
      <c r="A248" t="s">
        <v>70</v>
      </c>
      <c r="B248">
        <v>3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32</v>
      </c>
      <c r="K248">
        <v>1596</v>
      </c>
      <c r="L248">
        <v>10.4</v>
      </c>
      <c r="M248">
        <v>9.4</v>
      </c>
      <c r="N248" s="7">
        <f t="shared" si="14"/>
        <v>8.4905600000000029E-3</v>
      </c>
      <c r="O248" s="7">
        <f t="shared" si="15"/>
        <v>7.9811264000000035E-2</v>
      </c>
      <c r="P248">
        <v>100</v>
      </c>
      <c r="Q248">
        <v>4</v>
      </c>
      <c r="R248">
        <v>3</v>
      </c>
      <c r="S248">
        <v>2</v>
      </c>
      <c r="T248">
        <v>3.5</v>
      </c>
      <c r="U248">
        <v>3</v>
      </c>
      <c r="V248" t="s">
        <v>27</v>
      </c>
    </row>
    <row r="249" spans="1:22" hidden="1" outlineLevel="2" x14ac:dyDescent="0.25">
      <c r="A249" t="s">
        <v>70</v>
      </c>
      <c r="B249">
        <v>3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61</v>
      </c>
      <c r="K249">
        <v>1171</v>
      </c>
      <c r="L249">
        <v>3.5</v>
      </c>
      <c r="M249">
        <v>2.9</v>
      </c>
      <c r="N249" s="7">
        <f t="shared" si="14"/>
        <v>9.6162500000000013E-4</v>
      </c>
      <c r="O249" s="7">
        <f t="shared" si="15"/>
        <v>2.7887125000000002E-3</v>
      </c>
      <c r="P249">
        <v>75</v>
      </c>
      <c r="Q249">
        <v>1</v>
      </c>
      <c r="R249">
        <v>1</v>
      </c>
      <c r="S249">
        <v>3</v>
      </c>
      <c r="T249">
        <v>3</v>
      </c>
      <c r="U249">
        <v>3</v>
      </c>
      <c r="V249" t="s">
        <v>50</v>
      </c>
    </row>
    <row r="250" spans="1:22" hidden="1" outlineLevel="2" x14ac:dyDescent="0.25">
      <c r="A250" t="s">
        <v>70</v>
      </c>
      <c r="B250">
        <v>3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2469</v>
      </c>
      <c r="L250">
        <v>5.7</v>
      </c>
      <c r="M250">
        <v>5.6</v>
      </c>
      <c r="N250" s="7">
        <f t="shared" si="14"/>
        <v>2.550465E-3</v>
      </c>
      <c r="O250" s="7">
        <f t="shared" si="15"/>
        <v>1.4282603999999999E-2</v>
      </c>
      <c r="P250">
        <v>100</v>
      </c>
      <c r="Q250">
        <v>3</v>
      </c>
      <c r="R250">
        <v>2.5</v>
      </c>
      <c r="S250">
        <v>4</v>
      </c>
      <c r="T250">
        <v>5</v>
      </c>
      <c r="U250">
        <v>4</v>
      </c>
      <c r="V250" t="s">
        <v>25</v>
      </c>
    </row>
    <row r="251" spans="1:22" hidden="1" outlineLevel="2" x14ac:dyDescent="0.25">
      <c r="A251" t="s">
        <v>70</v>
      </c>
      <c r="B251">
        <v>3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34</v>
      </c>
      <c r="K251">
        <v>1337</v>
      </c>
      <c r="L251">
        <v>10.5</v>
      </c>
      <c r="M251">
        <v>7.5</v>
      </c>
      <c r="N251" s="7">
        <f t="shared" si="14"/>
        <v>8.6546249999999991E-3</v>
      </c>
      <c r="O251" s="7">
        <f t="shared" si="15"/>
        <v>6.4909687499999993E-2</v>
      </c>
      <c r="P251">
        <v>63</v>
      </c>
      <c r="Q251">
        <v>3.5</v>
      </c>
      <c r="R251">
        <v>2.5</v>
      </c>
      <c r="S251">
        <v>2.5</v>
      </c>
      <c r="T251">
        <v>2</v>
      </c>
      <c r="U251">
        <v>2.5</v>
      </c>
      <c r="V251" t="s">
        <v>25</v>
      </c>
    </row>
    <row r="252" spans="1:22" hidden="1" outlineLevel="2" x14ac:dyDescent="0.25">
      <c r="A252" t="s">
        <v>70</v>
      </c>
      <c r="B252">
        <v>3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35</v>
      </c>
      <c r="K252">
        <v>1785</v>
      </c>
      <c r="L252">
        <v>4.3</v>
      </c>
      <c r="M252">
        <v>3.2</v>
      </c>
      <c r="N252" s="7">
        <f t="shared" si="14"/>
        <v>1.4514649999999999E-3</v>
      </c>
      <c r="O252" s="7">
        <f t="shared" si="15"/>
        <v>4.6446880000000001E-3</v>
      </c>
      <c r="P252">
        <v>100</v>
      </c>
      <c r="Q252">
        <v>1.5</v>
      </c>
      <c r="R252">
        <v>1</v>
      </c>
      <c r="S252">
        <v>2.5</v>
      </c>
      <c r="T252">
        <v>3.5</v>
      </c>
      <c r="U252">
        <v>3</v>
      </c>
      <c r="V252" t="s">
        <v>50</v>
      </c>
    </row>
    <row r="253" spans="1:22" hidden="1" outlineLevel="2" x14ac:dyDescent="0.25">
      <c r="A253" t="s">
        <v>70</v>
      </c>
      <c r="B253">
        <v>3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36</v>
      </c>
      <c r="K253">
        <v>1598</v>
      </c>
      <c r="L253">
        <v>13.6</v>
      </c>
      <c r="M253">
        <v>7.3</v>
      </c>
      <c r="N253" s="7">
        <f t="shared" si="14"/>
        <v>1.4519360000000002E-2</v>
      </c>
      <c r="O253" s="7">
        <f t="shared" si="15"/>
        <v>0.10599132800000001</v>
      </c>
      <c r="P253">
        <v>38</v>
      </c>
      <c r="Q253">
        <v>3</v>
      </c>
      <c r="R253">
        <v>3</v>
      </c>
      <c r="S253">
        <v>2</v>
      </c>
      <c r="T253">
        <v>2.5</v>
      </c>
      <c r="U253">
        <v>2</v>
      </c>
      <c r="V253" t="s">
        <v>38</v>
      </c>
    </row>
    <row r="254" spans="1:22" hidden="1" outlineLevel="2" x14ac:dyDescent="0.25">
      <c r="A254" t="s">
        <v>70</v>
      </c>
      <c r="B254">
        <v>3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2428</v>
      </c>
      <c r="L254">
        <v>12.3</v>
      </c>
      <c r="M254">
        <v>8.1999999999999993</v>
      </c>
      <c r="N254" s="7">
        <f t="shared" si="14"/>
        <v>1.1876265000000004E-2</v>
      </c>
      <c r="O254" s="7">
        <f t="shared" si="15"/>
        <v>9.7385373000000025E-2</v>
      </c>
      <c r="P254">
        <v>75</v>
      </c>
      <c r="Q254">
        <v>4</v>
      </c>
      <c r="R254">
        <v>3</v>
      </c>
      <c r="S254">
        <v>3</v>
      </c>
      <c r="T254">
        <v>2</v>
      </c>
      <c r="U254">
        <v>2</v>
      </c>
      <c r="V254" t="s">
        <v>27</v>
      </c>
    </row>
    <row r="255" spans="1:22" hidden="1" outlineLevel="2" x14ac:dyDescent="0.25">
      <c r="A255" t="s">
        <v>70</v>
      </c>
      <c r="B255">
        <v>3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2430</v>
      </c>
      <c r="L255">
        <v>9.6999999999999993</v>
      </c>
      <c r="M255">
        <v>7.1</v>
      </c>
      <c r="N255" s="7">
        <f t="shared" si="14"/>
        <v>7.3860649999999981E-3</v>
      </c>
      <c r="O255" s="7">
        <f t="shared" si="15"/>
        <v>5.2441061499999983E-2</v>
      </c>
      <c r="P255">
        <v>100</v>
      </c>
      <c r="Q255">
        <v>4</v>
      </c>
      <c r="R255">
        <v>3</v>
      </c>
      <c r="S255">
        <v>2</v>
      </c>
      <c r="T255">
        <v>2.5</v>
      </c>
      <c r="U255">
        <v>2.5</v>
      </c>
      <c r="V255" t="s">
        <v>27</v>
      </c>
    </row>
    <row r="256" spans="1:22" hidden="1" outlineLevel="2" x14ac:dyDescent="0.25">
      <c r="A256" t="s">
        <v>70</v>
      </c>
      <c r="B256">
        <v>3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13</v>
      </c>
      <c r="M256">
        <v>9</v>
      </c>
      <c r="N256" s="7">
        <f t="shared" si="14"/>
        <v>1.3266500000000002E-2</v>
      </c>
      <c r="O256" s="7">
        <f t="shared" si="15"/>
        <v>0.11939850000000002</v>
      </c>
      <c r="P256">
        <v>88</v>
      </c>
      <c r="Q256">
        <v>4</v>
      </c>
      <c r="R256">
        <v>3</v>
      </c>
      <c r="S256">
        <v>3.5</v>
      </c>
      <c r="T256">
        <v>3</v>
      </c>
      <c r="U256">
        <v>3</v>
      </c>
      <c r="V256" t="s">
        <v>27</v>
      </c>
    </row>
    <row r="257" spans="1:22" hidden="1" outlineLevel="2" x14ac:dyDescent="0.25">
      <c r="A257" t="s">
        <v>70</v>
      </c>
      <c r="B257">
        <v>3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4.9000000000000004</v>
      </c>
      <c r="M257">
        <v>2.8</v>
      </c>
      <c r="N257" s="7">
        <f t="shared" si="14"/>
        <v>1.8847850000000004E-3</v>
      </c>
      <c r="O257" s="7">
        <f t="shared" si="15"/>
        <v>5.2773980000000009E-3</v>
      </c>
      <c r="P257">
        <v>63</v>
      </c>
      <c r="Q257">
        <v>2</v>
      </c>
      <c r="R257">
        <v>3</v>
      </c>
      <c r="S257">
        <v>3</v>
      </c>
      <c r="T257">
        <v>3.5</v>
      </c>
      <c r="U257">
        <v>3.5</v>
      </c>
      <c r="V257" t="s">
        <v>30</v>
      </c>
    </row>
    <row r="258" spans="1:22" hidden="1" outlineLevel="2" x14ac:dyDescent="0.25">
      <c r="A258" t="s">
        <v>70</v>
      </c>
      <c r="B258">
        <v>3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6</v>
      </c>
      <c r="M258">
        <v>7</v>
      </c>
      <c r="N258" s="7">
        <f t="shared" si="14"/>
        <v>2.826E-3</v>
      </c>
      <c r="O258" s="7">
        <f t="shared" si="15"/>
        <v>1.9782000000000001E-2</v>
      </c>
      <c r="P258">
        <v>13</v>
      </c>
      <c r="Q258">
        <v>3</v>
      </c>
      <c r="R258">
        <v>3</v>
      </c>
      <c r="S258">
        <v>4</v>
      </c>
      <c r="T258">
        <v>4</v>
      </c>
      <c r="U258">
        <v>4</v>
      </c>
      <c r="V258" t="s">
        <v>30</v>
      </c>
    </row>
    <row r="259" spans="1:22" hidden="1" outlineLevel="2" x14ac:dyDescent="0.25">
      <c r="A259" t="s">
        <v>70</v>
      </c>
      <c r="B259">
        <v>3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11.8</v>
      </c>
      <c r="M259">
        <v>7.4</v>
      </c>
      <c r="N259" s="7">
        <f t="shared" si="14"/>
        <v>1.0930340000000002E-2</v>
      </c>
      <c r="O259" s="7">
        <f t="shared" si="15"/>
        <v>8.0884516000000017E-2</v>
      </c>
      <c r="P259">
        <v>88</v>
      </c>
      <c r="Q259">
        <v>2.5</v>
      </c>
      <c r="R259">
        <v>2</v>
      </c>
      <c r="S259">
        <v>2.5</v>
      </c>
      <c r="T259">
        <v>3</v>
      </c>
      <c r="U259">
        <v>3</v>
      </c>
      <c r="V259" t="s">
        <v>38</v>
      </c>
    </row>
    <row r="260" spans="1:22" hidden="1" outlineLevel="2" x14ac:dyDescent="0.25">
      <c r="A260" t="s">
        <v>70</v>
      </c>
      <c r="B260">
        <v>3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6.2</v>
      </c>
      <c r="M260">
        <v>5.3</v>
      </c>
      <c r="N260" s="7">
        <f t="shared" si="14"/>
        <v>3.01754E-3</v>
      </c>
      <c r="O260" s="7">
        <f t="shared" si="15"/>
        <v>1.5992961999999999E-2</v>
      </c>
      <c r="P260">
        <v>100</v>
      </c>
      <c r="Q260">
        <v>2</v>
      </c>
      <c r="R260">
        <v>2</v>
      </c>
      <c r="S260">
        <v>2.5</v>
      </c>
      <c r="T260">
        <v>2.5</v>
      </c>
      <c r="U260">
        <v>3</v>
      </c>
      <c r="V260" t="s">
        <v>30</v>
      </c>
    </row>
    <row r="261" spans="1:22" hidden="1" outlineLevel="2" x14ac:dyDescent="0.25">
      <c r="A261" t="s">
        <v>70</v>
      </c>
      <c r="B261">
        <v>3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1.5</v>
      </c>
      <c r="M261">
        <v>1.8</v>
      </c>
      <c r="N261" s="7">
        <f t="shared" si="14"/>
        <v>1.76625E-4</v>
      </c>
      <c r="O261" s="7">
        <f t="shared" si="15"/>
        <v>3.1792499999999999E-4</v>
      </c>
      <c r="P261">
        <v>88</v>
      </c>
      <c r="Q261">
        <v>1.5</v>
      </c>
      <c r="R261">
        <v>1</v>
      </c>
      <c r="S261">
        <v>3</v>
      </c>
      <c r="T261">
        <v>4</v>
      </c>
      <c r="U261">
        <v>3</v>
      </c>
      <c r="V261" t="s">
        <v>30</v>
      </c>
    </row>
    <row r="262" spans="1:22" outlineLevel="1" collapsed="1" x14ac:dyDescent="0.25">
      <c r="G262" s="5" t="s">
        <v>109</v>
      </c>
      <c r="K262">
        <f>SUBTOTAL(4,K97:K261)</f>
        <v>2482</v>
      </c>
      <c r="L262">
        <f>SUBTOTAL(4,L97:L261)</f>
        <v>37.6</v>
      </c>
      <c r="M262">
        <f>SUBTOTAL(4,M97:M261)</f>
        <v>16.600000000000001</v>
      </c>
      <c r="N262" s="7">
        <f>SUBTOTAL(4,N97:N261)</f>
        <v>0.11098016000000001</v>
      </c>
      <c r="O262" s="7">
        <f>SUBTOTAL(4,O97:O261)</f>
        <v>1.4427420800000001</v>
      </c>
      <c r="V262">
        <f>SUBTOTAL(4,V97:V261)</f>
        <v>0</v>
      </c>
    </row>
    <row r="263" spans="1:22" hidden="1" outlineLevel="2" x14ac:dyDescent="0.25">
      <c r="A263" t="s">
        <v>83</v>
      </c>
      <c r="B263">
        <v>1</v>
      </c>
      <c r="C263" t="s">
        <v>71</v>
      </c>
      <c r="D263" t="s">
        <v>84</v>
      </c>
      <c r="E263" t="s">
        <v>85</v>
      </c>
      <c r="F263">
        <v>220</v>
      </c>
      <c r="G263">
        <v>1050</v>
      </c>
      <c r="H263">
        <v>-2</v>
      </c>
      <c r="I263">
        <v>1983</v>
      </c>
      <c r="J263" t="s">
        <v>76</v>
      </c>
      <c r="K263">
        <v>1592</v>
      </c>
      <c r="L263">
        <v>23.59</v>
      </c>
      <c r="M263">
        <v>9.8699999999999992</v>
      </c>
      <c r="N263" s="7">
        <f t="shared" ref="N263:N294" si="16">3.14/4*((L263/100)^2)</f>
        <v>4.3684315850000002E-2</v>
      </c>
      <c r="O263" s="7">
        <f t="shared" ref="O263:O294" si="17">3.14/4*((L263/100)^2)*M263</f>
        <v>0.43116419743949996</v>
      </c>
      <c r="P263">
        <v>75</v>
      </c>
      <c r="Q263">
        <v>3</v>
      </c>
      <c r="R263">
        <v>4</v>
      </c>
      <c r="S263">
        <v>3</v>
      </c>
      <c r="T263">
        <v>4</v>
      </c>
      <c r="U263">
        <v>3</v>
      </c>
      <c r="V263" t="s">
        <v>25</v>
      </c>
    </row>
    <row r="264" spans="1:22" hidden="1" outlineLevel="2" x14ac:dyDescent="0.25">
      <c r="A264" t="s">
        <v>83</v>
      </c>
      <c r="B264">
        <v>1</v>
      </c>
      <c r="C264" t="s">
        <v>71</v>
      </c>
      <c r="D264" t="s">
        <v>84</v>
      </c>
      <c r="E264" t="s">
        <v>85</v>
      </c>
      <c r="F264">
        <v>220</v>
      </c>
      <c r="G264">
        <v>1050</v>
      </c>
      <c r="H264">
        <v>-2</v>
      </c>
      <c r="I264">
        <v>1983</v>
      </c>
      <c r="J264" t="s">
        <v>76</v>
      </c>
      <c r="K264">
        <v>2560</v>
      </c>
      <c r="L264">
        <v>20.72</v>
      </c>
      <c r="M264">
        <v>8.67</v>
      </c>
      <c r="N264" s="7">
        <f t="shared" si="16"/>
        <v>3.3701494400000004E-2</v>
      </c>
      <c r="O264" s="7">
        <f t="shared" si="17"/>
        <v>0.29219195644800006</v>
      </c>
      <c r="P264">
        <v>100</v>
      </c>
      <c r="Q264">
        <v>3.5</v>
      </c>
      <c r="R264">
        <v>3.5</v>
      </c>
      <c r="S264">
        <v>2.5</v>
      </c>
      <c r="T264">
        <v>4</v>
      </c>
      <c r="U264">
        <v>4</v>
      </c>
      <c r="V264" t="s">
        <v>27</v>
      </c>
    </row>
    <row r="265" spans="1:22" hidden="1" outlineLevel="2" x14ac:dyDescent="0.25">
      <c r="A265" t="s">
        <v>83</v>
      </c>
      <c r="B265">
        <v>1</v>
      </c>
      <c r="C265" t="s">
        <v>71</v>
      </c>
      <c r="D265" t="s">
        <v>84</v>
      </c>
      <c r="E265" t="s">
        <v>85</v>
      </c>
      <c r="F265">
        <v>220</v>
      </c>
      <c r="G265">
        <v>1050</v>
      </c>
      <c r="H265">
        <v>-2</v>
      </c>
      <c r="I265">
        <v>1983</v>
      </c>
      <c r="J265" t="s">
        <v>24</v>
      </c>
      <c r="K265">
        <v>2562</v>
      </c>
      <c r="L265">
        <v>19.64</v>
      </c>
      <c r="M265">
        <v>11.02</v>
      </c>
      <c r="N265" s="7">
        <f t="shared" si="16"/>
        <v>3.0279773600000011E-2</v>
      </c>
      <c r="O265" s="7">
        <f t="shared" si="17"/>
        <v>0.33368310507200011</v>
      </c>
      <c r="P265">
        <v>100</v>
      </c>
      <c r="Q265">
        <v>4</v>
      </c>
      <c r="R265">
        <v>3</v>
      </c>
      <c r="S265">
        <v>3</v>
      </c>
      <c r="T265">
        <v>3</v>
      </c>
      <c r="U265">
        <v>3</v>
      </c>
      <c r="V265" t="s">
        <v>25</v>
      </c>
    </row>
    <row r="266" spans="1:22" hidden="1" outlineLevel="2" x14ac:dyDescent="0.25">
      <c r="A266" t="s">
        <v>83</v>
      </c>
      <c r="B266">
        <v>1</v>
      </c>
      <c r="C266" t="s">
        <v>71</v>
      </c>
      <c r="D266" t="s">
        <v>84</v>
      </c>
      <c r="E266" t="s">
        <v>85</v>
      </c>
      <c r="F266">
        <v>220</v>
      </c>
      <c r="G266">
        <v>1050</v>
      </c>
      <c r="H266">
        <v>-2</v>
      </c>
      <c r="I266">
        <v>1983</v>
      </c>
      <c r="J266" t="s">
        <v>80</v>
      </c>
      <c r="K266">
        <v>1252</v>
      </c>
      <c r="L266">
        <v>14.13</v>
      </c>
      <c r="M266">
        <v>8.85</v>
      </c>
      <c r="N266" s="7">
        <f t="shared" si="16"/>
        <v>1.5673066650000001E-2</v>
      </c>
      <c r="O266" s="7">
        <f t="shared" si="17"/>
        <v>0.13870663985250001</v>
      </c>
      <c r="P266">
        <v>100</v>
      </c>
      <c r="Q266">
        <v>3</v>
      </c>
      <c r="R266">
        <v>2.5</v>
      </c>
      <c r="S266">
        <v>1.5</v>
      </c>
      <c r="T266">
        <v>2</v>
      </c>
      <c r="U266">
        <v>2</v>
      </c>
      <c r="V266" t="s">
        <v>30</v>
      </c>
    </row>
    <row r="267" spans="1:22" hidden="1" outlineLevel="2" x14ac:dyDescent="0.25">
      <c r="A267" t="s">
        <v>83</v>
      </c>
      <c r="B267">
        <v>1</v>
      </c>
      <c r="C267" t="s">
        <v>71</v>
      </c>
      <c r="D267" t="s">
        <v>84</v>
      </c>
      <c r="E267" t="s">
        <v>85</v>
      </c>
      <c r="F267">
        <v>220</v>
      </c>
      <c r="G267">
        <v>1050</v>
      </c>
      <c r="H267">
        <v>-2</v>
      </c>
      <c r="I267">
        <v>1983</v>
      </c>
      <c r="J267" t="s">
        <v>59</v>
      </c>
      <c r="K267">
        <v>1482</v>
      </c>
      <c r="L267">
        <v>22.62</v>
      </c>
      <c r="M267">
        <v>8.83</v>
      </c>
      <c r="N267" s="7">
        <f t="shared" si="16"/>
        <v>4.0165655400000007E-2</v>
      </c>
      <c r="O267" s="7">
        <f t="shared" si="17"/>
        <v>0.35466273718200009</v>
      </c>
      <c r="P267">
        <v>88</v>
      </c>
      <c r="Q267">
        <v>2</v>
      </c>
      <c r="R267">
        <v>3</v>
      </c>
      <c r="S267">
        <v>3</v>
      </c>
      <c r="T267">
        <v>3</v>
      </c>
      <c r="U267">
        <v>3</v>
      </c>
      <c r="V267" t="s">
        <v>30</v>
      </c>
    </row>
    <row r="268" spans="1:22" hidden="1" outlineLevel="2" x14ac:dyDescent="0.25">
      <c r="A268" t="s">
        <v>83</v>
      </c>
      <c r="B268">
        <v>1</v>
      </c>
      <c r="C268" t="s">
        <v>71</v>
      </c>
      <c r="D268" t="s">
        <v>84</v>
      </c>
      <c r="E268" t="s">
        <v>85</v>
      </c>
      <c r="F268">
        <v>220</v>
      </c>
      <c r="G268">
        <v>1050</v>
      </c>
      <c r="H268">
        <v>-2</v>
      </c>
      <c r="I268">
        <v>1983</v>
      </c>
      <c r="J268" t="s">
        <v>59</v>
      </c>
      <c r="K268">
        <v>2548</v>
      </c>
      <c r="L268">
        <v>15.98</v>
      </c>
      <c r="M268">
        <v>6.24</v>
      </c>
      <c r="N268" s="7">
        <f t="shared" si="16"/>
        <v>2.0045791399999999E-2</v>
      </c>
      <c r="O268" s="7">
        <f t="shared" si="17"/>
        <v>0.12508573833600001</v>
      </c>
      <c r="P268">
        <v>63</v>
      </c>
      <c r="Q268">
        <v>3.5</v>
      </c>
      <c r="R268">
        <v>4</v>
      </c>
      <c r="S268">
        <v>2.8</v>
      </c>
      <c r="T268">
        <v>2.8</v>
      </c>
      <c r="U268">
        <v>2.5</v>
      </c>
      <c r="V268" t="s">
        <v>38</v>
      </c>
    </row>
    <row r="269" spans="1:22" hidden="1" outlineLevel="2" x14ac:dyDescent="0.25">
      <c r="A269" t="s">
        <v>83</v>
      </c>
      <c r="B269">
        <v>1</v>
      </c>
      <c r="C269" t="s">
        <v>71</v>
      </c>
      <c r="D269" t="s">
        <v>84</v>
      </c>
      <c r="E269" t="s">
        <v>85</v>
      </c>
      <c r="F269">
        <v>220</v>
      </c>
      <c r="G269">
        <v>1050</v>
      </c>
      <c r="H269">
        <v>-2</v>
      </c>
      <c r="I269">
        <v>1983</v>
      </c>
      <c r="J269" t="s">
        <v>32</v>
      </c>
      <c r="K269">
        <v>1596</v>
      </c>
      <c r="L269">
        <v>16.18</v>
      </c>
      <c r="M269">
        <v>7.67</v>
      </c>
      <c r="N269" s="7">
        <f t="shared" si="16"/>
        <v>2.0550703400000002E-2</v>
      </c>
      <c r="O269" s="7">
        <f t="shared" si="17"/>
        <v>0.15762389507800001</v>
      </c>
      <c r="P269">
        <v>88</v>
      </c>
      <c r="Q269">
        <v>3.5</v>
      </c>
      <c r="R269">
        <v>3</v>
      </c>
      <c r="S269">
        <v>2.5</v>
      </c>
      <c r="T269">
        <v>4</v>
      </c>
      <c r="U269">
        <v>3</v>
      </c>
      <c r="V269" t="s">
        <v>27</v>
      </c>
    </row>
    <row r="270" spans="1:22" hidden="1" outlineLevel="2" x14ac:dyDescent="0.25">
      <c r="A270" t="s">
        <v>83</v>
      </c>
      <c r="B270">
        <v>1</v>
      </c>
      <c r="C270" t="s">
        <v>71</v>
      </c>
      <c r="D270" t="s">
        <v>84</v>
      </c>
      <c r="E270" t="s">
        <v>85</v>
      </c>
      <c r="F270">
        <v>220</v>
      </c>
      <c r="G270">
        <v>1050</v>
      </c>
      <c r="H270">
        <v>-2</v>
      </c>
      <c r="I270">
        <v>1983</v>
      </c>
      <c r="J270" t="s">
        <v>32</v>
      </c>
      <c r="K270">
        <v>2569</v>
      </c>
      <c r="L270">
        <v>18.440000000000001</v>
      </c>
      <c r="M270">
        <v>8.74</v>
      </c>
      <c r="N270" s="7">
        <f t="shared" si="16"/>
        <v>2.6692637600000003E-2</v>
      </c>
      <c r="O270" s="7">
        <f t="shared" si="17"/>
        <v>0.23329365262400004</v>
      </c>
      <c r="P270">
        <v>100</v>
      </c>
      <c r="Q270">
        <v>3.5</v>
      </c>
      <c r="R270">
        <v>3.5</v>
      </c>
      <c r="S270">
        <v>2.8</v>
      </c>
      <c r="T270">
        <v>4</v>
      </c>
      <c r="U270">
        <v>2.8</v>
      </c>
      <c r="V270" t="s">
        <v>25</v>
      </c>
    </row>
    <row r="271" spans="1:22" hidden="1" outlineLevel="2" x14ac:dyDescent="0.25">
      <c r="A271" t="s">
        <v>83</v>
      </c>
      <c r="B271">
        <v>1</v>
      </c>
      <c r="C271" t="s">
        <v>71</v>
      </c>
      <c r="D271" t="s">
        <v>84</v>
      </c>
      <c r="E271" t="s">
        <v>85</v>
      </c>
      <c r="F271">
        <v>220</v>
      </c>
      <c r="G271">
        <v>1050</v>
      </c>
      <c r="H271">
        <v>-2</v>
      </c>
      <c r="I271">
        <v>1983</v>
      </c>
      <c r="J271" t="s">
        <v>33</v>
      </c>
      <c r="K271">
        <v>2547</v>
      </c>
      <c r="L271">
        <v>21.25</v>
      </c>
      <c r="M271">
        <v>9.6199999999999992</v>
      </c>
      <c r="N271" s="7">
        <f t="shared" si="16"/>
        <v>3.5447656250000001E-2</v>
      </c>
      <c r="O271" s="7">
        <f t="shared" si="17"/>
        <v>0.341006453125</v>
      </c>
      <c r="P271">
        <v>100</v>
      </c>
      <c r="Q271">
        <v>3.5</v>
      </c>
      <c r="R271">
        <v>2.5</v>
      </c>
      <c r="S271">
        <v>3</v>
      </c>
      <c r="T271">
        <v>3</v>
      </c>
      <c r="U271">
        <v>2</v>
      </c>
      <c r="V271" t="s">
        <v>25</v>
      </c>
    </row>
    <row r="272" spans="1:22" hidden="1" outlineLevel="2" x14ac:dyDescent="0.25">
      <c r="A272" t="s">
        <v>83</v>
      </c>
      <c r="B272">
        <v>1</v>
      </c>
      <c r="C272" t="s">
        <v>71</v>
      </c>
      <c r="D272" t="s">
        <v>84</v>
      </c>
      <c r="E272" t="s">
        <v>85</v>
      </c>
      <c r="F272">
        <v>220</v>
      </c>
      <c r="G272">
        <v>1050</v>
      </c>
      <c r="H272">
        <v>-2</v>
      </c>
      <c r="I272">
        <v>1983</v>
      </c>
      <c r="J272" t="s">
        <v>33</v>
      </c>
      <c r="K272">
        <v>2568</v>
      </c>
      <c r="L272">
        <v>16.7</v>
      </c>
      <c r="M272">
        <v>7.64</v>
      </c>
      <c r="N272" s="7">
        <f t="shared" si="16"/>
        <v>2.1892864999999997E-2</v>
      </c>
      <c r="O272" s="7">
        <f t="shared" si="17"/>
        <v>0.16726148859999998</v>
      </c>
      <c r="P272">
        <v>100</v>
      </c>
      <c r="Q272">
        <v>3.5</v>
      </c>
      <c r="R272">
        <v>2.8</v>
      </c>
      <c r="S272">
        <v>3</v>
      </c>
      <c r="T272">
        <v>3</v>
      </c>
      <c r="U272">
        <v>2</v>
      </c>
      <c r="V272" t="s">
        <v>25</v>
      </c>
    </row>
    <row r="273" spans="1:22" hidden="1" outlineLevel="2" x14ac:dyDescent="0.25">
      <c r="A273" t="s">
        <v>83</v>
      </c>
      <c r="B273">
        <v>1</v>
      </c>
      <c r="C273" t="s">
        <v>71</v>
      </c>
      <c r="D273" t="s">
        <v>84</v>
      </c>
      <c r="E273" t="s">
        <v>85</v>
      </c>
      <c r="F273">
        <v>220</v>
      </c>
      <c r="G273">
        <v>1050</v>
      </c>
      <c r="H273">
        <v>-2</v>
      </c>
      <c r="I273">
        <v>1983</v>
      </c>
      <c r="J273" t="s">
        <v>34</v>
      </c>
      <c r="K273">
        <v>1522</v>
      </c>
      <c r="L273">
        <v>15.73</v>
      </c>
      <c r="M273">
        <v>7.8</v>
      </c>
      <c r="N273" s="7">
        <f t="shared" si="16"/>
        <v>1.9423482650000001E-2</v>
      </c>
      <c r="O273" s="7">
        <f t="shared" si="17"/>
        <v>0.15150316467</v>
      </c>
      <c r="P273">
        <v>88</v>
      </c>
      <c r="Q273">
        <v>3.5</v>
      </c>
      <c r="R273">
        <v>2.8</v>
      </c>
      <c r="S273">
        <v>3</v>
      </c>
      <c r="T273">
        <v>3.5</v>
      </c>
      <c r="U273">
        <v>3.5</v>
      </c>
      <c r="V273" t="s">
        <v>27</v>
      </c>
    </row>
    <row r="274" spans="1:22" hidden="1" outlineLevel="2" x14ac:dyDescent="0.25">
      <c r="A274" t="s">
        <v>83</v>
      </c>
      <c r="B274">
        <v>1</v>
      </c>
      <c r="C274" t="s">
        <v>71</v>
      </c>
      <c r="D274" t="s">
        <v>84</v>
      </c>
      <c r="E274" t="s">
        <v>85</v>
      </c>
      <c r="F274">
        <v>220</v>
      </c>
      <c r="G274">
        <v>1050</v>
      </c>
      <c r="H274">
        <v>-2</v>
      </c>
      <c r="I274">
        <v>1983</v>
      </c>
      <c r="J274" t="s">
        <v>34</v>
      </c>
      <c r="K274">
        <v>2570</v>
      </c>
      <c r="L274">
        <v>16.55</v>
      </c>
      <c r="M274">
        <v>8.2100000000000009</v>
      </c>
      <c r="N274" s="7">
        <f t="shared" si="16"/>
        <v>2.1501346250000001E-2</v>
      </c>
      <c r="O274" s="7">
        <f t="shared" si="17"/>
        <v>0.17652605271250002</v>
      </c>
      <c r="P274">
        <v>100</v>
      </c>
      <c r="Q274">
        <v>3.5</v>
      </c>
      <c r="R274">
        <v>3</v>
      </c>
      <c r="S274">
        <v>3.5</v>
      </c>
      <c r="T274">
        <v>3.3</v>
      </c>
      <c r="U274">
        <v>3</v>
      </c>
      <c r="V274" t="s">
        <v>25</v>
      </c>
    </row>
    <row r="275" spans="1:22" hidden="1" outlineLevel="2" x14ac:dyDescent="0.25">
      <c r="A275" t="s">
        <v>83</v>
      </c>
      <c r="B275">
        <v>1</v>
      </c>
      <c r="C275" t="s">
        <v>71</v>
      </c>
      <c r="D275" t="s">
        <v>84</v>
      </c>
      <c r="E275" t="s">
        <v>85</v>
      </c>
      <c r="F275">
        <v>220</v>
      </c>
      <c r="G275">
        <v>1050</v>
      </c>
      <c r="H275">
        <v>-2</v>
      </c>
      <c r="I275">
        <v>1983</v>
      </c>
      <c r="J275" t="s">
        <v>35</v>
      </c>
      <c r="K275">
        <v>2571</v>
      </c>
      <c r="L275">
        <v>13.67</v>
      </c>
      <c r="M275">
        <v>5.24</v>
      </c>
      <c r="N275" s="7">
        <f t="shared" si="16"/>
        <v>1.466920865E-2</v>
      </c>
      <c r="O275" s="7">
        <f t="shared" si="17"/>
        <v>7.6866653325999998E-2</v>
      </c>
      <c r="P275">
        <v>63</v>
      </c>
      <c r="Q275">
        <v>2.5</v>
      </c>
      <c r="R275">
        <v>2</v>
      </c>
      <c r="S275">
        <v>2.5</v>
      </c>
      <c r="T275">
        <v>3.3</v>
      </c>
      <c r="U275">
        <v>3</v>
      </c>
      <c r="V275" t="s">
        <v>25</v>
      </c>
    </row>
    <row r="276" spans="1:22" hidden="1" outlineLevel="2" x14ac:dyDescent="0.25">
      <c r="A276" t="s">
        <v>83</v>
      </c>
      <c r="B276">
        <v>1</v>
      </c>
      <c r="C276" t="s">
        <v>71</v>
      </c>
      <c r="D276" t="s">
        <v>84</v>
      </c>
      <c r="E276" t="s">
        <v>85</v>
      </c>
      <c r="F276">
        <v>220</v>
      </c>
      <c r="G276">
        <v>1050</v>
      </c>
      <c r="H276">
        <v>-2</v>
      </c>
      <c r="I276">
        <v>1983</v>
      </c>
      <c r="J276" t="s">
        <v>81</v>
      </c>
      <c r="K276">
        <v>2750</v>
      </c>
      <c r="L276">
        <v>12.8</v>
      </c>
      <c r="M276">
        <v>7.25</v>
      </c>
      <c r="N276" s="7">
        <f t="shared" si="16"/>
        <v>1.286144E-2</v>
      </c>
      <c r="O276" s="7">
        <f t="shared" si="17"/>
        <v>9.3245439999999999E-2</v>
      </c>
      <c r="P276">
        <v>50</v>
      </c>
      <c r="Q276">
        <v>2.2999999999999998</v>
      </c>
      <c r="R276">
        <v>4.5</v>
      </c>
      <c r="S276">
        <v>2.5</v>
      </c>
      <c r="T276">
        <v>3</v>
      </c>
      <c r="U276">
        <v>3</v>
      </c>
      <c r="V276" t="s">
        <v>38</v>
      </c>
    </row>
    <row r="277" spans="1:22" hidden="1" outlineLevel="2" x14ac:dyDescent="0.25">
      <c r="A277" t="s">
        <v>83</v>
      </c>
      <c r="B277">
        <v>1</v>
      </c>
      <c r="C277" t="s">
        <v>71</v>
      </c>
      <c r="D277" t="s">
        <v>84</v>
      </c>
      <c r="E277" t="s">
        <v>85</v>
      </c>
      <c r="F277">
        <v>220</v>
      </c>
      <c r="G277">
        <v>1050</v>
      </c>
      <c r="H277">
        <v>-2</v>
      </c>
      <c r="I277">
        <v>1983</v>
      </c>
      <c r="J277" t="s">
        <v>62</v>
      </c>
      <c r="K277">
        <v>2553</v>
      </c>
      <c r="L277">
        <v>20.82</v>
      </c>
      <c r="M277">
        <v>11.37</v>
      </c>
      <c r="N277" s="7">
        <f t="shared" si="16"/>
        <v>3.4027583399999999E-2</v>
      </c>
      <c r="O277" s="7">
        <f t="shared" si="17"/>
        <v>0.38689362325799997</v>
      </c>
      <c r="P277">
        <v>88</v>
      </c>
      <c r="Q277">
        <v>2.5</v>
      </c>
      <c r="R277">
        <v>3.3</v>
      </c>
      <c r="S277">
        <v>3.3</v>
      </c>
      <c r="T277">
        <v>3</v>
      </c>
      <c r="U277">
        <v>2.2999999999999998</v>
      </c>
      <c r="V277" t="s">
        <v>38</v>
      </c>
    </row>
    <row r="278" spans="1:22" hidden="1" outlineLevel="2" x14ac:dyDescent="0.25">
      <c r="A278" t="s">
        <v>83</v>
      </c>
      <c r="B278">
        <v>1</v>
      </c>
      <c r="C278" t="s">
        <v>71</v>
      </c>
      <c r="D278" t="s">
        <v>84</v>
      </c>
      <c r="E278" t="s">
        <v>85</v>
      </c>
      <c r="F278">
        <v>220</v>
      </c>
      <c r="G278">
        <v>1050</v>
      </c>
      <c r="H278">
        <v>-2</v>
      </c>
      <c r="I278">
        <v>1983</v>
      </c>
      <c r="J278" t="s">
        <v>37</v>
      </c>
      <c r="K278">
        <v>2575</v>
      </c>
      <c r="L278">
        <v>6.65</v>
      </c>
      <c r="M278">
        <v>5.08</v>
      </c>
      <c r="N278" s="7">
        <f t="shared" si="16"/>
        <v>3.4714662500000006E-3</v>
      </c>
      <c r="O278" s="7">
        <f t="shared" si="17"/>
        <v>1.7635048550000004E-2</v>
      </c>
      <c r="P278">
        <v>88</v>
      </c>
      <c r="Q278">
        <v>2.5</v>
      </c>
      <c r="R278">
        <v>2.5</v>
      </c>
      <c r="S278">
        <v>2.5</v>
      </c>
      <c r="T278">
        <v>3</v>
      </c>
      <c r="U278">
        <v>3</v>
      </c>
      <c r="V278" t="s">
        <v>38</v>
      </c>
    </row>
    <row r="279" spans="1:22" hidden="1" outlineLevel="2" x14ac:dyDescent="0.25">
      <c r="A279" t="s">
        <v>83</v>
      </c>
      <c r="B279">
        <v>1</v>
      </c>
      <c r="C279" t="s">
        <v>71</v>
      </c>
      <c r="D279" t="s">
        <v>84</v>
      </c>
      <c r="E279" t="s">
        <v>85</v>
      </c>
      <c r="F279">
        <v>220</v>
      </c>
      <c r="G279">
        <v>1050</v>
      </c>
      <c r="H279">
        <v>-2</v>
      </c>
      <c r="I279">
        <v>1983</v>
      </c>
      <c r="J279" t="s">
        <v>26</v>
      </c>
      <c r="K279">
        <v>2552</v>
      </c>
      <c r="L279">
        <v>18.88</v>
      </c>
      <c r="M279">
        <v>9.59</v>
      </c>
      <c r="N279" s="7">
        <f t="shared" si="16"/>
        <v>2.7981670400000002E-2</v>
      </c>
      <c r="O279" s="7">
        <f t="shared" si="17"/>
        <v>0.26834421913600004</v>
      </c>
      <c r="P279">
        <v>75</v>
      </c>
      <c r="Q279">
        <v>3</v>
      </c>
      <c r="R279">
        <v>3</v>
      </c>
      <c r="S279">
        <v>3</v>
      </c>
      <c r="T279">
        <v>3.3</v>
      </c>
      <c r="U279">
        <v>3</v>
      </c>
      <c r="V279" t="s">
        <v>25</v>
      </c>
    </row>
    <row r="280" spans="1:22" hidden="1" outlineLevel="2" x14ac:dyDescent="0.25">
      <c r="A280" t="s">
        <v>83</v>
      </c>
      <c r="B280">
        <v>2</v>
      </c>
      <c r="C280" t="s">
        <v>71</v>
      </c>
      <c r="D280" t="s">
        <v>84</v>
      </c>
      <c r="E280" t="s">
        <v>85</v>
      </c>
      <c r="F280">
        <v>220</v>
      </c>
      <c r="G280">
        <v>1050</v>
      </c>
      <c r="H280">
        <v>-2</v>
      </c>
      <c r="I280">
        <v>1983</v>
      </c>
      <c r="J280" t="s">
        <v>76</v>
      </c>
      <c r="K280">
        <v>1592</v>
      </c>
      <c r="L280">
        <v>24.3</v>
      </c>
      <c r="M280">
        <v>10.49</v>
      </c>
      <c r="N280" s="7">
        <f t="shared" si="16"/>
        <v>4.6353464999999996E-2</v>
      </c>
      <c r="O280" s="7">
        <f t="shared" si="17"/>
        <v>0.48624784784999997</v>
      </c>
      <c r="P280">
        <v>50</v>
      </c>
      <c r="Q280">
        <v>3.5</v>
      </c>
      <c r="R280">
        <v>3</v>
      </c>
      <c r="S280">
        <v>3</v>
      </c>
      <c r="T280">
        <v>4</v>
      </c>
      <c r="U280">
        <v>2.5</v>
      </c>
      <c r="V280" t="s">
        <v>25</v>
      </c>
    </row>
    <row r="281" spans="1:22" hidden="1" outlineLevel="2" x14ac:dyDescent="0.25">
      <c r="A281" t="s">
        <v>83</v>
      </c>
      <c r="B281">
        <v>2</v>
      </c>
      <c r="C281" t="s">
        <v>71</v>
      </c>
      <c r="D281" t="s">
        <v>84</v>
      </c>
      <c r="E281" t="s">
        <v>85</v>
      </c>
      <c r="F281">
        <v>220</v>
      </c>
      <c r="G281">
        <v>1050</v>
      </c>
      <c r="H281">
        <v>-2</v>
      </c>
      <c r="I281">
        <v>1983</v>
      </c>
      <c r="J281" t="s">
        <v>76</v>
      </c>
      <c r="K281">
        <v>2560</v>
      </c>
      <c r="L281">
        <v>16.5</v>
      </c>
      <c r="M281">
        <v>7.08</v>
      </c>
      <c r="N281" s="7">
        <f t="shared" si="16"/>
        <v>2.1371625000000002E-2</v>
      </c>
      <c r="O281" s="7">
        <f t="shared" si="17"/>
        <v>0.151311105</v>
      </c>
      <c r="P281">
        <v>75</v>
      </c>
      <c r="Q281">
        <v>3</v>
      </c>
      <c r="R281">
        <v>3.5</v>
      </c>
      <c r="S281">
        <v>2.5</v>
      </c>
      <c r="T281">
        <v>4</v>
      </c>
      <c r="U281">
        <v>3</v>
      </c>
      <c r="V281" t="s">
        <v>25</v>
      </c>
    </row>
    <row r="282" spans="1:22" hidden="1" outlineLevel="2" x14ac:dyDescent="0.25">
      <c r="A282" t="s">
        <v>83</v>
      </c>
      <c r="B282">
        <v>2</v>
      </c>
      <c r="C282" t="s">
        <v>71</v>
      </c>
      <c r="D282" t="s">
        <v>84</v>
      </c>
      <c r="E282" t="s">
        <v>85</v>
      </c>
      <c r="F282">
        <v>220</v>
      </c>
      <c r="G282">
        <v>1050</v>
      </c>
      <c r="H282">
        <v>-2</v>
      </c>
      <c r="I282">
        <v>1983</v>
      </c>
      <c r="J282" t="s">
        <v>24</v>
      </c>
      <c r="K282">
        <v>2562</v>
      </c>
      <c r="L282">
        <v>17.62</v>
      </c>
      <c r="M282">
        <v>9.9</v>
      </c>
      <c r="N282" s="7">
        <f t="shared" si="16"/>
        <v>2.4371455400000009E-2</v>
      </c>
      <c r="O282" s="7">
        <f t="shared" si="17"/>
        <v>0.24127740846000009</v>
      </c>
      <c r="P282">
        <v>88</v>
      </c>
      <c r="Q282">
        <v>3.3</v>
      </c>
      <c r="R282">
        <v>3.3</v>
      </c>
      <c r="S282">
        <v>3</v>
      </c>
      <c r="T282">
        <v>3.5</v>
      </c>
      <c r="U282">
        <v>3.3</v>
      </c>
      <c r="V282" t="s">
        <v>25</v>
      </c>
    </row>
    <row r="283" spans="1:22" hidden="1" outlineLevel="2" x14ac:dyDescent="0.25">
      <c r="A283" t="s">
        <v>83</v>
      </c>
      <c r="B283">
        <v>2</v>
      </c>
      <c r="C283" t="s">
        <v>71</v>
      </c>
      <c r="D283" t="s">
        <v>84</v>
      </c>
      <c r="E283" t="s">
        <v>85</v>
      </c>
      <c r="F283">
        <v>220</v>
      </c>
      <c r="G283">
        <v>1050</v>
      </c>
      <c r="H283">
        <v>-2</v>
      </c>
      <c r="I283">
        <v>1983</v>
      </c>
      <c r="J283" t="s">
        <v>80</v>
      </c>
      <c r="K283">
        <v>1252</v>
      </c>
      <c r="L283">
        <v>12.52</v>
      </c>
      <c r="M283">
        <v>9.23</v>
      </c>
      <c r="N283" s="7">
        <f t="shared" si="16"/>
        <v>1.2304906400000001E-2</v>
      </c>
      <c r="O283" s="7">
        <f t="shared" si="17"/>
        <v>0.11357428607200001</v>
      </c>
      <c r="P283">
        <v>100</v>
      </c>
      <c r="Q283">
        <v>3</v>
      </c>
      <c r="R283">
        <v>2.8</v>
      </c>
      <c r="S283">
        <v>2</v>
      </c>
      <c r="T283">
        <v>2.8</v>
      </c>
      <c r="U283">
        <v>2</v>
      </c>
      <c r="V283" t="s">
        <v>30</v>
      </c>
    </row>
    <row r="284" spans="1:22" hidden="1" outlineLevel="2" x14ac:dyDescent="0.25">
      <c r="A284" t="s">
        <v>83</v>
      </c>
      <c r="B284">
        <v>2</v>
      </c>
      <c r="C284" t="s">
        <v>71</v>
      </c>
      <c r="D284" t="s">
        <v>84</v>
      </c>
      <c r="E284" t="s">
        <v>85</v>
      </c>
      <c r="F284">
        <v>220</v>
      </c>
      <c r="G284">
        <v>1050</v>
      </c>
      <c r="H284">
        <v>-2</v>
      </c>
      <c r="I284">
        <v>1983</v>
      </c>
      <c r="J284" t="s">
        <v>59</v>
      </c>
      <c r="K284">
        <v>1482</v>
      </c>
      <c r="L284">
        <v>21.8</v>
      </c>
      <c r="M284">
        <v>8.52</v>
      </c>
      <c r="N284" s="7">
        <f t="shared" si="16"/>
        <v>3.730634E-2</v>
      </c>
      <c r="O284" s="7">
        <f t="shared" si="17"/>
        <v>0.31785001679999997</v>
      </c>
      <c r="P284">
        <v>100</v>
      </c>
      <c r="Q284">
        <v>2</v>
      </c>
      <c r="R284">
        <v>3</v>
      </c>
      <c r="S284">
        <v>3</v>
      </c>
      <c r="T284">
        <v>3</v>
      </c>
      <c r="U284">
        <v>3</v>
      </c>
      <c r="V284" t="s">
        <v>50</v>
      </c>
    </row>
    <row r="285" spans="1:22" hidden="1" outlineLevel="2" x14ac:dyDescent="0.25">
      <c r="A285" t="s">
        <v>83</v>
      </c>
      <c r="B285">
        <v>2</v>
      </c>
      <c r="C285" t="s">
        <v>71</v>
      </c>
      <c r="D285" t="s">
        <v>84</v>
      </c>
      <c r="E285" t="s">
        <v>85</v>
      </c>
      <c r="F285">
        <v>220</v>
      </c>
      <c r="G285">
        <v>1050</v>
      </c>
      <c r="H285">
        <v>-2</v>
      </c>
      <c r="I285">
        <v>1983</v>
      </c>
      <c r="J285" t="s">
        <v>59</v>
      </c>
      <c r="K285">
        <v>2548</v>
      </c>
      <c r="L285">
        <v>13.7</v>
      </c>
      <c r="M285">
        <v>5.35</v>
      </c>
      <c r="N285" s="7">
        <f t="shared" si="16"/>
        <v>1.4733664999999996E-2</v>
      </c>
      <c r="O285" s="7">
        <f t="shared" si="17"/>
        <v>7.882510774999997E-2</v>
      </c>
      <c r="P285">
        <v>88</v>
      </c>
      <c r="Q285">
        <v>4</v>
      </c>
      <c r="R285">
        <v>3</v>
      </c>
      <c r="S285">
        <v>2</v>
      </c>
      <c r="T285">
        <v>3</v>
      </c>
      <c r="U285">
        <v>1.5</v>
      </c>
      <c r="V285" t="s">
        <v>25</v>
      </c>
    </row>
    <row r="286" spans="1:22" hidden="1" outlineLevel="2" x14ac:dyDescent="0.25">
      <c r="A286" t="s">
        <v>83</v>
      </c>
      <c r="B286">
        <v>2</v>
      </c>
      <c r="C286" t="s">
        <v>71</v>
      </c>
      <c r="D286" t="s">
        <v>84</v>
      </c>
      <c r="E286" t="s">
        <v>85</v>
      </c>
      <c r="F286">
        <v>220</v>
      </c>
      <c r="G286">
        <v>1050</v>
      </c>
      <c r="H286">
        <v>-2</v>
      </c>
      <c r="I286">
        <v>1983</v>
      </c>
      <c r="J286" t="s">
        <v>32</v>
      </c>
      <c r="K286">
        <v>1596</v>
      </c>
      <c r="L286">
        <v>10.97</v>
      </c>
      <c r="M286">
        <v>5.2</v>
      </c>
      <c r="N286" s="7">
        <f t="shared" si="16"/>
        <v>9.4467606500000002E-3</v>
      </c>
      <c r="O286" s="7">
        <f t="shared" si="17"/>
        <v>4.9123155380000005E-2</v>
      </c>
      <c r="P286">
        <v>50</v>
      </c>
      <c r="Q286">
        <v>3.3</v>
      </c>
      <c r="R286">
        <v>3</v>
      </c>
      <c r="S286">
        <v>3.3</v>
      </c>
      <c r="T286">
        <v>4</v>
      </c>
      <c r="U286">
        <v>3.5</v>
      </c>
      <c r="V286" t="s">
        <v>25</v>
      </c>
    </row>
    <row r="287" spans="1:22" hidden="1" outlineLevel="2" x14ac:dyDescent="0.25">
      <c r="A287" t="s">
        <v>83</v>
      </c>
      <c r="B287">
        <v>2</v>
      </c>
      <c r="C287" t="s">
        <v>71</v>
      </c>
      <c r="D287" t="s">
        <v>84</v>
      </c>
      <c r="E287" t="s">
        <v>85</v>
      </c>
      <c r="F287">
        <v>220</v>
      </c>
      <c r="G287">
        <v>1050</v>
      </c>
      <c r="H287">
        <v>-2</v>
      </c>
      <c r="I287">
        <v>1983</v>
      </c>
      <c r="J287" t="s">
        <v>32</v>
      </c>
      <c r="K287">
        <v>2569</v>
      </c>
      <c r="L287">
        <v>20.86</v>
      </c>
      <c r="M287">
        <v>9.89</v>
      </c>
      <c r="N287" s="7">
        <f t="shared" si="16"/>
        <v>3.4158458600000004E-2</v>
      </c>
      <c r="O287" s="7">
        <f t="shared" si="17"/>
        <v>0.33782715555400006</v>
      </c>
      <c r="P287">
        <v>25</v>
      </c>
      <c r="Q287">
        <v>1.5</v>
      </c>
      <c r="R287">
        <v>3</v>
      </c>
      <c r="S287">
        <v>3</v>
      </c>
      <c r="T287">
        <v>3</v>
      </c>
      <c r="U287">
        <v>3</v>
      </c>
      <c r="V287" t="s">
        <v>50</v>
      </c>
    </row>
    <row r="288" spans="1:22" hidden="1" outlineLevel="2" x14ac:dyDescent="0.25">
      <c r="A288" t="s">
        <v>83</v>
      </c>
      <c r="B288">
        <v>2</v>
      </c>
      <c r="C288" t="s">
        <v>71</v>
      </c>
      <c r="D288" t="s">
        <v>84</v>
      </c>
      <c r="E288" t="s">
        <v>85</v>
      </c>
      <c r="F288">
        <v>220</v>
      </c>
      <c r="G288">
        <v>1050</v>
      </c>
      <c r="H288">
        <v>-2</v>
      </c>
      <c r="I288">
        <v>1983</v>
      </c>
      <c r="J288" t="s">
        <v>33</v>
      </c>
      <c r="K288">
        <v>2547</v>
      </c>
      <c r="L288">
        <v>20.309999999999999</v>
      </c>
      <c r="M288">
        <v>9.27</v>
      </c>
      <c r="N288" s="7">
        <f t="shared" si="16"/>
        <v>3.2380943849999996E-2</v>
      </c>
      <c r="O288" s="7">
        <f t="shared" si="17"/>
        <v>0.30017134948949997</v>
      </c>
      <c r="P288">
        <v>100</v>
      </c>
      <c r="Q288">
        <v>4</v>
      </c>
      <c r="R288">
        <v>2.5</v>
      </c>
      <c r="S288">
        <v>2.8</v>
      </c>
      <c r="T288">
        <v>2.5</v>
      </c>
      <c r="U288">
        <v>2.5</v>
      </c>
      <c r="V288" t="s">
        <v>25</v>
      </c>
    </row>
    <row r="289" spans="1:22" hidden="1" outlineLevel="2" x14ac:dyDescent="0.25">
      <c r="A289" t="s">
        <v>83</v>
      </c>
      <c r="B289">
        <v>2</v>
      </c>
      <c r="C289" t="s">
        <v>71</v>
      </c>
      <c r="D289" t="s">
        <v>84</v>
      </c>
      <c r="E289" t="s">
        <v>85</v>
      </c>
      <c r="F289">
        <v>220</v>
      </c>
      <c r="G289">
        <v>1050</v>
      </c>
      <c r="H289">
        <v>-2</v>
      </c>
      <c r="I289">
        <v>1983</v>
      </c>
      <c r="J289" t="s">
        <v>33</v>
      </c>
      <c r="K289">
        <v>2568</v>
      </c>
      <c r="L289">
        <v>20.29</v>
      </c>
      <c r="M289">
        <v>9.27</v>
      </c>
      <c r="N289" s="7">
        <f t="shared" si="16"/>
        <v>3.2317201849999998E-2</v>
      </c>
      <c r="O289" s="7">
        <f t="shared" si="17"/>
        <v>0.29958046114949999</v>
      </c>
      <c r="P289">
        <v>88</v>
      </c>
      <c r="Q289">
        <v>2</v>
      </c>
      <c r="R289">
        <v>2.5</v>
      </c>
      <c r="S289">
        <v>3</v>
      </c>
      <c r="T289">
        <v>3</v>
      </c>
      <c r="U289">
        <v>2</v>
      </c>
      <c r="V289" t="s">
        <v>30</v>
      </c>
    </row>
    <row r="290" spans="1:22" hidden="1" outlineLevel="2" x14ac:dyDescent="0.25">
      <c r="A290" t="s">
        <v>83</v>
      </c>
      <c r="B290">
        <v>2</v>
      </c>
      <c r="C290" t="s">
        <v>71</v>
      </c>
      <c r="D290" t="s">
        <v>84</v>
      </c>
      <c r="E290" t="s">
        <v>85</v>
      </c>
      <c r="F290">
        <v>220</v>
      </c>
      <c r="G290">
        <v>1050</v>
      </c>
      <c r="H290">
        <v>-2</v>
      </c>
      <c r="I290">
        <v>1983</v>
      </c>
      <c r="J290" t="s">
        <v>34</v>
      </c>
      <c r="K290">
        <v>1522</v>
      </c>
      <c r="L290">
        <v>7.6</v>
      </c>
      <c r="M290">
        <v>3.76</v>
      </c>
      <c r="N290" s="7">
        <f t="shared" si="16"/>
        <v>4.5341599999999998E-3</v>
      </c>
      <c r="O290" s="7">
        <f t="shared" si="17"/>
        <v>1.7048441599999999E-2</v>
      </c>
      <c r="P290">
        <v>63</v>
      </c>
      <c r="Q290">
        <v>2</v>
      </c>
      <c r="R290">
        <v>3</v>
      </c>
      <c r="S290">
        <v>3</v>
      </c>
      <c r="T290">
        <v>3</v>
      </c>
      <c r="U290">
        <v>3</v>
      </c>
      <c r="V290" t="s">
        <v>50</v>
      </c>
    </row>
    <row r="291" spans="1:22" hidden="1" outlineLevel="2" x14ac:dyDescent="0.25">
      <c r="A291" t="s">
        <v>83</v>
      </c>
      <c r="B291">
        <v>2</v>
      </c>
      <c r="C291" t="s">
        <v>71</v>
      </c>
      <c r="D291" t="s">
        <v>84</v>
      </c>
      <c r="E291" t="s">
        <v>85</v>
      </c>
      <c r="F291">
        <v>220</v>
      </c>
      <c r="G291">
        <v>1050</v>
      </c>
      <c r="H291">
        <v>-2</v>
      </c>
      <c r="I291">
        <v>1983</v>
      </c>
      <c r="J291" t="s">
        <v>34</v>
      </c>
      <c r="K291">
        <v>2570</v>
      </c>
      <c r="L291">
        <v>19.010000000000002</v>
      </c>
      <c r="M291">
        <v>9.41</v>
      </c>
      <c r="N291" s="7">
        <f t="shared" si="16"/>
        <v>2.8368337850000005E-2</v>
      </c>
      <c r="O291" s="7">
        <f t="shared" si="17"/>
        <v>0.26694605916850006</v>
      </c>
      <c r="P291">
        <v>75</v>
      </c>
      <c r="Q291">
        <v>3.5</v>
      </c>
      <c r="R291">
        <v>3</v>
      </c>
      <c r="S291">
        <v>3.5</v>
      </c>
      <c r="T291">
        <v>3.5</v>
      </c>
      <c r="U291">
        <v>3.5</v>
      </c>
      <c r="V291" t="s">
        <v>25</v>
      </c>
    </row>
    <row r="292" spans="1:22" hidden="1" outlineLevel="2" x14ac:dyDescent="0.25">
      <c r="A292" t="s">
        <v>83</v>
      </c>
      <c r="B292">
        <v>2</v>
      </c>
      <c r="C292" t="s">
        <v>71</v>
      </c>
      <c r="D292" t="s">
        <v>84</v>
      </c>
      <c r="E292" t="s">
        <v>85</v>
      </c>
      <c r="F292">
        <v>220</v>
      </c>
      <c r="G292">
        <v>1050</v>
      </c>
      <c r="H292">
        <v>-2</v>
      </c>
      <c r="I292">
        <v>1983</v>
      </c>
      <c r="J292" t="s">
        <v>35</v>
      </c>
      <c r="K292">
        <v>2571</v>
      </c>
      <c r="L292">
        <v>16.149999999999999</v>
      </c>
      <c r="M292">
        <v>6.19</v>
      </c>
      <c r="N292" s="7">
        <f t="shared" si="16"/>
        <v>2.0474566249999993E-2</v>
      </c>
      <c r="O292" s="7">
        <f t="shared" si="17"/>
        <v>0.12673756508749995</v>
      </c>
      <c r="P292">
        <v>100</v>
      </c>
      <c r="Q292">
        <v>3</v>
      </c>
      <c r="R292">
        <v>2.2999999999999998</v>
      </c>
      <c r="S292">
        <v>3</v>
      </c>
      <c r="T292">
        <v>4</v>
      </c>
      <c r="U292">
        <v>4</v>
      </c>
      <c r="V292" t="s">
        <v>25</v>
      </c>
    </row>
    <row r="293" spans="1:22" hidden="1" outlineLevel="2" x14ac:dyDescent="0.25">
      <c r="A293" t="s">
        <v>83</v>
      </c>
      <c r="B293">
        <v>2</v>
      </c>
      <c r="C293" t="s">
        <v>71</v>
      </c>
      <c r="D293" t="s">
        <v>84</v>
      </c>
      <c r="E293" t="s">
        <v>85</v>
      </c>
      <c r="F293">
        <v>220</v>
      </c>
      <c r="G293">
        <v>1050</v>
      </c>
      <c r="H293">
        <v>-2</v>
      </c>
      <c r="I293">
        <v>1983</v>
      </c>
      <c r="J293" t="s">
        <v>81</v>
      </c>
      <c r="K293">
        <v>2750</v>
      </c>
      <c r="L293">
        <v>14.5</v>
      </c>
      <c r="M293">
        <v>8.17</v>
      </c>
      <c r="N293" s="7">
        <f t="shared" si="16"/>
        <v>1.6504624999999998E-2</v>
      </c>
      <c r="O293" s="7">
        <f t="shared" si="17"/>
        <v>0.13484278624999999</v>
      </c>
      <c r="P293">
        <v>88</v>
      </c>
      <c r="Q293">
        <v>1</v>
      </c>
      <c r="R293">
        <v>3</v>
      </c>
      <c r="S293">
        <v>3</v>
      </c>
      <c r="T293">
        <v>3</v>
      </c>
      <c r="U293">
        <v>3</v>
      </c>
      <c r="V293" t="s">
        <v>50</v>
      </c>
    </row>
    <row r="294" spans="1:22" hidden="1" outlineLevel="2" x14ac:dyDescent="0.25">
      <c r="A294" t="s">
        <v>83</v>
      </c>
      <c r="B294">
        <v>2</v>
      </c>
      <c r="C294" t="s">
        <v>71</v>
      </c>
      <c r="D294" t="s">
        <v>84</v>
      </c>
      <c r="E294" t="s">
        <v>85</v>
      </c>
      <c r="F294">
        <v>220</v>
      </c>
      <c r="G294">
        <v>1050</v>
      </c>
      <c r="H294">
        <v>-2</v>
      </c>
      <c r="I294">
        <v>1983</v>
      </c>
      <c r="J294" t="s">
        <v>62</v>
      </c>
      <c r="K294">
        <v>2553</v>
      </c>
      <c r="L294">
        <v>11.28</v>
      </c>
      <c r="M294">
        <v>6.41</v>
      </c>
      <c r="N294" s="7">
        <f t="shared" si="16"/>
        <v>9.9882144000000006E-3</v>
      </c>
      <c r="O294" s="7">
        <f t="shared" si="17"/>
        <v>6.4024454304E-2</v>
      </c>
      <c r="P294">
        <v>50</v>
      </c>
      <c r="Q294">
        <v>4</v>
      </c>
      <c r="R294">
        <v>3.5</v>
      </c>
      <c r="S294">
        <v>3.5</v>
      </c>
      <c r="T294">
        <v>3.5</v>
      </c>
      <c r="U294">
        <v>3</v>
      </c>
      <c r="V294" t="s">
        <v>25</v>
      </c>
    </row>
    <row r="295" spans="1:22" hidden="1" outlineLevel="2" x14ac:dyDescent="0.25">
      <c r="A295" t="s">
        <v>83</v>
      </c>
      <c r="B295">
        <v>2</v>
      </c>
      <c r="C295" t="s">
        <v>71</v>
      </c>
      <c r="D295" t="s">
        <v>84</v>
      </c>
      <c r="E295" t="s">
        <v>85</v>
      </c>
      <c r="F295">
        <v>220</v>
      </c>
      <c r="G295">
        <v>1050</v>
      </c>
      <c r="H295">
        <v>-2</v>
      </c>
      <c r="I295">
        <v>1983</v>
      </c>
      <c r="J295" t="s">
        <v>37</v>
      </c>
      <c r="K295">
        <v>2575</v>
      </c>
      <c r="L295">
        <v>13.31</v>
      </c>
      <c r="M295">
        <v>8.75</v>
      </c>
      <c r="N295" s="7">
        <f t="shared" ref="N295:N315" si="18">3.14/4*((L295/100)^2)</f>
        <v>1.390675385E-2</v>
      </c>
      <c r="O295" s="7">
        <f t="shared" ref="O295:O315" si="19">3.14/4*((L295/100)^2)*M295</f>
        <v>0.12168409618750001</v>
      </c>
      <c r="P295">
        <v>75</v>
      </c>
      <c r="Q295">
        <v>2.8</v>
      </c>
      <c r="R295">
        <v>3</v>
      </c>
      <c r="S295">
        <v>2.5</v>
      </c>
      <c r="T295">
        <v>3</v>
      </c>
      <c r="U295">
        <v>2.5</v>
      </c>
      <c r="V295" t="s">
        <v>30</v>
      </c>
    </row>
    <row r="296" spans="1:22" hidden="1" outlineLevel="2" x14ac:dyDescent="0.25">
      <c r="A296" t="s">
        <v>83</v>
      </c>
      <c r="B296">
        <v>2</v>
      </c>
      <c r="C296" t="s">
        <v>71</v>
      </c>
      <c r="D296" t="s">
        <v>84</v>
      </c>
      <c r="E296" t="s">
        <v>85</v>
      </c>
      <c r="F296">
        <v>220</v>
      </c>
      <c r="G296">
        <v>1050</v>
      </c>
      <c r="H296">
        <v>-2</v>
      </c>
      <c r="I296">
        <v>1983</v>
      </c>
      <c r="J296" t="s">
        <v>26</v>
      </c>
      <c r="K296">
        <v>2552</v>
      </c>
      <c r="L296">
        <v>14.89</v>
      </c>
      <c r="M296">
        <v>7.56</v>
      </c>
      <c r="N296" s="7">
        <f t="shared" si="18"/>
        <v>1.7404399850000002E-2</v>
      </c>
      <c r="O296" s="7">
        <f t="shared" si="19"/>
        <v>0.13157726286599999</v>
      </c>
      <c r="P296">
        <v>50</v>
      </c>
      <c r="Q296">
        <v>4</v>
      </c>
      <c r="R296">
        <v>4</v>
      </c>
      <c r="S296">
        <v>2</v>
      </c>
      <c r="T296">
        <v>3</v>
      </c>
      <c r="U296">
        <v>2</v>
      </c>
      <c r="V296" t="s">
        <v>25</v>
      </c>
    </row>
    <row r="297" spans="1:22" hidden="1" outlineLevel="2" x14ac:dyDescent="0.25">
      <c r="A297" t="s">
        <v>83</v>
      </c>
      <c r="B297">
        <v>3</v>
      </c>
      <c r="C297" t="s">
        <v>71</v>
      </c>
      <c r="D297" t="s">
        <v>84</v>
      </c>
      <c r="E297" t="s">
        <v>85</v>
      </c>
      <c r="F297">
        <v>220</v>
      </c>
      <c r="G297">
        <v>1050</v>
      </c>
      <c r="H297">
        <v>-2</v>
      </c>
      <c r="I297">
        <v>1983</v>
      </c>
      <c r="J297" t="s">
        <v>76</v>
      </c>
      <c r="K297">
        <v>1592</v>
      </c>
      <c r="L297">
        <v>19.34</v>
      </c>
      <c r="M297">
        <v>8.3000000000000007</v>
      </c>
      <c r="N297" s="7">
        <f t="shared" si="18"/>
        <v>2.9361794599999998E-2</v>
      </c>
      <c r="O297" s="7">
        <f t="shared" si="19"/>
        <v>0.24370289517999999</v>
      </c>
      <c r="P297">
        <v>100</v>
      </c>
      <c r="Q297">
        <v>3.5</v>
      </c>
      <c r="R297">
        <v>3.5</v>
      </c>
      <c r="S297">
        <v>2.5</v>
      </c>
      <c r="T297">
        <v>3.5</v>
      </c>
      <c r="U297">
        <v>2.5</v>
      </c>
      <c r="V297" t="s">
        <v>25</v>
      </c>
    </row>
    <row r="298" spans="1:22" hidden="1" outlineLevel="2" x14ac:dyDescent="0.25">
      <c r="A298" t="s">
        <v>83</v>
      </c>
      <c r="B298">
        <v>3</v>
      </c>
      <c r="C298" t="s">
        <v>71</v>
      </c>
      <c r="D298" t="s">
        <v>84</v>
      </c>
      <c r="E298" t="s">
        <v>85</v>
      </c>
      <c r="F298">
        <v>220</v>
      </c>
      <c r="G298">
        <v>1050</v>
      </c>
      <c r="H298">
        <v>-2</v>
      </c>
      <c r="I298">
        <v>1983</v>
      </c>
      <c r="J298" t="s">
        <v>76</v>
      </c>
      <c r="K298">
        <v>2560</v>
      </c>
      <c r="L298">
        <v>21.27</v>
      </c>
      <c r="M298">
        <v>9.1300000000000008</v>
      </c>
      <c r="N298" s="7">
        <f t="shared" si="18"/>
        <v>3.5514412650000007E-2</v>
      </c>
      <c r="O298" s="7">
        <f t="shared" si="19"/>
        <v>0.32424658749450008</v>
      </c>
      <c r="P298">
        <v>88</v>
      </c>
      <c r="Q298">
        <v>3.3</v>
      </c>
      <c r="R298">
        <v>3.5</v>
      </c>
      <c r="S298">
        <v>2.5</v>
      </c>
      <c r="T298">
        <v>3.3</v>
      </c>
      <c r="U298">
        <v>3</v>
      </c>
      <c r="V298" t="s">
        <v>25</v>
      </c>
    </row>
    <row r="299" spans="1:22" hidden="1" outlineLevel="2" x14ac:dyDescent="0.25">
      <c r="A299" t="s">
        <v>83</v>
      </c>
      <c r="B299">
        <v>3</v>
      </c>
      <c r="C299" t="s">
        <v>71</v>
      </c>
      <c r="D299" t="s">
        <v>84</v>
      </c>
      <c r="E299" t="s">
        <v>85</v>
      </c>
      <c r="F299">
        <v>220</v>
      </c>
      <c r="G299">
        <v>1050</v>
      </c>
      <c r="H299">
        <v>-2</v>
      </c>
      <c r="I299">
        <v>1983</v>
      </c>
      <c r="J299" t="s">
        <v>24</v>
      </c>
      <c r="K299">
        <v>2562</v>
      </c>
      <c r="L299">
        <v>17.62</v>
      </c>
      <c r="M299">
        <v>9.9</v>
      </c>
      <c r="N299" s="7">
        <f t="shared" si="18"/>
        <v>2.4371455400000009E-2</v>
      </c>
      <c r="O299" s="7">
        <f t="shared" si="19"/>
        <v>0.24127740846000009</v>
      </c>
      <c r="P299">
        <v>100</v>
      </c>
      <c r="Q299">
        <v>3.5</v>
      </c>
      <c r="R299">
        <v>3</v>
      </c>
      <c r="S299">
        <v>3</v>
      </c>
      <c r="T299">
        <v>3.3</v>
      </c>
      <c r="U299">
        <v>3.3</v>
      </c>
      <c r="V299" t="s">
        <v>25</v>
      </c>
    </row>
    <row r="300" spans="1:22" hidden="1" outlineLevel="2" x14ac:dyDescent="0.25">
      <c r="A300" t="s">
        <v>83</v>
      </c>
      <c r="B300">
        <v>3</v>
      </c>
      <c r="C300" t="s">
        <v>71</v>
      </c>
      <c r="D300" t="s">
        <v>84</v>
      </c>
      <c r="E300" t="s">
        <v>85</v>
      </c>
      <c r="F300">
        <v>220</v>
      </c>
      <c r="G300">
        <v>1050</v>
      </c>
      <c r="H300">
        <v>-2</v>
      </c>
      <c r="I300">
        <v>1983</v>
      </c>
      <c r="J300" t="s">
        <v>80</v>
      </c>
      <c r="K300">
        <v>1252</v>
      </c>
      <c r="L300">
        <v>10.36</v>
      </c>
      <c r="M300">
        <v>7.54</v>
      </c>
      <c r="N300" s="7">
        <f t="shared" si="18"/>
        <v>8.425373600000001E-3</v>
      </c>
      <c r="O300" s="7">
        <f t="shared" si="19"/>
        <v>6.3527316944000004E-2</v>
      </c>
      <c r="P300">
        <v>100</v>
      </c>
      <c r="Q300">
        <v>2.7</v>
      </c>
      <c r="R300">
        <v>3</v>
      </c>
      <c r="S300">
        <v>2</v>
      </c>
      <c r="T300">
        <v>2</v>
      </c>
      <c r="U300">
        <v>2</v>
      </c>
      <c r="V300" t="s">
        <v>30</v>
      </c>
    </row>
    <row r="301" spans="1:22" hidden="1" outlineLevel="2" x14ac:dyDescent="0.25">
      <c r="A301" t="s">
        <v>83</v>
      </c>
      <c r="B301">
        <v>3</v>
      </c>
      <c r="C301" t="s">
        <v>71</v>
      </c>
      <c r="D301" t="s">
        <v>84</v>
      </c>
      <c r="E301" t="s">
        <v>85</v>
      </c>
      <c r="F301">
        <v>220</v>
      </c>
      <c r="G301">
        <v>1050</v>
      </c>
      <c r="H301">
        <v>-2</v>
      </c>
      <c r="I301">
        <v>1983</v>
      </c>
      <c r="J301" t="s">
        <v>59</v>
      </c>
      <c r="K301">
        <v>1482</v>
      </c>
      <c r="L301">
        <v>22.38</v>
      </c>
      <c r="M301">
        <v>8.74</v>
      </c>
      <c r="N301" s="7">
        <f t="shared" si="18"/>
        <v>3.9317855400000004E-2</v>
      </c>
      <c r="O301" s="7">
        <f t="shared" si="19"/>
        <v>0.34363805619600002</v>
      </c>
      <c r="P301">
        <v>100</v>
      </c>
      <c r="Q301">
        <v>3.7</v>
      </c>
      <c r="R301">
        <v>3</v>
      </c>
      <c r="S301">
        <v>3.2</v>
      </c>
      <c r="T301">
        <v>3.3</v>
      </c>
      <c r="U301">
        <v>2.6</v>
      </c>
      <c r="V301" t="s">
        <v>25</v>
      </c>
    </row>
    <row r="302" spans="1:22" hidden="1" outlineLevel="2" x14ac:dyDescent="0.25">
      <c r="A302" t="s">
        <v>83</v>
      </c>
      <c r="B302">
        <v>3</v>
      </c>
      <c r="C302" t="s">
        <v>71</v>
      </c>
      <c r="D302" t="s">
        <v>84</v>
      </c>
      <c r="E302" t="s">
        <v>85</v>
      </c>
      <c r="F302">
        <v>220</v>
      </c>
      <c r="G302">
        <v>1050</v>
      </c>
      <c r="H302">
        <v>-2</v>
      </c>
      <c r="I302">
        <v>1983</v>
      </c>
      <c r="J302" t="s">
        <v>59</v>
      </c>
      <c r="K302">
        <v>2548</v>
      </c>
      <c r="L302">
        <v>6.34</v>
      </c>
      <c r="M302">
        <v>3.65</v>
      </c>
      <c r="N302" s="7">
        <f t="shared" si="18"/>
        <v>3.1553546000000002E-3</v>
      </c>
      <c r="O302" s="7">
        <f t="shared" si="19"/>
        <v>1.151704429E-2</v>
      </c>
      <c r="P302">
        <v>100</v>
      </c>
      <c r="Q302">
        <v>3</v>
      </c>
      <c r="R302">
        <v>3</v>
      </c>
      <c r="S302">
        <v>2</v>
      </c>
      <c r="T302">
        <v>2.5</v>
      </c>
      <c r="U302">
        <v>2.5</v>
      </c>
      <c r="V302" t="s">
        <v>30</v>
      </c>
    </row>
    <row r="303" spans="1:22" hidden="1" outlineLevel="2" x14ac:dyDescent="0.25">
      <c r="A303" t="s">
        <v>83</v>
      </c>
      <c r="B303">
        <v>3</v>
      </c>
      <c r="C303" t="s">
        <v>71</v>
      </c>
      <c r="D303" t="s">
        <v>84</v>
      </c>
      <c r="E303" t="s">
        <v>85</v>
      </c>
      <c r="F303">
        <v>220</v>
      </c>
      <c r="G303">
        <v>1050</v>
      </c>
      <c r="H303">
        <v>-2</v>
      </c>
      <c r="I303">
        <v>1983</v>
      </c>
      <c r="J303" t="s">
        <v>32</v>
      </c>
      <c r="K303">
        <v>1596</v>
      </c>
      <c r="L303">
        <v>14.77</v>
      </c>
      <c r="M303">
        <v>7</v>
      </c>
      <c r="N303" s="7">
        <f t="shared" si="18"/>
        <v>1.7125002650000002E-2</v>
      </c>
      <c r="O303" s="7">
        <f t="shared" si="19"/>
        <v>0.11987501855000002</v>
      </c>
      <c r="P303">
        <v>100</v>
      </c>
      <c r="Q303">
        <v>3</v>
      </c>
      <c r="R303">
        <v>4</v>
      </c>
      <c r="S303">
        <v>2</v>
      </c>
      <c r="T303">
        <v>3.5</v>
      </c>
      <c r="U303">
        <v>3</v>
      </c>
      <c r="V303" t="s">
        <v>25</v>
      </c>
    </row>
    <row r="304" spans="1:22" hidden="1" outlineLevel="2" x14ac:dyDescent="0.25">
      <c r="A304" t="s">
        <v>83</v>
      </c>
      <c r="B304">
        <v>3</v>
      </c>
      <c r="C304" t="s">
        <v>71</v>
      </c>
      <c r="D304" t="s">
        <v>84</v>
      </c>
      <c r="E304" t="s">
        <v>85</v>
      </c>
      <c r="F304">
        <v>220</v>
      </c>
      <c r="G304">
        <v>1050</v>
      </c>
      <c r="H304">
        <v>-2</v>
      </c>
      <c r="I304">
        <v>1983</v>
      </c>
      <c r="J304" t="s">
        <v>32</v>
      </c>
      <c r="K304">
        <v>2569</v>
      </c>
      <c r="L304">
        <v>10.11</v>
      </c>
      <c r="M304">
        <v>4.79</v>
      </c>
      <c r="N304" s="7">
        <f t="shared" si="18"/>
        <v>8.02364985E-3</v>
      </c>
      <c r="O304" s="7">
        <f t="shared" si="19"/>
        <v>3.8433282781500003E-2</v>
      </c>
      <c r="P304">
        <v>100</v>
      </c>
      <c r="Q304">
        <v>2.7</v>
      </c>
      <c r="R304">
        <v>3.5</v>
      </c>
      <c r="S304">
        <v>2.8</v>
      </c>
      <c r="T304">
        <v>4</v>
      </c>
      <c r="U304">
        <v>4</v>
      </c>
      <c r="V304" t="s">
        <v>25</v>
      </c>
    </row>
    <row r="305" spans="1:22" hidden="1" outlineLevel="2" x14ac:dyDescent="0.25">
      <c r="A305" t="s">
        <v>83</v>
      </c>
      <c r="B305">
        <v>3</v>
      </c>
      <c r="C305" t="s">
        <v>71</v>
      </c>
      <c r="D305" t="s">
        <v>84</v>
      </c>
      <c r="E305" t="s">
        <v>85</v>
      </c>
      <c r="F305">
        <v>220</v>
      </c>
      <c r="G305">
        <v>1050</v>
      </c>
      <c r="H305">
        <v>-2</v>
      </c>
      <c r="I305">
        <v>1983</v>
      </c>
      <c r="J305" t="s">
        <v>33</v>
      </c>
      <c r="K305">
        <v>2547</v>
      </c>
      <c r="L305">
        <v>18.16</v>
      </c>
      <c r="M305">
        <v>8.2899999999999991</v>
      </c>
      <c r="N305" s="7">
        <f t="shared" si="18"/>
        <v>2.5888169600000004E-2</v>
      </c>
      <c r="O305" s="7">
        <f t="shared" si="19"/>
        <v>0.214612925984</v>
      </c>
      <c r="P305">
        <v>75</v>
      </c>
      <c r="Q305">
        <v>4</v>
      </c>
      <c r="R305">
        <v>2.2999999999999998</v>
      </c>
      <c r="S305">
        <v>3.3</v>
      </c>
      <c r="T305">
        <v>3.3</v>
      </c>
      <c r="U305">
        <v>3</v>
      </c>
      <c r="V305" t="s">
        <v>25</v>
      </c>
    </row>
    <row r="306" spans="1:22" hidden="1" outlineLevel="2" x14ac:dyDescent="0.25">
      <c r="A306" t="s">
        <v>83</v>
      </c>
      <c r="B306">
        <v>3</v>
      </c>
      <c r="C306" t="s">
        <v>71</v>
      </c>
      <c r="D306" t="s">
        <v>84</v>
      </c>
      <c r="E306" t="s">
        <v>85</v>
      </c>
      <c r="F306">
        <v>220</v>
      </c>
      <c r="G306">
        <v>1050</v>
      </c>
      <c r="H306">
        <v>-2</v>
      </c>
      <c r="I306">
        <v>1983</v>
      </c>
      <c r="J306" t="s">
        <v>33</v>
      </c>
      <c r="K306">
        <v>2568</v>
      </c>
      <c r="L306">
        <v>21.09</v>
      </c>
      <c r="M306">
        <v>9.6300000000000008</v>
      </c>
      <c r="N306" s="7">
        <f t="shared" si="18"/>
        <v>3.4915865850000005E-2</v>
      </c>
      <c r="O306" s="7">
        <f t="shared" si="19"/>
        <v>0.3362397881355001</v>
      </c>
      <c r="P306">
        <v>63</v>
      </c>
      <c r="Q306">
        <v>4</v>
      </c>
      <c r="R306">
        <v>3</v>
      </c>
      <c r="S306">
        <v>4</v>
      </c>
      <c r="T306">
        <v>3.3</v>
      </c>
      <c r="U306">
        <v>3</v>
      </c>
      <c r="V306" t="s">
        <v>25</v>
      </c>
    </row>
    <row r="307" spans="1:22" hidden="1" outlineLevel="2" x14ac:dyDescent="0.25">
      <c r="A307" t="s">
        <v>83</v>
      </c>
      <c r="B307">
        <v>3</v>
      </c>
      <c r="C307" t="s">
        <v>71</v>
      </c>
      <c r="D307" t="s">
        <v>84</v>
      </c>
      <c r="E307" t="s">
        <v>85</v>
      </c>
      <c r="F307">
        <v>220</v>
      </c>
      <c r="G307">
        <v>1050</v>
      </c>
      <c r="H307">
        <v>-2</v>
      </c>
      <c r="I307">
        <v>1983</v>
      </c>
      <c r="J307" t="s">
        <v>34</v>
      </c>
      <c r="K307">
        <v>1522</v>
      </c>
      <c r="L307">
        <v>17.84</v>
      </c>
      <c r="M307">
        <v>8.83</v>
      </c>
      <c r="N307" s="7">
        <f t="shared" si="18"/>
        <v>2.4983849600000003E-2</v>
      </c>
      <c r="O307" s="7">
        <f t="shared" si="19"/>
        <v>0.22060739196800003</v>
      </c>
      <c r="P307">
        <v>88</v>
      </c>
      <c r="Q307">
        <v>3.5</v>
      </c>
      <c r="R307">
        <v>3</v>
      </c>
      <c r="S307">
        <v>3</v>
      </c>
      <c r="T307">
        <v>3</v>
      </c>
      <c r="U307">
        <v>2.7</v>
      </c>
      <c r="V307" t="s">
        <v>25</v>
      </c>
    </row>
    <row r="308" spans="1:22" hidden="1" outlineLevel="2" x14ac:dyDescent="0.25">
      <c r="A308" t="s">
        <v>83</v>
      </c>
      <c r="B308">
        <v>3</v>
      </c>
      <c r="C308" t="s">
        <v>71</v>
      </c>
      <c r="D308" t="s">
        <v>84</v>
      </c>
      <c r="E308" t="s">
        <v>85</v>
      </c>
      <c r="F308">
        <v>220</v>
      </c>
      <c r="G308">
        <v>1050</v>
      </c>
      <c r="H308">
        <v>-2</v>
      </c>
      <c r="I308">
        <v>1983</v>
      </c>
      <c r="J308" t="s">
        <v>34</v>
      </c>
      <c r="K308">
        <v>2570</v>
      </c>
      <c r="L308">
        <v>18.3</v>
      </c>
      <c r="M308">
        <v>9.06</v>
      </c>
      <c r="N308" s="7">
        <f t="shared" si="18"/>
        <v>2.6288864999999998E-2</v>
      </c>
      <c r="O308" s="7">
        <f t="shared" si="19"/>
        <v>0.23817711689999999</v>
      </c>
      <c r="P308">
        <v>50</v>
      </c>
      <c r="Q308">
        <v>3.5</v>
      </c>
      <c r="R308">
        <v>3</v>
      </c>
      <c r="S308">
        <v>2.5</v>
      </c>
      <c r="T308">
        <v>3</v>
      </c>
      <c r="U308">
        <v>2.5</v>
      </c>
      <c r="V308" t="s">
        <v>38</v>
      </c>
    </row>
    <row r="309" spans="1:22" hidden="1" outlineLevel="2" x14ac:dyDescent="0.25">
      <c r="A309" t="s">
        <v>83</v>
      </c>
      <c r="B309">
        <v>3</v>
      </c>
      <c r="C309" t="s">
        <v>71</v>
      </c>
      <c r="D309" t="s">
        <v>84</v>
      </c>
      <c r="E309" t="s">
        <v>85</v>
      </c>
      <c r="F309">
        <v>220</v>
      </c>
      <c r="G309">
        <v>1050</v>
      </c>
      <c r="H309">
        <v>-2</v>
      </c>
      <c r="I309">
        <v>1983</v>
      </c>
      <c r="J309" t="s">
        <v>35</v>
      </c>
      <c r="K309">
        <v>2571</v>
      </c>
      <c r="L309">
        <v>14.53</v>
      </c>
      <c r="M309">
        <v>5.57</v>
      </c>
      <c r="N309" s="7">
        <f t="shared" si="18"/>
        <v>1.6572990649999998E-2</v>
      </c>
      <c r="O309" s="7">
        <f t="shared" si="19"/>
        <v>9.2311557920499984E-2</v>
      </c>
      <c r="P309">
        <v>100</v>
      </c>
      <c r="Q309">
        <v>3</v>
      </c>
      <c r="R309">
        <v>2</v>
      </c>
      <c r="S309">
        <v>3</v>
      </c>
      <c r="T309">
        <v>4</v>
      </c>
      <c r="U309">
        <v>3.5</v>
      </c>
      <c r="V309" t="s">
        <v>38</v>
      </c>
    </row>
    <row r="310" spans="1:22" hidden="1" outlineLevel="2" x14ac:dyDescent="0.25">
      <c r="A310" t="s">
        <v>83</v>
      </c>
      <c r="B310">
        <v>3</v>
      </c>
      <c r="C310" t="s">
        <v>71</v>
      </c>
      <c r="D310" t="s">
        <v>84</v>
      </c>
      <c r="E310" t="s">
        <v>85</v>
      </c>
      <c r="F310">
        <v>220</v>
      </c>
      <c r="G310">
        <v>1050</v>
      </c>
      <c r="H310">
        <v>-2</v>
      </c>
      <c r="I310">
        <v>1983</v>
      </c>
      <c r="J310" t="s">
        <v>81</v>
      </c>
      <c r="K310">
        <v>2750</v>
      </c>
      <c r="L310">
        <v>13.26</v>
      </c>
      <c r="M310">
        <v>8.94</v>
      </c>
      <c r="N310" s="7">
        <f t="shared" si="18"/>
        <v>1.38024666E-2</v>
      </c>
      <c r="O310" s="7">
        <f t="shared" si="19"/>
        <v>0.12339405140399999</v>
      </c>
      <c r="P310">
        <v>100</v>
      </c>
      <c r="Q310">
        <v>4</v>
      </c>
      <c r="R310">
        <v>4</v>
      </c>
      <c r="S310">
        <v>3</v>
      </c>
      <c r="T310">
        <v>3.5</v>
      </c>
      <c r="U310">
        <v>3.5</v>
      </c>
      <c r="V310" t="s">
        <v>25</v>
      </c>
    </row>
    <row r="311" spans="1:22" hidden="1" outlineLevel="2" x14ac:dyDescent="0.25">
      <c r="A311" t="s">
        <v>83</v>
      </c>
      <c r="B311">
        <v>3</v>
      </c>
      <c r="C311" t="s">
        <v>71</v>
      </c>
      <c r="D311" t="s">
        <v>84</v>
      </c>
      <c r="E311" t="s">
        <v>85</v>
      </c>
      <c r="F311">
        <v>220</v>
      </c>
      <c r="G311">
        <v>1050</v>
      </c>
      <c r="H311">
        <v>-2</v>
      </c>
      <c r="I311">
        <v>1983</v>
      </c>
      <c r="J311" t="s">
        <v>62</v>
      </c>
      <c r="K311">
        <v>2553</v>
      </c>
      <c r="L311">
        <v>11.55</v>
      </c>
      <c r="M311">
        <v>6.56</v>
      </c>
      <c r="N311" s="7">
        <f t="shared" si="18"/>
        <v>1.0472096250000002E-2</v>
      </c>
      <c r="O311" s="7">
        <f t="shared" si="19"/>
        <v>6.8696951400000011E-2</v>
      </c>
      <c r="P311">
        <v>100</v>
      </c>
      <c r="Q311">
        <v>3</v>
      </c>
      <c r="R311">
        <v>2.7</v>
      </c>
      <c r="S311">
        <v>3.3</v>
      </c>
      <c r="T311">
        <v>4</v>
      </c>
      <c r="U311">
        <v>4</v>
      </c>
      <c r="V311" t="s">
        <v>25</v>
      </c>
    </row>
    <row r="312" spans="1:22" hidden="1" outlineLevel="2" x14ac:dyDescent="0.25">
      <c r="A312" t="s">
        <v>83</v>
      </c>
      <c r="B312">
        <v>3</v>
      </c>
      <c r="C312" t="s">
        <v>71</v>
      </c>
      <c r="D312" t="s">
        <v>84</v>
      </c>
      <c r="E312" t="s">
        <v>85</v>
      </c>
      <c r="F312">
        <v>220</v>
      </c>
      <c r="G312">
        <v>1050</v>
      </c>
      <c r="H312">
        <v>-2</v>
      </c>
      <c r="I312">
        <v>1983</v>
      </c>
      <c r="J312" t="s">
        <v>37</v>
      </c>
      <c r="K312">
        <v>2575</v>
      </c>
      <c r="L312">
        <v>15.93</v>
      </c>
      <c r="M312">
        <v>9.1</v>
      </c>
      <c r="N312" s="7">
        <f t="shared" si="18"/>
        <v>1.992054465E-2</v>
      </c>
      <c r="O312" s="7">
        <f t="shared" si="19"/>
        <v>0.18127695631499999</v>
      </c>
      <c r="P312">
        <v>88</v>
      </c>
      <c r="Q312">
        <v>3</v>
      </c>
      <c r="R312">
        <v>3</v>
      </c>
      <c r="S312">
        <v>2</v>
      </c>
      <c r="T312">
        <v>2.5</v>
      </c>
      <c r="U312">
        <v>2.5</v>
      </c>
      <c r="V312" t="s">
        <v>30</v>
      </c>
    </row>
    <row r="313" spans="1:22" hidden="1" outlineLevel="2" x14ac:dyDescent="0.25">
      <c r="A313" t="s">
        <v>83</v>
      </c>
      <c r="B313">
        <v>3</v>
      </c>
      <c r="C313" t="s">
        <v>71</v>
      </c>
      <c r="D313" t="s">
        <v>84</v>
      </c>
      <c r="E313" t="s">
        <v>85</v>
      </c>
      <c r="F313">
        <v>220</v>
      </c>
      <c r="G313">
        <v>1050</v>
      </c>
      <c r="H313">
        <v>-2</v>
      </c>
      <c r="I313">
        <v>1983</v>
      </c>
      <c r="J313" t="s">
        <v>26</v>
      </c>
      <c r="K313">
        <v>2552</v>
      </c>
      <c r="L313">
        <v>14.25</v>
      </c>
      <c r="M313">
        <v>7.23</v>
      </c>
      <c r="N313" s="7">
        <f t="shared" si="18"/>
        <v>1.5940406250000001E-2</v>
      </c>
      <c r="O313" s="7">
        <f t="shared" si="19"/>
        <v>0.11524913718750002</v>
      </c>
      <c r="P313">
        <v>63</v>
      </c>
      <c r="Q313">
        <v>4</v>
      </c>
      <c r="R313">
        <v>3</v>
      </c>
      <c r="S313">
        <v>3</v>
      </c>
      <c r="T313">
        <v>2.8</v>
      </c>
      <c r="U313">
        <v>2</v>
      </c>
      <c r="V313" t="s">
        <v>38</v>
      </c>
    </row>
    <row r="314" spans="1:22" hidden="1" outlineLevel="2" x14ac:dyDescent="0.25">
      <c r="A314" t="s">
        <v>83</v>
      </c>
      <c r="B314">
        <v>3</v>
      </c>
      <c r="C314" t="s">
        <v>71</v>
      </c>
      <c r="D314" t="s">
        <v>84</v>
      </c>
      <c r="E314" t="s">
        <v>85</v>
      </c>
      <c r="F314">
        <v>220</v>
      </c>
      <c r="G314">
        <v>1050</v>
      </c>
      <c r="H314">
        <v>-2</v>
      </c>
      <c r="I314">
        <v>1983</v>
      </c>
      <c r="J314" t="s">
        <v>26</v>
      </c>
      <c r="K314">
        <v>2751</v>
      </c>
      <c r="L314">
        <v>12.35</v>
      </c>
      <c r="M314">
        <v>6.27</v>
      </c>
      <c r="N314" s="7">
        <f t="shared" si="18"/>
        <v>1.1973016250000001E-2</v>
      </c>
      <c r="O314" s="7">
        <f t="shared" si="19"/>
        <v>7.5070811887500005E-2</v>
      </c>
      <c r="P314">
        <v>71</v>
      </c>
      <c r="Q314">
        <v>4</v>
      </c>
      <c r="R314">
        <v>4</v>
      </c>
      <c r="S314">
        <v>2.5</v>
      </c>
      <c r="T314">
        <v>3.5</v>
      </c>
      <c r="U314">
        <v>2.5</v>
      </c>
      <c r="V314" t="s">
        <v>25</v>
      </c>
    </row>
    <row r="315" spans="1:22" hidden="1" outlineLevel="2" x14ac:dyDescent="0.25">
      <c r="A315" t="s">
        <v>83</v>
      </c>
      <c r="B315">
        <v>3</v>
      </c>
      <c r="C315" t="s">
        <v>71</v>
      </c>
      <c r="D315" t="s">
        <v>84</v>
      </c>
      <c r="E315" t="s">
        <v>85</v>
      </c>
      <c r="F315">
        <v>220</v>
      </c>
      <c r="G315">
        <v>1050</v>
      </c>
      <c r="H315">
        <v>-2</v>
      </c>
      <c r="I315">
        <v>1983</v>
      </c>
      <c r="J315" t="s">
        <v>62</v>
      </c>
      <c r="K315">
        <v>2574</v>
      </c>
      <c r="L315">
        <v>7.22</v>
      </c>
      <c r="M315">
        <v>4.0999999999999996</v>
      </c>
      <c r="N315" s="7">
        <f t="shared" si="18"/>
        <v>4.0920794000000003E-3</v>
      </c>
      <c r="O315" s="7">
        <f t="shared" si="19"/>
        <v>1.6777525540000001E-2</v>
      </c>
      <c r="P315">
        <v>57</v>
      </c>
      <c r="Q315">
        <v>3</v>
      </c>
      <c r="R315">
        <v>3</v>
      </c>
      <c r="S315">
        <v>2</v>
      </c>
      <c r="T315">
        <v>3</v>
      </c>
      <c r="U315">
        <v>2</v>
      </c>
      <c r="V315" t="s">
        <v>38</v>
      </c>
    </row>
    <row r="316" spans="1:22" outlineLevel="1" collapsed="1" x14ac:dyDescent="0.25">
      <c r="G316" s="5" t="s">
        <v>112</v>
      </c>
      <c r="K316">
        <f>SUBTOTAL(4,K263:K315)</f>
        <v>2751</v>
      </c>
      <c r="L316">
        <f>SUBTOTAL(4,L263:L315)</f>
        <v>24.3</v>
      </c>
      <c r="M316">
        <f>SUBTOTAL(4,M263:M315)</f>
        <v>11.37</v>
      </c>
      <c r="N316" s="7">
        <f>SUBTOTAL(4,N263:N315)</f>
        <v>4.6353464999999996E-2</v>
      </c>
      <c r="O316" s="7">
        <f>SUBTOTAL(4,O263:O315)</f>
        <v>0.48624784784999997</v>
      </c>
      <c r="V316">
        <f>SUBTOTAL(4,V263:V315)</f>
        <v>0</v>
      </c>
    </row>
    <row r="317" spans="1:22" hidden="1" outlineLevel="2" x14ac:dyDescent="0.25">
      <c r="A317" t="s">
        <v>65</v>
      </c>
      <c r="B317">
        <v>1</v>
      </c>
      <c r="C317" t="s">
        <v>66</v>
      </c>
      <c r="D317" t="s">
        <v>67</v>
      </c>
      <c r="E317" t="s">
        <v>68</v>
      </c>
      <c r="F317">
        <v>180</v>
      </c>
      <c r="G317">
        <v>1080</v>
      </c>
      <c r="H317">
        <v>-3</v>
      </c>
      <c r="I317">
        <v>1981</v>
      </c>
      <c r="J317" t="s">
        <v>55</v>
      </c>
      <c r="K317">
        <v>1094</v>
      </c>
      <c r="L317">
        <v>2.86</v>
      </c>
      <c r="M317">
        <v>3.2</v>
      </c>
      <c r="N317" s="7">
        <f t="shared" ref="N317:N348" si="20">3.14/4*((L317/100)^2)</f>
        <v>6.4209860000000011E-4</v>
      </c>
      <c r="O317" s="7">
        <f t="shared" ref="O317:O348" si="21">3.14/4*((L317/100)^2)*M317</f>
        <v>2.0547155200000005E-3</v>
      </c>
      <c r="P317">
        <v>25</v>
      </c>
      <c r="Q317">
        <v>2</v>
      </c>
      <c r="R317">
        <v>2</v>
      </c>
      <c r="S317">
        <v>2</v>
      </c>
      <c r="T317">
        <v>2</v>
      </c>
      <c r="U317">
        <v>2</v>
      </c>
      <c r="V317" t="s">
        <v>50</v>
      </c>
    </row>
    <row r="318" spans="1:22" hidden="1" outlineLevel="2" x14ac:dyDescent="0.25">
      <c r="A318" t="s">
        <v>65</v>
      </c>
      <c r="B318">
        <v>1</v>
      </c>
      <c r="C318" t="s">
        <v>66</v>
      </c>
      <c r="D318" t="s">
        <v>67</v>
      </c>
      <c r="E318" t="s">
        <v>68</v>
      </c>
      <c r="F318">
        <v>180</v>
      </c>
      <c r="G318">
        <v>1080</v>
      </c>
      <c r="H318">
        <v>-3</v>
      </c>
      <c r="I318">
        <v>1981</v>
      </c>
      <c r="J318" t="s">
        <v>56</v>
      </c>
      <c r="K318">
        <v>1111</v>
      </c>
      <c r="L318">
        <v>4.49</v>
      </c>
      <c r="M318">
        <v>4.1100000000000003</v>
      </c>
      <c r="N318" s="7">
        <f t="shared" si="20"/>
        <v>1.5825678500000003E-3</v>
      </c>
      <c r="O318" s="7">
        <f t="shared" si="21"/>
        <v>6.5043538635000016E-3</v>
      </c>
      <c r="P318">
        <v>44</v>
      </c>
      <c r="Q318">
        <v>2.5</v>
      </c>
      <c r="R318">
        <v>3</v>
      </c>
      <c r="S318">
        <v>3</v>
      </c>
      <c r="T318">
        <v>3</v>
      </c>
      <c r="U318">
        <v>3</v>
      </c>
      <c r="V318" t="s">
        <v>30</v>
      </c>
    </row>
    <row r="319" spans="1:22" hidden="1" outlineLevel="2" x14ac:dyDescent="0.25">
      <c r="A319" t="s">
        <v>65</v>
      </c>
      <c r="B319">
        <v>1</v>
      </c>
      <c r="C319" t="s">
        <v>66</v>
      </c>
      <c r="D319" t="s">
        <v>67</v>
      </c>
      <c r="E319" t="s">
        <v>68</v>
      </c>
      <c r="F319">
        <v>180</v>
      </c>
      <c r="G319">
        <v>1080</v>
      </c>
      <c r="H319">
        <v>-3</v>
      </c>
      <c r="I319">
        <v>1981</v>
      </c>
      <c r="J319" t="s">
        <v>57</v>
      </c>
      <c r="K319">
        <v>1112</v>
      </c>
      <c r="L319">
        <v>9.89</v>
      </c>
      <c r="M319">
        <v>6.68</v>
      </c>
      <c r="N319" s="7">
        <f t="shared" si="20"/>
        <v>7.6782498500000008E-3</v>
      </c>
      <c r="O319" s="7">
        <f t="shared" si="21"/>
        <v>5.1290708998000006E-2</v>
      </c>
      <c r="P319">
        <v>100</v>
      </c>
      <c r="Q319">
        <v>3.5</v>
      </c>
      <c r="R319">
        <v>2</v>
      </c>
      <c r="S319">
        <v>3</v>
      </c>
      <c r="T319">
        <v>4</v>
      </c>
      <c r="U319">
        <v>3</v>
      </c>
      <c r="V319" t="s">
        <v>27</v>
      </c>
    </row>
    <row r="320" spans="1:22" hidden="1" outlineLevel="2" x14ac:dyDescent="0.25">
      <c r="A320" t="s">
        <v>65</v>
      </c>
      <c r="B320">
        <v>1</v>
      </c>
      <c r="C320" t="s">
        <v>66</v>
      </c>
      <c r="D320" t="s">
        <v>67</v>
      </c>
      <c r="E320" t="s">
        <v>68</v>
      </c>
      <c r="F320">
        <v>180</v>
      </c>
      <c r="G320">
        <v>1080</v>
      </c>
      <c r="H320">
        <v>-3</v>
      </c>
      <c r="I320">
        <v>1981</v>
      </c>
      <c r="J320" t="s">
        <v>60</v>
      </c>
      <c r="K320">
        <v>1595</v>
      </c>
      <c r="L320">
        <v>5.34</v>
      </c>
      <c r="M320">
        <v>3.05</v>
      </c>
      <c r="N320" s="7">
        <f t="shared" si="20"/>
        <v>2.2384745999999996E-3</v>
      </c>
      <c r="O320" s="7">
        <f t="shared" si="21"/>
        <v>6.8273475299999989E-3</v>
      </c>
      <c r="P320">
        <v>75</v>
      </c>
      <c r="Q320">
        <v>2.7</v>
      </c>
      <c r="R320">
        <v>1</v>
      </c>
      <c r="S320">
        <v>3</v>
      </c>
      <c r="T320">
        <v>4</v>
      </c>
      <c r="U320">
        <v>4</v>
      </c>
      <c r="V320" t="s">
        <v>30</v>
      </c>
    </row>
    <row r="321" spans="1:22" hidden="1" outlineLevel="2" x14ac:dyDescent="0.25">
      <c r="A321" t="s">
        <v>65</v>
      </c>
      <c r="B321">
        <v>1</v>
      </c>
      <c r="C321" t="s">
        <v>66</v>
      </c>
      <c r="D321" t="s">
        <v>67</v>
      </c>
      <c r="E321" t="s">
        <v>68</v>
      </c>
      <c r="F321">
        <v>180</v>
      </c>
      <c r="G321">
        <v>1080</v>
      </c>
      <c r="H321">
        <v>-3</v>
      </c>
      <c r="I321">
        <v>1981</v>
      </c>
      <c r="J321" t="s">
        <v>26</v>
      </c>
      <c r="K321">
        <v>1339</v>
      </c>
      <c r="L321">
        <v>3.28</v>
      </c>
      <c r="M321">
        <v>4.07</v>
      </c>
      <c r="N321" s="7">
        <f t="shared" si="20"/>
        <v>8.4453439999999989E-4</v>
      </c>
      <c r="O321" s="7">
        <f t="shared" si="21"/>
        <v>3.4372550079999997E-3</v>
      </c>
      <c r="P321">
        <v>75</v>
      </c>
      <c r="Q321">
        <v>2</v>
      </c>
      <c r="R321">
        <v>3</v>
      </c>
      <c r="S321">
        <v>3</v>
      </c>
      <c r="T321">
        <v>3</v>
      </c>
      <c r="U321">
        <v>3</v>
      </c>
      <c r="V321" t="s">
        <v>30</v>
      </c>
    </row>
    <row r="322" spans="1:22" hidden="1" outlineLevel="2" x14ac:dyDescent="0.25">
      <c r="A322" t="s">
        <v>65</v>
      </c>
      <c r="B322">
        <v>1</v>
      </c>
      <c r="C322" t="s">
        <v>66</v>
      </c>
      <c r="D322" t="s">
        <v>67</v>
      </c>
      <c r="E322" t="s">
        <v>68</v>
      </c>
      <c r="F322">
        <v>180</v>
      </c>
      <c r="G322">
        <v>1080</v>
      </c>
      <c r="H322">
        <v>-3</v>
      </c>
      <c r="I322">
        <v>1981</v>
      </c>
      <c r="J322" t="s">
        <v>26</v>
      </c>
      <c r="K322">
        <v>2447</v>
      </c>
      <c r="L322">
        <v>7.62</v>
      </c>
      <c r="M322">
        <v>5.39</v>
      </c>
      <c r="N322" s="7">
        <f t="shared" si="20"/>
        <v>4.5580554000000002E-3</v>
      </c>
      <c r="O322" s="7">
        <f t="shared" si="21"/>
        <v>2.4567918606000001E-2</v>
      </c>
      <c r="P322">
        <v>100</v>
      </c>
      <c r="Q322">
        <v>3</v>
      </c>
      <c r="R322">
        <v>3</v>
      </c>
      <c r="S322">
        <v>3</v>
      </c>
      <c r="T322">
        <v>3.5</v>
      </c>
      <c r="U322">
        <v>3</v>
      </c>
      <c r="V322" t="s">
        <v>25</v>
      </c>
    </row>
    <row r="323" spans="1:22" hidden="1" outlineLevel="2" x14ac:dyDescent="0.25">
      <c r="A323" t="s">
        <v>65</v>
      </c>
      <c r="B323">
        <v>1</v>
      </c>
      <c r="C323" t="s">
        <v>66</v>
      </c>
      <c r="D323" t="s">
        <v>67</v>
      </c>
      <c r="E323" t="s">
        <v>68</v>
      </c>
      <c r="F323">
        <v>180</v>
      </c>
      <c r="G323">
        <v>1080</v>
      </c>
      <c r="H323">
        <v>-3</v>
      </c>
      <c r="I323">
        <v>1981</v>
      </c>
      <c r="J323" t="s">
        <v>26</v>
      </c>
      <c r="K323">
        <v>1786</v>
      </c>
      <c r="L323">
        <v>6.05</v>
      </c>
      <c r="M323">
        <v>5.39</v>
      </c>
      <c r="N323" s="7">
        <f t="shared" si="20"/>
        <v>2.8732962499999999E-3</v>
      </c>
      <c r="O323" s="7">
        <f t="shared" si="21"/>
        <v>1.5487066787499998E-2</v>
      </c>
      <c r="P323">
        <v>88</v>
      </c>
      <c r="Q323">
        <v>4</v>
      </c>
      <c r="R323">
        <v>4</v>
      </c>
      <c r="S323">
        <v>3.5</v>
      </c>
      <c r="T323">
        <v>3.5</v>
      </c>
      <c r="U323">
        <v>3.5</v>
      </c>
      <c r="V323" t="s">
        <v>25</v>
      </c>
    </row>
    <row r="324" spans="1:22" hidden="1" outlineLevel="2" x14ac:dyDescent="0.25">
      <c r="A324" t="s">
        <v>65</v>
      </c>
      <c r="B324">
        <v>1</v>
      </c>
      <c r="C324" t="s">
        <v>66</v>
      </c>
      <c r="D324" t="s">
        <v>67</v>
      </c>
      <c r="E324" t="s">
        <v>68</v>
      </c>
      <c r="F324">
        <v>180</v>
      </c>
      <c r="G324">
        <v>1080</v>
      </c>
      <c r="H324">
        <v>-3</v>
      </c>
      <c r="I324">
        <v>1981</v>
      </c>
      <c r="J324" t="s">
        <v>32</v>
      </c>
      <c r="K324">
        <v>1596</v>
      </c>
      <c r="L324">
        <v>6.38</v>
      </c>
      <c r="M324">
        <v>5.07</v>
      </c>
      <c r="N324" s="7">
        <f t="shared" si="20"/>
        <v>3.1952954E-3</v>
      </c>
      <c r="O324" s="7">
        <f t="shared" si="21"/>
        <v>1.6200147678000001E-2</v>
      </c>
      <c r="P324">
        <v>88</v>
      </c>
      <c r="Q324">
        <v>3</v>
      </c>
      <c r="R324">
        <v>4</v>
      </c>
      <c r="S324">
        <v>3.5</v>
      </c>
      <c r="T324">
        <v>4</v>
      </c>
      <c r="U324">
        <v>4</v>
      </c>
      <c r="V324" t="s">
        <v>27</v>
      </c>
    </row>
    <row r="325" spans="1:22" hidden="1" outlineLevel="2" x14ac:dyDescent="0.25">
      <c r="A325" t="s">
        <v>65</v>
      </c>
      <c r="B325">
        <v>1</v>
      </c>
      <c r="C325" t="s">
        <v>66</v>
      </c>
      <c r="D325" t="s">
        <v>67</v>
      </c>
      <c r="E325" t="s">
        <v>68</v>
      </c>
      <c r="F325">
        <v>180</v>
      </c>
      <c r="G325">
        <v>1080</v>
      </c>
      <c r="H325">
        <v>-3</v>
      </c>
      <c r="I325">
        <v>1981</v>
      </c>
      <c r="J325" t="s">
        <v>61</v>
      </c>
      <c r="K325">
        <v>1171</v>
      </c>
      <c r="L325">
        <v>6.16</v>
      </c>
      <c r="M325">
        <v>4.3</v>
      </c>
      <c r="N325" s="7">
        <f t="shared" si="20"/>
        <v>2.9787296000000005E-3</v>
      </c>
      <c r="O325" s="7">
        <f t="shared" si="21"/>
        <v>1.2808537280000001E-2</v>
      </c>
      <c r="P325">
        <v>40</v>
      </c>
      <c r="Q325">
        <v>3</v>
      </c>
      <c r="R325">
        <v>2</v>
      </c>
      <c r="S325">
        <v>1</v>
      </c>
      <c r="T325">
        <v>1</v>
      </c>
      <c r="U325">
        <v>1</v>
      </c>
      <c r="V325" t="s">
        <v>30</v>
      </c>
    </row>
    <row r="326" spans="1:22" hidden="1" outlineLevel="2" x14ac:dyDescent="0.25">
      <c r="A326" t="s">
        <v>65</v>
      </c>
      <c r="B326">
        <v>1</v>
      </c>
      <c r="C326" t="s">
        <v>66</v>
      </c>
      <c r="D326" t="s">
        <v>67</v>
      </c>
      <c r="E326" t="s">
        <v>68</v>
      </c>
      <c r="F326">
        <v>180</v>
      </c>
      <c r="G326">
        <v>1080</v>
      </c>
      <c r="H326">
        <v>-3</v>
      </c>
      <c r="I326">
        <v>1981</v>
      </c>
      <c r="J326" t="s">
        <v>34</v>
      </c>
      <c r="K326">
        <v>2469</v>
      </c>
      <c r="L326">
        <v>19.920000000000002</v>
      </c>
      <c r="M326">
        <v>7.37</v>
      </c>
      <c r="N326" s="7">
        <f t="shared" si="20"/>
        <v>3.1149302400000002E-2</v>
      </c>
      <c r="O326" s="7">
        <f t="shared" si="21"/>
        <v>0.22957035868800002</v>
      </c>
      <c r="P326">
        <v>13</v>
      </c>
      <c r="Q326">
        <v>2</v>
      </c>
      <c r="R326">
        <v>2.5</v>
      </c>
      <c r="S326">
        <v>3</v>
      </c>
      <c r="T326">
        <v>3</v>
      </c>
      <c r="U326">
        <v>3</v>
      </c>
      <c r="V326" t="s">
        <v>30</v>
      </c>
    </row>
    <row r="327" spans="1:22" hidden="1" outlineLevel="2" x14ac:dyDescent="0.25">
      <c r="A327" t="s">
        <v>65</v>
      </c>
      <c r="B327">
        <v>1</v>
      </c>
      <c r="C327" t="s">
        <v>66</v>
      </c>
      <c r="D327" t="s">
        <v>67</v>
      </c>
      <c r="E327" t="s">
        <v>68</v>
      </c>
      <c r="F327">
        <v>180</v>
      </c>
      <c r="G327">
        <v>1080</v>
      </c>
      <c r="H327">
        <v>-3</v>
      </c>
      <c r="I327">
        <v>1981</v>
      </c>
      <c r="J327" t="s">
        <v>35</v>
      </c>
      <c r="K327">
        <v>1785</v>
      </c>
      <c r="L327">
        <v>3.91</v>
      </c>
      <c r="M327">
        <v>3.91</v>
      </c>
      <c r="N327" s="7">
        <f t="shared" si="20"/>
        <v>1.2001158500000002E-3</v>
      </c>
      <c r="O327" s="7">
        <f t="shared" si="21"/>
        <v>4.6924529735000008E-3</v>
      </c>
      <c r="P327">
        <v>63</v>
      </c>
      <c r="Q327">
        <v>2.5</v>
      </c>
      <c r="R327">
        <v>1.5</v>
      </c>
      <c r="S327">
        <v>3</v>
      </c>
      <c r="T327">
        <v>4</v>
      </c>
      <c r="U327">
        <v>3</v>
      </c>
      <c r="V327" t="s">
        <v>38</v>
      </c>
    </row>
    <row r="328" spans="1:22" hidden="1" outlineLevel="2" x14ac:dyDescent="0.25">
      <c r="A328" t="s">
        <v>65</v>
      </c>
      <c r="B328">
        <v>1</v>
      </c>
      <c r="C328" t="s">
        <v>66</v>
      </c>
      <c r="D328" t="s">
        <v>67</v>
      </c>
      <c r="E328" t="s">
        <v>68</v>
      </c>
      <c r="F328">
        <v>180</v>
      </c>
      <c r="G328">
        <v>1080</v>
      </c>
      <c r="H328">
        <v>-3</v>
      </c>
      <c r="I328">
        <v>1981</v>
      </c>
      <c r="J328" t="s">
        <v>36</v>
      </c>
      <c r="K328">
        <v>1598</v>
      </c>
      <c r="L328">
        <v>10.75</v>
      </c>
      <c r="M328">
        <v>9.26</v>
      </c>
      <c r="N328" s="7">
        <f t="shared" si="20"/>
        <v>9.071656249999999E-3</v>
      </c>
      <c r="O328" s="7">
        <f t="shared" si="21"/>
        <v>8.4003536874999993E-2</v>
      </c>
      <c r="P328">
        <v>88</v>
      </c>
      <c r="Q328">
        <v>4</v>
      </c>
      <c r="R328">
        <v>4</v>
      </c>
      <c r="S328">
        <v>4</v>
      </c>
      <c r="T328">
        <v>4</v>
      </c>
      <c r="U328">
        <v>4</v>
      </c>
      <c r="V328" t="s">
        <v>27</v>
      </c>
    </row>
    <row r="329" spans="1:22" hidden="1" outlineLevel="2" x14ac:dyDescent="0.25">
      <c r="A329" t="s">
        <v>65</v>
      </c>
      <c r="B329">
        <v>1</v>
      </c>
      <c r="C329" t="s">
        <v>66</v>
      </c>
      <c r="D329" t="s">
        <v>67</v>
      </c>
      <c r="E329" t="s">
        <v>68</v>
      </c>
      <c r="F329">
        <v>180</v>
      </c>
      <c r="G329">
        <v>1080</v>
      </c>
      <c r="H329">
        <v>-3</v>
      </c>
      <c r="I329">
        <v>1981</v>
      </c>
      <c r="J329" t="s">
        <v>62</v>
      </c>
      <c r="K329">
        <v>2428</v>
      </c>
      <c r="L329">
        <v>3.63</v>
      </c>
      <c r="M329">
        <v>5.0199999999999996</v>
      </c>
      <c r="N329" s="7">
        <f t="shared" si="20"/>
        <v>1.03438665E-3</v>
      </c>
      <c r="O329" s="7">
        <f t="shared" si="21"/>
        <v>5.1926209829999993E-3</v>
      </c>
      <c r="P329">
        <v>63</v>
      </c>
      <c r="Q329">
        <v>4</v>
      </c>
      <c r="R329">
        <v>3.5</v>
      </c>
      <c r="S329">
        <v>4</v>
      </c>
      <c r="T329">
        <v>4</v>
      </c>
      <c r="U329">
        <v>3.5</v>
      </c>
      <c r="V329" t="s">
        <v>25</v>
      </c>
    </row>
    <row r="330" spans="1:22" hidden="1" outlineLevel="2" x14ac:dyDescent="0.25">
      <c r="A330" t="s">
        <v>65</v>
      </c>
      <c r="B330">
        <v>1</v>
      </c>
      <c r="C330" t="s">
        <v>66</v>
      </c>
      <c r="D330" t="s">
        <v>67</v>
      </c>
      <c r="E330" t="s">
        <v>68</v>
      </c>
      <c r="F330">
        <v>180</v>
      </c>
      <c r="G330">
        <v>1080</v>
      </c>
      <c r="H330">
        <v>-3</v>
      </c>
      <c r="I330">
        <v>1981</v>
      </c>
      <c r="J330" t="s">
        <v>62</v>
      </c>
      <c r="K330">
        <v>2431</v>
      </c>
      <c r="L330">
        <v>6.14</v>
      </c>
      <c r="M330">
        <v>5.86</v>
      </c>
      <c r="N330" s="7">
        <f t="shared" si="20"/>
        <v>2.9594185999999999E-3</v>
      </c>
      <c r="O330" s="7">
        <f t="shared" si="21"/>
        <v>1.7342192996000001E-2</v>
      </c>
      <c r="P330">
        <v>75</v>
      </c>
      <c r="Q330">
        <v>4</v>
      </c>
      <c r="R330">
        <v>3</v>
      </c>
      <c r="S330">
        <v>4</v>
      </c>
      <c r="T330">
        <v>4</v>
      </c>
      <c r="U330">
        <v>4</v>
      </c>
      <c r="V330" t="s">
        <v>27</v>
      </c>
    </row>
    <row r="331" spans="1:22" hidden="1" outlineLevel="2" x14ac:dyDescent="0.25">
      <c r="A331" t="s">
        <v>65</v>
      </c>
      <c r="B331">
        <v>1</v>
      </c>
      <c r="C331" t="s">
        <v>66</v>
      </c>
      <c r="D331" t="s">
        <v>67</v>
      </c>
      <c r="E331" t="s">
        <v>68</v>
      </c>
      <c r="F331">
        <v>180</v>
      </c>
      <c r="G331">
        <v>1080</v>
      </c>
      <c r="H331">
        <v>-3</v>
      </c>
      <c r="I331">
        <v>1981</v>
      </c>
      <c r="J331" t="s">
        <v>62</v>
      </c>
      <c r="K331">
        <v>1787</v>
      </c>
      <c r="L331">
        <v>5.3</v>
      </c>
      <c r="M331">
        <v>4.88</v>
      </c>
      <c r="N331" s="7">
        <f t="shared" si="20"/>
        <v>2.205065E-3</v>
      </c>
      <c r="O331" s="7">
        <f t="shared" si="21"/>
        <v>1.07607172E-2</v>
      </c>
      <c r="P331">
        <v>38</v>
      </c>
      <c r="Q331">
        <v>3.5</v>
      </c>
      <c r="R331">
        <v>3</v>
      </c>
      <c r="S331">
        <v>4</v>
      </c>
      <c r="T331">
        <v>4</v>
      </c>
      <c r="U331">
        <v>4</v>
      </c>
      <c r="V331" t="s">
        <v>25</v>
      </c>
    </row>
    <row r="332" spans="1:22" hidden="1" outlineLevel="2" x14ac:dyDescent="0.25">
      <c r="A332" t="s">
        <v>65</v>
      </c>
      <c r="B332">
        <v>1</v>
      </c>
      <c r="C332" t="s">
        <v>66</v>
      </c>
      <c r="D332" t="s">
        <v>67</v>
      </c>
      <c r="E332" t="s">
        <v>68</v>
      </c>
      <c r="F332">
        <v>180</v>
      </c>
      <c r="G332">
        <v>1080</v>
      </c>
      <c r="H332">
        <v>-3</v>
      </c>
      <c r="I332">
        <v>1981</v>
      </c>
      <c r="J332" t="s">
        <v>39</v>
      </c>
      <c r="K332">
        <v>2435</v>
      </c>
      <c r="L332">
        <v>14.93</v>
      </c>
      <c r="M332">
        <v>9.39</v>
      </c>
      <c r="N332" s="7">
        <f t="shared" si="20"/>
        <v>1.7498034649999997E-2</v>
      </c>
      <c r="O332" s="7">
        <f t="shared" si="21"/>
        <v>0.16430654536349998</v>
      </c>
      <c r="P332">
        <v>63</v>
      </c>
      <c r="Q332">
        <v>4</v>
      </c>
      <c r="R332">
        <v>3</v>
      </c>
      <c r="S332">
        <v>3</v>
      </c>
      <c r="T332">
        <v>2.5</v>
      </c>
      <c r="U332">
        <v>2.5</v>
      </c>
      <c r="V332" t="s">
        <v>25</v>
      </c>
    </row>
    <row r="333" spans="1:22" hidden="1" outlineLevel="2" x14ac:dyDescent="0.25">
      <c r="A333" t="s">
        <v>65</v>
      </c>
      <c r="B333">
        <v>1</v>
      </c>
      <c r="C333" t="s">
        <v>66</v>
      </c>
      <c r="D333" t="s">
        <v>67</v>
      </c>
      <c r="E333" t="s">
        <v>68</v>
      </c>
      <c r="F333">
        <v>180</v>
      </c>
      <c r="G333">
        <v>1080</v>
      </c>
      <c r="H333">
        <v>-3</v>
      </c>
      <c r="I333">
        <v>1981</v>
      </c>
      <c r="J333" t="s">
        <v>37</v>
      </c>
      <c r="K333">
        <v>1524</v>
      </c>
      <c r="L333">
        <v>3.21</v>
      </c>
      <c r="M333">
        <v>3.72</v>
      </c>
      <c r="N333" s="7">
        <f t="shared" si="20"/>
        <v>8.0887184999999993E-4</v>
      </c>
      <c r="O333" s="7">
        <f t="shared" si="21"/>
        <v>3.0090032819999999E-3</v>
      </c>
      <c r="P333">
        <v>50</v>
      </c>
      <c r="Q333">
        <v>1.5</v>
      </c>
      <c r="R333">
        <v>2</v>
      </c>
      <c r="S333">
        <v>2</v>
      </c>
      <c r="T333">
        <v>4</v>
      </c>
      <c r="U333">
        <v>4</v>
      </c>
      <c r="V333" t="s">
        <v>30</v>
      </c>
    </row>
    <row r="334" spans="1:22" hidden="1" outlineLevel="2" x14ac:dyDescent="0.25">
      <c r="A334" t="s">
        <v>65</v>
      </c>
      <c r="B334">
        <v>1</v>
      </c>
      <c r="C334" t="s">
        <v>66</v>
      </c>
      <c r="D334" t="s">
        <v>67</v>
      </c>
      <c r="E334" t="s">
        <v>68</v>
      </c>
      <c r="F334">
        <v>180</v>
      </c>
      <c r="G334">
        <v>1080</v>
      </c>
      <c r="H334">
        <v>-3</v>
      </c>
      <c r="I334">
        <v>1981</v>
      </c>
      <c r="J334" t="s">
        <v>63</v>
      </c>
      <c r="K334">
        <v>1340</v>
      </c>
      <c r="L334">
        <v>5.93</v>
      </c>
      <c r="M334">
        <v>6.48</v>
      </c>
      <c r="N334" s="7">
        <f t="shared" si="20"/>
        <v>2.7604446499999999E-3</v>
      </c>
      <c r="O334" s="7">
        <f t="shared" si="21"/>
        <v>1.7887681331999999E-2</v>
      </c>
      <c r="P334">
        <v>100</v>
      </c>
      <c r="Q334">
        <v>1.8</v>
      </c>
      <c r="R334">
        <v>1.8</v>
      </c>
      <c r="S334">
        <v>2</v>
      </c>
      <c r="T334">
        <v>2</v>
      </c>
      <c r="U334">
        <v>3</v>
      </c>
      <c r="V334" t="s">
        <v>30</v>
      </c>
    </row>
    <row r="335" spans="1:22" hidden="1" outlineLevel="2" x14ac:dyDescent="0.25">
      <c r="A335" t="s">
        <v>65</v>
      </c>
      <c r="B335">
        <v>1</v>
      </c>
      <c r="C335" t="s">
        <v>66</v>
      </c>
      <c r="D335" t="s">
        <v>67</v>
      </c>
      <c r="E335" t="s">
        <v>68</v>
      </c>
      <c r="F335">
        <v>180</v>
      </c>
      <c r="G335">
        <v>1080</v>
      </c>
      <c r="H335">
        <v>-3</v>
      </c>
      <c r="I335">
        <v>1981</v>
      </c>
      <c r="J335" t="s">
        <v>69</v>
      </c>
      <c r="K335">
        <v>1780</v>
      </c>
      <c r="L335">
        <v>6.24</v>
      </c>
      <c r="M335">
        <v>4.8499999999999996</v>
      </c>
      <c r="N335" s="7">
        <f t="shared" si="20"/>
        <v>3.0566016000000006E-3</v>
      </c>
      <c r="O335" s="7">
        <f t="shared" si="21"/>
        <v>1.4824517760000001E-2</v>
      </c>
      <c r="P335">
        <v>25</v>
      </c>
      <c r="Q335">
        <v>2.5</v>
      </c>
      <c r="R335">
        <v>4</v>
      </c>
      <c r="S335">
        <v>3</v>
      </c>
      <c r="T335">
        <v>3</v>
      </c>
      <c r="U335">
        <v>3</v>
      </c>
      <c r="V335" t="s">
        <v>30</v>
      </c>
    </row>
    <row r="336" spans="1:22" hidden="1" outlineLevel="2" x14ac:dyDescent="0.25">
      <c r="A336" t="s">
        <v>65</v>
      </c>
      <c r="B336">
        <v>2</v>
      </c>
      <c r="C336" t="s">
        <v>66</v>
      </c>
      <c r="D336" t="s">
        <v>67</v>
      </c>
      <c r="E336" t="s">
        <v>68</v>
      </c>
      <c r="F336">
        <v>180</v>
      </c>
      <c r="G336">
        <v>1080</v>
      </c>
      <c r="H336">
        <v>-3</v>
      </c>
      <c r="I336">
        <v>1981</v>
      </c>
      <c r="J336" t="s">
        <v>55</v>
      </c>
      <c r="K336">
        <v>1094</v>
      </c>
      <c r="L336">
        <v>1.03</v>
      </c>
      <c r="M336">
        <v>2.17</v>
      </c>
      <c r="N336" s="7">
        <f t="shared" si="20"/>
        <v>8.3280650000000007E-5</v>
      </c>
      <c r="O336" s="7">
        <f t="shared" si="21"/>
        <v>1.8071901050000001E-4</v>
      </c>
      <c r="P336">
        <v>13</v>
      </c>
      <c r="Q336">
        <v>2</v>
      </c>
      <c r="R336">
        <v>2</v>
      </c>
      <c r="S336">
        <v>2</v>
      </c>
      <c r="T336">
        <v>2</v>
      </c>
      <c r="U336">
        <v>2</v>
      </c>
      <c r="V336" t="s">
        <v>50</v>
      </c>
    </row>
    <row r="337" spans="1:22" hidden="1" outlineLevel="2" x14ac:dyDescent="0.25">
      <c r="A337" t="s">
        <v>65</v>
      </c>
      <c r="B337">
        <v>2</v>
      </c>
      <c r="C337" t="s">
        <v>66</v>
      </c>
      <c r="D337" t="s">
        <v>67</v>
      </c>
      <c r="E337" t="s">
        <v>68</v>
      </c>
      <c r="F337">
        <v>180</v>
      </c>
      <c r="G337">
        <v>1080</v>
      </c>
      <c r="H337">
        <v>-3</v>
      </c>
      <c r="I337">
        <v>1981</v>
      </c>
      <c r="J337" t="s">
        <v>56</v>
      </c>
      <c r="K337">
        <v>1111</v>
      </c>
      <c r="L337">
        <v>6.29</v>
      </c>
      <c r="M337">
        <v>4.62</v>
      </c>
      <c r="N337" s="7">
        <f t="shared" si="20"/>
        <v>3.1057818499999998E-3</v>
      </c>
      <c r="O337" s="7">
        <f t="shared" si="21"/>
        <v>1.4348712147E-2</v>
      </c>
      <c r="P337">
        <v>100</v>
      </c>
      <c r="Q337">
        <v>3</v>
      </c>
      <c r="R337">
        <v>2.5</v>
      </c>
      <c r="S337">
        <v>2</v>
      </c>
      <c r="T337">
        <v>2</v>
      </c>
      <c r="U337">
        <v>2.5</v>
      </c>
      <c r="V337" t="s">
        <v>38</v>
      </c>
    </row>
    <row r="338" spans="1:22" hidden="1" outlineLevel="2" x14ac:dyDescent="0.25">
      <c r="A338" t="s">
        <v>65</v>
      </c>
      <c r="B338">
        <v>2</v>
      </c>
      <c r="C338" t="s">
        <v>66</v>
      </c>
      <c r="D338" t="s">
        <v>67</v>
      </c>
      <c r="E338" t="s">
        <v>68</v>
      </c>
      <c r="F338">
        <v>180</v>
      </c>
      <c r="G338">
        <v>1080</v>
      </c>
      <c r="H338">
        <v>-3</v>
      </c>
      <c r="I338">
        <v>1981</v>
      </c>
      <c r="J338" t="s">
        <v>57</v>
      </c>
      <c r="K338">
        <v>1112</v>
      </c>
      <c r="L338">
        <v>11.43</v>
      </c>
      <c r="M338">
        <v>7.83</v>
      </c>
      <c r="N338" s="7">
        <f t="shared" si="20"/>
        <v>1.025562465E-2</v>
      </c>
      <c r="O338" s="7">
        <f t="shared" si="21"/>
        <v>8.0301541009500002E-2</v>
      </c>
      <c r="P338">
        <v>88</v>
      </c>
      <c r="Q338">
        <v>3</v>
      </c>
      <c r="R338">
        <v>2</v>
      </c>
      <c r="S338">
        <v>3.5</v>
      </c>
      <c r="T338">
        <v>4</v>
      </c>
      <c r="U338">
        <v>4</v>
      </c>
      <c r="V338" t="s">
        <v>27</v>
      </c>
    </row>
    <row r="339" spans="1:22" hidden="1" outlineLevel="2" x14ac:dyDescent="0.25">
      <c r="A339" t="s">
        <v>65</v>
      </c>
      <c r="B339">
        <v>2</v>
      </c>
      <c r="C339" t="s">
        <v>66</v>
      </c>
      <c r="D339" t="s">
        <v>67</v>
      </c>
      <c r="E339" t="s">
        <v>68</v>
      </c>
      <c r="F339">
        <v>180</v>
      </c>
      <c r="G339">
        <v>1080</v>
      </c>
      <c r="H339">
        <v>-3</v>
      </c>
      <c r="I339">
        <v>1981</v>
      </c>
      <c r="J339" t="s">
        <v>57</v>
      </c>
      <c r="K339">
        <v>1113</v>
      </c>
      <c r="L339">
        <v>3.98</v>
      </c>
      <c r="M339">
        <v>3.98</v>
      </c>
      <c r="N339" s="7">
        <f t="shared" si="20"/>
        <v>1.2434714E-3</v>
      </c>
      <c r="O339" s="7">
        <f t="shared" si="21"/>
        <v>4.9490161719999998E-3</v>
      </c>
      <c r="P339">
        <v>75</v>
      </c>
      <c r="Q339">
        <v>3</v>
      </c>
      <c r="R339">
        <v>2</v>
      </c>
      <c r="S339">
        <v>3</v>
      </c>
      <c r="T339">
        <v>4</v>
      </c>
      <c r="U339">
        <v>3</v>
      </c>
      <c r="V339" t="s">
        <v>38</v>
      </c>
    </row>
    <row r="340" spans="1:22" hidden="1" outlineLevel="2" x14ac:dyDescent="0.25">
      <c r="A340" t="s">
        <v>65</v>
      </c>
      <c r="B340">
        <v>2</v>
      </c>
      <c r="C340" t="s">
        <v>66</v>
      </c>
      <c r="D340" t="s">
        <v>67</v>
      </c>
      <c r="E340" t="s">
        <v>68</v>
      </c>
      <c r="F340">
        <v>180</v>
      </c>
      <c r="G340">
        <v>1080</v>
      </c>
      <c r="H340">
        <v>-3</v>
      </c>
      <c r="I340">
        <v>1981</v>
      </c>
      <c r="J340" t="s">
        <v>60</v>
      </c>
      <c r="K340">
        <v>1595</v>
      </c>
      <c r="L340">
        <v>2.8</v>
      </c>
      <c r="M340">
        <v>2.92</v>
      </c>
      <c r="N340" s="7">
        <f t="shared" si="20"/>
        <v>6.1543999999999987E-4</v>
      </c>
      <c r="O340" s="7">
        <f t="shared" si="21"/>
        <v>1.7970847999999996E-3</v>
      </c>
      <c r="P340">
        <v>75</v>
      </c>
      <c r="Q340">
        <v>2.5</v>
      </c>
      <c r="R340">
        <v>1.8</v>
      </c>
      <c r="S340">
        <v>3.2</v>
      </c>
      <c r="T340">
        <v>3.5</v>
      </c>
      <c r="U340">
        <v>3.5</v>
      </c>
      <c r="V340" t="s">
        <v>30</v>
      </c>
    </row>
    <row r="341" spans="1:22" hidden="1" outlineLevel="2" x14ac:dyDescent="0.25">
      <c r="A341" t="s">
        <v>65</v>
      </c>
      <c r="B341">
        <v>2</v>
      </c>
      <c r="C341" t="s">
        <v>66</v>
      </c>
      <c r="D341" t="s">
        <v>67</v>
      </c>
      <c r="E341" t="s">
        <v>68</v>
      </c>
      <c r="F341">
        <v>180</v>
      </c>
      <c r="G341">
        <v>1080</v>
      </c>
      <c r="H341">
        <v>-3</v>
      </c>
      <c r="I341">
        <v>1981</v>
      </c>
      <c r="J341" t="s">
        <v>58</v>
      </c>
      <c r="K341">
        <v>1338</v>
      </c>
      <c r="L341">
        <v>6.07</v>
      </c>
      <c r="M341">
        <v>5.89</v>
      </c>
      <c r="N341" s="7">
        <f t="shared" si="20"/>
        <v>2.8923246500000004E-3</v>
      </c>
      <c r="O341" s="7">
        <f t="shared" si="21"/>
        <v>1.7035792188500001E-2</v>
      </c>
      <c r="P341">
        <v>63</v>
      </c>
      <c r="Q341">
        <v>3</v>
      </c>
      <c r="R341">
        <v>3</v>
      </c>
      <c r="S341">
        <v>2</v>
      </c>
      <c r="T341">
        <v>2</v>
      </c>
      <c r="U341">
        <v>2.5</v>
      </c>
      <c r="V341" t="s">
        <v>30</v>
      </c>
    </row>
    <row r="342" spans="1:22" hidden="1" outlineLevel="2" x14ac:dyDescent="0.25">
      <c r="A342" t="s">
        <v>65</v>
      </c>
      <c r="B342">
        <v>2</v>
      </c>
      <c r="C342" t="s">
        <v>66</v>
      </c>
      <c r="D342" t="s">
        <v>67</v>
      </c>
      <c r="E342" t="s">
        <v>68</v>
      </c>
      <c r="F342">
        <v>180</v>
      </c>
      <c r="G342">
        <v>1080</v>
      </c>
      <c r="H342">
        <v>-3</v>
      </c>
      <c r="I342">
        <v>1981</v>
      </c>
      <c r="J342" t="s">
        <v>59</v>
      </c>
      <c r="K342">
        <v>1978</v>
      </c>
      <c r="L342">
        <v>4.04</v>
      </c>
      <c r="M342">
        <v>4.66</v>
      </c>
      <c r="N342" s="7">
        <f t="shared" si="20"/>
        <v>1.2812456000000001E-3</v>
      </c>
      <c r="O342" s="7">
        <f t="shared" si="21"/>
        <v>5.9706044960000006E-3</v>
      </c>
      <c r="P342">
        <v>50</v>
      </c>
      <c r="Q342">
        <v>2.5</v>
      </c>
      <c r="R342">
        <v>3</v>
      </c>
      <c r="S342">
        <v>3.5</v>
      </c>
      <c r="T342">
        <v>3.5</v>
      </c>
      <c r="U342">
        <v>3.5</v>
      </c>
      <c r="V342" t="s">
        <v>38</v>
      </c>
    </row>
    <row r="343" spans="1:22" hidden="1" outlineLevel="2" x14ac:dyDescent="0.25">
      <c r="A343" t="s">
        <v>65</v>
      </c>
      <c r="B343">
        <v>2</v>
      </c>
      <c r="C343" t="s">
        <v>66</v>
      </c>
      <c r="D343" t="s">
        <v>67</v>
      </c>
      <c r="E343" t="s">
        <v>68</v>
      </c>
      <c r="F343">
        <v>180</v>
      </c>
      <c r="G343">
        <v>1080</v>
      </c>
      <c r="H343">
        <v>-3</v>
      </c>
      <c r="I343">
        <v>1981</v>
      </c>
      <c r="J343" t="s">
        <v>59</v>
      </c>
      <c r="K343">
        <v>1482</v>
      </c>
      <c r="L343">
        <v>11.03</v>
      </c>
      <c r="M343">
        <v>6.25</v>
      </c>
      <c r="N343" s="7">
        <f t="shared" si="20"/>
        <v>9.5503806499999989E-3</v>
      </c>
      <c r="O343" s="7">
        <f t="shared" si="21"/>
        <v>5.9689879062499993E-2</v>
      </c>
      <c r="P343">
        <v>38</v>
      </c>
      <c r="Q343">
        <v>3.5</v>
      </c>
      <c r="R343">
        <v>3.5</v>
      </c>
      <c r="S343">
        <v>3</v>
      </c>
      <c r="T343">
        <v>2.5</v>
      </c>
      <c r="U343">
        <v>2</v>
      </c>
      <c r="V343" t="s">
        <v>38</v>
      </c>
    </row>
    <row r="344" spans="1:22" hidden="1" outlineLevel="2" x14ac:dyDescent="0.25">
      <c r="A344" t="s">
        <v>65</v>
      </c>
      <c r="B344">
        <v>2</v>
      </c>
      <c r="C344" t="s">
        <v>66</v>
      </c>
      <c r="D344" t="s">
        <v>67</v>
      </c>
      <c r="E344" t="s">
        <v>68</v>
      </c>
      <c r="F344">
        <v>180</v>
      </c>
      <c r="G344">
        <v>1080</v>
      </c>
      <c r="H344">
        <v>-3</v>
      </c>
      <c r="I344">
        <v>1981</v>
      </c>
      <c r="J344" t="s">
        <v>26</v>
      </c>
      <c r="K344">
        <v>1339</v>
      </c>
      <c r="L344">
        <v>12.49</v>
      </c>
      <c r="M344">
        <v>10.119999999999999</v>
      </c>
      <c r="N344" s="7">
        <f t="shared" si="20"/>
        <v>1.2246007850000001E-2</v>
      </c>
      <c r="O344" s="7">
        <f t="shared" si="21"/>
        <v>0.12392959944199999</v>
      </c>
      <c r="P344">
        <v>63</v>
      </c>
      <c r="Q344">
        <v>4.5</v>
      </c>
      <c r="R344">
        <v>3</v>
      </c>
      <c r="S344">
        <v>3.5</v>
      </c>
      <c r="T344">
        <v>3.5</v>
      </c>
      <c r="U344">
        <v>3.5</v>
      </c>
      <c r="V344" t="s">
        <v>27</v>
      </c>
    </row>
    <row r="345" spans="1:22" hidden="1" outlineLevel="2" x14ac:dyDescent="0.25">
      <c r="A345" t="s">
        <v>65</v>
      </c>
      <c r="B345">
        <v>2</v>
      </c>
      <c r="C345" t="s">
        <v>66</v>
      </c>
      <c r="D345" t="s">
        <v>67</v>
      </c>
      <c r="E345" t="s">
        <v>68</v>
      </c>
      <c r="F345">
        <v>180</v>
      </c>
      <c r="G345">
        <v>1080</v>
      </c>
      <c r="H345">
        <v>-3</v>
      </c>
      <c r="I345">
        <v>1981</v>
      </c>
      <c r="J345" t="s">
        <v>26</v>
      </c>
      <c r="K345">
        <v>2447</v>
      </c>
      <c r="L345">
        <v>9.99</v>
      </c>
      <c r="M345">
        <v>6.83</v>
      </c>
      <c r="N345" s="7">
        <f t="shared" si="20"/>
        <v>7.8343078500000014E-3</v>
      </c>
      <c r="O345" s="7">
        <f t="shared" si="21"/>
        <v>5.3508322615500009E-2</v>
      </c>
      <c r="P345">
        <v>88</v>
      </c>
      <c r="Q345">
        <v>4</v>
      </c>
      <c r="R345">
        <v>3</v>
      </c>
      <c r="S345">
        <v>3.5</v>
      </c>
      <c r="T345">
        <v>3</v>
      </c>
      <c r="U345">
        <v>2.5</v>
      </c>
      <c r="V345" t="s">
        <v>25</v>
      </c>
    </row>
    <row r="346" spans="1:22" hidden="1" outlineLevel="2" x14ac:dyDescent="0.25">
      <c r="A346" t="s">
        <v>65</v>
      </c>
      <c r="B346">
        <v>2</v>
      </c>
      <c r="C346" t="s">
        <v>66</v>
      </c>
      <c r="D346" t="s">
        <v>67</v>
      </c>
      <c r="E346" t="s">
        <v>68</v>
      </c>
      <c r="F346">
        <v>180</v>
      </c>
      <c r="G346">
        <v>1080</v>
      </c>
      <c r="H346">
        <v>-3</v>
      </c>
      <c r="I346">
        <v>1981</v>
      </c>
      <c r="J346" t="s">
        <v>26</v>
      </c>
      <c r="K346">
        <v>1786</v>
      </c>
      <c r="L346">
        <v>17.739999999999998</v>
      </c>
      <c r="M346">
        <v>9.99</v>
      </c>
      <c r="N346" s="7">
        <f t="shared" si="20"/>
        <v>2.4704546599999995E-2</v>
      </c>
      <c r="O346" s="7">
        <f t="shared" si="21"/>
        <v>0.24679842053399995</v>
      </c>
      <c r="P346">
        <v>100</v>
      </c>
      <c r="Q346">
        <v>5</v>
      </c>
      <c r="R346">
        <v>3</v>
      </c>
      <c r="S346">
        <v>3</v>
      </c>
      <c r="T346">
        <v>2.5</v>
      </c>
      <c r="U346">
        <v>2</v>
      </c>
      <c r="V346" t="s">
        <v>27</v>
      </c>
    </row>
    <row r="347" spans="1:22" hidden="1" outlineLevel="2" x14ac:dyDescent="0.25">
      <c r="A347" t="s">
        <v>65</v>
      </c>
      <c r="B347">
        <v>2</v>
      </c>
      <c r="C347" t="s">
        <v>66</v>
      </c>
      <c r="D347" t="s">
        <v>67</v>
      </c>
      <c r="E347" t="s">
        <v>68</v>
      </c>
      <c r="F347">
        <v>180</v>
      </c>
      <c r="G347">
        <v>1080</v>
      </c>
      <c r="H347">
        <v>-3</v>
      </c>
      <c r="I347">
        <v>1981</v>
      </c>
      <c r="J347" t="s">
        <v>32</v>
      </c>
      <c r="K347">
        <v>1596</v>
      </c>
      <c r="L347">
        <v>2.73</v>
      </c>
      <c r="M347">
        <v>3.77</v>
      </c>
      <c r="N347" s="7">
        <f t="shared" si="20"/>
        <v>5.8505265000000008E-4</v>
      </c>
      <c r="O347" s="7">
        <f t="shared" si="21"/>
        <v>2.2056484905000001E-3</v>
      </c>
      <c r="P347">
        <v>100</v>
      </c>
      <c r="Q347">
        <v>2.5</v>
      </c>
      <c r="R347">
        <v>4</v>
      </c>
      <c r="S347">
        <v>3.5</v>
      </c>
      <c r="T347">
        <v>4.5</v>
      </c>
      <c r="U347">
        <v>4</v>
      </c>
      <c r="V347" t="s">
        <v>25</v>
      </c>
    </row>
    <row r="348" spans="1:22" hidden="1" outlineLevel="2" x14ac:dyDescent="0.25">
      <c r="A348" t="s">
        <v>65</v>
      </c>
      <c r="B348">
        <v>2</v>
      </c>
      <c r="C348" t="s">
        <v>66</v>
      </c>
      <c r="D348" t="s">
        <v>67</v>
      </c>
      <c r="E348" t="s">
        <v>68</v>
      </c>
      <c r="F348">
        <v>180</v>
      </c>
      <c r="G348">
        <v>1080</v>
      </c>
      <c r="H348">
        <v>-3</v>
      </c>
      <c r="I348">
        <v>1981</v>
      </c>
      <c r="J348" t="s">
        <v>61</v>
      </c>
      <c r="K348">
        <v>1171</v>
      </c>
      <c r="L348">
        <v>2.79</v>
      </c>
      <c r="M348">
        <v>2.9</v>
      </c>
      <c r="N348" s="7">
        <f t="shared" si="20"/>
        <v>6.1105185000000012E-4</v>
      </c>
      <c r="O348" s="7">
        <f t="shared" si="21"/>
        <v>1.7720503650000003E-3</v>
      </c>
      <c r="P348">
        <v>75</v>
      </c>
      <c r="Q348">
        <v>2</v>
      </c>
      <c r="R348">
        <v>2</v>
      </c>
      <c r="S348">
        <v>2</v>
      </c>
      <c r="T348">
        <v>2</v>
      </c>
      <c r="U348">
        <v>3</v>
      </c>
      <c r="V348" t="s">
        <v>30</v>
      </c>
    </row>
    <row r="349" spans="1:22" hidden="1" outlineLevel="2" x14ac:dyDescent="0.25">
      <c r="A349" t="s">
        <v>65</v>
      </c>
      <c r="B349">
        <v>2</v>
      </c>
      <c r="C349" t="s">
        <v>66</v>
      </c>
      <c r="D349" t="s">
        <v>67</v>
      </c>
      <c r="E349" t="s">
        <v>68</v>
      </c>
      <c r="F349">
        <v>180</v>
      </c>
      <c r="G349">
        <v>1080</v>
      </c>
      <c r="H349">
        <v>-3</v>
      </c>
      <c r="I349">
        <v>1981</v>
      </c>
      <c r="J349" t="s">
        <v>34</v>
      </c>
      <c r="K349">
        <v>2469</v>
      </c>
      <c r="L349">
        <v>9.8800000000000008</v>
      </c>
      <c r="M349">
        <v>8.94</v>
      </c>
      <c r="N349" s="7">
        <f t="shared" ref="N349:N380" si="22">3.14/4*((L349/100)^2)</f>
        <v>7.6627304000000031E-3</v>
      </c>
      <c r="O349" s="7">
        <f t="shared" ref="O349:O380" si="23">3.14/4*((L349/100)^2)*M349</f>
        <v>6.8504809776000028E-2</v>
      </c>
      <c r="P349">
        <v>88</v>
      </c>
      <c r="Q349">
        <v>4</v>
      </c>
      <c r="R349">
        <v>3</v>
      </c>
      <c r="S349">
        <v>3.5</v>
      </c>
      <c r="T349">
        <v>3.5</v>
      </c>
      <c r="U349">
        <v>3.5</v>
      </c>
      <c r="V349" t="s">
        <v>25</v>
      </c>
    </row>
    <row r="350" spans="1:22" hidden="1" outlineLevel="2" x14ac:dyDescent="0.25">
      <c r="A350" t="s">
        <v>65</v>
      </c>
      <c r="B350">
        <v>2</v>
      </c>
      <c r="C350" t="s">
        <v>66</v>
      </c>
      <c r="D350" t="s">
        <v>67</v>
      </c>
      <c r="E350" t="s">
        <v>68</v>
      </c>
      <c r="F350">
        <v>180</v>
      </c>
      <c r="G350">
        <v>1080</v>
      </c>
      <c r="H350">
        <v>-3</v>
      </c>
      <c r="I350">
        <v>1981</v>
      </c>
      <c r="J350" t="s">
        <v>34</v>
      </c>
      <c r="K350">
        <v>1337</v>
      </c>
      <c r="L350">
        <v>8.6300000000000008</v>
      </c>
      <c r="M350">
        <v>8.2100000000000009</v>
      </c>
      <c r="N350" s="7">
        <f t="shared" si="22"/>
        <v>5.84643665E-3</v>
      </c>
      <c r="O350" s="7">
        <f t="shared" si="23"/>
        <v>4.7999244896500003E-2</v>
      </c>
      <c r="P350">
        <v>100</v>
      </c>
      <c r="Q350">
        <v>4</v>
      </c>
      <c r="R350">
        <v>3</v>
      </c>
      <c r="S350">
        <v>3.5</v>
      </c>
      <c r="T350">
        <v>3.5</v>
      </c>
      <c r="U350">
        <v>3.5</v>
      </c>
      <c r="V350" t="s">
        <v>25</v>
      </c>
    </row>
    <row r="351" spans="1:22" hidden="1" outlineLevel="2" x14ac:dyDescent="0.25">
      <c r="A351" t="s">
        <v>65</v>
      </c>
      <c r="B351">
        <v>2</v>
      </c>
      <c r="C351" t="s">
        <v>66</v>
      </c>
      <c r="D351" t="s">
        <v>67</v>
      </c>
      <c r="E351" t="s">
        <v>68</v>
      </c>
      <c r="F351">
        <v>180</v>
      </c>
      <c r="G351">
        <v>1080</v>
      </c>
      <c r="H351">
        <v>-3</v>
      </c>
      <c r="I351">
        <v>1981</v>
      </c>
      <c r="J351" t="s">
        <v>35</v>
      </c>
      <c r="K351">
        <v>1785</v>
      </c>
      <c r="L351">
        <v>4.3899999999999997</v>
      </c>
      <c r="M351">
        <v>4.03</v>
      </c>
      <c r="N351" s="7">
        <f t="shared" si="22"/>
        <v>1.5128598499999997E-3</v>
      </c>
      <c r="O351" s="7">
        <f t="shared" si="23"/>
        <v>6.0968251954999992E-3</v>
      </c>
      <c r="P351">
        <v>88</v>
      </c>
      <c r="Q351">
        <v>1.5</v>
      </c>
      <c r="R351">
        <v>1.5</v>
      </c>
      <c r="S351">
        <v>2</v>
      </c>
      <c r="T351">
        <v>2</v>
      </c>
      <c r="U351">
        <v>3</v>
      </c>
      <c r="V351" t="s">
        <v>50</v>
      </c>
    </row>
    <row r="352" spans="1:22" hidden="1" outlineLevel="2" x14ac:dyDescent="0.25">
      <c r="A352" t="s">
        <v>65</v>
      </c>
      <c r="B352">
        <v>2</v>
      </c>
      <c r="C352" t="s">
        <v>66</v>
      </c>
      <c r="D352" t="s">
        <v>67</v>
      </c>
      <c r="E352" t="s">
        <v>68</v>
      </c>
      <c r="F352">
        <v>180</v>
      </c>
      <c r="G352">
        <v>1080</v>
      </c>
      <c r="H352">
        <v>-3</v>
      </c>
      <c r="I352">
        <v>1981</v>
      </c>
      <c r="J352" t="s">
        <v>36</v>
      </c>
      <c r="K352">
        <v>1598</v>
      </c>
      <c r="L352">
        <v>7.94</v>
      </c>
      <c r="M352">
        <v>7.77</v>
      </c>
      <c r="N352" s="7">
        <f t="shared" si="22"/>
        <v>4.9489225999999999E-3</v>
      </c>
      <c r="O352" s="7">
        <f t="shared" si="23"/>
        <v>3.8453128601999995E-2</v>
      </c>
      <c r="P352">
        <v>100</v>
      </c>
      <c r="Q352">
        <v>3.5</v>
      </c>
      <c r="R352">
        <v>4</v>
      </c>
      <c r="S352">
        <v>2.5</v>
      </c>
      <c r="T352">
        <v>4</v>
      </c>
      <c r="U352">
        <v>3.3</v>
      </c>
      <c r="V352" t="s">
        <v>27</v>
      </c>
    </row>
    <row r="353" spans="1:22" hidden="1" outlineLevel="2" x14ac:dyDescent="0.25">
      <c r="A353" t="s">
        <v>65</v>
      </c>
      <c r="B353">
        <v>2</v>
      </c>
      <c r="C353" t="s">
        <v>66</v>
      </c>
      <c r="D353" t="s">
        <v>67</v>
      </c>
      <c r="E353" t="s">
        <v>68</v>
      </c>
      <c r="F353">
        <v>180</v>
      </c>
      <c r="G353">
        <v>1080</v>
      </c>
      <c r="H353">
        <v>-3</v>
      </c>
      <c r="I353">
        <v>1981</v>
      </c>
      <c r="J353" t="s">
        <v>62</v>
      </c>
      <c r="K353">
        <v>2428</v>
      </c>
      <c r="L353">
        <v>6.48</v>
      </c>
      <c r="M353">
        <v>6.42</v>
      </c>
      <c r="N353" s="7">
        <f t="shared" si="22"/>
        <v>3.2962464000000011E-3</v>
      </c>
      <c r="O353" s="7">
        <f t="shared" si="23"/>
        <v>2.1161901888000007E-2</v>
      </c>
      <c r="P353">
        <v>38</v>
      </c>
      <c r="Q353">
        <v>4</v>
      </c>
      <c r="R353">
        <v>3.5</v>
      </c>
      <c r="S353">
        <v>4</v>
      </c>
      <c r="T353">
        <v>4</v>
      </c>
      <c r="U353">
        <v>3.5</v>
      </c>
      <c r="V353" t="s">
        <v>25</v>
      </c>
    </row>
    <row r="354" spans="1:22" hidden="1" outlineLevel="2" x14ac:dyDescent="0.25">
      <c r="A354" t="s">
        <v>65</v>
      </c>
      <c r="B354">
        <v>2</v>
      </c>
      <c r="C354" t="s">
        <v>66</v>
      </c>
      <c r="D354" t="s">
        <v>67</v>
      </c>
      <c r="E354" t="s">
        <v>68</v>
      </c>
      <c r="F354">
        <v>180</v>
      </c>
      <c r="G354">
        <v>1080</v>
      </c>
      <c r="H354">
        <v>-3</v>
      </c>
      <c r="I354">
        <v>1981</v>
      </c>
      <c r="J354" t="s">
        <v>62</v>
      </c>
      <c r="K354">
        <v>2431</v>
      </c>
      <c r="L354">
        <v>6.28</v>
      </c>
      <c r="M354">
        <v>6.7</v>
      </c>
      <c r="N354" s="7">
        <f t="shared" si="22"/>
        <v>3.0959144000000014E-3</v>
      </c>
      <c r="O354" s="7">
        <f t="shared" si="23"/>
        <v>2.0742626480000009E-2</v>
      </c>
      <c r="P354">
        <v>100</v>
      </c>
      <c r="Q354">
        <v>4</v>
      </c>
      <c r="R354">
        <v>3</v>
      </c>
      <c r="S354">
        <v>4</v>
      </c>
      <c r="T354">
        <v>4</v>
      </c>
      <c r="U354">
        <v>3.5</v>
      </c>
      <c r="V354" t="s">
        <v>25</v>
      </c>
    </row>
    <row r="355" spans="1:22" hidden="1" outlineLevel="2" x14ac:dyDescent="0.25">
      <c r="A355" t="s">
        <v>65</v>
      </c>
      <c r="B355">
        <v>2</v>
      </c>
      <c r="C355" t="s">
        <v>66</v>
      </c>
      <c r="D355" t="s">
        <v>67</v>
      </c>
      <c r="E355" t="s">
        <v>68</v>
      </c>
      <c r="F355">
        <v>180</v>
      </c>
      <c r="G355">
        <v>1080</v>
      </c>
      <c r="H355">
        <v>-3</v>
      </c>
      <c r="I355">
        <v>1981</v>
      </c>
      <c r="J355" t="s">
        <v>62</v>
      </c>
      <c r="K355">
        <v>1787</v>
      </c>
      <c r="L355">
        <v>11.58</v>
      </c>
      <c r="M355">
        <v>8.3699999999999992</v>
      </c>
      <c r="N355" s="7">
        <f t="shared" si="22"/>
        <v>1.0526567400000001E-2</v>
      </c>
      <c r="O355" s="7">
        <f t="shared" si="23"/>
        <v>8.8107369137999991E-2</v>
      </c>
      <c r="P355">
        <v>63</v>
      </c>
      <c r="Q355">
        <v>4</v>
      </c>
      <c r="R355">
        <v>3.5</v>
      </c>
      <c r="S355">
        <v>4</v>
      </c>
      <c r="T355">
        <v>4</v>
      </c>
      <c r="U355">
        <v>3.5</v>
      </c>
      <c r="V355" t="s">
        <v>27</v>
      </c>
    </row>
    <row r="356" spans="1:22" hidden="1" outlineLevel="2" x14ac:dyDescent="0.25">
      <c r="A356" t="s">
        <v>65</v>
      </c>
      <c r="B356">
        <v>2</v>
      </c>
      <c r="C356" t="s">
        <v>66</v>
      </c>
      <c r="D356" t="s">
        <v>67</v>
      </c>
      <c r="E356" t="s">
        <v>68</v>
      </c>
      <c r="F356">
        <v>180</v>
      </c>
      <c r="G356">
        <v>1080</v>
      </c>
      <c r="H356">
        <v>-3</v>
      </c>
      <c r="I356">
        <v>1981</v>
      </c>
      <c r="J356" t="s">
        <v>39</v>
      </c>
      <c r="K356">
        <v>2435</v>
      </c>
      <c r="L356">
        <v>3.56</v>
      </c>
      <c r="M356">
        <v>4.2699999999999996</v>
      </c>
      <c r="N356" s="7">
        <f t="shared" si="22"/>
        <v>9.948775999999999E-4</v>
      </c>
      <c r="O356" s="7">
        <f t="shared" si="23"/>
        <v>4.2481273519999994E-3</v>
      </c>
      <c r="P356">
        <v>25</v>
      </c>
      <c r="Q356">
        <v>3</v>
      </c>
      <c r="R356">
        <v>3</v>
      </c>
      <c r="S356">
        <v>3</v>
      </c>
      <c r="T356">
        <v>3</v>
      </c>
      <c r="U356">
        <v>3</v>
      </c>
      <c r="V356" t="s">
        <v>38</v>
      </c>
    </row>
    <row r="357" spans="1:22" hidden="1" outlineLevel="2" x14ac:dyDescent="0.25">
      <c r="A357" t="s">
        <v>65</v>
      </c>
      <c r="B357">
        <v>2</v>
      </c>
      <c r="C357" t="s">
        <v>66</v>
      </c>
      <c r="D357" t="s">
        <v>67</v>
      </c>
      <c r="E357" t="s">
        <v>68</v>
      </c>
      <c r="F357">
        <v>180</v>
      </c>
      <c r="G357">
        <v>1080</v>
      </c>
      <c r="H357">
        <v>-3</v>
      </c>
      <c r="I357">
        <v>1981</v>
      </c>
      <c r="J357" t="s">
        <v>37</v>
      </c>
      <c r="K357">
        <v>1524</v>
      </c>
      <c r="L357">
        <v>2.57</v>
      </c>
      <c r="M357">
        <v>3.08</v>
      </c>
      <c r="N357" s="7">
        <f t="shared" si="22"/>
        <v>5.1848464999999994E-4</v>
      </c>
      <c r="O357" s="7">
        <f t="shared" si="23"/>
        <v>1.5969327219999998E-3</v>
      </c>
      <c r="P357">
        <v>75</v>
      </c>
      <c r="Q357">
        <v>2</v>
      </c>
      <c r="R357">
        <v>2</v>
      </c>
      <c r="S357">
        <v>2</v>
      </c>
      <c r="T357">
        <v>4</v>
      </c>
      <c r="U357">
        <v>3</v>
      </c>
      <c r="V357" t="s">
        <v>30</v>
      </c>
    </row>
    <row r="358" spans="1:22" hidden="1" outlineLevel="2" x14ac:dyDescent="0.25">
      <c r="A358" t="s">
        <v>65</v>
      </c>
      <c r="B358">
        <v>2</v>
      </c>
      <c r="C358" t="s">
        <v>66</v>
      </c>
      <c r="D358" t="s">
        <v>67</v>
      </c>
      <c r="E358" t="s">
        <v>68</v>
      </c>
      <c r="F358">
        <v>180</v>
      </c>
      <c r="G358">
        <v>1080</v>
      </c>
      <c r="H358">
        <v>-3</v>
      </c>
      <c r="I358">
        <v>1981</v>
      </c>
      <c r="J358" t="s">
        <v>63</v>
      </c>
      <c r="K358">
        <v>1340</v>
      </c>
      <c r="L358">
        <v>5.37</v>
      </c>
      <c r="M358">
        <v>5.74</v>
      </c>
      <c r="N358" s="7">
        <f t="shared" si="22"/>
        <v>2.2636966499999999E-3</v>
      </c>
      <c r="O358" s="7">
        <f t="shared" si="23"/>
        <v>1.2993618771E-2</v>
      </c>
      <c r="P358">
        <v>100</v>
      </c>
      <c r="Q358">
        <v>1.5</v>
      </c>
      <c r="R358">
        <v>1</v>
      </c>
      <c r="S358">
        <v>1.5</v>
      </c>
      <c r="T358">
        <v>1.5</v>
      </c>
      <c r="U358">
        <v>2</v>
      </c>
      <c r="V358" t="s">
        <v>50</v>
      </c>
    </row>
    <row r="359" spans="1:22" hidden="1" outlineLevel="2" x14ac:dyDescent="0.25">
      <c r="A359" t="s">
        <v>65</v>
      </c>
      <c r="B359">
        <v>2</v>
      </c>
      <c r="C359" t="s">
        <v>66</v>
      </c>
      <c r="D359" t="s">
        <v>67</v>
      </c>
      <c r="E359" t="s">
        <v>68</v>
      </c>
      <c r="F359">
        <v>180</v>
      </c>
      <c r="G359">
        <v>1080</v>
      </c>
      <c r="H359">
        <v>-3</v>
      </c>
      <c r="I359">
        <v>1981</v>
      </c>
      <c r="J359" t="s">
        <v>69</v>
      </c>
      <c r="K359">
        <v>1780</v>
      </c>
      <c r="L359">
        <v>2.6</v>
      </c>
      <c r="M359">
        <v>3.64</v>
      </c>
      <c r="N359" s="7">
        <f t="shared" si="22"/>
        <v>5.3066000000000018E-4</v>
      </c>
      <c r="O359" s="7">
        <f t="shared" si="23"/>
        <v>1.9316024000000007E-3</v>
      </c>
      <c r="P359">
        <v>38</v>
      </c>
      <c r="Q359">
        <v>1</v>
      </c>
      <c r="R359">
        <v>2</v>
      </c>
      <c r="S359">
        <v>2</v>
      </c>
      <c r="T359">
        <v>2</v>
      </c>
      <c r="U359">
        <v>3</v>
      </c>
      <c r="V359" t="s">
        <v>50</v>
      </c>
    </row>
    <row r="360" spans="1:22" hidden="1" outlineLevel="2" x14ac:dyDescent="0.25">
      <c r="A360" t="s">
        <v>65</v>
      </c>
      <c r="B360">
        <v>3</v>
      </c>
      <c r="C360" t="s">
        <v>66</v>
      </c>
      <c r="D360" t="s">
        <v>67</v>
      </c>
      <c r="E360" t="s">
        <v>68</v>
      </c>
      <c r="F360">
        <v>180</v>
      </c>
      <c r="G360">
        <v>1080</v>
      </c>
      <c r="H360">
        <v>-3</v>
      </c>
      <c r="I360">
        <v>1981</v>
      </c>
      <c r="J360" t="s">
        <v>55</v>
      </c>
      <c r="K360">
        <v>1094</v>
      </c>
      <c r="L360">
        <v>5.26</v>
      </c>
      <c r="M360">
        <v>5.48</v>
      </c>
      <c r="N360" s="7">
        <f t="shared" si="22"/>
        <v>2.1719066000000001E-3</v>
      </c>
      <c r="O360" s="7">
        <f t="shared" si="23"/>
        <v>1.1902048168000001E-2</v>
      </c>
      <c r="P360">
        <v>63</v>
      </c>
      <c r="Q360">
        <v>2</v>
      </c>
      <c r="R360">
        <v>1.5</v>
      </c>
      <c r="S360">
        <v>2</v>
      </c>
      <c r="T360">
        <v>2</v>
      </c>
      <c r="U360">
        <v>2</v>
      </c>
      <c r="V360" t="s">
        <v>50</v>
      </c>
    </row>
    <row r="361" spans="1:22" hidden="1" outlineLevel="2" x14ac:dyDescent="0.25">
      <c r="A361" t="s">
        <v>65</v>
      </c>
      <c r="B361">
        <v>3</v>
      </c>
      <c r="C361" t="s">
        <v>66</v>
      </c>
      <c r="D361" t="s">
        <v>67</v>
      </c>
      <c r="E361" t="s">
        <v>68</v>
      </c>
      <c r="F361">
        <v>180</v>
      </c>
      <c r="G361">
        <v>1080</v>
      </c>
      <c r="H361">
        <v>-3</v>
      </c>
      <c r="I361">
        <v>1981</v>
      </c>
      <c r="J361" t="s">
        <v>56</v>
      </c>
      <c r="K361">
        <v>1111</v>
      </c>
      <c r="L361">
        <v>4.88</v>
      </c>
      <c r="M361">
        <v>4.1100000000000003</v>
      </c>
      <c r="N361" s="7">
        <f t="shared" si="22"/>
        <v>1.8694303999999995E-3</v>
      </c>
      <c r="O361" s="7">
        <f t="shared" si="23"/>
        <v>7.6833589439999983E-3</v>
      </c>
      <c r="P361">
        <v>88</v>
      </c>
      <c r="Q361">
        <v>3.5</v>
      </c>
      <c r="R361">
        <v>2.5</v>
      </c>
      <c r="S361">
        <v>2</v>
      </c>
      <c r="T361">
        <v>2</v>
      </c>
      <c r="U361">
        <v>2</v>
      </c>
      <c r="V361" t="s">
        <v>38</v>
      </c>
    </row>
    <row r="362" spans="1:22" hidden="1" outlineLevel="2" x14ac:dyDescent="0.25">
      <c r="A362" t="s">
        <v>65</v>
      </c>
      <c r="B362">
        <v>3</v>
      </c>
      <c r="C362" t="s">
        <v>66</v>
      </c>
      <c r="D362" t="s">
        <v>67</v>
      </c>
      <c r="E362" t="s">
        <v>68</v>
      </c>
      <c r="F362">
        <v>180</v>
      </c>
      <c r="G362">
        <v>1080</v>
      </c>
      <c r="H362">
        <v>-3</v>
      </c>
      <c r="I362">
        <v>1981</v>
      </c>
      <c r="J362" t="s">
        <v>57</v>
      </c>
      <c r="K362">
        <v>1112</v>
      </c>
      <c r="L362">
        <v>7.83</v>
      </c>
      <c r="M362">
        <v>6.68</v>
      </c>
      <c r="N362" s="7">
        <f t="shared" si="22"/>
        <v>4.8127486499999995E-3</v>
      </c>
      <c r="O362" s="7">
        <f t="shared" si="23"/>
        <v>3.2149160981999998E-2</v>
      </c>
      <c r="P362">
        <v>100</v>
      </c>
      <c r="Q362">
        <v>3</v>
      </c>
      <c r="R362">
        <v>1.8</v>
      </c>
      <c r="S362">
        <v>3.5</v>
      </c>
      <c r="T362">
        <v>4</v>
      </c>
      <c r="U362">
        <v>4</v>
      </c>
      <c r="V362" t="s">
        <v>25</v>
      </c>
    </row>
    <row r="363" spans="1:22" hidden="1" outlineLevel="2" x14ac:dyDescent="0.25">
      <c r="A363" t="s">
        <v>65</v>
      </c>
      <c r="B363">
        <v>3</v>
      </c>
      <c r="C363" t="s">
        <v>66</v>
      </c>
      <c r="D363" t="s">
        <v>67</v>
      </c>
      <c r="E363" t="s">
        <v>68</v>
      </c>
      <c r="F363">
        <v>180</v>
      </c>
      <c r="G363">
        <v>1080</v>
      </c>
      <c r="H363">
        <v>-3</v>
      </c>
      <c r="I363">
        <v>1981</v>
      </c>
      <c r="J363" t="s">
        <v>57</v>
      </c>
      <c r="K363">
        <v>1113</v>
      </c>
      <c r="L363">
        <v>4.62</v>
      </c>
      <c r="M363">
        <v>4.1100000000000003</v>
      </c>
      <c r="N363" s="7">
        <f t="shared" si="22"/>
        <v>1.6755353999999998E-3</v>
      </c>
      <c r="O363" s="7">
        <f t="shared" si="23"/>
        <v>6.8864504939999995E-3</v>
      </c>
      <c r="P363">
        <v>88</v>
      </c>
      <c r="Q363">
        <v>3</v>
      </c>
      <c r="R363">
        <v>2</v>
      </c>
      <c r="S363">
        <v>2.5</v>
      </c>
      <c r="T363">
        <v>3.5</v>
      </c>
      <c r="U363">
        <v>3</v>
      </c>
      <c r="V363" t="s">
        <v>38</v>
      </c>
    </row>
    <row r="364" spans="1:22" hidden="1" outlineLevel="2" x14ac:dyDescent="0.25">
      <c r="A364" t="s">
        <v>65</v>
      </c>
      <c r="B364">
        <v>3</v>
      </c>
      <c r="C364" t="s">
        <v>66</v>
      </c>
      <c r="D364" t="s">
        <v>67</v>
      </c>
      <c r="E364" t="s">
        <v>68</v>
      </c>
      <c r="F364">
        <v>180</v>
      </c>
      <c r="G364">
        <v>1080</v>
      </c>
      <c r="H364">
        <v>-3</v>
      </c>
      <c r="I364">
        <v>1981</v>
      </c>
      <c r="J364" t="s">
        <v>60</v>
      </c>
      <c r="K364">
        <v>1595</v>
      </c>
      <c r="L364">
        <v>2.29</v>
      </c>
      <c r="M364">
        <v>2.67</v>
      </c>
      <c r="N364" s="7">
        <f t="shared" si="22"/>
        <v>4.1166185000000003E-4</v>
      </c>
      <c r="O364" s="7">
        <f t="shared" si="23"/>
        <v>1.0991371395000001E-3</v>
      </c>
      <c r="P364">
        <v>75</v>
      </c>
      <c r="Q364">
        <v>2.5</v>
      </c>
      <c r="R364">
        <v>1.5</v>
      </c>
      <c r="S364">
        <v>3</v>
      </c>
      <c r="T364">
        <v>4</v>
      </c>
      <c r="U364">
        <v>4</v>
      </c>
      <c r="V364" t="s">
        <v>30</v>
      </c>
    </row>
    <row r="365" spans="1:22" hidden="1" outlineLevel="2" x14ac:dyDescent="0.25">
      <c r="A365" t="s">
        <v>65</v>
      </c>
      <c r="B365">
        <v>3</v>
      </c>
      <c r="C365" t="s">
        <v>66</v>
      </c>
      <c r="D365" t="s">
        <v>67</v>
      </c>
      <c r="E365" t="s">
        <v>68</v>
      </c>
      <c r="F365">
        <v>180</v>
      </c>
      <c r="G365">
        <v>1080</v>
      </c>
      <c r="H365">
        <v>-3</v>
      </c>
      <c r="I365">
        <v>1981</v>
      </c>
      <c r="J365" t="s">
        <v>58</v>
      </c>
      <c r="K365">
        <v>1338</v>
      </c>
      <c r="L365">
        <v>7.28</v>
      </c>
      <c r="M365">
        <v>7.45</v>
      </c>
      <c r="N365" s="7">
        <f t="shared" si="22"/>
        <v>4.1603744000000007E-3</v>
      </c>
      <c r="O365" s="7">
        <f t="shared" si="23"/>
        <v>3.0994789280000004E-2</v>
      </c>
      <c r="P365">
        <v>63</v>
      </c>
      <c r="Q365">
        <v>4</v>
      </c>
      <c r="R365">
        <v>3</v>
      </c>
      <c r="S365">
        <v>3.3</v>
      </c>
      <c r="T365">
        <v>3.3</v>
      </c>
      <c r="U365">
        <v>3</v>
      </c>
      <c r="V365" t="s">
        <v>25</v>
      </c>
    </row>
    <row r="366" spans="1:22" hidden="1" outlineLevel="2" x14ac:dyDescent="0.25">
      <c r="A366" t="s">
        <v>65</v>
      </c>
      <c r="B366">
        <v>3</v>
      </c>
      <c r="C366" t="s">
        <v>66</v>
      </c>
      <c r="D366" t="s">
        <v>67</v>
      </c>
      <c r="E366" t="s">
        <v>68</v>
      </c>
      <c r="F366">
        <v>180</v>
      </c>
      <c r="G366">
        <v>1080</v>
      </c>
      <c r="H366">
        <v>-3</v>
      </c>
      <c r="I366">
        <v>1981</v>
      </c>
      <c r="J366" t="s">
        <v>59</v>
      </c>
      <c r="K366">
        <v>1978</v>
      </c>
      <c r="L366">
        <v>16.54</v>
      </c>
      <c r="M366">
        <v>9.93</v>
      </c>
      <c r="N366" s="7">
        <f t="shared" si="22"/>
        <v>2.1475370599999998E-2</v>
      </c>
      <c r="O366" s="7">
        <f t="shared" si="23"/>
        <v>0.21325043005799998</v>
      </c>
      <c r="P366">
        <v>100</v>
      </c>
      <c r="Q366">
        <v>5</v>
      </c>
      <c r="R366">
        <v>3.3</v>
      </c>
      <c r="S366">
        <v>3.3</v>
      </c>
      <c r="T366">
        <v>2.5</v>
      </c>
      <c r="U366">
        <v>2</v>
      </c>
      <c r="V366" t="s">
        <v>27</v>
      </c>
    </row>
    <row r="367" spans="1:22" hidden="1" outlineLevel="2" x14ac:dyDescent="0.25">
      <c r="A367" t="s">
        <v>65</v>
      </c>
      <c r="B367">
        <v>3</v>
      </c>
      <c r="C367" t="s">
        <v>66</v>
      </c>
      <c r="D367" t="s">
        <v>67</v>
      </c>
      <c r="E367" t="s">
        <v>68</v>
      </c>
      <c r="F367">
        <v>180</v>
      </c>
      <c r="G367">
        <v>1080</v>
      </c>
      <c r="H367">
        <v>-3</v>
      </c>
      <c r="I367">
        <v>1981</v>
      </c>
      <c r="J367" t="s">
        <v>59</v>
      </c>
      <c r="K367">
        <v>1482</v>
      </c>
      <c r="L367">
        <v>10.54</v>
      </c>
      <c r="M367">
        <v>7.84</v>
      </c>
      <c r="N367" s="7">
        <f t="shared" si="22"/>
        <v>8.720690599999999E-3</v>
      </c>
      <c r="O367" s="7">
        <f t="shared" si="23"/>
        <v>6.837021430399999E-2</v>
      </c>
      <c r="P367">
        <v>88</v>
      </c>
      <c r="Q367">
        <v>4</v>
      </c>
      <c r="R367">
        <v>3.3</v>
      </c>
      <c r="S367">
        <v>3.3</v>
      </c>
      <c r="T367">
        <v>3.5</v>
      </c>
      <c r="U367">
        <v>3.5</v>
      </c>
      <c r="V367" t="s">
        <v>25</v>
      </c>
    </row>
    <row r="368" spans="1:22" hidden="1" outlineLevel="2" x14ac:dyDescent="0.25">
      <c r="A368" t="s">
        <v>65</v>
      </c>
      <c r="B368">
        <v>3</v>
      </c>
      <c r="C368" t="s">
        <v>66</v>
      </c>
      <c r="D368" t="s">
        <v>67</v>
      </c>
      <c r="E368" t="s">
        <v>68</v>
      </c>
      <c r="F368">
        <v>180</v>
      </c>
      <c r="G368">
        <v>1080</v>
      </c>
      <c r="H368">
        <v>-3</v>
      </c>
      <c r="I368">
        <v>1981</v>
      </c>
      <c r="J368" t="s">
        <v>26</v>
      </c>
      <c r="K368">
        <v>1339</v>
      </c>
      <c r="L368">
        <v>3.81</v>
      </c>
      <c r="M368">
        <v>4.7300000000000004</v>
      </c>
      <c r="N368" s="7">
        <f t="shared" si="22"/>
        <v>1.1395138500000001E-3</v>
      </c>
      <c r="O368" s="7">
        <f t="shared" si="23"/>
        <v>5.3899005105000003E-3</v>
      </c>
      <c r="P368">
        <v>100</v>
      </c>
      <c r="Q368">
        <v>3</v>
      </c>
      <c r="R368">
        <v>2.7</v>
      </c>
      <c r="S368">
        <v>3</v>
      </c>
      <c r="T368">
        <v>3</v>
      </c>
      <c r="U368">
        <v>3.5</v>
      </c>
      <c r="V368" t="s">
        <v>25</v>
      </c>
    </row>
    <row r="369" spans="1:22" hidden="1" outlineLevel="2" x14ac:dyDescent="0.25">
      <c r="A369" t="s">
        <v>65</v>
      </c>
      <c r="B369">
        <v>3</v>
      </c>
      <c r="C369" t="s">
        <v>66</v>
      </c>
      <c r="D369" t="s">
        <v>67</v>
      </c>
      <c r="E369" t="s">
        <v>68</v>
      </c>
      <c r="F369">
        <v>180</v>
      </c>
      <c r="G369">
        <v>1080</v>
      </c>
      <c r="H369">
        <v>-3</v>
      </c>
      <c r="I369">
        <v>1981</v>
      </c>
      <c r="J369" t="s">
        <v>26</v>
      </c>
      <c r="K369">
        <v>2447</v>
      </c>
      <c r="L369">
        <v>11.57</v>
      </c>
      <c r="M369">
        <v>8.41</v>
      </c>
      <c r="N369" s="7">
        <f t="shared" si="22"/>
        <v>1.0508394649999999E-2</v>
      </c>
      <c r="O369" s="7">
        <f t="shared" si="23"/>
        <v>8.8375599006499994E-2</v>
      </c>
      <c r="P369">
        <v>100</v>
      </c>
      <c r="Q369">
        <v>4</v>
      </c>
      <c r="R369">
        <v>3</v>
      </c>
      <c r="S369">
        <v>3.5</v>
      </c>
      <c r="T369">
        <v>3.5</v>
      </c>
      <c r="U369">
        <v>3.5</v>
      </c>
      <c r="V369" t="s">
        <v>27</v>
      </c>
    </row>
    <row r="370" spans="1:22" hidden="1" outlineLevel="2" x14ac:dyDescent="0.25">
      <c r="A370" t="s">
        <v>65</v>
      </c>
      <c r="B370">
        <v>3</v>
      </c>
      <c r="C370" t="s">
        <v>66</v>
      </c>
      <c r="D370" t="s">
        <v>67</v>
      </c>
      <c r="E370" t="s">
        <v>68</v>
      </c>
      <c r="F370">
        <v>180</v>
      </c>
      <c r="G370">
        <v>1080</v>
      </c>
      <c r="H370">
        <v>-3</v>
      </c>
      <c r="I370">
        <v>1981</v>
      </c>
      <c r="J370" t="s">
        <v>26</v>
      </c>
      <c r="K370">
        <v>1786</v>
      </c>
      <c r="L370">
        <v>13.67</v>
      </c>
      <c r="M370">
        <v>8.81</v>
      </c>
      <c r="N370" s="7">
        <f t="shared" si="22"/>
        <v>1.466920865E-2</v>
      </c>
      <c r="O370" s="7">
        <f t="shared" si="23"/>
        <v>0.12923572820650001</v>
      </c>
      <c r="P370">
        <v>100</v>
      </c>
      <c r="Q370">
        <v>4.8</v>
      </c>
      <c r="R370">
        <v>3</v>
      </c>
      <c r="S370">
        <v>3.5</v>
      </c>
      <c r="T370">
        <v>3.5</v>
      </c>
      <c r="U370">
        <v>3</v>
      </c>
      <c r="V370" t="s">
        <v>27</v>
      </c>
    </row>
    <row r="371" spans="1:22" hidden="1" outlineLevel="2" x14ac:dyDescent="0.25">
      <c r="A371" t="s">
        <v>65</v>
      </c>
      <c r="B371">
        <v>3</v>
      </c>
      <c r="C371" t="s">
        <v>66</v>
      </c>
      <c r="D371" t="s">
        <v>67</v>
      </c>
      <c r="E371" t="s">
        <v>68</v>
      </c>
      <c r="F371">
        <v>180</v>
      </c>
      <c r="G371">
        <v>1080</v>
      </c>
      <c r="H371">
        <v>-3</v>
      </c>
      <c r="I371">
        <v>1981</v>
      </c>
      <c r="J371" t="s">
        <v>32</v>
      </c>
      <c r="K371">
        <v>1596</v>
      </c>
      <c r="L371">
        <v>7.03</v>
      </c>
      <c r="M371">
        <v>5.99</v>
      </c>
      <c r="N371" s="7">
        <f t="shared" si="22"/>
        <v>3.8795406500000008E-3</v>
      </c>
      <c r="O371" s="7">
        <f t="shared" si="23"/>
        <v>2.3238448493500007E-2</v>
      </c>
      <c r="P371">
        <v>88</v>
      </c>
      <c r="Q371">
        <v>3.5</v>
      </c>
      <c r="R371">
        <v>2.7</v>
      </c>
      <c r="S371">
        <v>3.5</v>
      </c>
      <c r="T371">
        <v>4</v>
      </c>
      <c r="U371">
        <v>4</v>
      </c>
      <c r="V371" t="s">
        <v>27</v>
      </c>
    </row>
    <row r="372" spans="1:22" hidden="1" outlineLevel="2" x14ac:dyDescent="0.25">
      <c r="A372" t="s">
        <v>65</v>
      </c>
      <c r="B372">
        <v>3</v>
      </c>
      <c r="C372" t="s">
        <v>66</v>
      </c>
      <c r="D372" t="s">
        <v>67</v>
      </c>
      <c r="E372" t="s">
        <v>68</v>
      </c>
      <c r="F372">
        <v>180</v>
      </c>
      <c r="G372">
        <v>1080</v>
      </c>
      <c r="H372">
        <v>-3</v>
      </c>
      <c r="I372">
        <v>1981</v>
      </c>
      <c r="J372" t="s">
        <v>61</v>
      </c>
      <c r="K372">
        <v>1171</v>
      </c>
      <c r="L372">
        <v>0</v>
      </c>
      <c r="M372">
        <v>0</v>
      </c>
      <c r="N372" s="7">
        <f t="shared" si="22"/>
        <v>0</v>
      </c>
      <c r="O372" s="7">
        <f t="shared" si="23"/>
        <v>0</v>
      </c>
      <c r="P372" t="s">
        <v>44</v>
      </c>
      <c r="Q372">
        <v>2.5</v>
      </c>
      <c r="R372">
        <v>2</v>
      </c>
      <c r="S372">
        <v>1</v>
      </c>
      <c r="T372">
        <v>1</v>
      </c>
      <c r="U372">
        <v>1</v>
      </c>
      <c r="V372" t="s">
        <v>50</v>
      </c>
    </row>
    <row r="373" spans="1:22" hidden="1" outlineLevel="2" x14ac:dyDescent="0.25">
      <c r="A373" t="s">
        <v>65</v>
      </c>
      <c r="B373">
        <v>3</v>
      </c>
      <c r="C373" t="s">
        <v>66</v>
      </c>
      <c r="D373" t="s">
        <v>67</v>
      </c>
      <c r="E373" t="s">
        <v>68</v>
      </c>
      <c r="F373">
        <v>180</v>
      </c>
      <c r="G373">
        <v>1080</v>
      </c>
      <c r="H373">
        <v>-3</v>
      </c>
      <c r="I373">
        <v>1981</v>
      </c>
      <c r="J373" t="s">
        <v>34</v>
      </c>
      <c r="K373">
        <v>2469</v>
      </c>
      <c r="L373">
        <v>7.68</v>
      </c>
      <c r="M373">
        <v>8</v>
      </c>
      <c r="N373" s="7">
        <f t="shared" si="22"/>
        <v>4.6301183999999992E-3</v>
      </c>
      <c r="O373" s="7">
        <f t="shared" si="23"/>
        <v>3.7040947199999993E-2</v>
      </c>
      <c r="P373">
        <v>88</v>
      </c>
      <c r="Q373">
        <v>4.5</v>
      </c>
      <c r="R373">
        <v>3</v>
      </c>
      <c r="S373">
        <v>4</v>
      </c>
      <c r="T373">
        <v>4</v>
      </c>
      <c r="U373">
        <v>4</v>
      </c>
      <c r="V373" t="s">
        <v>27</v>
      </c>
    </row>
    <row r="374" spans="1:22" hidden="1" outlineLevel="2" x14ac:dyDescent="0.25">
      <c r="A374" t="s">
        <v>65</v>
      </c>
      <c r="B374">
        <v>3</v>
      </c>
      <c r="C374" t="s">
        <v>66</v>
      </c>
      <c r="D374" t="s">
        <v>67</v>
      </c>
      <c r="E374" t="s">
        <v>68</v>
      </c>
      <c r="F374">
        <v>180</v>
      </c>
      <c r="G374">
        <v>1080</v>
      </c>
      <c r="H374">
        <v>-3</v>
      </c>
      <c r="I374">
        <v>1981</v>
      </c>
      <c r="J374" t="s">
        <v>35</v>
      </c>
      <c r="K374">
        <v>1785</v>
      </c>
      <c r="L374">
        <v>3.2</v>
      </c>
      <c r="M374">
        <v>3.56</v>
      </c>
      <c r="N374" s="7">
        <f t="shared" si="22"/>
        <v>8.0384E-4</v>
      </c>
      <c r="O374" s="7">
        <f t="shared" si="23"/>
        <v>2.8616703999999999E-3</v>
      </c>
      <c r="P374">
        <v>88</v>
      </c>
      <c r="Q374">
        <v>1.5</v>
      </c>
      <c r="R374">
        <v>1.8</v>
      </c>
      <c r="S374">
        <v>2.5</v>
      </c>
      <c r="T374">
        <v>3.3</v>
      </c>
      <c r="U374">
        <v>3.5</v>
      </c>
      <c r="V374" t="s">
        <v>30</v>
      </c>
    </row>
    <row r="375" spans="1:22" hidden="1" outlineLevel="2" x14ac:dyDescent="0.25">
      <c r="A375" t="s">
        <v>65</v>
      </c>
      <c r="B375">
        <v>3</v>
      </c>
      <c r="C375" t="s">
        <v>66</v>
      </c>
      <c r="D375" t="s">
        <v>67</v>
      </c>
      <c r="E375" t="s">
        <v>68</v>
      </c>
      <c r="F375">
        <v>180</v>
      </c>
      <c r="G375">
        <v>1080</v>
      </c>
      <c r="H375">
        <v>-3</v>
      </c>
      <c r="I375">
        <v>1981</v>
      </c>
      <c r="J375" t="s">
        <v>36</v>
      </c>
      <c r="K375">
        <v>1598</v>
      </c>
      <c r="L375">
        <v>6.78</v>
      </c>
      <c r="M375">
        <v>5.62</v>
      </c>
      <c r="N375" s="7">
        <f t="shared" si="22"/>
        <v>3.6085193999999998E-3</v>
      </c>
      <c r="O375" s="7">
        <f t="shared" si="23"/>
        <v>2.0279879027999999E-2</v>
      </c>
      <c r="P375">
        <v>63</v>
      </c>
      <c r="Q375">
        <v>3</v>
      </c>
      <c r="R375">
        <v>4</v>
      </c>
      <c r="S375">
        <v>2.5</v>
      </c>
      <c r="T375">
        <v>3</v>
      </c>
      <c r="U375">
        <v>2</v>
      </c>
      <c r="V375" t="s">
        <v>38</v>
      </c>
    </row>
    <row r="376" spans="1:22" hidden="1" outlineLevel="2" x14ac:dyDescent="0.25">
      <c r="A376" t="s">
        <v>65</v>
      </c>
      <c r="B376">
        <v>3</v>
      </c>
      <c r="C376" t="s">
        <v>66</v>
      </c>
      <c r="D376" t="s">
        <v>67</v>
      </c>
      <c r="E376" t="s">
        <v>68</v>
      </c>
      <c r="F376">
        <v>180</v>
      </c>
      <c r="G376">
        <v>1080</v>
      </c>
      <c r="H376">
        <v>-3</v>
      </c>
      <c r="I376">
        <v>1981</v>
      </c>
      <c r="J376" t="s">
        <v>62</v>
      </c>
      <c r="K376">
        <v>2428</v>
      </c>
      <c r="L376">
        <v>5.16</v>
      </c>
      <c r="M376">
        <v>5.86</v>
      </c>
      <c r="N376" s="7">
        <f t="shared" si="22"/>
        <v>2.0901095999999999E-3</v>
      </c>
      <c r="O376" s="7">
        <f t="shared" si="23"/>
        <v>1.2248042256E-2</v>
      </c>
      <c r="P376">
        <v>75</v>
      </c>
      <c r="Q376">
        <v>4</v>
      </c>
      <c r="R376">
        <v>3</v>
      </c>
      <c r="S376">
        <v>4</v>
      </c>
      <c r="T376">
        <v>4</v>
      </c>
      <c r="U376">
        <v>4</v>
      </c>
      <c r="V376" t="s">
        <v>27</v>
      </c>
    </row>
    <row r="377" spans="1:22" hidden="1" outlineLevel="2" x14ac:dyDescent="0.25">
      <c r="A377" t="s">
        <v>65</v>
      </c>
      <c r="B377">
        <v>3</v>
      </c>
      <c r="C377" t="s">
        <v>66</v>
      </c>
      <c r="D377" t="s">
        <v>67</v>
      </c>
      <c r="E377" t="s">
        <v>68</v>
      </c>
      <c r="F377">
        <v>180</v>
      </c>
      <c r="G377">
        <v>1080</v>
      </c>
      <c r="H377">
        <v>-3</v>
      </c>
      <c r="I377">
        <v>1981</v>
      </c>
      <c r="J377" t="s">
        <v>62</v>
      </c>
      <c r="K377">
        <v>2431</v>
      </c>
      <c r="L377">
        <v>3.35</v>
      </c>
      <c r="M377">
        <v>5.16</v>
      </c>
      <c r="N377" s="7">
        <f t="shared" si="22"/>
        <v>8.8096625000000015E-4</v>
      </c>
      <c r="O377" s="7">
        <f t="shared" si="23"/>
        <v>4.545785850000001E-3</v>
      </c>
      <c r="P377">
        <v>100</v>
      </c>
      <c r="Q377">
        <v>3</v>
      </c>
      <c r="R377">
        <v>3</v>
      </c>
      <c r="S377">
        <v>4.5</v>
      </c>
      <c r="T377">
        <v>4</v>
      </c>
      <c r="U377">
        <v>4</v>
      </c>
      <c r="V377" t="s">
        <v>25</v>
      </c>
    </row>
    <row r="378" spans="1:22" hidden="1" outlineLevel="2" x14ac:dyDescent="0.25">
      <c r="A378" t="s">
        <v>65</v>
      </c>
      <c r="B378">
        <v>3</v>
      </c>
      <c r="C378" t="s">
        <v>66</v>
      </c>
      <c r="D378" t="s">
        <v>67</v>
      </c>
      <c r="E378" t="s">
        <v>68</v>
      </c>
      <c r="F378">
        <v>180</v>
      </c>
      <c r="G378">
        <v>1080</v>
      </c>
      <c r="H378">
        <v>-3</v>
      </c>
      <c r="I378">
        <v>1981</v>
      </c>
      <c r="J378" t="s">
        <v>62</v>
      </c>
      <c r="K378">
        <v>1787</v>
      </c>
      <c r="L378">
        <v>3.77</v>
      </c>
      <c r="M378">
        <v>4.88</v>
      </c>
      <c r="N378" s="7">
        <f t="shared" si="22"/>
        <v>1.1157126499999998E-3</v>
      </c>
      <c r="O378" s="7">
        <f t="shared" si="23"/>
        <v>5.444677731999999E-3</v>
      </c>
      <c r="P378">
        <v>88</v>
      </c>
      <c r="Q378">
        <v>4</v>
      </c>
      <c r="R378">
        <v>3.5</v>
      </c>
      <c r="S378">
        <v>4</v>
      </c>
      <c r="T378">
        <v>4</v>
      </c>
      <c r="U378">
        <v>4</v>
      </c>
      <c r="V378" t="s">
        <v>27</v>
      </c>
    </row>
    <row r="379" spans="1:22" hidden="1" outlineLevel="2" x14ac:dyDescent="0.25">
      <c r="A379" t="s">
        <v>65</v>
      </c>
      <c r="B379">
        <v>3</v>
      </c>
      <c r="C379" t="s">
        <v>66</v>
      </c>
      <c r="D379" t="s">
        <v>67</v>
      </c>
      <c r="E379" t="s">
        <v>68</v>
      </c>
      <c r="F379">
        <v>180</v>
      </c>
      <c r="G379">
        <v>1080</v>
      </c>
      <c r="H379">
        <v>-3</v>
      </c>
      <c r="I379">
        <v>1981</v>
      </c>
      <c r="J379" t="s">
        <v>37</v>
      </c>
      <c r="K379">
        <v>1524</v>
      </c>
      <c r="L379">
        <v>4.49</v>
      </c>
      <c r="M379">
        <v>4.49</v>
      </c>
      <c r="N379" s="7">
        <f t="shared" si="22"/>
        <v>1.5825678500000003E-3</v>
      </c>
      <c r="O379" s="7">
        <f t="shared" si="23"/>
        <v>7.1057296465000018E-3</v>
      </c>
      <c r="P379">
        <v>88</v>
      </c>
      <c r="Q379">
        <v>2.2999999999999998</v>
      </c>
      <c r="R379">
        <v>2</v>
      </c>
      <c r="S379">
        <v>2.5</v>
      </c>
      <c r="T379">
        <v>4</v>
      </c>
      <c r="U379">
        <v>3</v>
      </c>
      <c r="V379" t="s">
        <v>30</v>
      </c>
    </row>
    <row r="380" spans="1:22" hidden="1" outlineLevel="2" x14ac:dyDescent="0.25">
      <c r="A380" t="s">
        <v>65</v>
      </c>
      <c r="B380">
        <v>3</v>
      </c>
      <c r="C380" t="s">
        <v>66</v>
      </c>
      <c r="D380" t="s">
        <v>67</v>
      </c>
      <c r="E380" t="s">
        <v>68</v>
      </c>
      <c r="F380">
        <v>180</v>
      </c>
      <c r="G380">
        <v>1080</v>
      </c>
      <c r="H380">
        <v>-3</v>
      </c>
      <c r="I380">
        <v>1981</v>
      </c>
      <c r="J380" t="s">
        <v>63</v>
      </c>
      <c r="K380">
        <v>1340</v>
      </c>
      <c r="L380">
        <v>6.11</v>
      </c>
      <c r="M380">
        <v>5.74</v>
      </c>
      <c r="N380" s="7">
        <f t="shared" si="22"/>
        <v>2.9305698500000001E-3</v>
      </c>
      <c r="O380" s="7">
        <f t="shared" si="23"/>
        <v>1.6821470939000001E-2</v>
      </c>
      <c r="P380">
        <v>100</v>
      </c>
      <c r="Q380">
        <v>2.5</v>
      </c>
      <c r="R380">
        <v>1.5</v>
      </c>
      <c r="S380">
        <v>1.5</v>
      </c>
      <c r="T380">
        <v>1</v>
      </c>
      <c r="U380">
        <v>1</v>
      </c>
      <c r="V380" t="s">
        <v>30</v>
      </c>
    </row>
    <row r="381" spans="1:22" hidden="1" outlineLevel="2" x14ac:dyDescent="0.25">
      <c r="A381" t="s">
        <v>65</v>
      </c>
      <c r="B381">
        <v>3</v>
      </c>
      <c r="C381" t="s">
        <v>66</v>
      </c>
      <c r="D381" t="s">
        <v>67</v>
      </c>
      <c r="E381" t="s">
        <v>68</v>
      </c>
      <c r="F381">
        <v>180</v>
      </c>
      <c r="G381">
        <v>1080</v>
      </c>
      <c r="H381">
        <v>-3</v>
      </c>
      <c r="I381">
        <v>1981</v>
      </c>
      <c r="J381" t="s">
        <v>69</v>
      </c>
      <c r="K381">
        <v>1780</v>
      </c>
      <c r="L381">
        <v>3.51</v>
      </c>
      <c r="M381">
        <v>4.68</v>
      </c>
      <c r="N381" s="7">
        <f t="shared" ref="N381:N412" si="24">3.14/4*((L381/100)^2)</f>
        <v>9.6712784999999999E-4</v>
      </c>
      <c r="O381" s="7">
        <f t="shared" ref="O381:O412" si="25">3.14/4*((L381/100)^2)*M381</f>
        <v>4.5261583379999993E-3</v>
      </c>
      <c r="P381">
        <v>25</v>
      </c>
      <c r="Q381">
        <v>1.5</v>
      </c>
      <c r="R381">
        <v>1.5</v>
      </c>
      <c r="S381">
        <v>2</v>
      </c>
      <c r="T381">
        <v>2</v>
      </c>
      <c r="U381">
        <v>3</v>
      </c>
      <c r="V381" t="s">
        <v>30</v>
      </c>
    </row>
    <row r="382" spans="1:22" hidden="1" outlineLevel="2" x14ac:dyDescent="0.25">
      <c r="A382" t="s">
        <v>74</v>
      </c>
      <c r="B382">
        <v>1</v>
      </c>
      <c r="C382" t="s">
        <v>66</v>
      </c>
      <c r="D382" t="s">
        <v>75</v>
      </c>
      <c r="E382" t="s">
        <v>68</v>
      </c>
      <c r="F382">
        <v>180</v>
      </c>
      <c r="G382">
        <v>1080</v>
      </c>
      <c r="H382">
        <v>-3</v>
      </c>
      <c r="I382">
        <v>1982</v>
      </c>
      <c r="J382" t="s">
        <v>56</v>
      </c>
      <c r="K382">
        <v>1111</v>
      </c>
      <c r="L382">
        <v>6.02</v>
      </c>
      <c r="M382">
        <v>3.63</v>
      </c>
      <c r="N382" s="7">
        <f t="shared" si="24"/>
        <v>2.8448713999999998E-3</v>
      </c>
      <c r="O382" s="7">
        <f t="shared" si="25"/>
        <v>1.0326883181999999E-2</v>
      </c>
      <c r="P382">
        <v>38</v>
      </c>
      <c r="Q382">
        <v>2.5</v>
      </c>
      <c r="R382">
        <v>3</v>
      </c>
      <c r="S382">
        <v>3</v>
      </c>
      <c r="T382">
        <v>3</v>
      </c>
      <c r="U382">
        <v>3</v>
      </c>
      <c r="V382" t="s">
        <v>30</v>
      </c>
    </row>
    <row r="383" spans="1:22" hidden="1" outlineLevel="2" x14ac:dyDescent="0.25">
      <c r="A383" t="s">
        <v>74</v>
      </c>
      <c r="B383">
        <v>1</v>
      </c>
      <c r="C383" t="s">
        <v>66</v>
      </c>
      <c r="D383" t="s">
        <v>75</v>
      </c>
      <c r="E383" t="s">
        <v>68</v>
      </c>
      <c r="F383">
        <v>180</v>
      </c>
      <c r="G383">
        <v>1080</v>
      </c>
      <c r="H383">
        <v>-3</v>
      </c>
      <c r="I383">
        <v>1982</v>
      </c>
      <c r="J383" t="s">
        <v>57</v>
      </c>
      <c r="K383">
        <v>2620</v>
      </c>
      <c r="L383">
        <v>2.29</v>
      </c>
      <c r="M383">
        <v>3.2</v>
      </c>
      <c r="N383" s="7">
        <f t="shared" si="24"/>
        <v>4.1166185000000003E-4</v>
      </c>
      <c r="O383" s="7">
        <f t="shared" si="25"/>
        <v>1.3173179200000002E-3</v>
      </c>
      <c r="P383">
        <v>50</v>
      </c>
      <c r="Q383">
        <v>1</v>
      </c>
      <c r="R383">
        <v>1</v>
      </c>
      <c r="S383">
        <v>3</v>
      </c>
      <c r="T383">
        <v>3</v>
      </c>
      <c r="U383">
        <v>3</v>
      </c>
      <c r="V383" t="s">
        <v>50</v>
      </c>
    </row>
    <row r="384" spans="1:22" hidden="1" outlineLevel="2" x14ac:dyDescent="0.25">
      <c r="A384" t="s">
        <v>74</v>
      </c>
      <c r="B384">
        <v>1</v>
      </c>
      <c r="C384" t="s">
        <v>66</v>
      </c>
      <c r="D384" t="s">
        <v>75</v>
      </c>
      <c r="E384" t="s">
        <v>68</v>
      </c>
      <c r="F384">
        <v>180</v>
      </c>
      <c r="G384">
        <v>1080</v>
      </c>
      <c r="H384">
        <v>-3</v>
      </c>
      <c r="I384">
        <v>1982</v>
      </c>
      <c r="J384" t="s">
        <v>57</v>
      </c>
      <c r="K384">
        <v>2621</v>
      </c>
      <c r="L384">
        <v>3.31</v>
      </c>
      <c r="M384">
        <v>4.34</v>
      </c>
      <c r="N384" s="7">
        <f t="shared" si="24"/>
        <v>8.6005384999999991E-4</v>
      </c>
      <c r="O384" s="7">
        <f t="shared" si="25"/>
        <v>3.7326337089999993E-3</v>
      </c>
      <c r="P384">
        <v>50</v>
      </c>
      <c r="Q384">
        <v>3</v>
      </c>
      <c r="R384">
        <v>2.5</v>
      </c>
      <c r="S384">
        <v>3</v>
      </c>
      <c r="T384">
        <v>3</v>
      </c>
      <c r="U384">
        <v>3</v>
      </c>
      <c r="V384" t="s">
        <v>30</v>
      </c>
    </row>
    <row r="385" spans="1:22" hidden="1" outlineLevel="2" x14ac:dyDescent="0.25">
      <c r="A385" t="s">
        <v>74</v>
      </c>
      <c r="B385">
        <v>1</v>
      </c>
      <c r="C385" t="s">
        <v>66</v>
      </c>
      <c r="D385" t="s">
        <v>75</v>
      </c>
      <c r="E385" t="s">
        <v>68</v>
      </c>
      <c r="F385">
        <v>180</v>
      </c>
      <c r="G385">
        <v>1080</v>
      </c>
      <c r="H385">
        <v>-3</v>
      </c>
      <c r="I385">
        <v>1982</v>
      </c>
      <c r="J385" t="s">
        <v>59</v>
      </c>
      <c r="K385">
        <v>2426</v>
      </c>
      <c r="L385">
        <v>53.86</v>
      </c>
      <c r="M385">
        <v>5.01</v>
      </c>
      <c r="N385" s="7">
        <f t="shared" si="24"/>
        <v>0.22772061859999998</v>
      </c>
      <c r="O385" s="7">
        <f t="shared" si="25"/>
        <v>1.1408802991859999</v>
      </c>
      <c r="P385">
        <v>100</v>
      </c>
      <c r="Q385">
        <v>2.5</v>
      </c>
      <c r="R385">
        <v>3.5</v>
      </c>
      <c r="S385">
        <v>3</v>
      </c>
      <c r="T385">
        <v>3</v>
      </c>
      <c r="U385">
        <v>3</v>
      </c>
      <c r="V385" t="s">
        <v>30</v>
      </c>
    </row>
    <row r="386" spans="1:22" hidden="1" outlineLevel="2" x14ac:dyDescent="0.25">
      <c r="A386" t="s">
        <v>74</v>
      </c>
      <c r="B386">
        <v>1</v>
      </c>
      <c r="C386" t="s">
        <v>66</v>
      </c>
      <c r="D386" t="s">
        <v>75</v>
      </c>
      <c r="E386" t="s">
        <v>68</v>
      </c>
      <c r="F386">
        <v>180</v>
      </c>
      <c r="G386">
        <v>1080</v>
      </c>
      <c r="H386">
        <v>-3</v>
      </c>
      <c r="I386">
        <v>1982</v>
      </c>
      <c r="J386" t="s">
        <v>59</v>
      </c>
      <c r="K386">
        <v>1482</v>
      </c>
      <c r="L386">
        <v>19.66</v>
      </c>
      <c r="M386">
        <v>12.21</v>
      </c>
      <c r="N386" s="7">
        <f t="shared" si="24"/>
        <v>3.0341474600000001E-2</v>
      </c>
      <c r="O386" s="7">
        <f t="shared" si="25"/>
        <v>0.37046940486600005</v>
      </c>
      <c r="P386">
        <v>100</v>
      </c>
      <c r="Q386">
        <v>4.5</v>
      </c>
      <c r="R386">
        <v>4</v>
      </c>
      <c r="S386">
        <v>4</v>
      </c>
      <c r="T386">
        <v>3</v>
      </c>
      <c r="U386">
        <v>2.7</v>
      </c>
      <c r="V386" t="s">
        <v>25</v>
      </c>
    </row>
    <row r="387" spans="1:22" hidden="1" outlineLevel="2" x14ac:dyDescent="0.25">
      <c r="A387" t="s">
        <v>74</v>
      </c>
      <c r="B387">
        <v>1</v>
      </c>
      <c r="C387" t="s">
        <v>66</v>
      </c>
      <c r="D387" t="s">
        <v>75</v>
      </c>
      <c r="E387" t="s">
        <v>68</v>
      </c>
      <c r="F387">
        <v>180</v>
      </c>
      <c r="G387">
        <v>1080</v>
      </c>
      <c r="H387">
        <v>-3</v>
      </c>
      <c r="I387">
        <v>1982</v>
      </c>
      <c r="J387" t="s">
        <v>59</v>
      </c>
      <c r="K387">
        <v>2548</v>
      </c>
      <c r="L387">
        <v>22.23</v>
      </c>
      <c r="M387">
        <v>12.82</v>
      </c>
      <c r="N387" s="7">
        <f t="shared" si="24"/>
        <v>3.8792572649999996E-2</v>
      </c>
      <c r="O387" s="7">
        <f t="shared" si="25"/>
        <v>0.49732078137299995</v>
      </c>
      <c r="P387">
        <v>100</v>
      </c>
      <c r="Q387">
        <v>5</v>
      </c>
      <c r="R387">
        <v>4</v>
      </c>
      <c r="S387">
        <v>3</v>
      </c>
      <c r="T387">
        <v>3</v>
      </c>
      <c r="U387">
        <v>2</v>
      </c>
      <c r="V387" t="s">
        <v>25</v>
      </c>
    </row>
    <row r="388" spans="1:22" hidden="1" outlineLevel="2" x14ac:dyDescent="0.25">
      <c r="A388" t="s">
        <v>74</v>
      </c>
      <c r="B388">
        <v>1</v>
      </c>
      <c r="C388" t="s">
        <v>66</v>
      </c>
      <c r="D388" t="s">
        <v>75</v>
      </c>
      <c r="E388" t="s">
        <v>68</v>
      </c>
      <c r="F388">
        <v>180</v>
      </c>
      <c r="G388">
        <v>1080</v>
      </c>
      <c r="H388">
        <v>-3</v>
      </c>
      <c r="I388">
        <v>1982</v>
      </c>
      <c r="J388" t="s">
        <v>26</v>
      </c>
      <c r="K388">
        <v>2552</v>
      </c>
      <c r="L388">
        <v>1.82</v>
      </c>
      <c r="M388">
        <v>2.4300000000000002</v>
      </c>
      <c r="N388" s="7">
        <f t="shared" si="24"/>
        <v>2.6002340000000004E-4</v>
      </c>
      <c r="O388" s="7">
        <f t="shared" si="25"/>
        <v>6.3185686200000011E-4</v>
      </c>
      <c r="P388">
        <v>13</v>
      </c>
      <c r="Q388">
        <v>1</v>
      </c>
      <c r="R388">
        <v>2.5</v>
      </c>
      <c r="S388">
        <v>3</v>
      </c>
      <c r="T388">
        <v>3</v>
      </c>
      <c r="U388">
        <v>3</v>
      </c>
      <c r="V388" t="s">
        <v>50</v>
      </c>
    </row>
    <row r="389" spans="1:22" hidden="1" outlineLevel="2" x14ac:dyDescent="0.25">
      <c r="A389" t="s">
        <v>74</v>
      </c>
      <c r="B389">
        <v>1</v>
      </c>
      <c r="C389" t="s">
        <v>66</v>
      </c>
      <c r="D389" t="s">
        <v>75</v>
      </c>
      <c r="E389" t="s">
        <v>68</v>
      </c>
      <c r="F389">
        <v>180</v>
      </c>
      <c r="G389">
        <v>1080</v>
      </c>
      <c r="H389">
        <v>-3</v>
      </c>
      <c r="I389">
        <v>1982</v>
      </c>
      <c r="J389" t="s">
        <v>61</v>
      </c>
      <c r="K389">
        <v>2631</v>
      </c>
      <c r="L389">
        <v>6.97</v>
      </c>
      <c r="M389">
        <v>5.23</v>
      </c>
      <c r="N389" s="7">
        <f t="shared" si="24"/>
        <v>3.8136006499999999E-3</v>
      </c>
      <c r="O389" s="7">
        <f t="shared" si="25"/>
        <v>1.99451313995E-2</v>
      </c>
      <c r="P389">
        <v>25</v>
      </c>
      <c r="Q389">
        <v>2</v>
      </c>
      <c r="R389">
        <v>3</v>
      </c>
      <c r="S389">
        <v>2.5</v>
      </c>
      <c r="T389">
        <v>2</v>
      </c>
      <c r="U389">
        <v>3</v>
      </c>
      <c r="V389" t="s">
        <v>50</v>
      </c>
    </row>
    <row r="390" spans="1:22" hidden="1" outlineLevel="2" x14ac:dyDescent="0.25">
      <c r="A390" t="s">
        <v>74</v>
      </c>
      <c r="B390">
        <v>1</v>
      </c>
      <c r="C390" t="s">
        <v>66</v>
      </c>
      <c r="D390" t="s">
        <v>75</v>
      </c>
      <c r="E390" t="s">
        <v>68</v>
      </c>
      <c r="F390">
        <v>180</v>
      </c>
      <c r="G390">
        <v>1080</v>
      </c>
      <c r="H390">
        <v>-3</v>
      </c>
      <c r="I390">
        <v>1982</v>
      </c>
      <c r="J390" t="s">
        <v>32</v>
      </c>
      <c r="K390">
        <v>1596</v>
      </c>
      <c r="L390">
        <v>12.21</v>
      </c>
      <c r="M390">
        <v>8.7200000000000006</v>
      </c>
      <c r="N390" s="7">
        <f t="shared" si="24"/>
        <v>1.1703101850000003E-2</v>
      </c>
      <c r="O390" s="7">
        <f t="shared" si="25"/>
        <v>0.10205104813200004</v>
      </c>
      <c r="P390">
        <v>75</v>
      </c>
      <c r="Q390">
        <v>3.3</v>
      </c>
      <c r="R390">
        <v>3.5</v>
      </c>
      <c r="S390">
        <v>3</v>
      </c>
      <c r="T390">
        <v>4</v>
      </c>
      <c r="U390">
        <v>3.5</v>
      </c>
      <c r="V390" t="s">
        <v>25</v>
      </c>
    </row>
    <row r="391" spans="1:22" hidden="1" outlineLevel="2" x14ac:dyDescent="0.25">
      <c r="A391" t="s">
        <v>74</v>
      </c>
      <c r="B391">
        <v>1</v>
      </c>
      <c r="C391" t="s">
        <v>66</v>
      </c>
      <c r="D391" t="s">
        <v>75</v>
      </c>
      <c r="E391" t="s">
        <v>68</v>
      </c>
      <c r="F391">
        <v>180</v>
      </c>
      <c r="G391">
        <v>1080</v>
      </c>
      <c r="H391">
        <v>-3</v>
      </c>
      <c r="I391">
        <v>1982</v>
      </c>
      <c r="J391" t="s">
        <v>32</v>
      </c>
      <c r="K391">
        <v>2634</v>
      </c>
      <c r="L391">
        <v>6.6</v>
      </c>
      <c r="M391">
        <v>8.1</v>
      </c>
      <c r="N391" s="7">
        <f t="shared" si="24"/>
        <v>3.4194600000000005E-3</v>
      </c>
      <c r="O391" s="7">
        <f t="shared" si="25"/>
        <v>2.7697626000000003E-2</v>
      </c>
      <c r="P391">
        <v>50</v>
      </c>
      <c r="Q391">
        <v>2.8</v>
      </c>
      <c r="R391">
        <v>4</v>
      </c>
      <c r="S391">
        <v>3</v>
      </c>
      <c r="T391">
        <v>4</v>
      </c>
      <c r="U391">
        <v>3.5</v>
      </c>
      <c r="V391" t="s">
        <v>38</v>
      </c>
    </row>
    <row r="392" spans="1:22" hidden="1" outlineLevel="2" x14ac:dyDescent="0.25">
      <c r="A392" t="s">
        <v>74</v>
      </c>
      <c r="B392">
        <v>1</v>
      </c>
      <c r="C392" t="s">
        <v>66</v>
      </c>
      <c r="D392" t="s">
        <v>75</v>
      </c>
      <c r="E392" t="s">
        <v>68</v>
      </c>
      <c r="F392">
        <v>180</v>
      </c>
      <c r="G392">
        <v>1080</v>
      </c>
      <c r="H392">
        <v>-3</v>
      </c>
      <c r="I392">
        <v>1982</v>
      </c>
      <c r="J392" t="s">
        <v>32</v>
      </c>
      <c r="K392">
        <v>2635</v>
      </c>
      <c r="L392">
        <v>7.48</v>
      </c>
      <c r="M392">
        <v>3.74</v>
      </c>
      <c r="N392" s="7">
        <f t="shared" si="24"/>
        <v>4.3921064000000008E-3</v>
      </c>
      <c r="O392" s="7">
        <f t="shared" si="25"/>
        <v>1.6426477936000005E-2</v>
      </c>
      <c r="P392">
        <v>25</v>
      </c>
      <c r="Q392">
        <v>3</v>
      </c>
      <c r="R392">
        <v>3.5</v>
      </c>
      <c r="S392">
        <v>3</v>
      </c>
      <c r="T392">
        <v>4</v>
      </c>
      <c r="U392">
        <v>3.5</v>
      </c>
      <c r="V392" t="s">
        <v>30</v>
      </c>
    </row>
    <row r="393" spans="1:22" hidden="1" outlineLevel="2" x14ac:dyDescent="0.25">
      <c r="A393" t="s">
        <v>74</v>
      </c>
      <c r="B393">
        <v>1</v>
      </c>
      <c r="C393" t="s">
        <v>66</v>
      </c>
      <c r="D393" t="s">
        <v>75</v>
      </c>
      <c r="E393" t="s">
        <v>68</v>
      </c>
      <c r="F393">
        <v>180</v>
      </c>
      <c r="G393">
        <v>1080</v>
      </c>
      <c r="H393">
        <v>-3</v>
      </c>
      <c r="I393">
        <v>1982</v>
      </c>
      <c r="J393" t="s">
        <v>35</v>
      </c>
      <c r="K393">
        <v>1259</v>
      </c>
      <c r="L393">
        <v>9.65</v>
      </c>
      <c r="M393">
        <v>8.01</v>
      </c>
      <c r="N393" s="7">
        <f t="shared" si="24"/>
        <v>7.3101162500000009E-3</v>
      </c>
      <c r="O393" s="7">
        <f t="shared" si="25"/>
        <v>5.8554031162500006E-2</v>
      </c>
      <c r="P393">
        <v>100</v>
      </c>
      <c r="Q393">
        <v>3</v>
      </c>
      <c r="R393">
        <v>2</v>
      </c>
      <c r="S393">
        <v>3</v>
      </c>
      <c r="T393">
        <v>3.5</v>
      </c>
      <c r="U393">
        <v>3</v>
      </c>
      <c r="V393" t="s">
        <v>38</v>
      </c>
    </row>
    <row r="394" spans="1:22" hidden="1" outlineLevel="2" x14ac:dyDescent="0.25">
      <c r="A394" t="s">
        <v>74</v>
      </c>
      <c r="B394">
        <v>1</v>
      </c>
      <c r="C394" t="s">
        <v>66</v>
      </c>
      <c r="D394" t="s">
        <v>75</v>
      </c>
      <c r="E394" t="s">
        <v>68</v>
      </c>
      <c r="F394">
        <v>180</v>
      </c>
      <c r="G394">
        <v>1080</v>
      </c>
      <c r="H394">
        <v>-3</v>
      </c>
      <c r="I394">
        <v>1982</v>
      </c>
      <c r="J394" t="s">
        <v>35</v>
      </c>
      <c r="K394">
        <v>1785</v>
      </c>
      <c r="L394">
        <v>3.53</v>
      </c>
      <c r="M394">
        <v>3.3</v>
      </c>
      <c r="N394" s="7">
        <f t="shared" si="24"/>
        <v>9.7818064999999994E-4</v>
      </c>
      <c r="O394" s="7">
        <f t="shared" si="25"/>
        <v>3.2279961449999998E-3</v>
      </c>
      <c r="P394">
        <v>75</v>
      </c>
      <c r="Q394">
        <v>1.8</v>
      </c>
      <c r="R394">
        <v>2</v>
      </c>
      <c r="S394">
        <v>2.5</v>
      </c>
      <c r="T394">
        <v>3</v>
      </c>
      <c r="U394">
        <v>3</v>
      </c>
      <c r="V394" t="s">
        <v>30</v>
      </c>
    </row>
    <row r="395" spans="1:22" hidden="1" outlineLevel="2" x14ac:dyDescent="0.25">
      <c r="A395" t="s">
        <v>74</v>
      </c>
      <c r="B395">
        <v>1</v>
      </c>
      <c r="C395" t="s">
        <v>66</v>
      </c>
      <c r="D395" t="s">
        <v>75</v>
      </c>
      <c r="E395" t="s">
        <v>68</v>
      </c>
      <c r="F395">
        <v>180</v>
      </c>
      <c r="G395">
        <v>1080</v>
      </c>
      <c r="H395">
        <v>-3</v>
      </c>
      <c r="I395">
        <v>1982</v>
      </c>
      <c r="J395" t="s">
        <v>36</v>
      </c>
      <c r="K395">
        <v>2573</v>
      </c>
      <c r="L395">
        <v>15.02</v>
      </c>
      <c r="M395">
        <v>8.0399999999999991</v>
      </c>
      <c r="N395" s="7">
        <f t="shared" si="24"/>
        <v>1.7709631400000002E-2</v>
      </c>
      <c r="O395" s="7">
        <f t="shared" si="25"/>
        <v>0.14238543645599999</v>
      </c>
      <c r="P395">
        <v>75</v>
      </c>
      <c r="Q395">
        <v>3</v>
      </c>
      <c r="R395">
        <v>4</v>
      </c>
      <c r="S395">
        <v>3</v>
      </c>
      <c r="T395">
        <v>3.2</v>
      </c>
      <c r="U395">
        <v>2.5</v>
      </c>
      <c r="V395" t="s">
        <v>38</v>
      </c>
    </row>
    <row r="396" spans="1:22" hidden="1" outlineLevel="2" x14ac:dyDescent="0.25">
      <c r="A396" t="s">
        <v>74</v>
      </c>
      <c r="B396">
        <v>1</v>
      </c>
      <c r="C396" t="s">
        <v>66</v>
      </c>
      <c r="D396" t="s">
        <v>75</v>
      </c>
      <c r="E396" t="s">
        <v>68</v>
      </c>
      <c r="F396">
        <v>180</v>
      </c>
      <c r="G396">
        <v>1080</v>
      </c>
      <c r="H396">
        <v>-3</v>
      </c>
      <c r="I396">
        <v>1982</v>
      </c>
      <c r="J396" t="s">
        <v>62</v>
      </c>
      <c r="K396">
        <v>2550</v>
      </c>
      <c r="L396">
        <v>11.27</v>
      </c>
      <c r="M396">
        <v>7.14</v>
      </c>
      <c r="N396" s="7">
        <f t="shared" si="24"/>
        <v>9.9705126499999991E-3</v>
      </c>
      <c r="O396" s="7">
        <f t="shared" si="25"/>
        <v>7.1189460320999987E-2</v>
      </c>
      <c r="P396">
        <v>75</v>
      </c>
      <c r="Q396">
        <v>2.5</v>
      </c>
      <c r="R396">
        <v>3</v>
      </c>
      <c r="S396">
        <v>3</v>
      </c>
      <c r="T396">
        <v>4</v>
      </c>
      <c r="U396">
        <v>3</v>
      </c>
      <c r="V396" t="s">
        <v>38</v>
      </c>
    </row>
    <row r="397" spans="1:22" hidden="1" outlineLevel="2" x14ac:dyDescent="0.25">
      <c r="A397" t="s">
        <v>74</v>
      </c>
      <c r="B397">
        <v>1</v>
      </c>
      <c r="C397" t="s">
        <v>66</v>
      </c>
      <c r="D397" t="s">
        <v>75</v>
      </c>
      <c r="E397" t="s">
        <v>68</v>
      </c>
      <c r="F397">
        <v>180</v>
      </c>
      <c r="G397">
        <v>1080</v>
      </c>
      <c r="H397">
        <v>-3</v>
      </c>
      <c r="I397">
        <v>1982</v>
      </c>
      <c r="J397" t="s">
        <v>37</v>
      </c>
      <c r="K397">
        <v>2575</v>
      </c>
      <c r="L397">
        <v>2.72</v>
      </c>
      <c r="M397">
        <v>3.43</v>
      </c>
      <c r="N397" s="7">
        <f t="shared" si="24"/>
        <v>5.8077440000000008E-4</v>
      </c>
      <c r="O397" s="7">
        <f t="shared" si="25"/>
        <v>1.9920561920000004E-3</v>
      </c>
      <c r="P397">
        <v>50</v>
      </c>
      <c r="Q397">
        <v>1</v>
      </c>
      <c r="R397">
        <v>1</v>
      </c>
      <c r="S397">
        <v>2</v>
      </c>
      <c r="T397">
        <v>2</v>
      </c>
      <c r="U397">
        <v>3</v>
      </c>
      <c r="V397" t="s">
        <v>50</v>
      </c>
    </row>
    <row r="398" spans="1:22" hidden="1" outlineLevel="2" x14ac:dyDescent="0.25">
      <c r="A398" t="s">
        <v>74</v>
      </c>
      <c r="B398">
        <v>1</v>
      </c>
      <c r="C398" t="s">
        <v>66</v>
      </c>
      <c r="D398" t="s">
        <v>75</v>
      </c>
      <c r="E398" t="s">
        <v>68</v>
      </c>
      <c r="F398">
        <v>180</v>
      </c>
      <c r="G398">
        <v>1080</v>
      </c>
      <c r="H398">
        <v>-3</v>
      </c>
      <c r="I398">
        <v>1982</v>
      </c>
      <c r="J398" t="s">
        <v>63</v>
      </c>
      <c r="K398">
        <v>1340</v>
      </c>
      <c r="L398">
        <v>2.1</v>
      </c>
      <c r="M398">
        <v>3.38</v>
      </c>
      <c r="N398" s="7">
        <f t="shared" si="24"/>
        <v>3.4618500000000005E-4</v>
      </c>
      <c r="O398" s="7">
        <f t="shared" si="25"/>
        <v>1.1701053000000002E-3</v>
      </c>
      <c r="P398">
        <v>50</v>
      </c>
      <c r="Q398">
        <v>1</v>
      </c>
      <c r="R398">
        <v>1</v>
      </c>
      <c r="S398">
        <v>3</v>
      </c>
      <c r="T398">
        <v>3</v>
      </c>
      <c r="U398">
        <v>3</v>
      </c>
      <c r="V398" t="s">
        <v>50</v>
      </c>
    </row>
    <row r="399" spans="1:22" hidden="1" outlineLevel="2" x14ac:dyDescent="0.25">
      <c r="A399" t="s">
        <v>74</v>
      </c>
      <c r="B399">
        <v>2</v>
      </c>
      <c r="C399" t="s">
        <v>66</v>
      </c>
      <c r="D399" t="s">
        <v>75</v>
      </c>
      <c r="E399" t="s">
        <v>68</v>
      </c>
      <c r="F399">
        <v>180</v>
      </c>
      <c r="G399">
        <v>1080</v>
      </c>
      <c r="H399">
        <v>-3</v>
      </c>
      <c r="I399">
        <v>1982</v>
      </c>
      <c r="J399" t="s">
        <v>76</v>
      </c>
      <c r="K399">
        <v>1592</v>
      </c>
      <c r="L399">
        <v>7.5</v>
      </c>
      <c r="M399">
        <v>8.08</v>
      </c>
      <c r="N399" s="7">
        <f t="shared" si="24"/>
        <v>4.4156250000000003E-3</v>
      </c>
      <c r="O399" s="7">
        <f t="shared" si="25"/>
        <v>3.5678250000000002E-2</v>
      </c>
      <c r="P399">
        <v>25</v>
      </c>
      <c r="Q399">
        <v>2</v>
      </c>
      <c r="R399">
        <v>3</v>
      </c>
      <c r="S399">
        <v>3</v>
      </c>
      <c r="T399">
        <v>4</v>
      </c>
      <c r="U399">
        <v>4</v>
      </c>
      <c r="V399" t="s">
        <v>38</v>
      </c>
    </row>
    <row r="400" spans="1:22" hidden="1" outlineLevel="2" x14ac:dyDescent="0.25">
      <c r="A400" t="s">
        <v>74</v>
      </c>
      <c r="B400">
        <v>2</v>
      </c>
      <c r="C400" t="s">
        <v>66</v>
      </c>
      <c r="D400" t="s">
        <v>75</v>
      </c>
      <c r="E400" t="s">
        <v>68</v>
      </c>
      <c r="F400">
        <v>180</v>
      </c>
      <c r="G400">
        <v>1080</v>
      </c>
      <c r="H400">
        <v>-3</v>
      </c>
      <c r="I400">
        <v>1982</v>
      </c>
      <c r="J400" t="s">
        <v>76</v>
      </c>
      <c r="K400">
        <v>2560</v>
      </c>
      <c r="L400">
        <v>4.3899999999999997</v>
      </c>
      <c r="M400">
        <v>5.19</v>
      </c>
      <c r="N400" s="7">
        <f t="shared" si="24"/>
        <v>1.5128598499999997E-3</v>
      </c>
      <c r="O400" s="7">
        <f t="shared" si="25"/>
        <v>7.8517426214999991E-3</v>
      </c>
      <c r="P400">
        <v>50</v>
      </c>
      <c r="Q400">
        <v>2.5</v>
      </c>
      <c r="R400">
        <v>3.5</v>
      </c>
      <c r="S400">
        <v>3</v>
      </c>
      <c r="T400">
        <v>4.5</v>
      </c>
      <c r="U400">
        <v>4</v>
      </c>
      <c r="V400" t="s">
        <v>38</v>
      </c>
    </row>
    <row r="401" spans="1:22" hidden="1" outlineLevel="2" x14ac:dyDescent="0.25">
      <c r="A401" t="s">
        <v>74</v>
      </c>
      <c r="B401">
        <v>2</v>
      </c>
      <c r="C401" t="s">
        <v>66</v>
      </c>
      <c r="D401" t="s">
        <v>75</v>
      </c>
      <c r="E401" t="s">
        <v>68</v>
      </c>
      <c r="F401">
        <v>180</v>
      </c>
      <c r="G401">
        <v>1080</v>
      </c>
      <c r="H401">
        <v>-3</v>
      </c>
      <c r="I401">
        <v>1982</v>
      </c>
      <c r="J401" t="s">
        <v>56</v>
      </c>
      <c r="K401">
        <v>1111</v>
      </c>
      <c r="L401">
        <v>12.26</v>
      </c>
      <c r="M401">
        <v>6.81</v>
      </c>
      <c r="N401" s="7">
        <f t="shared" si="24"/>
        <v>1.1799146600000001E-2</v>
      </c>
      <c r="O401" s="7">
        <f t="shared" si="25"/>
        <v>8.0352188345999997E-2</v>
      </c>
      <c r="P401">
        <v>71</v>
      </c>
      <c r="Q401">
        <v>4.2</v>
      </c>
      <c r="R401">
        <v>3</v>
      </c>
      <c r="S401">
        <v>3</v>
      </c>
      <c r="T401">
        <v>2</v>
      </c>
      <c r="U401">
        <v>2</v>
      </c>
      <c r="V401" t="s">
        <v>38</v>
      </c>
    </row>
    <row r="402" spans="1:22" hidden="1" outlineLevel="2" x14ac:dyDescent="0.25">
      <c r="A402" t="s">
        <v>74</v>
      </c>
      <c r="B402">
        <v>2</v>
      </c>
      <c r="C402" t="s">
        <v>66</v>
      </c>
      <c r="D402" t="s">
        <v>75</v>
      </c>
      <c r="E402" t="s">
        <v>68</v>
      </c>
      <c r="F402">
        <v>180</v>
      </c>
      <c r="G402">
        <v>1080</v>
      </c>
      <c r="H402">
        <v>-3</v>
      </c>
      <c r="I402">
        <v>1982</v>
      </c>
      <c r="J402" t="s">
        <v>57</v>
      </c>
      <c r="K402">
        <v>2620</v>
      </c>
      <c r="L402">
        <v>3.54</v>
      </c>
      <c r="M402">
        <v>3.43</v>
      </c>
      <c r="N402" s="7">
        <f t="shared" si="24"/>
        <v>9.8373060000000014E-4</v>
      </c>
      <c r="O402" s="7">
        <f t="shared" si="25"/>
        <v>3.3741959580000005E-3</v>
      </c>
      <c r="P402">
        <v>100</v>
      </c>
      <c r="Q402">
        <v>2.5</v>
      </c>
      <c r="R402">
        <v>2</v>
      </c>
      <c r="S402">
        <v>3.3</v>
      </c>
      <c r="T402">
        <v>3.3</v>
      </c>
      <c r="U402">
        <v>3.3</v>
      </c>
      <c r="V402" t="s">
        <v>30</v>
      </c>
    </row>
    <row r="403" spans="1:22" hidden="1" outlineLevel="2" x14ac:dyDescent="0.25">
      <c r="A403" t="s">
        <v>74</v>
      </c>
      <c r="B403">
        <v>2</v>
      </c>
      <c r="C403" t="s">
        <v>66</v>
      </c>
      <c r="D403" t="s">
        <v>75</v>
      </c>
      <c r="E403" t="s">
        <v>68</v>
      </c>
      <c r="F403">
        <v>180</v>
      </c>
      <c r="G403">
        <v>1080</v>
      </c>
      <c r="H403">
        <v>-3</v>
      </c>
      <c r="I403">
        <v>1982</v>
      </c>
      <c r="J403" t="s">
        <v>57</v>
      </c>
      <c r="K403">
        <v>2621</v>
      </c>
      <c r="L403">
        <v>3.09</v>
      </c>
      <c r="M403">
        <v>2.63</v>
      </c>
      <c r="N403" s="7">
        <f t="shared" si="24"/>
        <v>7.4952584999999987E-4</v>
      </c>
      <c r="O403" s="7">
        <f t="shared" si="25"/>
        <v>1.9712529854999995E-3</v>
      </c>
      <c r="P403">
        <v>75</v>
      </c>
      <c r="Q403">
        <v>2.5</v>
      </c>
      <c r="R403">
        <v>2</v>
      </c>
      <c r="S403">
        <v>3.3</v>
      </c>
      <c r="T403">
        <v>3.3</v>
      </c>
      <c r="U403">
        <v>3.3</v>
      </c>
      <c r="V403" t="s">
        <v>30</v>
      </c>
    </row>
    <row r="404" spans="1:22" hidden="1" outlineLevel="2" x14ac:dyDescent="0.25">
      <c r="A404" t="s">
        <v>74</v>
      </c>
      <c r="B404">
        <v>2</v>
      </c>
      <c r="C404" t="s">
        <v>66</v>
      </c>
      <c r="D404" t="s">
        <v>75</v>
      </c>
      <c r="E404" t="s">
        <v>68</v>
      </c>
      <c r="F404">
        <v>180</v>
      </c>
      <c r="G404">
        <v>1080</v>
      </c>
      <c r="H404">
        <v>-3</v>
      </c>
      <c r="I404">
        <v>1982</v>
      </c>
      <c r="J404" t="s">
        <v>59</v>
      </c>
      <c r="K404">
        <v>2548</v>
      </c>
      <c r="L404">
        <v>5.5</v>
      </c>
      <c r="M404">
        <v>4.8899999999999997</v>
      </c>
      <c r="N404" s="7">
        <f t="shared" si="24"/>
        <v>2.374625E-3</v>
      </c>
      <c r="O404" s="7">
        <f t="shared" si="25"/>
        <v>1.161191625E-2</v>
      </c>
      <c r="P404">
        <v>25</v>
      </c>
      <c r="Q404">
        <v>1.5</v>
      </c>
      <c r="R404">
        <v>3</v>
      </c>
      <c r="S404">
        <v>3</v>
      </c>
      <c r="T404">
        <v>3</v>
      </c>
      <c r="U404">
        <v>3</v>
      </c>
      <c r="V404" t="s">
        <v>30</v>
      </c>
    </row>
    <row r="405" spans="1:22" hidden="1" outlineLevel="2" x14ac:dyDescent="0.25">
      <c r="A405" t="s">
        <v>74</v>
      </c>
      <c r="B405">
        <v>2</v>
      </c>
      <c r="C405" t="s">
        <v>66</v>
      </c>
      <c r="D405" t="s">
        <v>75</v>
      </c>
      <c r="E405" t="s">
        <v>68</v>
      </c>
      <c r="F405">
        <v>180</v>
      </c>
      <c r="G405">
        <v>1080</v>
      </c>
      <c r="H405">
        <v>-3</v>
      </c>
      <c r="I405">
        <v>1982</v>
      </c>
      <c r="J405" t="s">
        <v>61</v>
      </c>
      <c r="K405">
        <v>1171</v>
      </c>
      <c r="L405">
        <v>6.97</v>
      </c>
      <c r="M405">
        <v>8.9499999999999993</v>
      </c>
      <c r="N405" s="7">
        <f t="shared" si="24"/>
        <v>3.8136006499999999E-3</v>
      </c>
      <c r="O405" s="7">
        <f t="shared" si="25"/>
        <v>3.4131725817499993E-2</v>
      </c>
      <c r="P405">
        <v>75</v>
      </c>
      <c r="Q405">
        <v>2</v>
      </c>
      <c r="R405">
        <v>2</v>
      </c>
      <c r="S405">
        <v>3</v>
      </c>
      <c r="T405">
        <v>3</v>
      </c>
      <c r="U405">
        <v>3</v>
      </c>
      <c r="V405" t="s">
        <v>30</v>
      </c>
    </row>
    <row r="406" spans="1:22" hidden="1" outlineLevel="2" x14ac:dyDescent="0.25">
      <c r="A406" t="s">
        <v>74</v>
      </c>
      <c r="B406">
        <v>2</v>
      </c>
      <c r="C406" t="s">
        <v>66</v>
      </c>
      <c r="D406" t="s">
        <v>75</v>
      </c>
      <c r="E406" t="s">
        <v>68</v>
      </c>
      <c r="F406">
        <v>180</v>
      </c>
      <c r="G406">
        <v>1080</v>
      </c>
      <c r="H406">
        <v>-3</v>
      </c>
      <c r="I406">
        <v>1982</v>
      </c>
      <c r="J406" t="s">
        <v>32</v>
      </c>
      <c r="K406">
        <v>1596</v>
      </c>
      <c r="L406">
        <v>5.73</v>
      </c>
      <c r="M406">
        <v>4.9800000000000004</v>
      </c>
      <c r="N406" s="7">
        <f t="shared" si="24"/>
        <v>2.5773826500000005E-3</v>
      </c>
      <c r="O406" s="7">
        <f t="shared" si="25"/>
        <v>1.2835365597000003E-2</v>
      </c>
      <c r="P406">
        <v>75</v>
      </c>
      <c r="Q406">
        <v>2.7</v>
      </c>
      <c r="R406">
        <v>3</v>
      </c>
      <c r="S406">
        <v>3</v>
      </c>
      <c r="T406">
        <v>4</v>
      </c>
      <c r="U406">
        <v>3</v>
      </c>
      <c r="V406" t="s">
        <v>30</v>
      </c>
    </row>
    <row r="407" spans="1:22" hidden="1" outlineLevel="2" x14ac:dyDescent="0.25">
      <c r="A407" t="s">
        <v>74</v>
      </c>
      <c r="B407">
        <v>2</v>
      </c>
      <c r="C407" t="s">
        <v>66</v>
      </c>
      <c r="D407" t="s">
        <v>75</v>
      </c>
      <c r="E407" t="s">
        <v>68</v>
      </c>
      <c r="F407">
        <v>180</v>
      </c>
      <c r="G407">
        <v>1080</v>
      </c>
      <c r="H407">
        <v>-3</v>
      </c>
      <c r="I407">
        <v>1982</v>
      </c>
      <c r="J407" t="s">
        <v>32</v>
      </c>
      <c r="K407">
        <v>2569</v>
      </c>
      <c r="L407">
        <v>19.440000000000001</v>
      </c>
      <c r="M407">
        <v>15.38</v>
      </c>
      <c r="N407" s="7">
        <f t="shared" si="24"/>
        <v>2.966621760000001E-2</v>
      </c>
      <c r="O407" s="7">
        <f t="shared" si="25"/>
        <v>0.45626642668800016</v>
      </c>
      <c r="P407">
        <v>75</v>
      </c>
      <c r="Q407">
        <v>4.5</v>
      </c>
      <c r="R407">
        <v>3.5</v>
      </c>
      <c r="S407">
        <v>3.5</v>
      </c>
      <c r="T407">
        <v>4</v>
      </c>
      <c r="U407">
        <v>3</v>
      </c>
      <c r="V407" t="s">
        <v>27</v>
      </c>
    </row>
    <row r="408" spans="1:22" hidden="1" outlineLevel="2" x14ac:dyDescent="0.25">
      <c r="A408" t="s">
        <v>74</v>
      </c>
      <c r="B408">
        <v>2</v>
      </c>
      <c r="C408" t="s">
        <v>66</v>
      </c>
      <c r="D408" t="s">
        <v>75</v>
      </c>
      <c r="E408" t="s">
        <v>68</v>
      </c>
      <c r="F408">
        <v>180</v>
      </c>
      <c r="G408">
        <v>1080</v>
      </c>
      <c r="H408">
        <v>-3</v>
      </c>
      <c r="I408">
        <v>1982</v>
      </c>
      <c r="J408" t="s">
        <v>32</v>
      </c>
      <c r="K408">
        <v>2634</v>
      </c>
      <c r="L408">
        <v>10.97</v>
      </c>
      <c r="M408">
        <v>9.9700000000000006</v>
      </c>
      <c r="N408" s="7">
        <f t="shared" si="24"/>
        <v>9.4467606500000002E-3</v>
      </c>
      <c r="O408" s="7">
        <f t="shared" si="25"/>
        <v>9.4184203680500012E-2</v>
      </c>
      <c r="P408">
        <v>75</v>
      </c>
      <c r="Q408">
        <v>3.5</v>
      </c>
      <c r="R408">
        <v>3</v>
      </c>
      <c r="S408">
        <v>3.2</v>
      </c>
      <c r="T408">
        <v>4</v>
      </c>
      <c r="U408">
        <v>3</v>
      </c>
      <c r="V408" t="s">
        <v>25</v>
      </c>
    </row>
    <row r="409" spans="1:22" hidden="1" outlineLevel="2" x14ac:dyDescent="0.25">
      <c r="A409" t="s">
        <v>74</v>
      </c>
      <c r="B409">
        <v>2</v>
      </c>
      <c r="C409" t="s">
        <v>66</v>
      </c>
      <c r="D409" t="s">
        <v>75</v>
      </c>
      <c r="E409" t="s">
        <v>68</v>
      </c>
      <c r="F409">
        <v>180</v>
      </c>
      <c r="G409">
        <v>1080</v>
      </c>
      <c r="H409">
        <v>-3</v>
      </c>
      <c r="I409">
        <v>1982</v>
      </c>
      <c r="J409" t="s">
        <v>32</v>
      </c>
      <c r="K409">
        <v>2635</v>
      </c>
      <c r="L409">
        <v>5.86</v>
      </c>
      <c r="M409">
        <v>4.3600000000000003</v>
      </c>
      <c r="N409" s="7">
        <f t="shared" si="24"/>
        <v>2.6956586000000007E-3</v>
      </c>
      <c r="O409" s="7">
        <f t="shared" si="25"/>
        <v>1.1753071496000004E-2</v>
      </c>
      <c r="P409">
        <v>75</v>
      </c>
      <c r="Q409">
        <v>3</v>
      </c>
      <c r="R409">
        <v>3</v>
      </c>
      <c r="S409">
        <v>3</v>
      </c>
      <c r="T409">
        <v>4</v>
      </c>
      <c r="U409">
        <v>3</v>
      </c>
      <c r="V409" t="s">
        <v>38</v>
      </c>
    </row>
    <row r="410" spans="1:22" hidden="1" outlineLevel="2" x14ac:dyDescent="0.25">
      <c r="A410" t="s">
        <v>74</v>
      </c>
      <c r="B410">
        <v>2</v>
      </c>
      <c r="C410" t="s">
        <v>66</v>
      </c>
      <c r="D410" t="s">
        <v>75</v>
      </c>
      <c r="E410" t="s">
        <v>68</v>
      </c>
      <c r="F410">
        <v>180</v>
      </c>
      <c r="G410">
        <v>1080</v>
      </c>
      <c r="H410">
        <v>-3</v>
      </c>
      <c r="I410">
        <v>1982</v>
      </c>
      <c r="J410" t="s">
        <v>62</v>
      </c>
      <c r="K410">
        <v>2550</v>
      </c>
      <c r="L410">
        <v>17.600000000000001</v>
      </c>
      <c r="M410">
        <v>14.08</v>
      </c>
      <c r="N410" s="7">
        <f t="shared" si="24"/>
        <v>2.4316160000000007E-2</v>
      </c>
      <c r="O410" s="7">
        <f t="shared" si="25"/>
        <v>0.3423715328000001</v>
      </c>
      <c r="P410">
        <v>50</v>
      </c>
      <c r="Q410">
        <v>5</v>
      </c>
      <c r="R410">
        <v>3.5</v>
      </c>
      <c r="S410">
        <v>4</v>
      </c>
      <c r="T410">
        <v>4</v>
      </c>
      <c r="U410">
        <v>3.5</v>
      </c>
      <c r="V410" t="s">
        <v>27</v>
      </c>
    </row>
    <row r="411" spans="1:22" hidden="1" outlineLevel="2" x14ac:dyDescent="0.25">
      <c r="A411" t="s">
        <v>74</v>
      </c>
      <c r="B411">
        <v>2</v>
      </c>
      <c r="C411" t="s">
        <v>66</v>
      </c>
      <c r="D411" t="s">
        <v>75</v>
      </c>
      <c r="E411" t="s">
        <v>68</v>
      </c>
      <c r="F411">
        <v>180</v>
      </c>
      <c r="G411">
        <v>1080</v>
      </c>
      <c r="H411">
        <v>-3</v>
      </c>
      <c r="I411">
        <v>1982</v>
      </c>
      <c r="J411" t="s">
        <v>62</v>
      </c>
      <c r="K411">
        <v>2553</v>
      </c>
      <c r="L411">
        <v>6.34</v>
      </c>
      <c r="M411">
        <v>6.45</v>
      </c>
      <c r="N411" s="7">
        <f t="shared" si="24"/>
        <v>3.1553546000000002E-3</v>
      </c>
      <c r="O411" s="7">
        <f t="shared" si="25"/>
        <v>2.035203717E-2</v>
      </c>
      <c r="P411">
        <v>50</v>
      </c>
      <c r="Q411">
        <v>3</v>
      </c>
      <c r="R411">
        <v>3</v>
      </c>
      <c r="S411">
        <v>4</v>
      </c>
      <c r="T411">
        <v>4</v>
      </c>
      <c r="U411">
        <v>4</v>
      </c>
      <c r="V411" t="s">
        <v>38</v>
      </c>
    </row>
    <row r="412" spans="1:22" hidden="1" outlineLevel="2" x14ac:dyDescent="0.25">
      <c r="A412" t="s">
        <v>74</v>
      </c>
      <c r="B412">
        <v>2</v>
      </c>
      <c r="C412" t="s">
        <v>66</v>
      </c>
      <c r="D412" t="s">
        <v>75</v>
      </c>
      <c r="E412" t="s">
        <v>68</v>
      </c>
      <c r="F412">
        <v>180</v>
      </c>
      <c r="G412">
        <v>1080</v>
      </c>
      <c r="H412">
        <v>-3</v>
      </c>
      <c r="I412">
        <v>1982</v>
      </c>
      <c r="J412" t="s">
        <v>62</v>
      </c>
      <c r="K412">
        <v>2574</v>
      </c>
      <c r="L412">
        <v>1.17</v>
      </c>
      <c r="M412">
        <v>2.34</v>
      </c>
      <c r="N412" s="7">
        <f t="shared" si="24"/>
        <v>1.0745864999999998E-4</v>
      </c>
      <c r="O412" s="7">
        <f t="shared" si="25"/>
        <v>2.5145324099999991E-4</v>
      </c>
      <c r="P412">
        <v>25</v>
      </c>
      <c r="Q412">
        <v>1</v>
      </c>
      <c r="R412">
        <v>3</v>
      </c>
      <c r="S412">
        <v>3</v>
      </c>
      <c r="T412">
        <v>3</v>
      </c>
      <c r="U412">
        <v>3</v>
      </c>
      <c r="V412" t="s">
        <v>50</v>
      </c>
    </row>
    <row r="413" spans="1:22" hidden="1" outlineLevel="2" x14ac:dyDescent="0.25">
      <c r="A413" t="s">
        <v>74</v>
      </c>
      <c r="B413">
        <v>2</v>
      </c>
      <c r="C413" t="s">
        <v>66</v>
      </c>
      <c r="D413" t="s">
        <v>75</v>
      </c>
      <c r="E413" t="s">
        <v>68</v>
      </c>
      <c r="F413">
        <v>180</v>
      </c>
      <c r="G413">
        <v>1080</v>
      </c>
      <c r="H413">
        <v>-3</v>
      </c>
      <c r="I413">
        <v>1982</v>
      </c>
      <c r="J413" t="s">
        <v>37</v>
      </c>
      <c r="K413">
        <v>2575</v>
      </c>
      <c r="L413">
        <v>6.97</v>
      </c>
      <c r="M413">
        <v>5.32</v>
      </c>
      <c r="N413" s="7">
        <f t="shared" ref="N413:N444" si="26">3.14/4*((L413/100)^2)</f>
        <v>3.8136006499999999E-3</v>
      </c>
      <c r="O413" s="7">
        <f t="shared" ref="O413:O444" si="27">3.14/4*((L413/100)^2)*M413</f>
        <v>2.0288355458E-2</v>
      </c>
      <c r="P413">
        <v>50</v>
      </c>
      <c r="Q413">
        <v>2</v>
      </c>
      <c r="R413">
        <v>3.5</v>
      </c>
      <c r="S413">
        <v>2</v>
      </c>
      <c r="T413">
        <v>3</v>
      </c>
      <c r="U413">
        <v>3</v>
      </c>
      <c r="V413" t="s">
        <v>50</v>
      </c>
    </row>
    <row r="414" spans="1:22" hidden="1" outlineLevel="2" x14ac:dyDescent="0.25">
      <c r="A414" t="s">
        <v>74</v>
      </c>
      <c r="B414">
        <v>2</v>
      </c>
      <c r="C414" t="s">
        <v>66</v>
      </c>
      <c r="D414" t="s">
        <v>75</v>
      </c>
      <c r="E414" t="s">
        <v>68</v>
      </c>
      <c r="F414">
        <v>180</v>
      </c>
      <c r="G414">
        <v>1080</v>
      </c>
      <c r="H414">
        <v>-3</v>
      </c>
      <c r="I414">
        <v>1982</v>
      </c>
      <c r="J414" t="s">
        <v>63</v>
      </c>
      <c r="K414">
        <v>1340</v>
      </c>
      <c r="L414">
        <v>2.1</v>
      </c>
      <c r="M414">
        <v>3.85</v>
      </c>
      <c r="N414" s="7">
        <f t="shared" si="26"/>
        <v>3.4618500000000005E-4</v>
      </c>
      <c r="O414" s="7">
        <f t="shared" si="27"/>
        <v>1.3328122500000001E-3</v>
      </c>
      <c r="P414">
        <v>25</v>
      </c>
      <c r="Q414">
        <v>1</v>
      </c>
      <c r="R414">
        <v>2</v>
      </c>
      <c r="S414">
        <v>3</v>
      </c>
      <c r="T414">
        <v>3</v>
      </c>
      <c r="U414">
        <v>3</v>
      </c>
      <c r="V414" t="s">
        <v>50</v>
      </c>
    </row>
    <row r="415" spans="1:22" hidden="1" outlineLevel="2" x14ac:dyDescent="0.25">
      <c r="A415" t="s">
        <v>74</v>
      </c>
      <c r="B415">
        <v>3</v>
      </c>
      <c r="C415" t="s">
        <v>66</v>
      </c>
      <c r="D415" t="s">
        <v>75</v>
      </c>
      <c r="E415" t="s">
        <v>68</v>
      </c>
      <c r="F415">
        <v>180</v>
      </c>
      <c r="G415">
        <v>1080</v>
      </c>
      <c r="H415">
        <v>-3</v>
      </c>
      <c r="I415">
        <v>1982</v>
      </c>
      <c r="J415" t="s">
        <v>76</v>
      </c>
      <c r="K415">
        <v>1592</v>
      </c>
      <c r="L415">
        <v>11.77</v>
      </c>
      <c r="M415">
        <v>8.08</v>
      </c>
      <c r="N415" s="7">
        <f t="shared" si="26"/>
        <v>1.0874832649999999E-2</v>
      </c>
      <c r="O415" s="7">
        <f t="shared" si="27"/>
        <v>8.7868647811999989E-2</v>
      </c>
      <c r="P415">
        <v>75</v>
      </c>
      <c r="Q415">
        <v>3</v>
      </c>
      <c r="R415">
        <v>4</v>
      </c>
      <c r="S415">
        <v>3</v>
      </c>
      <c r="T415">
        <v>4</v>
      </c>
      <c r="U415">
        <v>3</v>
      </c>
      <c r="V415" t="s">
        <v>27</v>
      </c>
    </row>
    <row r="416" spans="1:22" hidden="1" outlineLevel="2" x14ac:dyDescent="0.25">
      <c r="A416" t="s">
        <v>74</v>
      </c>
      <c r="B416">
        <v>3</v>
      </c>
      <c r="C416" t="s">
        <v>66</v>
      </c>
      <c r="D416" t="s">
        <v>75</v>
      </c>
      <c r="E416" t="s">
        <v>68</v>
      </c>
      <c r="F416">
        <v>180</v>
      </c>
      <c r="G416">
        <v>1080</v>
      </c>
      <c r="H416">
        <v>-3</v>
      </c>
      <c r="I416">
        <v>1982</v>
      </c>
      <c r="J416" t="s">
        <v>56</v>
      </c>
      <c r="K416">
        <v>1111</v>
      </c>
      <c r="L416">
        <v>9.65</v>
      </c>
      <c r="M416">
        <v>6.24</v>
      </c>
      <c r="N416" s="7">
        <f t="shared" si="26"/>
        <v>7.3101162500000009E-3</v>
      </c>
      <c r="O416" s="7">
        <f t="shared" si="27"/>
        <v>4.5615125400000005E-2</v>
      </c>
      <c r="P416">
        <v>25</v>
      </c>
      <c r="Q416">
        <v>2.8</v>
      </c>
      <c r="R416">
        <v>3</v>
      </c>
      <c r="S416">
        <v>3</v>
      </c>
      <c r="T416">
        <v>3</v>
      </c>
      <c r="U416">
        <v>2.5</v>
      </c>
      <c r="V416" t="s">
        <v>30</v>
      </c>
    </row>
    <row r="417" spans="1:22" hidden="1" outlineLevel="2" x14ac:dyDescent="0.25">
      <c r="A417" t="s">
        <v>74</v>
      </c>
      <c r="B417">
        <v>3</v>
      </c>
      <c r="C417" t="s">
        <v>66</v>
      </c>
      <c r="D417" t="s">
        <v>75</v>
      </c>
      <c r="E417" t="s">
        <v>68</v>
      </c>
      <c r="F417">
        <v>180</v>
      </c>
      <c r="G417">
        <v>1080</v>
      </c>
      <c r="H417">
        <v>-3</v>
      </c>
      <c r="I417">
        <v>1982</v>
      </c>
      <c r="J417" t="s">
        <v>58</v>
      </c>
      <c r="K417">
        <v>2638</v>
      </c>
      <c r="L417">
        <v>0.57999999999999996</v>
      </c>
      <c r="M417">
        <v>1.75</v>
      </c>
      <c r="N417" s="7">
        <f t="shared" si="26"/>
        <v>2.6407399999999997E-5</v>
      </c>
      <c r="O417" s="7">
        <f t="shared" si="27"/>
        <v>4.6212949999999996E-5</v>
      </c>
      <c r="P417">
        <v>25</v>
      </c>
      <c r="Q417">
        <v>1.5</v>
      </c>
      <c r="R417">
        <v>3</v>
      </c>
      <c r="S417">
        <v>3</v>
      </c>
      <c r="T417">
        <v>3</v>
      </c>
      <c r="U417">
        <v>3</v>
      </c>
      <c r="V417" t="s">
        <v>50</v>
      </c>
    </row>
    <row r="418" spans="1:22" hidden="1" outlineLevel="2" x14ac:dyDescent="0.25">
      <c r="A418" t="s">
        <v>74</v>
      </c>
      <c r="B418">
        <v>3</v>
      </c>
      <c r="C418" t="s">
        <v>66</v>
      </c>
      <c r="D418" t="s">
        <v>75</v>
      </c>
      <c r="E418" t="s">
        <v>68</v>
      </c>
      <c r="F418">
        <v>180</v>
      </c>
      <c r="G418">
        <v>1080</v>
      </c>
      <c r="H418">
        <v>-3</v>
      </c>
      <c r="I418">
        <v>1982</v>
      </c>
      <c r="J418" t="s">
        <v>61</v>
      </c>
      <c r="K418">
        <v>1171</v>
      </c>
      <c r="L418">
        <v>11.62</v>
      </c>
      <c r="M418">
        <v>11.62</v>
      </c>
      <c r="N418" s="7">
        <f t="shared" si="26"/>
        <v>1.0599415399999999E-2</v>
      </c>
      <c r="O418" s="7">
        <f t="shared" si="27"/>
        <v>0.12316520694799998</v>
      </c>
      <c r="P418">
        <v>2</v>
      </c>
      <c r="Q418">
        <v>2</v>
      </c>
      <c r="R418">
        <v>2</v>
      </c>
      <c r="S418">
        <v>4</v>
      </c>
      <c r="T418">
        <v>3</v>
      </c>
      <c r="U418">
        <v>3</v>
      </c>
      <c r="V418" t="s">
        <v>30</v>
      </c>
    </row>
    <row r="419" spans="1:22" hidden="1" outlineLevel="2" x14ac:dyDescent="0.25">
      <c r="A419" t="s">
        <v>74</v>
      </c>
      <c r="B419">
        <v>3</v>
      </c>
      <c r="C419" t="s">
        <v>66</v>
      </c>
      <c r="D419" t="s">
        <v>75</v>
      </c>
      <c r="E419" t="s">
        <v>68</v>
      </c>
      <c r="F419">
        <v>180</v>
      </c>
      <c r="G419">
        <v>1080</v>
      </c>
      <c r="H419">
        <v>-3</v>
      </c>
      <c r="I419">
        <v>1982</v>
      </c>
      <c r="J419" t="s">
        <v>61</v>
      </c>
      <c r="K419">
        <v>2631</v>
      </c>
      <c r="L419">
        <v>9.06</v>
      </c>
      <c r="M419">
        <v>6.97</v>
      </c>
      <c r="N419" s="7">
        <f t="shared" si="26"/>
        <v>6.4435626000000001E-3</v>
      </c>
      <c r="O419" s="7">
        <f t="shared" si="27"/>
        <v>4.4911631321999997E-2</v>
      </c>
      <c r="P419">
        <v>25</v>
      </c>
      <c r="Q419">
        <v>1.3</v>
      </c>
      <c r="R419">
        <v>1</v>
      </c>
      <c r="S419">
        <v>2</v>
      </c>
      <c r="T419">
        <v>2</v>
      </c>
      <c r="U419">
        <v>3</v>
      </c>
      <c r="V419" t="s">
        <v>50</v>
      </c>
    </row>
    <row r="420" spans="1:22" hidden="1" outlineLevel="2" x14ac:dyDescent="0.25">
      <c r="A420" t="s">
        <v>74</v>
      </c>
      <c r="B420">
        <v>3</v>
      </c>
      <c r="C420" t="s">
        <v>66</v>
      </c>
      <c r="D420" t="s">
        <v>75</v>
      </c>
      <c r="E420" t="s">
        <v>68</v>
      </c>
      <c r="F420">
        <v>180</v>
      </c>
      <c r="G420">
        <v>1080</v>
      </c>
      <c r="H420">
        <v>-3</v>
      </c>
      <c r="I420">
        <v>1982</v>
      </c>
      <c r="J420" t="s">
        <v>35</v>
      </c>
      <c r="K420">
        <v>1788</v>
      </c>
      <c r="L420">
        <v>15.31</v>
      </c>
      <c r="M420">
        <v>11.77</v>
      </c>
      <c r="N420" s="7">
        <f t="shared" si="26"/>
        <v>1.8400093850000004E-2</v>
      </c>
      <c r="O420" s="7">
        <f t="shared" si="27"/>
        <v>0.21656910461450005</v>
      </c>
      <c r="P420">
        <v>75</v>
      </c>
      <c r="Q420">
        <v>3</v>
      </c>
      <c r="R420">
        <v>2</v>
      </c>
      <c r="S420">
        <v>4</v>
      </c>
      <c r="T420">
        <v>4</v>
      </c>
      <c r="U420">
        <v>4</v>
      </c>
      <c r="V420" t="s">
        <v>27</v>
      </c>
    </row>
    <row r="421" spans="1:22" hidden="1" outlineLevel="2" x14ac:dyDescent="0.25">
      <c r="A421" t="s">
        <v>74</v>
      </c>
      <c r="B421">
        <v>3</v>
      </c>
      <c r="C421" t="s">
        <v>66</v>
      </c>
      <c r="D421" t="s">
        <v>75</v>
      </c>
      <c r="E421" t="s">
        <v>68</v>
      </c>
      <c r="F421">
        <v>180</v>
      </c>
      <c r="G421">
        <v>1080</v>
      </c>
      <c r="H421">
        <v>-3</v>
      </c>
      <c r="I421">
        <v>1982</v>
      </c>
      <c r="J421" t="s">
        <v>35</v>
      </c>
      <c r="K421">
        <v>1259</v>
      </c>
      <c r="L421">
        <v>7.65</v>
      </c>
      <c r="M421">
        <v>8.24</v>
      </c>
      <c r="N421" s="7">
        <f t="shared" si="26"/>
        <v>4.5940162500000001E-3</v>
      </c>
      <c r="O421" s="7">
        <f t="shared" si="27"/>
        <v>3.78546939E-2</v>
      </c>
      <c r="P421">
        <v>25</v>
      </c>
      <c r="Q421">
        <v>2</v>
      </c>
      <c r="R421">
        <v>2</v>
      </c>
      <c r="S421">
        <v>4</v>
      </c>
      <c r="T421">
        <v>4</v>
      </c>
      <c r="U421">
        <v>4</v>
      </c>
      <c r="V421" t="s">
        <v>38</v>
      </c>
    </row>
    <row r="422" spans="1:22" hidden="1" outlineLevel="2" x14ac:dyDescent="0.25">
      <c r="A422" t="s">
        <v>74</v>
      </c>
      <c r="B422">
        <v>3</v>
      </c>
      <c r="C422" t="s">
        <v>66</v>
      </c>
      <c r="D422" t="s">
        <v>75</v>
      </c>
      <c r="E422" t="s">
        <v>68</v>
      </c>
      <c r="F422">
        <v>180</v>
      </c>
      <c r="G422">
        <v>1080</v>
      </c>
      <c r="H422">
        <v>-3</v>
      </c>
      <c r="I422">
        <v>1982</v>
      </c>
      <c r="J422" t="s">
        <v>35</v>
      </c>
      <c r="K422">
        <v>2571</v>
      </c>
      <c r="L422">
        <v>6.42</v>
      </c>
      <c r="M422">
        <v>8.24</v>
      </c>
      <c r="N422" s="7">
        <f t="shared" si="26"/>
        <v>3.2354873999999997E-3</v>
      </c>
      <c r="O422" s="7">
        <f t="shared" si="27"/>
        <v>2.6660416175999999E-2</v>
      </c>
      <c r="P422">
        <v>25</v>
      </c>
      <c r="Q422">
        <v>3</v>
      </c>
      <c r="R422">
        <v>2</v>
      </c>
      <c r="S422">
        <v>4</v>
      </c>
      <c r="T422">
        <v>4</v>
      </c>
      <c r="U422">
        <v>4</v>
      </c>
      <c r="V422" t="s">
        <v>38</v>
      </c>
    </row>
    <row r="423" spans="1:22" hidden="1" outlineLevel="2" x14ac:dyDescent="0.25">
      <c r="A423" t="s">
        <v>74</v>
      </c>
      <c r="B423">
        <v>3</v>
      </c>
      <c r="C423" t="s">
        <v>66</v>
      </c>
      <c r="D423" t="s">
        <v>75</v>
      </c>
      <c r="E423" t="s">
        <v>68</v>
      </c>
      <c r="F423">
        <v>180</v>
      </c>
      <c r="G423">
        <v>1080</v>
      </c>
      <c r="H423">
        <v>-3</v>
      </c>
      <c r="I423">
        <v>1982</v>
      </c>
      <c r="J423" t="s">
        <v>62</v>
      </c>
      <c r="K423">
        <v>2553</v>
      </c>
      <c r="L423">
        <v>19.13</v>
      </c>
      <c r="M423">
        <v>13.5</v>
      </c>
      <c r="N423" s="7">
        <f t="shared" si="26"/>
        <v>2.8727616650000003E-2</v>
      </c>
      <c r="O423" s="7">
        <f t="shared" si="27"/>
        <v>0.38782282477500002</v>
      </c>
      <c r="P423">
        <v>50</v>
      </c>
      <c r="Q423">
        <v>5</v>
      </c>
      <c r="R423">
        <v>4</v>
      </c>
      <c r="S423">
        <v>4</v>
      </c>
      <c r="T423">
        <v>4</v>
      </c>
      <c r="U423">
        <v>3</v>
      </c>
      <c r="V423" t="s">
        <v>27</v>
      </c>
    </row>
    <row r="424" spans="1:22" hidden="1" outlineLevel="2" x14ac:dyDescent="0.25">
      <c r="A424" t="s">
        <v>74</v>
      </c>
      <c r="B424">
        <v>3</v>
      </c>
      <c r="C424" t="s">
        <v>66</v>
      </c>
      <c r="D424" t="s">
        <v>75</v>
      </c>
      <c r="E424" t="s">
        <v>68</v>
      </c>
      <c r="F424">
        <v>180</v>
      </c>
      <c r="G424">
        <v>1080</v>
      </c>
      <c r="H424">
        <v>-3</v>
      </c>
      <c r="I424">
        <v>1982</v>
      </c>
      <c r="J424" t="s">
        <v>62</v>
      </c>
      <c r="K424">
        <v>2574</v>
      </c>
      <c r="L424">
        <v>15.26</v>
      </c>
      <c r="M424">
        <v>14.08</v>
      </c>
      <c r="N424" s="7">
        <f t="shared" si="26"/>
        <v>1.8280106599999998E-2</v>
      </c>
      <c r="O424" s="7">
        <f t="shared" si="27"/>
        <v>0.25738390092799995</v>
      </c>
      <c r="P424">
        <v>25</v>
      </c>
      <c r="Q424">
        <v>3</v>
      </c>
      <c r="R424">
        <v>4</v>
      </c>
      <c r="S424">
        <v>4</v>
      </c>
      <c r="T424">
        <v>4</v>
      </c>
      <c r="U424">
        <v>3</v>
      </c>
      <c r="V424" t="s">
        <v>27</v>
      </c>
    </row>
    <row r="425" spans="1:22" hidden="1" outlineLevel="2" x14ac:dyDescent="0.25">
      <c r="A425" t="s">
        <v>74</v>
      </c>
      <c r="B425">
        <v>3</v>
      </c>
      <c r="C425" t="s">
        <v>66</v>
      </c>
      <c r="D425" t="s">
        <v>75</v>
      </c>
      <c r="E425" t="s">
        <v>68</v>
      </c>
      <c r="F425">
        <v>180</v>
      </c>
      <c r="G425">
        <v>1080</v>
      </c>
      <c r="H425">
        <v>-3</v>
      </c>
      <c r="I425">
        <v>1982</v>
      </c>
      <c r="J425" t="s">
        <v>37</v>
      </c>
      <c r="K425">
        <v>2575</v>
      </c>
      <c r="L425">
        <v>4.84</v>
      </c>
      <c r="M425">
        <v>4.13</v>
      </c>
      <c r="N425" s="7">
        <f t="shared" si="26"/>
        <v>1.8389096000000001E-3</v>
      </c>
      <c r="O425" s="7">
        <f t="shared" si="27"/>
        <v>7.5946966480000006E-3</v>
      </c>
      <c r="P425">
        <v>50</v>
      </c>
      <c r="Q425">
        <v>2</v>
      </c>
      <c r="R425">
        <v>1.5</v>
      </c>
      <c r="S425">
        <v>3</v>
      </c>
      <c r="T425">
        <v>3</v>
      </c>
      <c r="U425">
        <v>3</v>
      </c>
      <c r="V425" t="s">
        <v>30</v>
      </c>
    </row>
    <row r="426" spans="1:22" hidden="1" outlineLevel="2" x14ac:dyDescent="0.25">
      <c r="A426" t="s">
        <v>74</v>
      </c>
      <c r="B426">
        <v>3</v>
      </c>
      <c r="C426" t="s">
        <v>66</v>
      </c>
      <c r="D426" t="s">
        <v>75</v>
      </c>
      <c r="E426" t="s">
        <v>68</v>
      </c>
      <c r="F426">
        <v>180</v>
      </c>
      <c r="G426">
        <v>1080</v>
      </c>
      <c r="H426">
        <v>-3</v>
      </c>
      <c r="I426">
        <v>1982</v>
      </c>
      <c r="J426" t="s">
        <v>63</v>
      </c>
      <c r="K426">
        <v>1340</v>
      </c>
      <c r="L426">
        <v>7.58</v>
      </c>
      <c r="M426">
        <v>6.06</v>
      </c>
      <c r="N426" s="7">
        <f t="shared" si="26"/>
        <v>4.5103274000000007E-3</v>
      </c>
      <c r="O426" s="7">
        <f t="shared" si="27"/>
        <v>2.7332584044000002E-2</v>
      </c>
      <c r="P426">
        <v>38</v>
      </c>
      <c r="Q426">
        <v>2</v>
      </c>
      <c r="R426">
        <v>2</v>
      </c>
      <c r="S426">
        <v>3</v>
      </c>
      <c r="T426">
        <v>3</v>
      </c>
      <c r="U426">
        <v>3</v>
      </c>
      <c r="V426" t="s">
        <v>30</v>
      </c>
    </row>
    <row r="427" spans="1:22" hidden="1" outlineLevel="2" x14ac:dyDescent="0.25">
      <c r="A427" t="s">
        <v>82</v>
      </c>
      <c r="B427">
        <v>1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24</v>
      </c>
      <c r="K427">
        <v>2562</v>
      </c>
      <c r="L427">
        <v>17.41</v>
      </c>
      <c r="M427">
        <v>12.44</v>
      </c>
      <c r="N427" s="7">
        <f t="shared" si="26"/>
        <v>2.3793985850000001E-2</v>
      </c>
      <c r="O427" s="7">
        <f t="shared" si="27"/>
        <v>0.29599718397399999</v>
      </c>
      <c r="P427">
        <v>50</v>
      </c>
      <c r="Q427">
        <v>3.5</v>
      </c>
      <c r="R427">
        <v>3.3</v>
      </c>
      <c r="S427">
        <v>3</v>
      </c>
      <c r="T427">
        <v>3.5</v>
      </c>
      <c r="U427">
        <v>3</v>
      </c>
      <c r="V427" t="s">
        <v>25</v>
      </c>
    </row>
    <row r="428" spans="1:22" hidden="1" outlineLevel="2" x14ac:dyDescent="0.25">
      <c r="A428" t="s">
        <v>82</v>
      </c>
      <c r="B428">
        <v>1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80</v>
      </c>
      <c r="K428">
        <v>1252</v>
      </c>
      <c r="L428">
        <v>12.96</v>
      </c>
      <c r="M428">
        <v>11.21</v>
      </c>
      <c r="N428" s="7">
        <f t="shared" si="26"/>
        <v>1.3184985600000004E-2</v>
      </c>
      <c r="O428" s="7">
        <f t="shared" si="27"/>
        <v>0.14780368857600007</v>
      </c>
      <c r="P428">
        <v>88</v>
      </c>
      <c r="Q428">
        <v>4</v>
      </c>
      <c r="R428">
        <v>4</v>
      </c>
      <c r="S428">
        <v>2.5</v>
      </c>
      <c r="T428">
        <v>2</v>
      </c>
      <c r="U428">
        <v>2</v>
      </c>
      <c r="V428" t="s">
        <v>38</v>
      </c>
    </row>
    <row r="429" spans="1:22" hidden="1" outlineLevel="2" x14ac:dyDescent="0.25">
      <c r="A429" t="s">
        <v>82</v>
      </c>
      <c r="B429">
        <v>1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24</v>
      </c>
      <c r="K429">
        <v>1</v>
      </c>
      <c r="L429">
        <v>6.77</v>
      </c>
      <c r="M429">
        <v>7.19</v>
      </c>
      <c r="N429" s="7">
        <f t="shared" si="26"/>
        <v>3.5978826499999997E-3</v>
      </c>
      <c r="O429" s="7">
        <f t="shared" si="27"/>
        <v>2.5868776253499998E-2</v>
      </c>
      <c r="P429">
        <v>75</v>
      </c>
      <c r="Q429">
        <v>3</v>
      </c>
      <c r="R429">
        <v>3</v>
      </c>
      <c r="S429">
        <v>2.7</v>
      </c>
      <c r="T429">
        <v>3</v>
      </c>
      <c r="U429">
        <v>3</v>
      </c>
      <c r="V429" t="s">
        <v>38</v>
      </c>
    </row>
    <row r="430" spans="1:22" hidden="1" outlineLevel="2" x14ac:dyDescent="0.25">
      <c r="A430" t="s">
        <v>82</v>
      </c>
      <c r="B430">
        <v>1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59</v>
      </c>
      <c r="K430">
        <v>2548</v>
      </c>
      <c r="L430">
        <v>2.95</v>
      </c>
      <c r="M430">
        <v>4.43</v>
      </c>
      <c r="N430" s="7">
        <f t="shared" si="26"/>
        <v>6.8314625000000012E-4</v>
      </c>
      <c r="O430" s="7">
        <f t="shared" si="27"/>
        <v>3.0263378875000002E-3</v>
      </c>
      <c r="P430">
        <v>13</v>
      </c>
      <c r="Q430">
        <v>1</v>
      </c>
      <c r="R430">
        <v>2</v>
      </c>
      <c r="S430">
        <v>3</v>
      </c>
      <c r="T430">
        <v>3</v>
      </c>
      <c r="U430">
        <v>3</v>
      </c>
      <c r="V430" t="s">
        <v>50</v>
      </c>
    </row>
    <row r="431" spans="1:22" hidden="1" outlineLevel="2" x14ac:dyDescent="0.25">
      <c r="A431" t="s">
        <v>82</v>
      </c>
      <c r="B431">
        <v>1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32</v>
      </c>
      <c r="K431">
        <v>1596</v>
      </c>
      <c r="L431">
        <v>7.68</v>
      </c>
      <c r="M431">
        <v>6.56</v>
      </c>
      <c r="N431" s="7">
        <f t="shared" si="26"/>
        <v>4.6301183999999992E-3</v>
      </c>
      <c r="O431" s="7">
        <f t="shared" si="27"/>
        <v>3.0373576703999993E-2</v>
      </c>
      <c r="P431">
        <v>50</v>
      </c>
      <c r="Q431">
        <v>3</v>
      </c>
      <c r="R431">
        <v>3.5</v>
      </c>
      <c r="S431">
        <v>3.5</v>
      </c>
      <c r="T431">
        <v>4</v>
      </c>
      <c r="U431">
        <v>4</v>
      </c>
      <c r="V431" t="s">
        <v>38</v>
      </c>
    </row>
    <row r="432" spans="1:22" hidden="1" outlineLevel="2" x14ac:dyDescent="0.25">
      <c r="A432" t="s">
        <v>82</v>
      </c>
      <c r="B432">
        <v>1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32</v>
      </c>
      <c r="K432">
        <v>2569</v>
      </c>
      <c r="L432">
        <v>16.690000000000001</v>
      </c>
      <c r="M432">
        <v>11.67</v>
      </c>
      <c r="N432" s="7">
        <f t="shared" si="26"/>
        <v>2.1866653850000004E-2</v>
      </c>
      <c r="O432" s="7">
        <f t="shared" si="27"/>
        <v>0.25518385042950004</v>
      </c>
      <c r="P432">
        <v>75</v>
      </c>
      <c r="Q432">
        <v>3</v>
      </c>
      <c r="R432">
        <v>3.8</v>
      </c>
      <c r="S432">
        <v>3.4</v>
      </c>
      <c r="T432">
        <v>4</v>
      </c>
      <c r="U432">
        <v>3.5</v>
      </c>
      <c r="V432" t="s">
        <v>38</v>
      </c>
    </row>
    <row r="433" spans="1:22" hidden="1" outlineLevel="2" x14ac:dyDescent="0.25">
      <c r="A433" t="s">
        <v>82</v>
      </c>
      <c r="B433">
        <v>1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8.4600000000000009</v>
      </c>
      <c r="M433">
        <v>7.05</v>
      </c>
      <c r="N433" s="7">
        <f t="shared" si="26"/>
        <v>5.6183706000000021E-3</v>
      </c>
      <c r="O433" s="7">
        <f t="shared" si="27"/>
        <v>3.9609512730000011E-2</v>
      </c>
      <c r="P433">
        <v>13</v>
      </c>
      <c r="Q433">
        <v>2</v>
      </c>
      <c r="R433">
        <v>3</v>
      </c>
      <c r="S433">
        <v>3</v>
      </c>
      <c r="T433">
        <v>3</v>
      </c>
      <c r="U433">
        <v>3</v>
      </c>
      <c r="V433" t="s">
        <v>30</v>
      </c>
    </row>
    <row r="434" spans="1:22" hidden="1" outlineLevel="2" x14ac:dyDescent="0.25">
      <c r="A434" t="s">
        <v>82</v>
      </c>
      <c r="B434">
        <v>1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35</v>
      </c>
      <c r="K434">
        <v>1788</v>
      </c>
      <c r="L434">
        <v>5.35</v>
      </c>
      <c r="M434">
        <v>5.9</v>
      </c>
      <c r="N434" s="7">
        <f t="shared" si="26"/>
        <v>2.24686625E-3</v>
      </c>
      <c r="O434" s="7">
        <f t="shared" si="27"/>
        <v>1.3256510875E-2</v>
      </c>
      <c r="P434">
        <v>25</v>
      </c>
      <c r="Q434">
        <v>2</v>
      </c>
      <c r="R434">
        <v>1.8</v>
      </c>
      <c r="S434">
        <v>2</v>
      </c>
      <c r="T434">
        <v>2.5</v>
      </c>
      <c r="U434">
        <v>3</v>
      </c>
      <c r="V434" t="s">
        <v>30</v>
      </c>
    </row>
    <row r="435" spans="1:22" hidden="1" outlineLevel="2" x14ac:dyDescent="0.25">
      <c r="A435" t="s">
        <v>82</v>
      </c>
      <c r="B435">
        <v>1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14.82</v>
      </c>
      <c r="M435">
        <v>14.23</v>
      </c>
      <c r="N435" s="7">
        <f t="shared" si="26"/>
        <v>1.7241143399999999E-2</v>
      </c>
      <c r="O435" s="7">
        <f t="shared" si="27"/>
        <v>0.24534147058199998</v>
      </c>
      <c r="P435">
        <v>50</v>
      </c>
      <c r="Q435">
        <v>3</v>
      </c>
      <c r="R435">
        <v>1.7</v>
      </c>
      <c r="S435">
        <v>4</v>
      </c>
      <c r="T435">
        <v>4</v>
      </c>
      <c r="U435">
        <v>3.5</v>
      </c>
      <c r="V435" t="s">
        <v>25</v>
      </c>
    </row>
    <row r="436" spans="1:22" hidden="1" outlineLevel="2" x14ac:dyDescent="0.25">
      <c r="A436" t="s">
        <v>82</v>
      </c>
      <c r="B436">
        <v>1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9.19</v>
      </c>
      <c r="M436">
        <v>7.81</v>
      </c>
      <c r="N436" s="7">
        <f t="shared" si="26"/>
        <v>6.6298038499999993E-3</v>
      </c>
      <c r="O436" s="7">
        <f t="shared" si="27"/>
        <v>5.1778768068499993E-2</v>
      </c>
      <c r="P436">
        <v>50</v>
      </c>
      <c r="Q436">
        <v>2.8</v>
      </c>
      <c r="R436">
        <v>3</v>
      </c>
      <c r="S436">
        <v>3</v>
      </c>
      <c r="T436">
        <v>4</v>
      </c>
      <c r="U436">
        <v>3</v>
      </c>
      <c r="V436" t="s">
        <v>50</v>
      </c>
    </row>
    <row r="437" spans="1:22" hidden="1" outlineLevel="2" x14ac:dyDescent="0.25">
      <c r="A437" t="s">
        <v>82</v>
      </c>
      <c r="B437">
        <v>1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36</v>
      </c>
      <c r="K437">
        <v>2573</v>
      </c>
      <c r="L437">
        <v>5.19</v>
      </c>
      <c r="M437">
        <v>4.4400000000000004</v>
      </c>
      <c r="N437" s="7">
        <f t="shared" si="26"/>
        <v>2.1144838500000004E-3</v>
      </c>
      <c r="O437" s="7">
        <f t="shared" si="27"/>
        <v>9.3883082940000029E-3</v>
      </c>
      <c r="P437">
        <v>13</v>
      </c>
      <c r="Q437">
        <v>1.5</v>
      </c>
      <c r="R437">
        <v>2.5</v>
      </c>
      <c r="S437">
        <v>3</v>
      </c>
      <c r="T437">
        <v>3</v>
      </c>
      <c r="U437">
        <v>3</v>
      </c>
      <c r="V437" t="s">
        <v>50</v>
      </c>
    </row>
    <row r="438" spans="1:22" hidden="1" outlineLevel="2" x14ac:dyDescent="0.25">
      <c r="A438" t="s">
        <v>82</v>
      </c>
      <c r="B438">
        <v>1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62</v>
      </c>
      <c r="K438">
        <v>2553</v>
      </c>
      <c r="L438">
        <v>9.73</v>
      </c>
      <c r="M438">
        <v>11.04</v>
      </c>
      <c r="N438" s="7">
        <f t="shared" si="26"/>
        <v>7.4318226500000003E-3</v>
      </c>
      <c r="O438" s="7">
        <f t="shared" si="27"/>
        <v>8.2047322056000002E-2</v>
      </c>
      <c r="P438">
        <v>75</v>
      </c>
      <c r="Q438">
        <v>3</v>
      </c>
      <c r="R438">
        <v>3</v>
      </c>
      <c r="S438">
        <v>3.5</v>
      </c>
      <c r="T438">
        <v>4</v>
      </c>
      <c r="U438">
        <v>3.5</v>
      </c>
      <c r="V438" t="s">
        <v>25</v>
      </c>
    </row>
    <row r="439" spans="1:22" hidden="1" outlineLevel="2" x14ac:dyDescent="0.25">
      <c r="A439" t="s">
        <v>82</v>
      </c>
      <c r="B439">
        <v>1</v>
      </c>
      <c r="C439" t="s">
        <v>66</v>
      </c>
      <c r="D439" t="s">
        <v>67</v>
      </c>
      <c r="E439" t="s">
        <v>68</v>
      </c>
      <c r="F439">
        <v>180</v>
      </c>
      <c r="G439">
        <v>1080</v>
      </c>
      <c r="H439">
        <v>-3</v>
      </c>
      <c r="I439">
        <v>1983</v>
      </c>
      <c r="J439" t="s">
        <v>37</v>
      </c>
      <c r="K439">
        <v>2575</v>
      </c>
      <c r="L439">
        <v>13.54</v>
      </c>
      <c r="M439">
        <v>8.81</v>
      </c>
      <c r="N439" s="7">
        <f t="shared" si="26"/>
        <v>1.4391530599999999E-2</v>
      </c>
      <c r="O439" s="7">
        <f t="shared" si="27"/>
        <v>0.126789384586</v>
      </c>
      <c r="P439">
        <v>88</v>
      </c>
      <c r="Q439">
        <v>2.7</v>
      </c>
      <c r="R439">
        <v>2</v>
      </c>
      <c r="S439">
        <v>2.5</v>
      </c>
      <c r="T439">
        <v>3</v>
      </c>
      <c r="U439">
        <v>3</v>
      </c>
      <c r="V439" t="s">
        <v>38</v>
      </c>
    </row>
    <row r="440" spans="1:22" hidden="1" outlineLevel="2" x14ac:dyDescent="0.25">
      <c r="A440" t="s">
        <v>82</v>
      </c>
      <c r="B440">
        <v>1</v>
      </c>
      <c r="C440" t="s">
        <v>66</v>
      </c>
      <c r="D440" t="s">
        <v>67</v>
      </c>
      <c r="E440" t="s">
        <v>68</v>
      </c>
      <c r="F440">
        <v>180</v>
      </c>
      <c r="G440">
        <v>1080</v>
      </c>
      <c r="H440">
        <v>-3</v>
      </c>
      <c r="I440">
        <v>1983</v>
      </c>
      <c r="J440" t="s">
        <v>26</v>
      </c>
      <c r="K440">
        <v>2552</v>
      </c>
      <c r="L440">
        <v>5.78</v>
      </c>
      <c r="M440">
        <v>7.21</v>
      </c>
      <c r="N440" s="7">
        <f t="shared" si="26"/>
        <v>2.6225594000000001E-3</v>
      </c>
      <c r="O440" s="7">
        <f t="shared" si="27"/>
        <v>1.8908653274000001E-2</v>
      </c>
      <c r="P440">
        <v>13</v>
      </c>
      <c r="Q440">
        <v>1.5</v>
      </c>
      <c r="R440">
        <v>3</v>
      </c>
      <c r="S440">
        <v>4</v>
      </c>
      <c r="T440">
        <v>4</v>
      </c>
      <c r="U440">
        <v>4</v>
      </c>
      <c r="V440" t="s">
        <v>50</v>
      </c>
    </row>
    <row r="441" spans="1:22" hidden="1" outlineLevel="2" x14ac:dyDescent="0.25">
      <c r="A441" t="s">
        <v>82</v>
      </c>
      <c r="B441">
        <v>2</v>
      </c>
      <c r="C441" t="s">
        <v>66</v>
      </c>
      <c r="D441" t="s">
        <v>67</v>
      </c>
      <c r="E441" t="s">
        <v>68</v>
      </c>
      <c r="F441">
        <v>180</v>
      </c>
      <c r="G441">
        <v>1080</v>
      </c>
      <c r="H441">
        <v>-3</v>
      </c>
      <c r="I441">
        <v>1983</v>
      </c>
      <c r="J441" t="s">
        <v>80</v>
      </c>
      <c r="K441">
        <v>1252</v>
      </c>
      <c r="L441">
        <v>5.36</v>
      </c>
      <c r="M441">
        <v>4.6100000000000003</v>
      </c>
      <c r="N441" s="7">
        <f t="shared" si="26"/>
        <v>2.2552736000000006E-3</v>
      </c>
      <c r="O441" s="7">
        <f t="shared" si="27"/>
        <v>1.0396811296000003E-2</v>
      </c>
      <c r="P441">
        <v>63</v>
      </c>
      <c r="Q441">
        <v>3</v>
      </c>
      <c r="R441">
        <v>3</v>
      </c>
      <c r="S441">
        <v>2</v>
      </c>
      <c r="T441">
        <v>2</v>
      </c>
      <c r="U441">
        <v>3</v>
      </c>
      <c r="V441" t="s">
        <v>30</v>
      </c>
    </row>
    <row r="442" spans="1:22" hidden="1" outlineLevel="2" x14ac:dyDescent="0.25">
      <c r="A442" t="s">
        <v>82</v>
      </c>
      <c r="B442">
        <v>2</v>
      </c>
      <c r="C442" t="s">
        <v>66</v>
      </c>
      <c r="D442" t="s">
        <v>67</v>
      </c>
      <c r="E442" t="s">
        <v>68</v>
      </c>
      <c r="F442">
        <v>180</v>
      </c>
      <c r="G442">
        <v>1080</v>
      </c>
      <c r="H442">
        <v>-3</v>
      </c>
      <c r="I442">
        <v>1983</v>
      </c>
      <c r="J442" t="s">
        <v>24</v>
      </c>
      <c r="K442">
        <v>1</v>
      </c>
      <c r="L442">
        <v>11.88</v>
      </c>
      <c r="M442">
        <v>9.81</v>
      </c>
      <c r="N442" s="7">
        <f t="shared" si="26"/>
        <v>1.1079050400000002E-2</v>
      </c>
      <c r="O442" s="7">
        <f t="shared" si="27"/>
        <v>0.10868548442400003</v>
      </c>
      <c r="P442">
        <v>63</v>
      </c>
      <c r="Q442">
        <v>3</v>
      </c>
      <c r="R442">
        <v>4</v>
      </c>
      <c r="S442">
        <v>2.5</v>
      </c>
      <c r="T442">
        <v>2.5</v>
      </c>
      <c r="U442">
        <v>2.5</v>
      </c>
      <c r="V442" t="s">
        <v>38</v>
      </c>
    </row>
    <row r="443" spans="1:22" hidden="1" outlineLevel="2" x14ac:dyDescent="0.25">
      <c r="A443" t="s">
        <v>82</v>
      </c>
      <c r="B443">
        <v>2</v>
      </c>
      <c r="C443" t="s">
        <v>66</v>
      </c>
      <c r="D443" t="s">
        <v>67</v>
      </c>
      <c r="E443" t="s">
        <v>68</v>
      </c>
      <c r="F443">
        <v>180</v>
      </c>
      <c r="G443">
        <v>1080</v>
      </c>
      <c r="H443">
        <v>-3</v>
      </c>
      <c r="I443">
        <v>1983</v>
      </c>
      <c r="J443" t="s">
        <v>59</v>
      </c>
      <c r="K443">
        <v>1482</v>
      </c>
      <c r="L443">
        <v>14.03</v>
      </c>
      <c r="M443">
        <v>9.9</v>
      </c>
      <c r="N443" s="7">
        <f t="shared" si="26"/>
        <v>1.5452010649999997E-2</v>
      </c>
      <c r="O443" s="7">
        <f t="shared" si="27"/>
        <v>0.15297490543499997</v>
      </c>
      <c r="P443">
        <v>63</v>
      </c>
      <c r="Q443">
        <v>3.5</v>
      </c>
      <c r="R443">
        <v>4</v>
      </c>
      <c r="S443">
        <v>3.5</v>
      </c>
      <c r="T443">
        <v>3</v>
      </c>
      <c r="U443">
        <v>3</v>
      </c>
      <c r="V443" t="s">
        <v>25</v>
      </c>
    </row>
    <row r="444" spans="1:22" hidden="1" outlineLevel="2" x14ac:dyDescent="0.25">
      <c r="A444" t="s">
        <v>82</v>
      </c>
      <c r="B444">
        <v>2</v>
      </c>
      <c r="C444" t="s">
        <v>66</v>
      </c>
      <c r="D444" t="s">
        <v>67</v>
      </c>
      <c r="E444" t="s">
        <v>68</v>
      </c>
      <c r="F444">
        <v>180</v>
      </c>
      <c r="G444">
        <v>1080</v>
      </c>
      <c r="H444">
        <v>-3</v>
      </c>
      <c r="I444">
        <v>1983</v>
      </c>
      <c r="J444" t="s">
        <v>59</v>
      </c>
      <c r="K444">
        <v>2548</v>
      </c>
      <c r="L444">
        <v>23.63</v>
      </c>
      <c r="M444">
        <v>11.82</v>
      </c>
      <c r="N444" s="7">
        <f t="shared" si="26"/>
        <v>4.3832586649999991E-2</v>
      </c>
      <c r="O444" s="7">
        <f t="shared" si="27"/>
        <v>0.51810117420299995</v>
      </c>
      <c r="P444">
        <v>88</v>
      </c>
      <c r="Q444">
        <v>4.5</v>
      </c>
      <c r="R444">
        <v>4</v>
      </c>
      <c r="S444">
        <v>3</v>
      </c>
      <c r="T444">
        <v>2.5</v>
      </c>
      <c r="U444">
        <v>2</v>
      </c>
      <c r="V444" t="s">
        <v>25</v>
      </c>
    </row>
    <row r="445" spans="1:22" hidden="1" outlineLevel="2" x14ac:dyDescent="0.25">
      <c r="A445" t="s">
        <v>82</v>
      </c>
      <c r="B445">
        <v>2</v>
      </c>
      <c r="C445" t="s">
        <v>66</v>
      </c>
      <c r="D445" t="s">
        <v>67</v>
      </c>
      <c r="E445" t="s">
        <v>68</v>
      </c>
      <c r="F445">
        <v>180</v>
      </c>
      <c r="G445">
        <v>1080</v>
      </c>
      <c r="H445">
        <v>-3</v>
      </c>
      <c r="I445">
        <v>1983</v>
      </c>
      <c r="J445" t="s">
        <v>26</v>
      </c>
      <c r="K445">
        <v>2552</v>
      </c>
      <c r="L445">
        <v>10.39</v>
      </c>
      <c r="M445">
        <v>8.66</v>
      </c>
      <c r="N445" s="7">
        <f t="shared" ref="N445:N476" si="28">3.14/4*((L445/100)^2)</f>
        <v>8.4742398500000007E-3</v>
      </c>
      <c r="O445" s="7">
        <f t="shared" ref="O445:O476" si="29">3.14/4*((L445/100)^2)*M445</f>
        <v>7.338691710100001E-2</v>
      </c>
      <c r="P445">
        <v>38</v>
      </c>
      <c r="Q445">
        <v>3</v>
      </c>
      <c r="R445">
        <v>3.5</v>
      </c>
      <c r="S445">
        <v>3</v>
      </c>
      <c r="T445">
        <v>4</v>
      </c>
      <c r="U445">
        <v>3</v>
      </c>
      <c r="V445" t="s">
        <v>38</v>
      </c>
    </row>
    <row r="446" spans="1:22" hidden="1" outlineLevel="2" x14ac:dyDescent="0.25">
      <c r="A446" t="s">
        <v>82</v>
      </c>
      <c r="B446">
        <v>2</v>
      </c>
      <c r="C446" t="s">
        <v>66</v>
      </c>
      <c r="D446" t="s">
        <v>67</v>
      </c>
      <c r="E446" t="s">
        <v>68</v>
      </c>
      <c r="F446">
        <v>180</v>
      </c>
      <c r="G446">
        <v>1080</v>
      </c>
      <c r="H446">
        <v>-3</v>
      </c>
      <c r="I446">
        <v>1983</v>
      </c>
      <c r="J446" t="s">
        <v>32</v>
      </c>
      <c r="K446">
        <v>1596</v>
      </c>
      <c r="L446">
        <v>7.83</v>
      </c>
      <c r="M446">
        <v>6.79</v>
      </c>
      <c r="N446" s="7">
        <f t="shared" si="28"/>
        <v>4.8127486499999995E-3</v>
      </c>
      <c r="O446" s="7">
        <f t="shared" si="29"/>
        <v>3.2678563333499999E-2</v>
      </c>
      <c r="P446">
        <v>100</v>
      </c>
      <c r="Q446">
        <v>3</v>
      </c>
      <c r="R446">
        <v>3</v>
      </c>
      <c r="S446">
        <v>3.5</v>
      </c>
      <c r="T446">
        <v>4.5</v>
      </c>
      <c r="U446">
        <v>3.5</v>
      </c>
      <c r="V446" t="s">
        <v>25</v>
      </c>
    </row>
    <row r="447" spans="1:22" hidden="1" outlineLevel="2" x14ac:dyDescent="0.25">
      <c r="A447" t="s">
        <v>82</v>
      </c>
      <c r="B447">
        <v>2</v>
      </c>
      <c r="C447" t="s">
        <v>66</v>
      </c>
      <c r="D447" t="s">
        <v>67</v>
      </c>
      <c r="E447" t="s">
        <v>68</v>
      </c>
      <c r="F447">
        <v>180</v>
      </c>
      <c r="G447">
        <v>1080</v>
      </c>
      <c r="H447">
        <v>-3</v>
      </c>
      <c r="I447">
        <v>1983</v>
      </c>
      <c r="J447" t="s">
        <v>32</v>
      </c>
      <c r="K447">
        <v>2569</v>
      </c>
      <c r="L447">
        <v>11.23</v>
      </c>
      <c r="M447">
        <v>10.34</v>
      </c>
      <c r="N447" s="7">
        <f t="shared" si="28"/>
        <v>9.8998626500000023E-3</v>
      </c>
      <c r="O447" s="7">
        <f t="shared" si="29"/>
        <v>0.10236457980100003</v>
      </c>
      <c r="P447">
        <v>50</v>
      </c>
      <c r="Q447">
        <v>3</v>
      </c>
      <c r="R447">
        <v>3.5</v>
      </c>
      <c r="S447">
        <v>3.3</v>
      </c>
      <c r="T447">
        <v>4</v>
      </c>
      <c r="U447">
        <v>3.5</v>
      </c>
      <c r="V447" t="s">
        <v>25</v>
      </c>
    </row>
    <row r="448" spans="1:22" hidden="1" outlineLevel="2" x14ac:dyDescent="0.25">
      <c r="A448" t="s">
        <v>82</v>
      </c>
      <c r="B448">
        <v>2</v>
      </c>
      <c r="C448" t="s">
        <v>66</v>
      </c>
      <c r="D448" t="s">
        <v>67</v>
      </c>
      <c r="E448" t="s">
        <v>68</v>
      </c>
      <c r="F448">
        <v>180</v>
      </c>
      <c r="G448">
        <v>1080</v>
      </c>
      <c r="H448">
        <v>-3</v>
      </c>
      <c r="I448">
        <v>1983</v>
      </c>
      <c r="J448" t="s">
        <v>33</v>
      </c>
      <c r="K448">
        <v>2547</v>
      </c>
      <c r="L448">
        <v>9.1300000000000008</v>
      </c>
      <c r="M448">
        <v>8.01</v>
      </c>
      <c r="N448" s="7">
        <f t="shared" si="28"/>
        <v>6.5435166500000018E-3</v>
      </c>
      <c r="O448" s="7">
        <f t="shared" si="29"/>
        <v>5.2413568366500012E-2</v>
      </c>
      <c r="P448">
        <v>75</v>
      </c>
      <c r="Q448">
        <v>2.8</v>
      </c>
      <c r="R448">
        <v>2</v>
      </c>
      <c r="S448">
        <v>3.3</v>
      </c>
      <c r="T448">
        <v>3.3</v>
      </c>
      <c r="U448">
        <v>3</v>
      </c>
      <c r="V448" t="s">
        <v>38</v>
      </c>
    </row>
    <row r="449" spans="1:22" hidden="1" outlineLevel="2" x14ac:dyDescent="0.25">
      <c r="A449" t="s">
        <v>82</v>
      </c>
      <c r="B449">
        <v>2</v>
      </c>
      <c r="C449" t="s">
        <v>66</v>
      </c>
      <c r="D449" t="s">
        <v>67</v>
      </c>
      <c r="E449" t="s">
        <v>68</v>
      </c>
      <c r="F449">
        <v>180</v>
      </c>
      <c r="G449">
        <v>1080</v>
      </c>
      <c r="H449">
        <v>-3</v>
      </c>
      <c r="I449">
        <v>1983</v>
      </c>
      <c r="J449" t="s">
        <v>33</v>
      </c>
      <c r="K449">
        <v>2568</v>
      </c>
      <c r="L449">
        <v>11.66</v>
      </c>
      <c r="M449">
        <v>8.57</v>
      </c>
      <c r="N449" s="7">
        <f t="shared" si="28"/>
        <v>1.06725146E-2</v>
      </c>
      <c r="O449" s="7">
        <f t="shared" si="29"/>
        <v>9.1463450122000009E-2</v>
      </c>
      <c r="P449">
        <v>75</v>
      </c>
      <c r="Q449">
        <v>3</v>
      </c>
      <c r="R449">
        <v>2.5</v>
      </c>
      <c r="S449">
        <v>2.5</v>
      </c>
      <c r="T449">
        <v>2.5</v>
      </c>
      <c r="U449">
        <v>2.5</v>
      </c>
      <c r="V449" t="s">
        <v>30</v>
      </c>
    </row>
    <row r="450" spans="1:22" hidden="1" outlineLevel="2" x14ac:dyDescent="0.25">
      <c r="A450" t="s">
        <v>82</v>
      </c>
      <c r="B450">
        <v>2</v>
      </c>
      <c r="C450" t="s">
        <v>66</v>
      </c>
      <c r="D450" t="s">
        <v>67</v>
      </c>
      <c r="E450" t="s">
        <v>68</v>
      </c>
      <c r="F450">
        <v>180</v>
      </c>
      <c r="G450">
        <v>1080</v>
      </c>
      <c r="H450">
        <v>-3</v>
      </c>
      <c r="I450">
        <v>1983</v>
      </c>
      <c r="J450" t="s">
        <v>34</v>
      </c>
      <c r="K450">
        <v>2570</v>
      </c>
      <c r="L450">
        <v>3.81</v>
      </c>
      <c r="M450">
        <v>4.93</v>
      </c>
      <c r="N450" s="7">
        <f t="shared" si="28"/>
        <v>1.1395138500000001E-3</v>
      </c>
      <c r="O450" s="7">
        <f t="shared" si="29"/>
        <v>5.6178032805000002E-3</v>
      </c>
      <c r="P450">
        <v>13</v>
      </c>
      <c r="Q450">
        <v>2</v>
      </c>
      <c r="R450">
        <v>2.5</v>
      </c>
      <c r="S450">
        <v>3</v>
      </c>
      <c r="T450">
        <v>4</v>
      </c>
      <c r="U450">
        <v>3</v>
      </c>
      <c r="V450" t="s">
        <v>50</v>
      </c>
    </row>
    <row r="451" spans="1:22" hidden="1" outlineLevel="2" x14ac:dyDescent="0.25">
      <c r="A451" t="s">
        <v>82</v>
      </c>
      <c r="B451">
        <v>2</v>
      </c>
      <c r="C451" t="s">
        <v>66</v>
      </c>
      <c r="D451" t="s">
        <v>67</v>
      </c>
      <c r="E451" t="s">
        <v>68</v>
      </c>
      <c r="F451">
        <v>180</v>
      </c>
      <c r="G451">
        <v>1080</v>
      </c>
      <c r="H451">
        <v>-3</v>
      </c>
      <c r="I451">
        <v>1983</v>
      </c>
      <c r="J451" t="s">
        <v>35</v>
      </c>
      <c r="K451">
        <v>1788</v>
      </c>
      <c r="L451">
        <v>16.16</v>
      </c>
      <c r="M451">
        <v>10.98</v>
      </c>
      <c r="N451" s="7">
        <f t="shared" si="28"/>
        <v>2.0499929600000001E-2</v>
      </c>
      <c r="O451" s="7">
        <f t="shared" si="29"/>
        <v>0.22508922700800002</v>
      </c>
      <c r="P451">
        <v>13</v>
      </c>
      <c r="Q451">
        <v>3.5</v>
      </c>
      <c r="R451">
        <v>2.5</v>
      </c>
      <c r="S451">
        <v>3</v>
      </c>
      <c r="T451">
        <v>4</v>
      </c>
      <c r="U451">
        <v>3</v>
      </c>
      <c r="V451" t="s">
        <v>25</v>
      </c>
    </row>
    <row r="452" spans="1:22" hidden="1" outlineLevel="2" x14ac:dyDescent="0.25">
      <c r="A452" t="s">
        <v>82</v>
      </c>
      <c r="B452">
        <v>2</v>
      </c>
      <c r="C452" t="s">
        <v>66</v>
      </c>
      <c r="D452" t="s">
        <v>67</v>
      </c>
      <c r="E452" t="s">
        <v>68</v>
      </c>
      <c r="F452">
        <v>180</v>
      </c>
      <c r="G452">
        <v>1080</v>
      </c>
      <c r="H452">
        <v>-3</v>
      </c>
      <c r="I452">
        <v>1983</v>
      </c>
      <c r="J452" t="s">
        <v>35</v>
      </c>
      <c r="K452">
        <v>2571</v>
      </c>
      <c r="L452">
        <v>8.83</v>
      </c>
      <c r="M452">
        <v>7.91</v>
      </c>
      <c r="N452" s="7">
        <f t="shared" si="28"/>
        <v>6.1205586500000008E-3</v>
      </c>
      <c r="O452" s="7">
        <f t="shared" si="29"/>
        <v>4.8413618921500007E-2</v>
      </c>
      <c r="P452">
        <v>63</v>
      </c>
      <c r="Q452">
        <v>3.5</v>
      </c>
      <c r="R452">
        <v>2.5</v>
      </c>
      <c r="S452">
        <v>3.5</v>
      </c>
      <c r="T452">
        <v>4</v>
      </c>
      <c r="U452">
        <v>4</v>
      </c>
      <c r="V452" t="s">
        <v>25</v>
      </c>
    </row>
    <row r="453" spans="1:22" hidden="1" outlineLevel="2" x14ac:dyDescent="0.25">
      <c r="A453" t="s">
        <v>82</v>
      </c>
      <c r="B453">
        <v>2</v>
      </c>
      <c r="C453" t="s">
        <v>66</v>
      </c>
      <c r="D453" t="s">
        <v>67</v>
      </c>
      <c r="E453" t="s">
        <v>68</v>
      </c>
      <c r="F453">
        <v>180</v>
      </c>
      <c r="G453">
        <v>1080</v>
      </c>
      <c r="H453">
        <v>-3</v>
      </c>
      <c r="I453">
        <v>1983</v>
      </c>
      <c r="J453" t="s">
        <v>81</v>
      </c>
      <c r="K453">
        <v>2750</v>
      </c>
      <c r="L453">
        <v>1.38</v>
      </c>
      <c r="M453">
        <v>1.53</v>
      </c>
      <c r="N453" s="7">
        <f t="shared" si="28"/>
        <v>1.4949540000000001E-4</v>
      </c>
      <c r="O453" s="7">
        <f t="shared" si="29"/>
        <v>2.28727962E-4</v>
      </c>
      <c r="P453">
        <v>13</v>
      </c>
      <c r="Q453">
        <v>1</v>
      </c>
      <c r="R453">
        <v>1</v>
      </c>
      <c r="S453">
        <v>3</v>
      </c>
      <c r="T453">
        <v>3</v>
      </c>
      <c r="U453">
        <v>3</v>
      </c>
      <c r="V453" t="s">
        <v>50</v>
      </c>
    </row>
    <row r="454" spans="1:22" hidden="1" outlineLevel="2" x14ac:dyDescent="0.25">
      <c r="A454" t="s">
        <v>82</v>
      </c>
      <c r="B454">
        <v>2</v>
      </c>
      <c r="C454" t="s">
        <v>66</v>
      </c>
      <c r="D454" t="s">
        <v>67</v>
      </c>
      <c r="E454" t="s">
        <v>68</v>
      </c>
      <c r="F454">
        <v>180</v>
      </c>
      <c r="G454">
        <v>1080</v>
      </c>
      <c r="H454">
        <v>-3</v>
      </c>
      <c r="I454">
        <v>1983</v>
      </c>
      <c r="J454" t="s">
        <v>36</v>
      </c>
      <c r="K454">
        <v>2573</v>
      </c>
      <c r="L454">
        <v>1.48</v>
      </c>
      <c r="M454">
        <v>2.96</v>
      </c>
      <c r="N454" s="7">
        <f t="shared" si="28"/>
        <v>1.7194640000000002E-4</v>
      </c>
      <c r="O454" s="7">
        <f t="shared" si="29"/>
        <v>5.0896134400000008E-4</v>
      </c>
      <c r="P454">
        <v>13</v>
      </c>
      <c r="Q454">
        <v>1</v>
      </c>
      <c r="R454">
        <v>3</v>
      </c>
      <c r="S454">
        <v>3</v>
      </c>
      <c r="T454">
        <v>3</v>
      </c>
      <c r="U454">
        <v>3</v>
      </c>
      <c r="V454" t="s">
        <v>50</v>
      </c>
    </row>
    <row r="455" spans="1:22" hidden="1" outlineLevel="2" x14ac:dyDescent="0.25">
      <c r="A455" t="s">
        <v>82</v>
      </c>
      <c r="B455">
        <v>2</v>
      </c>
      <c r="C455" t="s">
        <v>66</v>
      </c>
      <c r="D455" t="s">
        <v>67</v>
      </c>
      <c r="E455" t="s">
        <v>68</v>
      </c>
      <c r="F455">
        <v>180</v>
      </c>
      <c r="G455">
        <v>1080</v>
      </c>
      <c r="H455">
        <v>-3</v>
      </c>
      <c r="I455">
        <v>1983</v>
      </c>
      <c r="J455" t="s">
        <v>62</v>
      </c>
      <c r="K455">
        <v>2550</v>
      </c>
      <c r="L455">
        <v>9.15</v>
      </c>
      <c r="M455">
        <v>8.42</v>
      </c>
      <c r="N455" s="7">
        <f t="shared" si="28"/>
        <v>6.5722162499999995E-3</v>
      </c>
      <c r="O455" s="7">
        <f t="shared" si="29"/>
        <v>5.5338060824999993E-2</v>
      </c>
      <c r="P455">
        <v>25</v>
      </c>
      <c r="Q455">
        <v>3</v>
      </c>
      <c r="R455">
        <v>3.5</v>
      </c>
      <c r="S455">
        <v>3.5</v>
      </c>
      <c r="T455">
        <v>4</v>
      </c>
      <c r="U455">
        <v>4</v>
      </c>
      <c r="V455" t="s">
        <v>38</v>
      </c>
    </row>
    <row r="456" spans="1:22" hidden="1" outlineLevel="2" x14ac:dyDescent="0.25">
      <c r="A456" t="s">
        <v>82</v>
      </c>
      <c r="B456">
        <v>2</v>
      </c>
      <c r="C456" t="s">
        <v>66</v>
      </c>
      <c r="D456" t="s">
        <v>67</v>
      </c>
      <c r="E456" t="s">
        <v>68</v>
      </c>
      <c r="F456">
        <v>180</v>
      </c>
      <c r="G456">
        <v>1080</v>
      </c>
      <c r="H456">
        <v>-3</v>
      </c>
      <c r="I456">
        <v>1983</v>
      </c>
      <c r="J456" t="s">
        <v>62</v>
      </c>
      <c r="K456">
        <v>2553</v>
      </c>
      <c r="L456">
        <v>4.79</v>
      </c>
      <c r="M456">
        <v>4.3600000000000003</v>
      </c>
      <c r="N456" s="7">
        <f t="shared" si="28"/>
        <v>1.8011118499999998E-3</v>
      </c>
      <c r="O456" s="7">
        <f t="shared" si="29"/>
        <v>7.8528476659999995E-3</v>
      </c>
      <c r="P456">
        <v>38</v>
      </c>
      <c r="Q456">
        <v>2</v>
      </c>
      <c r="R456">
        <v>3.5</v>
      </c>
      <c r="S456">
        <v>3.5</v>
      </c>
      <c r="T456">
        <v>4</v>
      </c>
      <c r="U456">
        <v>3.5</v>
      </c>
      <c r="V456" t="s">
        <v>30</v>
      </c>
    </row>
    <row r="457" spans="1:22" hidden="1" outlineLevel="2" x14ac:dyDescent="0.25">
      <c r="A457" t="s">
        <v>82</v>
      </c>
      <c r="B457">
        <v>2</v>
      </c>
      <c r="C457" t="s">
        <v>66</v>
      </c>
      <c r="D457" t="s">
        <v>67</v>
      </c>
      <c r="E457" t="s">
        <v>68</v>
      </c>
      <c r="F457">
        <v>180</v>
      </c>
      <c r="G457">
        <v>1080</v>
      </c>
      <c r="H457">
        <v>-3</v>
      </c>
      <c r="I457">
        <v>1983</v>
      </c>
      <c r="J457" t="s">
        <v>37</v>
      </c>
      <c r="K457">
        <v>2575</v>
      </c>
      <c r="L457">
        <v>6.7</v>
      </c>
      <c r="M457">
        <v>6.83</v>
      </c>
      <c r="N457" s="7">
        <f t="shared" si="28"/>
        <v>3.5238650000000006E-3</v>
      </c>
      <c r="O457" s="7">
        <f t="shared" si="29"/>
        <v>2.4067997950000003E-2</v>
      </c>
      <c r="P457">
        <v>75</v>
      </c>
      <c r="Q457">
        <v>2.7</v>
      </c>
      <c r="R457">
        <v>2.7</v>
      </c>
      <c r="S457">
        <v>3</v>
      </c>
      <c r="T457">
        <v>3.5</v>
      </c>
      <c r="U457">
        <v>3.5</v>
      </c>
      <c r="V457" t="s">
        <v>30</v>
      </c>
    </row>
    <row r="458" spans="1:22" hidden="1" outlineLevel="2" x14ac:dyDescent="0.25">
      <c r="A458" t="s">
        <v>82</v>
      </c>
      <c r="B458">
        <v>3</v>
      </c>
      <c r="C458" t="s">
        <v>66</v>
      </c>
      <c r="D458" t="s">
        <v>67</v>
      </c>
      <c r="E458" t="s">
        <v>68</v>
      </c>
      <c r="F458">
        <v>180</v>
      </c>
      <c r="G458">
        <v>1080</v>
      </c>
      <c r="H458">
        <v>-3</v>
      </c>
      <c r="I458">
        <v>1983</v>
      </c>
      <c r="J458" t="s">
        <v>76</v>
      </c>
      <c r="K458">
        <v>1592</v>
      </c>
      <c r="L458">
        <v>15.73</v>
      </c>
      <c r="M458">
        <v>10.67</v>
      </c>
      <c r="N458" s="7">
        <f t="shared" si="28"/>
        <v>1.9423482650000001E-2</v>
      </c>
      <c r="O458" s="7">
        <f t="shared" si="29"/>
        <v>0.2072485598755</v>
      </c>
      <c r="P458">
        <v>75</v>
      </c>
      <c r="Q458">
        <v>3</v>
      </c>
      <c r="R458">
        <v>4</v>
      </c>
      <c r="S458">
        <v>3</v>
      </c>
      <c r="T458">
        <v>4</v>
      </c>
      <c r="U458">
        <v>3</v>
      </c>
      <c r="V458" t="s">
        <v>27</v>
      </c>
    </row>
    <row r="459" spans="1:22" hidden="1" outlineLevel="2" x14ac:dyDescent="0.25">
      <c r="A459" t="s">
        <v>82</v>
      </c>
      <c r="B459">
        <v>3</v>
      </c>
      <c r="C459" t="s">
        <v>66</v>
      </c>
      <c r="D459" t="s">
        <v>67</v>
      </c>
      <c r="E459" t="s">
        <v>68</v>
      </c>
      <c r="F459">
        <v>180</v>
      </c>
      <c r="G459">
        <v>1080</v>
      </c>
      <c r="H459">
        <v>-3</v>
      </c>
      <c r="I459">
        <v>1983</v>
      </c>
      <c r="J459" t="s">
        <v>76</v>
      </c>
      <c r="K459">
        <v>2560</v>
      </c>
      <c r="L459">
        <v>13.13</v>
      </c>
      <c r="M459">
        <v>11.49</v>
      </c>
      <c r="N459" s="7">
        <f t="shared" si="28"/>
        <v>1.3533156649999999E-2</v>
      </c>
      <c r="O459" s="7">
        <f t="shared" si="29"/>
        <v>0.15549596990849998</v>
      </c>
      <c r="P459">
        <v>88</v>
      </c>
      <c r="Q459">
        <v>3</v>
      </c>
      <c r="R459">
        <v>4</v>
      </c>
      <c r="S459">
        <v>3</v>
      </c>
      <c r="T459">
        <v>4</v>
      </c>
      <c r="U459">
        <v>4</v>
      </c>
      <c r="V459" t="s">
        <v>27</v>
      </c>
    </row>
    <row r="460" spans="1:22" hidden="1" outlineLevel="2" x14ac:dyDescent="0.25">
      <c r="A460" t="s">
        <v>82</v>
      </c>
      <c r="B460">
        <v>3</v>
      </c>
      <c r="C460" t="s">
        <v>66</v>
      </c>
      <c r="D460" t="s">
        <v>67</v>
      </c>
      <c r="E460" t="s">
        <v>68</v>
      </c>
      <c r="F460">
        <v>180</v>
      </c>
      <c r="G460">
        <v>1080</v>
      </c>
      <c r="H460">
        <v>-3</v>
      </c>
      <c r="I460">
        <v>1983</v>
      </c>
      <c r="J460" t="s">
        <v>24</v>
      </c>
      <c r="K460">
        <v>2562</v>
      </c>
      <c r="L460">
        <v>9.94</v>
      </c>
      <c r="M460">
        <v>7.46</v>
      </c>
      <c r="N460" s="7">
        <f t="shared" si="28"/>
        <v>7.7560825999999986E-3</v>
      </c>
      <c r="O460" s="7">
        <f t="shared" si="29"/>
        <v>5.7860376195999992E-2</v>
      </c>
      <c r="P460">
        <v>50</v>
      </c>
      <c r="Q460">
        <v>3</v>
      </c>
      <c r="R460">
        <v>4</v>
      </c>
      <c r="S460">
        <v>3</v>
      </c>
      <c r="T460">
        <v>4</v>
      </c>
      <c r="U460">
        <v>3</v>
      </c>
      <c r="V460" t="s">
        <v>38</v>
      </c>
    </row>
    <row r="461" spans="1:22" hidden="1" outlineLevel="2" x14ac:dyDescent="0.25">
      <c r="A461" t="s">
        <v>82</v>
      </c>
      <c r="B461">
        <v>3</v>
      </c>
      <c r="C461" t="s">
        <v>66</v>
      </c>
      <c r="D461" t="s">
        <v>67</v>
      </c>
      <c r="E461" t="s">
        <v>68</v>
      </c>
      <c r="F461">
        <v>180</v>
      </c>
      <c r="G461">
        <v>1080</v>
      </c>
      <c r="H461">
        <v>-3</v>
      </c>
      <c r="I461">
        <v>1983</v>
      </c>
      <c r="J461" t="s">
        <v>80</v>
      </c>
      <c r="K461">
        <v>1252</v>
      </c>
      <c r="L461">
        <v>5.86</v>
      </c>
      <c r="M461">
        <v>5.61</v>
      </c>
      <c r="N461" s="7">
        <f t="shared" si="28"/>
        <v>2.6956586000000007E-3</v>
      </c>
      <c r="O461" s="7">
        <f t="shared" si="29"/>
        <v>1.5122644746000004E-2</v>
      </c>
      <c r="P461">
        <v>50</v>
      </c>
      <c r="Q461">
        <v>3</v>
      </c>
      <c r="R461">
        <v>4</v>
      </c>
      <c r="S461">
        <v>2.5</v>
      </c>
      <c r="T461">
        <v>2.5</v>
      </c>
      <c r="U461">
        <v>3</v>
      </c>
      <c r="V461" t="s">
        <v>30</v>
      </c>
    </row>
    <row r="462" spans="1:22" hidden="1" outlineLevel="2" x14ac:dyDescent="0.25">
      <c r="A462" t="s">
        <v>82</v>
      </c>
      <c r="B462">
        <v>3</v>
      </c>
      <c r="C462" t="s">
        <v>66</v>
      </c>
      <c r="D462" t="s">
        <v>67</v>
      </c>
      <c r="E462" t="s">
        <v>68</v>
      </c>
      <c r="F462">
        <v>180</v>
      </c>
      <c r="G462">
        <v>1080</v>
      </c>
      <c r="H462">
        <v>-3</v>
      </c>
      <c r="I462">
        <v>1983</v>
      </c>
      <c r="J462" t="s">
        <v>24</v>
      </c>
      <c r="K462">
        <v>1</v>
      </c>
      <c r="L462">
        <v>9.1199999999999992</v>
      </c>
      <c r="M462">
        <v>9.67</v>
      </c>
      <c r="N462" s="7">
        <f t="shared" si="28"/>
        <v>6.5291903999999991E-3</v>
      </c>
      <c r="O462" s="7">
        <f t="shared" si="29"/>
        <v>6.3137271167999998E-2</v>
      </c>
      <c r="P462">
        <v>50</v>
      </c>
      <c r="Q462">
        <v>3</v>
      </c>
      <c r="R462">
        <v>4</v>
      </c>
      <c r="S462">
        <v>3</v>
      </c>
      <c r="T462">
        <v>3</v>
      </c>
      <c r="U462">
        <v>3</v>
      </c>
      <c r="V462" t="s">
        <v>38</v>
      </c>
    </row>
    <row r="463" spans="1:22" hidden="1" outlineLevel="2" x14ac:dyDescent="0.25">
      <c r="A463" t="s">
        <v>82</v>
      </c>
      <c r="B463">
        <v>3</v>
      </c>
      <c r="C463" t="s">
        <v>66</v>
      </c>
      <c r="D463" t="s">
        <v>67</v>
      </c>
      <c r="E463" t="s">
        <v>68</v>
      </c>
      <c r="F463">
        <v>180</v>
      </c>
      <c r="G463">
        <v>1080</v>
      </c>
      <c r="H463">
        <v>-3</v>
      </c>
      <c r="I463">
        <v>1983</v>
      </c>
      <c r="J463" t="s">
        <v>59</v>
      </c>
      <c r="K463">
        <v>1482</v>
      </c>
      <c r="L463">
        <v>6.94</v>
      </c>
      <c r="M463">
        <v>5.17</v>
      </c>
      <c r="N463" s="7">
        <f t="shared" si="28"/>
        <v>3.7808426000000006E-3</v>
      </c>
      <c r="O463" s="7">
        <f t="shared" si="29"/>
        <v>1.9546956242000004E-2</v>
      </c>
      <c r="P463">
        <v>38</v>
      </c>
      <c r="Q463">
        <v>2.5</v>
      </c>
      <c r="R463">
        <v>3</v>
      </c>
      <c r="S463">
        <v>3</v>
      </c>
      <c r="T463">
        <v>4</v>
      </c>
      <c r="U463">
        <v>3.5</v>
      </c>
      <c r="V463" t="s">
        <v>30</v>
      </c>
    </row>
    <row r="464" spans="1:22" hidden="1" outlineLevel="2" x14ac:dyDescent="0.25">
      <c r="A464" t="s">
        <v>82</v>
      </c>
      <c r="B464">
        <v>3</v>
      </c>
      <c r="C464" t="s">
        <v>66</v>
      </c>
      <c r="D464" t="s">
        <v>67</v>
      </c>
      <c r="E464" t="s">
        <v>68</v>
      </c>
      <c r="F464">
        <v>180</v>
      </c>
      <c r="G464">
        <v>1080</v>
      </c>
      <c r="H464">
        <v>-3</v>
      </c>
      <c r="I464">
        <v>1983</v>
      </c>
      <c r="J464" t="s">
        <v>59</v>
      </c>
      <c r="K464">
        <v>2548</v>
      </c>
      <c r="L464">
        <v>16.25</v>
      </c>
      <c r="M464">
        <v>13.29</v>
      </c>
      <c r="N464" s="7">
        <f t="shared" si="28"/>
        <v>2.0728906250000002E-2</v>
      </c>
      <c r="O464" s="7">
        <f t="shared" si="29"/>
        <v>0.27548716406250001</v>
      </c>
      <c r="P464">
        <v>13</v>
      </c>
      <c r="Q464">
        <v>3</v>
      </c>
      <c r="R464">
        <v>4</v>
      </c>
      <c r="S464">
        <v>4</v>
      </c>
      <c r="T464">
        <v>3.5</v>
      </c>
      <c r="U464">
        <v>3</v>
      </c>
      <c r="V464" t="s">
        <v>38</v>
      </c>
    </row>
    <row r="465" spans="1:22" hidden="1" outlineLevel="2" x14ac:dyDescent="0.25">
      <c r="A465" t="s">
        <v>82</v>
      </c>
      <c r="B465">
        <v>3</v>
      </c>
      <c r="C465" t="s">
        <v>66</v>
      </c>
      <c r="D465" t="s">
        <v>67</v>
      </c>
      <c r="E465" t="s">
        <v>68</v>
      </c>
      <c r="F465">
        <v>180</v>
      </c>
      <c r="G465">
        <v>1080</v>
      </c>
      <c r="H465">
        <v>-3</v>
      </c>
      <c r="I465">
        <v>1983</v>
      </c>
      <c r="J465" t="s">
        <v>26</v>
      </c>
      <c r="K465">
        <v>2552</v>
      </c>
      <c r="L465">
        <v>1.59</v>
      </c>
      <c r="M465">
        <v>2.89</v>
      </c>
      <c r="N465" s="7">
        <f t="shared" si="28"/>
        <v>1.9845585000000002E-4</v>
      </c>
      <c r="O465" s="7">
        <f t="shared" si="29"/>
        <v>5.7353740650000005E-4</v>
      </c>
      <c r="P465">
        <v>38</v>
      </c>
      <c r="Q465">
        <v>2.5</v>
      </c>
      <c r="R465">
        <v>3</v>
      </c>
      <c r="S465">
        <v>3</v>
      </c>
      <c r="T465">
        <v>3</v>
      </c>
      <c r="U465">
        <v>3</v>
      </c>
      <c r="V465" t="s">
        <v>30</v>
      </c>
    </row>
    <row r="466" spans="1:22" hidden="1" outlineLevel="2" x14ac:dyDescent="0.25">
      <c r="A466" t="s">
        <v>82</v>
      </c>
      <c r="B466">
        <v>3</v>
      </c>
      <c r="C466" t="s">
        <v>66</v>
      </c>
      <c r="D466" t="s">
        <v>67</v>
      </c>
      <c r="E466" t="s">
        <v>68</v>
      </c>
      <c r="F466">
        <v>180</v>
      </c>
      <c r="G466">
        <v>1080</v>
      </c>
      <c r="H466">
        <v>-3</v>
      </c>
      <c r="I466">
        <v>1983</v>
      </c>
      <c r="J466" t="s">
        <v>32</v>
      </c>
      <c r="K466">
        <v>2569</v>
      </c>
      <c r="L466">
        <v>5.32</v>
      </c>
      <c r="M466">
        <v>5.91</v>
      </c>
      <c r="N466" s="7">
        <f t="shared" si="28"/>
        <v>2.2217384000000006E-3</v>
      </c>
      <c r="O466" s="7">
        <f t="shared" si="29"/>
        <v>1.3130473944000003E-2</v>
      </c>
      <c r="P466">
        <v>50</v>
      </c>
      <c r="Q466">
        <v>3</v>
      </c>
      <c r="R466">
        <v>4</v>
      </c>
      <c r="S466">
        <v>3.5</v>
      </c>
      <c r="T466">
        <v>4</v>
      </c>
      <c r="U466">
        <v>3.5</v>
      </c>
      <c r="V466" t="s">
        <v>38</v>
      </c>
    </row>
    <row r="467" spans="1:22" hidden="1" outlineLevel="2" x14ac:dyDescent="0.25">
      <c r="A467" t="s">
        <v>82</v>
      </c>
      <c r="B467">
        <v>3</v>
      </c>
      <c r="C467" t="s">
        <v>66</v>
      </c>
      <c r="D467" t="s">
        <v>67</v>
      </c>
      <c r="E467" t="s">
        <v>68</v>
      </c>
      <c r="F467">
        <v>180</v>
      </c>
      <c r="G467">
        <v>1080</v>
      </c>
      <c r="H467">
        <v>-3</v>
      </c>
      <c r="I467">
        <v>1983</v>
      </c>
      <c r="J467" t="s">
        <v>33</v>
      </c>
      <c r="K467">
        <v>2547</v>
      </c>
      <c r="L467">
        <v>24.73</v>
      </c>
      <c r="M467">
        <v>14.19</v>
      </c>
      <c r="N467" s="7">
        <f t="shared" si="28"/>
        <v>4.8008472650000002E-2</v>
      </c>
      <c r="O467" s="7">
        <f t="shared" si="29"/>
        <v>0.68124022690349995</v>
      </c>
      <c r="P467">
        <v>88</v>
      </c>
      <c r="Q467">
        <v>4.5</v>
      </c>
      <c r="R467">
        <v>3</v>
      </c>
      <c r="S467">
        <v>3</v>
      </c>
      <c r="T467">
        <v>3</v>
      </c>
      <c r="U467">
        <v>2.8</v>
      </c>
      <c r="V467" t="s">
        <v>27</v>
      </c>
    </row>
    <row r="468" spans="1:22" hidden="1" outlineLevel="2" x14ac:dyDescent="0.25">
      <c r="A468" t="s">
        <v>82</v>
      </c>
      <c r="B468">
        <v>3</v>
      </c>
      <c r="C468" t="s">
        <v>66</v>
      </c>
      <c r="D468" t="s">
        <v>67</v>
      </c>
      <c r="E468" t="s">
        <v>68</v>
      </c>
      <c r="F468">
        <v>180</v>
      </c>
      <c r="G468">
        <v>1080</v>
      </c>
      <c r="H468">
        <v>-3</v>
      </c>
      <c r="I468">
        <v>1983</v>
      </c>
      <c r="J468" t="s">
        <v>33</v>
      </c>
      <c r="K468">
        <v>2568</v>
      </c>
      <c r="L468">
        <v>9.1300000000000008</v>
      </c>
      <c r="M468">
        <v>7.02</v>
      </c>
      <c r="N468" s="7">
        <f t="shared" si="28"/>
        <v>6.5435166500000018E-3</v>
      </c>
      <c r="O468" s="7">
        <f t="shared" si="29"/>
        <v>4.5935486883000011E-2</v>
      </c>
      <c r="P468">
        <v>13</v>
      </c>
      <c r="Q468">
        <v>2.8</v>
      </c>
      <c r="R468">
        <v>2.5</v>
      </c>
      <c r="S468">
        <v>3</v>
      </c>
      <c r="T468">
        <v>3</v>
      </c>
      <c r="U468">
        <v>2.5</v>
      </c>
      <c r="V468" t="s">
        <v>30</v>
      </c>
    </row>
    <row r="469" spans="1:22" hidden="1" outlineLevel="2" x14ac:dyDescent="0.25">
      <c r="A469" t="s">
        <v>82</v>
      </c>
      <c r="B469">
        <v>3</v>
      </c>
      <c r="C469" t="s">
        <v>66</v>
      </c>
      <c r="D469" t="s">
        <v>67</v>
      </c>
      <c r="E469" t="s">
        <v>68</v>
      </c>
      <c r="F469">
        <v>180</v>
      </c>
      <c r="G469">
        <v>1080</v>
      </c>
      <c r="H469">
        <v>-3</v>
      </c>
      <c r="I469">
        <v>1983</v>
      </c>
      <c r="J469" t="s">
        <v>34</v>
      </c>
      <c r="K469">
        <v>1522</v>
      </c>
      <c r="L469">
        <v>1.41</v>
      </c>
      <c r="M469">
        <v>2.82</v>
      </c>
      <c r="N469" s="7">
        <f t="shared" si="28"/>
        <v>1.5606585000000001E-4</v>
      </c>
      <c r="O469" s="7">
        <f t="shared" si="29"/>
        <v>4.4010569700000002E-4</v>
      </c>
      <c r="P469">
        <v>13</v>
      </c>
      <c r="Q469">
        <v>1</v>
      </c>
      <c r="R469">
        <v>3</v>
      </c>
      <c r="S469">
        <v>3</v>
      </c>
      <c r="T469">
        <v>3</v>
      </c>
      <c r="U469">
        <v>3</v>
      </c>
      <c r="V469" t="s">
        <v>50</v>
      </c>
    </row>
    <row r="470" spans="1:22" hidden="1" outlineLevel="2" x14ac:dyDescent="0.25">
      <c r="A470" t="s">
        <v>82</v>
      </c>
      <c r="B470">
        <v>3</v>
      </c>
      <c r="C470" t="s">
        <v>66</v>
      </c>
      <c r="D470" t="s">
        <v>67</v>
      </c>
      <c r="E470" t="s">
        <v>68</v>
      </c>
      <c r="F470">
        <v>180</v>
      </c>
      <c r="G470">
        <v>1080</v>
      </c>
      <c r="H470">
        <v>-3</v>
      </c>
      <c r="I470">
        <v>1983</v>
      </c>
      <c r="J470" t="s">
        <v>34</v>
      </c>
      <c r="K470">
        <v>2458</v>
      </c>
      <c r="L470">
        <v>2.11</v>
      </c>
      <c r="M470">
        <v>3.1</v>
      </c>
      <c r="N470" s="7">
        <f t="shared" si="28"/>
        <v>3.4948984999999988E-4</v>
      </c>
      <c r="O470" s="7">
        <f t="shared" si="29"/>
        <v>1.0834185349999997E-3</v>
      </c>
      <c r="P470">
        <v>38</v>
      </c>
      <c r="Q470">
        <v>1.3</v>
      </c>
      <c r="R470">
        <v>3</v>
      </c>
      <c r="S470">
        <v>3</v>
      </c>
      <c r="T470">
        <v>3</v>
      </c>
      <c r="U470">
        <v>3</v>
      </c>
      <c r="V470" t="s">
        <v>50</v>
      </c>
    </row>
    <row r="471" spans="1:22" hidden="1" outlineLevel="2" x14ac:dyDescent="0.25">
      <c r="A471" t="s">
        <v>82</v>
      </c>
      <c r="B471">
        <v>3</v>
      </c>
      <c r="C471" t="s">
        <v>66</v>
      </c>
      <c r="D471" t="s">
        <v>67</v>
      </c>
      <c r="E471" t="s">
        <v>68</v>
      </c>
      <c r="F471">
        <v>180</v>
      </c>
      <c r="G471">
        <v>1080</v>
      </c>
      <c r="H471">
        <v>-3</v>
      </c>
      <c r="I471">
        <v>1983</v>
      </c>
      <c r="J471" t="s">
        <v>34</v>
      </c>
      <c r="K471">
        <v>2570</v>
      </c>
      <c r="L471">
        <v>21.43</v>
      </c>
      <c r="M471">
        <v>14.1</v>
      </c>
      <c r="N471" s="7">
        <f t="shared" si="28"/>
        <v>3.6050724649999998E-2</v>
      </c>
      <c r="O471" s="7">
        <f t="shared" si="29"/>
        <v>0.50831521756499998</v>
      </c>
      <c r="P471">
        <v>38</v>
      </c>
      <c r="Q471">
        <v>4</v>
      </c>
      <c r="R471">
        <v>3.5</v>
      </c>
      <c r="S471">
        <v>3</v>
      </c>
      <c r="T471">
        <v>3.5</v>
      </c>
      <c r="U471">
        <v>3</v>
      </c>
      <c r="V471" t="s">
        <v>25</v>
      </c>
    </row>
    <row r="472" spans="1:22" hidden="1" outlineLevel="2" x14ac:dyDescent="0.25">
      <c r="A472" t="s">
        <v>82</v>
      </c>
      <c r="B472">
        <v>3</v>
      </c>
      <c r="C472" t="s">
        <v>66</v>
      </c>
      <c r="D472" t="s">
        <v>67</v>
      </c>
      <c r="E472" t="s">
        <v>68</v>
      </c>
      <c r="F472">
        <v>180</v>
      </c>
      <c r="G472">
        <v>1080</v>
      </c>
      <c r="H472">
        <v>-3</v>
      </c>
      <c r="I472">
        <v>1983</v>
      </c>
      <c r="J472" t="s">
        <v>35</v>
      </c>
      <c r="K472">
        <v>2571</v>
      </c>
      <c r="L472">
        <v>8.75</v>
      </c>
      <c r="M472">
        <v>7.27</v>
      </c>
      <c r="N472" s="7">
        <f t="shared" si="28"/>
        <v>6.0101562499999999E-3</v>
      </c>
      <c r="O472" s="7">
        <f t="shared" si="29"/>
        <v>4.3693835937499995E-2</v>
      </c>
      <c r="P472">
        <v>38</v>
      </c>
      <c r="Q472">
        <v>3.5</v>
      </c>
      <c r="R472">
        <v>2.5</v>
      </c>
      <c r="S472">
        <v>3</v>
      </c>
      <c r="T472">
        <v>4</v>
      </c>
      <c r="U472">
        <v>3.3</v>
      </c>
      <c r="V472" t="s">
        <v>30</v>
      </c>
    </row>
    <row r="473" spans="1:22" hidden="1" outlineLevel="2" x14ac:dyDescent="0.25">
      <c r="A473" t="s">
        <v>82</v>
      </c>
      <c r="B473">
        <v>3</v>
      </c>
      <c r="C473" t="s">
        <v>66</v>
      </c>
      <c r="D473" t="s">
        <v>67</v>
      </c>
      <c r="E473" t="s">
        <v>68</v>
      </c>
      <c r="F473">
        <v>180</v>
      </c>
      <c r="G473">
        <v>1080</v>
      </c>
      <c r="H473">
        <v>-3</v>
      </c>
      <c r="I473">
        <v>1983</v>
      </c>
      <c r="J473" t="s">
        <v>81</v>
      </c>
      <c r="K473">
        <v>2750</v>
      </c>
      <c r="L473">
        <v>3.37</v>
      </c>
      <c r="M473">
        <v>3.68</v>
      </c>
      <c r="N473" s="7">
        <f t="shared" si="28"/>
        <v>8.9151664999999997E-4</v>
      </c>
      <c r="O473" s="7">
        <f t="shared" si="29"/>
        <v>3.2807812720000002E-3</v>
      </c>
      <c r="P473">
        <v>50</v>
      </c>
      <c r="Q473">
        <v>2</v>
      </c>
      <c r="R473">
        <v>2.5</v>
      </c>
      <c r="S473">
        <v>3</v>
      </c>
      <c r="T473">
        <v>4</v>
      </c>
      <c r="U473">
        <v>3</v>
      </c>
      <c r="V473" t="s">
        <v>30</v>
      </c>
    </row>
    <row r="474" spans="1:22" hidden="1" outlineLevel="2" x14ac:dyDescent="0.25">
      <c r="A474" t="s">
        <v>82</v>
      </c>
      <c r="B474">
        <v>3</v>
      </c>
      <c r="C474" t="s">
        <v>66</v>
      </c>
      <c r="D474" t="s">
        <v>67</v>
      </c>
      <c r="E474" t="s">
        <v>68</v>
      </c>
      <c r="F474">
        <v>180</v>
      </c>
      <c r="G474">
        <v>1080</v>
      </c>
      <c r="H474">
        <v>-3</v>
      </c>
      <c r="I474">
        <v>1983</v>
      </c>
      <c r="J474" t="s">
        <v>62</v>
      </c>
      <c r="K474">
        <v>2553</v>
      </c>
      <c r="L474">
        <v>8.1300000000000008</v>
      </c>
      <c r="M474">
        <v>7.99</v>
      </c>
      <c r="N474" s="7">
        <f t="shared" si="28"/>
        <v>5.188606650000001E-3</v>
      </c>
      <c r="O474" s="7">
        <f t="shared" si="29"/>
        <v>4.1456967133500007E-2</v>
      </c>
      <c r="P474">
        <v>88</v>
      </c>
      <c r="Q474">
        <v>3</v>
      </c>
      <c r="R474">
        <v>3</v>
      </c>
      <c r="S474">
        <v>3.5</v>
      </c>
      <c r="T474">
        <v>4</v>
      </c>
      <c r="U474">
        <v>4</v>
      </c>
      <c r="V474" t="s">
        <v>38</v>
      </c>
    </row>
    <row r="475" spans="1:22" hidden="1" outlineLevel="2" x14ac:dyDescent="0.25">
      <c r="A475" t="s">
        <v>82</v>
      </c>
      <c r="B475">
        <v>3</v>
      </c>
      <c r="C475" t="s">
        <v>66</v>
      </c>
      <c r="D475" t="s">
        <v>67</v>
      </c>
      <c r="E475" t="s">
        <v>68</v>
      </c>
      <c r="F475">
        <v>180</v>
      </c>
      <c r="G475">
        <v>1080</v>
      </c>
      <c r="H475">
        <v>-3</v>
      </c>
      <c r="I475">
        <v>1983</v>
      </c>
      <c r="J475" t="s">
        <v>37</v>
      </c>
      <c r="K475">
        <v>2575</v>
      </c>
      <c r="L475">
        <v>2.63</v>
      </c>
      <c r="M475">
        <v>4.5999999999999996</v>
      </c>
      <c r="N475" s="7">
        <f t="shared" si="28"/>
        <v>5.4297665000000003E-4</v>
      </c>
      <c r="O475" s="7">
        <f t="shared" si="29"/>
        <v>2.49769259E-3</v>
      </c>
      <c r="P475">
        <v>38</v>
      </c>
      <c r="Q475">
        <v>2</v>
      </c>
      <c r="R475">
        <v>1.5</v>
      </c>
      <c r="S475">
        <v>3</v>
      </c>
      <c r="T475">
        <v>3</v>
      </c>
      <c r="U475">
        <v>3</v>
      </c>
      <c r="V475" t="s">
        <v>50</v>
      </c>
    </row>
    <row r="476" spans="1:22" hidden="1" outlineLevel="2" x14ac:dyDescent="0.25">
      <c r="A476" t="s">
        <v>93</v>
      </c>
      <c r="B476">
        <v>1</v>
      </c>
      <c r="C476" t="s">
        <v>66</v>
      </c>
      <c r="D476" t="s">
        <v>67</v>
      </c>
      <c r="E476" t="s">
        <v>68</v>
      </c>
      <c r="F476">
        <v>180</v>
      </c>
      <c r="G476">
        <v>1080</v>
      </c>
      <c r="H476">
        <v>-3</v>
      </c>
      <c r="I476">
        <v>1981</v>
      </c>
      <c r="J476" t="s">
        <v>56</v>
      </c>
      <c r="K476">
        <v>1111</v>
      </c>
      <c r="L476">
        <v>2.84</v>
      </c>
      <c r="M476">
        <v>3.41</v>
      </c>
      <c r="N476" s="7">
        <f t="shared" si="28"/>
        <v>6.3314959999999994E-4</v>
      </c>
      <c r="O476" s="7">
        <f t="shared" si="29"/>
        <v>2.159040136E-3</v>
      </c>
      <c r="P476">
        <v>3</v>
      </c>
      <c r="Q476">
        <v>1</v>
      </c>
      <c r="R476">
        <v>2</v>
      </c>
      <c r="S476">
        <v>3</v>
      </c>
      <c r="T476">
        <v>3</v>
      </c>
      <c r="U476">
        <v>3</v>
      </c>
      <c r="V476" t="s">
        <v>50</v>
      </c>
    </row>
    <row r="477" spans="1:22" hidden="1" outlineLevel="2" x14ac:dyDescent="0.25">
      <c r="A477" t="s">
        <v>93</v>
      </c>
      <c r="B477">
        <v>1</v>
      </c>
      <c r="C477" t="s">
        <v>66</v>
      </c>
      <c r="D477" t="s">
        <v>67</v>
      </c>
      <c r="E477" t="s">
        <v>68</v>
      </c>
      <c r="F477">
        <v>180</v>
      </c>
      <c r="G477">
        <v>1080</v>
      </c>
      <c r="H477">
        <v>-3</v>
      </c>
      <c r="I477">
        <v>1981</v>
      </c>
      <c r="J477" t="s">
        <v>24</v>
      </c>
      <c r="K477">
        <v>2562</v>
      </c>
      <c r="L477">
        <v>7.99</v>
      </c>
      <c r="M477">
        <v>5.49</v>
      </c>
      <c r="N477" s="7">
        <f t="shared" ref="N477:N508" si="30">3.14/4*((L477/100)^2)</f>
        <v>5.0114478499999997E-3</v>
      </c>
      <c r="O477" s="7">
        <f t="shared" ref="O477:O508" si="31">3.14/4*((L477/100)^2)*M477</f>
        <v>2.75128486965E-2</v>
      </c>
      <c r="P477">
        <v>17</v>
      </c>
      <c r="Q477">
        <v>2</v>
      </c>
      <c r="R477">
        <v>3</v>
      </c>
      <c r="S477">
        <v>2.5</v>
      </c>
      <c r="T477">
        <v>3.3</v>
      </c>
      <c r="U477">
        <v>3</v>
      </c>
      <c r="V477" t="s">
        <v>30</v>
      </c>
    </row>
    <row r="478" spans="1:22" hidden="1" outlineLevel="2" x14ac:dyDescent="0.25">
      <c r="A478" t="s">
        <v>93</v>
      </c>
      <c r="B478">
        <v>1</v>
      </c>
      <c r="C478" t="s">
        <v>66</v>
      </c>
      <c r="D478" t="s">
        <v>67</v>
      </c>
      <c r="E478" t="s">
        <v>68</v>
      </c>
      <c r="F478">
        <v>180</v>
      </c>
      <c r="G478">
        <v>1080</v>
      </c>
      <c r="H478">
        <v>-3</v>
      </c>
      <c r="I478">
        <v>1981</v>
      </c>
      <c r="J478" t="s">
        <v>59</v>
      </c>
      <c r="K478">
        <v>2426</v>
      </c>
      <c r="L478">
        <v>8.3000000000000007</v>
      </c>
      <c r="M478">
        <v>5.93</v>
      </c>
      <c r="N478" s="7">
        <f t="shared" si="30"/>
        <v>5.4078650000000013E-3</v>
      </c>
      <c r="O478" s="7">
        <f t="shared" si="31"/>
        <v>3.2068639450000005E-2</v>
      </c>
      <c r="P478">
        <v>4</v>
      </c>
      <c r="Q478">
        <v>2</v>
      </c>
      <c r="R478">
        <v>3.5</v>
      </c>
      <c r="S478">
        <v>3</v>
      </c>
      <c r="T478">
        <v>3</v>
      </c>
      <c r="U478">
        <v>3</v>
      </c>
      <c r="V478" t="s">
        <v>50</v>
      </c>
    </row>
    <row r="479" spans="1:22" hidden="1" outlineLevel="2" x14ac:dyDescent="0.25">
      <c r="A479" t="s">
        <v>93</v>
      </c>
      <c r="B479">
        <v>1</v>
      </c>
      <c r="C479" t="s">
        <v>66</v>
      </c>
      <c r="D479" t="s">
        <v>67</v>
      </c>
      <c r="E479" t="s">
        <v>68</v>
      </c>
      <c r="F479">
        <v>180</v>
      </c>
      <c r="G479">
        <v>1080</v>
      </c>
      <c r="H479">
        <v>-3</v>
      </c>
      <c r="I479">
        <v>1981</v>
      </c>
      <c r="J479" t="s">
        <v>59</v>
      </c>
      <c r="K479">
        <v>2548</v>
      </c>
      <c r="L479">
        <v>15.58</v>
      </c>
      <c r="M479">
        <v>8.06</v>
      </c>
      <c r="N479" s="7">
        <f t="shared" si="30"/>
        <v>1.9054807399999998E-2</v>
      </c>
      <c r="O479" s="7">
        <f t="shared" si="31"/>
        <v>0.15358174764399998</v>
      </c>
      <c r="P479">
        <v>27</v>
      </c>
      <c r="Q479">
        <v>3</v>
      </c>
      <c r="R479">
        <v>3.5</v>
      </c>
      <c r="S479">
        <v>3</v>
      </c>
      <c r="T479">
        <v>2.5</v>
      </c>
      <c r="U479">
        <v>3</v>
      </c>
      <c r="V479" t="s">
        <v>38</v>
      </c>
    </row>
    <row r="480" spans="1:22" hidden="1" outlineLevel="2" x14ac:dyDescent="0.25">
      <c r="A480" t="s">
        <v>93</v>
      </c>
      <c r="B480">
        <v>1</v>
      </c>
      <c r="C480" t="s">
        <v>66</v>
      </c>
      <c r="D480" t="s">
        <v>67</v>
      </c>
      <c r="E480" t="s">
        <v>68</v>
      </c>
      <c r="F480">
        <v>180</v>
      </c>
      <c r="G480">
        <v>1080</v>
      </c>
      <c r="H480">
        <v>-3</v>
      </c>
      <c r="I480">
        <v>1981</v>
      </c>
      <c r="J480" t="s">
        <v>32</v>
      </c>
      <c r="K480">
        <v>1596</v>
      </c>
      <c r="L480">
        <v>4.5599999999999996</v>
      </c>
      <c r="M480">
        <v>3.58</v>
      </c>
      <c r="N480" s="7">
        <f t="shared" si="30"/>
        <v>1.6322975999999998E-3</v>
      </c>
      <c r="O480" s="7">
        <f t="shared" si="31"/>
        <v>5.8436254079999991E-3</v>
      </c>
      <c r="P480">
        <v>13</v>
      </c>
      <c r="Q480">
        <v>2</v>
      </c>
      <c r="R480">
        <v>3</v>
      </c>
      <c r="S480">
        <v>2</v>
      </c>
      <c r="T480">
        <v>3</v>
      </c>
      <c r="U480">
        <v>3</v>
      </c>
      <c r="V480" t="s">
        <v>50</v>
      </c>
    </row>
    <row r="481" spans="1:22" hidden="1" outlineLevel="2" x14ac:dyDescent="0.25">
      <c r="A481" t="s">
        <v>93</v>
      </c>
      <c r="B481">
        <v>1</v>
      </c>
      <c r="C481" t="s">
        <v>66</v>
      </c>
      <c r="D481" t="s">
        <v>67</v>
      </c>
      <c r="E481" t="s">
        <v>68</v>
      </c>
      <c r="F481">
        <v>180</v>
      </c>
      <c r="G481">
        <v>1080</v>
      </c>
      <c r="H481">
        <v>-3</v>
      </c>
      <c r="I481">
        <v>1981</v>
      </c>
      <c r="J481" t="s">
        <v>32</v>
      </c>
      <c r="K481">
        <v>2634</v>
      </c>
      <c r="L481">
        <v>5.43</v>
      </c>
      <c r="M481">
        <v>4.4400000000000004</v>
      </c>
      <c r="N481" s="7">
        <f t="shared" si="30"/>
        <v>2.3145646499999994E-3</v>
      </c>
      <c r="O481" s="7">
        <f t="shared" si="31"/>
        <v>1.0276667045999999E-2</v>
      </c>
      <c r="P481">
        <v>9</v>
      </c>
      <c r="Q481">
        <v>1</v>
      </c>
      <c r="R481">
        <v>2</v>
      </c>
      <c r="S481">
        <v>2</v>
      </c>
      <c r="T481">
        <v>3</v>
      </c>
      <c r="U481">
        <v>3</v>
      </c>
      <c r="V481" t="s">
        <v>50</v>
      </c>
    </row>
    <row r="482" spans="1:22" hidden="1" outlineLevel="2" x14ac:dyDescent="0.25">
      <c r="A482" t="s">
        <v>93</v>
      </c>
      <c r="B482">
        <v>1</v>
      </c>
      <c r="C482" t="s">
        <v>66</v>
      </c>
      <c r="D482" t="s">
        <v>67</v>
      </c>
      <c r="E482" t="s">
        <v>68</v>
      </c>
      <c r="F482">
        <v>180</v>
      </c>
      <c r="G482">
        <v>1080</v>
      </c>
      <c r="H482">
        <v>-3</v>
      </c>
      <c r="I482">
        <v>1981</v>
      </c>
      <c r="J482" t="s">
        <v>35</v>
      </c>
      <c r="K482">
        <v>1788</v>
      </c>
      <c r="L482">
        <v>13.07</v>
      </c>
      <c r="M482">
        <v>8.1199999999999992</v>
      </c>
      <c r="N482" s="7">
        <f t="shared" si="30"/>
        <v>1.3409754650000003E-2</v>
      </c>
      <c r="O482" s="7">
        <f t="shared" si="31"/>
        <v>0.10888720775800001</v>
      </c>
      <c r="P482">
        <v>14</v>
      </c>
      <c r="Q482">
        <v>1.5</v>
      </c>
      <c r="R482">
        <v>1.5</v>
      </c>
      <c r="S482">
        <v>2</v>
      </c>
      <c r="T482">
        <v>3</v>
      </c>
      <c r="U482">
        <v>3</v>
      </c>
      <c r="V482" t="s">
        <v>30</v>
      </c>
    </row>
    <row r="483" spans="1:22" hidden="1" outlineLevel="2" x14ac:dyDescent="0.25">
      <c r="A483" t="s">
        <v>93</v>
      </c>
      <c r="B483">
        <v>1</v>
      </c>
      <c r="C483" t="s">
        <v>66</v>
      </c>
      <c r="D483" t="s">
        <v>67</v>
      </c>
      <c r="E483" t="s">
        <v>68</v>
      </c>
      <c r="F483">
        <v>180</v>
      </c>
      <c r="G483">
        <v>1080</v>
      </c>
      <c r="H483">
        <v>-3</v>
      </c>
      <c r="I483">
        <v>1981</v>
      </c>
      <c r="J483" t="s">
        <v>35</v>
      </c>
      <c r="K483">
        <v>2571</v>
      </c>
      <c r="L483">
        <v>23.55</v>
      </c>
      <c r="M483">
        <v>14.36</v>
      </c>
      <c r="N483" s="7">
        <f t="shared" si="30"/>
        <v>4.3536296250000009E-2</v>
      </c>
      <c r="O483" s="7">
        <f t="shared" si="31"/>
        <v>0.62518121415000005</v>
      </c>
      <c r="P483">
        <v>37</v>
      </c>
      <c r="Q483">
        <v>4</v>
      </c>
      <c r="R483">
        <v>2</v>
      </c>
      <c r="S483">
        <v>3</v>
      </c>
      <c r="T483">
        <v>3.5</v>
      </c>
      <c r="U483">
        <v>2</v>
      </c>
      <c r="V483" t="s">
        <v>27</v>
      </c>
    </row>
    <row r="484" spans="1:22" hidden="1" outlineLevel="2" x14ac:dyDescent="0.25">
      <c r="A484" t="s">
        <v>93</v>
      </c>
      <c r="B484">
        <v>1</v>
      </c>
      <c r="C484" t="s">
        <v>66</v>
      </c>
      <c r="D484" t="s">
        <v>67</v>
      </c>
      <c r="E484" t="s">
        <v>68</v>
      </c>
      <c r="F484">
        <v>180</v>
      </c>
      <c r="G484">
        <v>1080</v>
      </c>
      <c r="H484">
        <v>-3</v>
      </c>
      <c r="I484">
        <v>1981</v>
      </c>
      <c r="J484" t="s">
        <v>35</v>
      </c>
      <c r="K484">
        <v>2622</v>
      </c>
      <c r="L484">
        <v>16.25</v>
      </c>
      <c r="M484">
        <v>9.77</v>
      </c>
      <c r="N484" s="7">
        <f t="shared" si="30"/>
        <v>2.0728906250000002E-2</v>
      </c>
      <c r="O484" s="7">
        <f t="shared" si="31"/>
        <v>0.20252141406250002</v>
      </c>
      <c r="P484">
        <v>85</v>
      </c>
      <c r="Q484">
        <v>4</v>
      </c>
      <c r="R484">
        <v>2</v>
      </c>
      <c r="S484">
        <v>2.5</v>
      </c>
      <c r="T484">
        <v>4</v>
      </c>
      <c r="U484">
        <v>2.5</v>
      </c>
      <c r="V484" t="s">
        <v>27</v>
      </c>
    </row>
    <row r="485" spans="1:22" hidden="1" outlineLevel="2" x14ac:dyDescent="0.25">
      <c r="A485" t="s">
        <v>93</v>
      </c>
      <c r="B485">
        <v>1</v>
      </c>
      <c r="C485" t="s">
        <v>66</v>
      </c>
      <c r="D485" t="s">
        <v>67</v>
      </c>
      <c r="E485" t="s">
        <v>68</v>
      </c>
      <c r="F485">
        <v>180</v>
      </c>
      <c r="G485">
        <v>1080</v>
      </c>
      <c r="H485">
        <v>-3</v>
      </c>
      <c r="I485">
        <v>1981</v>
      </c>
      <c r="J485" t="s">
        <v>62</v>
      </c>
      <c r="K485">
        <v>2431</v>
      </c>
      <c r="L485">
        <v>17.079999999999998</v>
      </c>
      <c r="M485">
        <v>10.25</v>
      </c>
      <c r="N485" s="7">
        <f t="shared" si="30"/>
        <v>2.2900522399999994E-2</v>
      </c>
      <c r="O485" s="7">
        <f t="shared" si="31"/>
        <v>0.23473035459999994</v>
      </c>
      <c r="P485">
        <v>7</v>
      </c>
      <c r="Q485">
        <v>2.5</v>
      </c>
      <c r="R485">
        <v>3</v>
      </c>
      <c r="S485">
        <v>3</v>
      </c>
      <c r="T485">
        <v>3.5</v>
      </c>
      <c r="U485">
        <v>3</v>
      </c>
      <c r="V485" t="s">
        <v>30</v>
      </c>
    </row>
    <row r="486" spans="1:22" hidden="1" outlineLevel="2" x14ac:dyDescent="0.25">
      <c r="A486" t="s">
        <v>93</v>
      </c>
      <c r="B486">
        <v>1</v>
      </c>
      <c r="C486" t="s">
        <v>66</v>
      </c>
      <c r="D486" t="s">
        <v>67</v>
      </c>
      <c r="E486" t="s">
        <v>68</v>
      </c>
      <c r="F486">
        <v>180</v>
      </c>
      <c r="G486">
        <v>1080</v>
      </c>
      <c r="H486">
        <v>-3</v>
      </c>
      <c r="I486">
        <v>1981</v>
      </c>
      <c r="J486" t="s">
        <v>62</v>
      </c>
      <c r="K486">
        <v>2553</v>
      </c>
      <c r="L486">
        <v>14.69</v>
      </c>
      <c r="M486">
        <v>9.68</v>
      </c>
      <c r="N486" s="7">
        <f t="shared" si="30"/>
        <v>1.6939993850000001E-2</v>
      </c>
      <c r="O486" s="7">
        <f t="shared" si="31"/>
        <v>0.163979140468</v>
      </c>
      <c r="P486">
        <v>21</v>
      </c>
      <c r="Q486">
        <v>3</v>
      </c>
      <c r="R486">
        <v>3</v>
      </c>
      <c r="S486">
        <v>3.3</v>
      </c>
      <c r="T486">
        <v>3.5</v>
      </c>
      <c r="U486">
        <v>3.3</v>
      </c>
      <c r="V486" t="s">
        <v>38</v>
      </c>
    </row>
    <row r="487" spans="1:22" hidden="1" outlineLevel="2" x14ac:dyDescent="0.25">
      <c r="A487" t="s">
        <v>93</v>
      </c>
      <c r="B487">
        <v>1</v>
      </c>
      <c r="C487" t="s">
        <v>66</v>
      </c>
      <c r="D487" t="s">
        <v>67</v>
      </c>
      <c r="E487" t="s">
        <v>68</v>
      </c>
      <c r="F487">
        <v>180</v>
      </c>
      <c r="G487">
        <v>1080</v>
      </c>
      <c r="H487">
        <v>-3</v>
      </c>
      <c r="I487">
        <v>1981</v>
      </c>
      <c r="J487" t="s">
        <v>62</v>
      </c>
      <c r="K487">
        <v>2574</v>
      </c>
      <c r="L487">
        <v>11.62</v>
      </c>
      <c r="M487">
        <v>7.4</v>
      </c>
      <c r="N487" s="7">
        <f t="shared" si="30"/>
        <v>1.0599415399999999E-2</v>
      </c>
      <c r="O487" s="7">
        <f t="shared" si="31"/>
        <v>7.8435673959999994E-2</v>
      </c>
      <c r="P487">
        <v>33</v>
      </c>
      <c r="Q487">
        <v>3</v>
      </c>
      <c r="R487">
        <v>3</v>
      </c>
      <c r="S487">
        <v>3.5</v>
      </c>
      <c r="T487">
        <v>3.5</v>
      </c>
      <c r="U487">
        <v>3.3</v>
      </c>
      <c r="V487" t="s">
        <v>38</v>
      </c>
    </row>
    <row r="488" spans="1:22" hidden="1" outlineLevel="2" x14ac:dyDescent="0.25">
      <c r="A488" t="s">
        <v>93</v>
      </c>
      <c r="B488">
        <v>1</v>
      </c>
      <c r="C488" t="s">
        <v>66</v>
      </c>
      <c r="D488" t="s">
        <v>67</v>
      </c>
      <c r="E488" t="s">
        <v>68</v>
      </c>
      <c r="F488">
        <v>180</v>
      </c>
      <c r="G488">
        <v>1080</v>
      </c>
      <c r="H488">
        <v>-3</v>
      </c>
      <c r="I488">
        <v>1981</v>
      </c>
      <c r="J488" t="s">
        <v>37</v>
      </c>
      <c r="K488">
        <v>2575</v>
      </c>
      <c r="L488">
        <v>9.48</v>
      </c>
      <c r="M488">
        <v>6.16</v>
      </c>
      <c r="N488" s="7">
        <f t="shared" si="30"/>
        <v>7.054826400000002E-3</v>
      </c>
      <c r="O488" s="7">
        <f t="shared" si="31"/>
        <v>4.3457730624000011E-2</v>
      </c>
      <c r="P488">
        <v>50</v>
      </c>
      <c r="Q488">
        <v>2</v>
      </c>
      <c r="R488">
        <v>1.8</v>
      </c>
      <c r="S488">
        <v>2.5</v>
      </c>
      <c r="T488">
        <v>3</v>
      </c>
      <c r="U488">
        <v>2.5</v>
      </c>
      <c r="V488" t="s">
        <v>30</v>
      </c>
    </row>
    <row r="489" spans="1:22" hidden="1" outlineLevel="2" x14ac:dyDescent="0.25">
      <c r="A489" t="s">
        <v>93</v>
      </c>
      <c r="B489">
        <v>1</v>
      </c>
      <c r="C489" t="s">
        <v>66</v>
      </c>
      <c r="D489" t="s">
        <v>67</v>
      </c>
      <c r="E489" t="s">
        <v>68</v>
      </c>
      <c r="F489">
        <v>180</v>
      </c>
      <c r="G489">
        <v>1080</v>
      </c>
      <c r="H489">
        <v>-3</v>
      </c>
      <c r="I489">
        <v>1981</v>
      </c>
      <c r="J489" t="s">
        <v>35</v>
      </c>
      <c r="K489">
        <v>1785</v>
      </c>
      <c r="L489">
        <v>10.24</v>
      </c>
      <c r="M489">
        <v>6.95</v>
      </c>
      <c r="N489" s="7">
        <f t="shared" si="30"/>
        <v>8.2313216000000008E-3</v>
      </c>
      <c r="O489" s="7">
        <f t="shared" si="31"/>
        <v>5.7207685120000004E-2</v>
      </c>
      <c r="P489">
        <v>46</v>
      </c>
      <c r="Q489">
        <v>2</v>
      </c>
      <c r="R489">
        <v>2</v>
      </c>
      <c r="S489">
        <v>3</v>
      </c>
      <c r="T489">
        <v>4</v>
      </c>
      <c r="U489">
        <v>3</v>
      </c>
      <c r="V489" t="s">
        <v>30</v>
      </c>
    </row>
    <row r="490" spans="1:22" hidden="1" outlineLevel="2" x14ac:dyDescent="0.25">
      <c r="A490" t="s">
        <v>93</v>
      </c>
      <c r="B490">
        <v>3</v>
      </c>
      <c r="C490" t="s">
        <v>66</v>
      </c>
      <c r="D490" t="s">
        <v>67</v>
      </c>
      <c r="E490" t="s">
        <v>68</v>
      </c>
      <c r="F490">
        <v>180</v>
      </c>
      <c r="G490">
        <v>1080</v>
      </c>
      <c r="H490">
        <v>-3</v>
      </c>
      <c r="I490">
        <v>1981</v>
      </c>
      <c r="J490" t="s">
        <v>76</v>
      </c>
      <c r="K490">
        <v>1592</v>
      </c>
      <c r="L490">
        <v>14.22</v>
      </c>
      <c r="M490">
        <v>11.45</v>
      </c>
      <c r="N490" s="7">
        <f t="shared" si="30"/>
        <v>1.5873359399999998E-2</v>
      </c>
      <c r="O490" s="7">
        <f t="shared" si="31"/>
        <v>0.18174996512999997</v>
      </c>
      <c r="P490">
        <v>35</v>
      </c>
      <c r="Q490">
        <v>3</v>
      </c>
      <c r="R490">
        <v>3</v>
      </c>
      <c r="S490">
        <v>3</v>
      </c>
      <c r="T490">
        <v>4</v>
      </c>
      <c r="U490">
        <v>3</v>
      </c>
      <c r="V490" t="s">
        <v>25</v>
      </c>
    </row>
    <row r="491" spans="1:22" hidden="1" outlineLevel="2" x14ac:dyDescent="0.25">
      <c r="A491" t="s">
        <v>93</v>
      </c>
      <c r="B491">
        <v>3</v>
      </c>
      <c r="C491" t="s">
        <v>66</v>
      </c>
      <c r="D491" t="s">
        <v>67</v>
      </c>
      <c r="E491" t="s">
        <v>68</v>
      </c>
      <c r="F491">
        <v>180</v>
      </c>
      <c r="G491">
        <v>1080</v>
      </c>
      <c r="H491">
        <v>-3</v>
      </c>
      <c r="I491">
        <v>1981</v>
      </c>
      <c r="J491" t="s">
        <v>76</v>
      </c>
      <c r="K491">
        <v>2560</v>
      </c>
      <c r="L491">
        <v>9.16</v>
      </c>
      <c r="M491">
        <v>7.23</v>
      </c>
      <c r="N491" s="7">
        <f t="shared" si="30"/>
        <v>6.5865896000000005E-3</v>
      </c>
      <c r="O491" s="7">
        <f t="shared" si="31"/>
        <v>4.7621042808000009E-2</v>
      </c>
      <c r="P491">
        <v>17</v>
      </c>
      <c r="Q491">
        <v>3</v>
      </c>
      <c r="R491">
        <v>4</v>
      </c>
      <c r="S491">
        <v>3</v>
      </c>
      <c r="T491">
        <v>4</v>
      </c>
      <c r="U491">
        <v>4</v>
      </c>
      <c r="V491" t="s">
        <v>38</v>
      </c>
    </row>
    <row r="492" spans="1:22" hidden="1" outlineLevel="2" x14ac:dyDescent="0.25">
      <c r="A492" t="s">
        <v>93</v>
      </c>
      <c r="B492">
        <v>3</v>
      </c>
      <c r="C492" t="s">
        <v>66</v>
      </c>
      <c r="D492" t="s">
        <v>67</v>
      </c>
      <c r="E492" t="s">
        <v>68</v>
      </c>
      <c r="F492">
        <v>180</v>
      </c>
      <c r="G492">
        <v>1080</v>
      </c>
      <c r="H492">
        <v>-3</v>
      </c>
      <c r="I492">
        <v>1981</v>
      </c>
      <c r="J492" t="s">
        <v>56</v>
      </c>
      <c r="K492">
        <v>1111</v>
      </c>
      <c r="L492">
        <v>6.92</v>
      </c>
      <c r="M492">
        <v>4.54</v>
      </c>
      <c r="N492" s="7">
        <f t="shared" si="30"/>
        <v>3.7590823999999997E-3</v>
      </c>
      <c r="O492" s="7">
        <f t="shared" si="31"/>
        <v>1.7066234095999999E-2</v>
      </c>
      <c r="P492">
        <v>48</v>
      </c>
      <c r="Q492">
        <v>3</v>
      </c>
      <c r="R492">
        <v>3</v>
      </c>
      <c r="S492">
        <v>2.5</v>
      </c>
      <c r="T492">
        <v>2</v>
      </c>
      <c r="U492">
        <v>2</v>
      </c>
      <c r="V492" t="s">
        <v>38</v>
      </c>
    </row>
    <row r="493" spans="1:22" hidden="1" outlineLevel="2" x14ac:dyDescent="0.25">
      <c r="A493" t="s">
        <v>93</v>
      </c>
      <c r="B493">
        <v>3</v>
      </c>
      <c r="C493" t="s">
        <v>66</v>
      </c>
      <c r="D493" t="s">
        <v>67</v>
      </c>
      <c r="E493" t="s">
        <v>68</v>
      </c>
      <c r="F493">
        <v>180</v>
      </c>
      <c r="G493">
        <v>1080</v>
      </c>
      <c r="H493">
        <v>-3</v>
      </c>
      <c r="I493">
        <v>1981</v>
      </c>
      <c r="J493" t="s">
        <v>24</v>
      </c>
      <c r="K493">
        <v>2562</v>
      </c>
      <c r="L493">
        <v>8.83</v>
      </c>
      <c r="M493">
        <v>8.6</v>
      </c>
      <c r="N493" s="7">
        <f t="shared" si="30"/>
        <v>6.1205586500000008E-3</v>
      </c>
      <c r="O493" s="7">
        <f t="shared" si="31"/>
        <v>5.2636804390000007E-2</v>
      </c>
      <c r="P493">
        <v>63</v>
      </c>
      <c r="Q493">
        <v>3</v>
      </c>
      <c r="R493">
        <v>3.5</v>
      </c>
      <c r="S493">
        <v>3.5</v>
      </c>
      <c r="T493">
        <v>3.5</v>
      </c>
      <c r="U493">
        <v>3</v>
      </c>
      <c r="V493" t="s">
        <v>38</v>
      </c>
    </row>
    <row r="494" spans="1:22" hidden="1" outlineLevel="2" x14ac:dyDescent="0.25">
      <c r="A494" t="s">
        <v>93</v>
      </c>
      <c r="B494">
        <v>3</v>
      </c>
      <c r="C494" t="s">
        <v>66</v>
      </c>
      <c r="D494" t="s">
        <v>67</v>
      </c>
      <c r="E494" t="s">
        <v>68</v>
      </c>
      <c r="F494">
        <v>180</v>
      </c>
      <c r="G494">
        <v>1080</v>
      </c>
      <c r="H494">
        <v>-3</v>
      </c>
      <c r="I494">
        <v>1981</v>
      </c>
      <c r="J494" t="s">
        <v>59</v>
      </c>
      <c r="K494">
        <v>2426</v>
      </c>
      <c r="L494">
        <v>17.420000000000002</v>
      </c>
      <c r="M494">
        <v>9.01</v>
      </c>
      <c r="N494" s="7">
        <f t="shared" si="30"/>
        <v>2.3821327400000005E-2</v>
      </c>
      <c r="O494" s="7">
        <f t="shared" si="31"/>
        <v>0.21463015987400005</v>
      </c>
      <c r="P494">
        <v>45</v>
      </c>
      <c r="Q494">
        <v>4.5</v>
      </c>
      <c r="R494">
        <v>4.5</v>
      </c>
      <c r="S494">
        <v>3</v>
      </c>
      <c r="T494">
        <v>2</v>
      </c>
      <c r="U494">
        <v>1.5</v>
      </c>
      <c r="V494" t="s">
        <v>27</v>
      </c>
    </row>
    <row r="495" spans="1:22" hidden="1" outlineLevel="2" x14ac:dyDescent="0.25">
      <c r="A495" t="s">
        <v>93</v>
      </c>
      <c r="B495">
        <v>3</v>
      </c>
      <c r="C495" t="s">
        <v>66</v>
      </c>
      <c r="D495" t="s">
        <v>67</v>
      </c>
      <c r="E495" t="s">
        <v>68</v>
      </c>
      <c r="F495">
        <v>180</v>
      </c>
      <c r="G495">
        <v>1080</v>
      </c>
      <c r="H495">
        <v>-3</v>
      </c>
      <c r="I495">
        <v>1981</v>
      </c>
      <c r="J495" t="s">
        <v>59</v>
      </c>
      <c r="K495">
        <v>2548</v>
      </c>
      <c r="L495">
        <v>13.04</v>
      </c>
      <c r="M495">
        <v>9.36</v>
      </c>
      <c r="N495" s="7">
        <f t="shared" si="30"/>
        <v>1.3348265599999999E-2</v>
      </c>
      <c r="O495" s="7">
        <f t="shared" si="31"/>
        <v>0.12493976601599999</v>
      </c>
      <c r="P495">
        <v>55</v>
      </c>
      <c r="Q495">
        <v>4</v>
      </c>
      <c r="R495">
        <v>4</v>
      </c>
      <c r="S495">
        <v>3</v>
      </c>
      <c r="T495">
        <v>2.5</v>
      </c>
      <c r="U495">
        <v>2</v>
      </c>
      <c r="V495" t="s">
        <v>25</v>
      </c>
    </row>
    <row r="496" spans="1:22" hidden="1" outlineLevel="2" x14ac:dyDescent="0.25">
      <c r="A496" t="s">
        <v>93</v>
      </c>
      <c r="B496">
        <v>3</v>
      </c>
      <c r="C496" t="s">
        <v>66</v>
      </c>
      <c r="D496" t="s">
        <v>67</v>
      </c>
      <c r="E496" t="s">
        <v>68</v>
      </c>
      <c r="F496">
        <v>180</v>
      </c>
      <c r="G496">
        <v>1080</v>
      </c>
      <c r="H496">
        <v>-3</v>
      </c>
      <c r="I496">
        <v>1981</v>
      </c>
      <c r="J496" t="s">
        <v>32</v>
      </c>
      <c r="K496">
        <v>1596</v>
      </c>
      <c r="L496">
        <v>17.27</v>
      </c>
      <c r="M496">
        <v>9.01</v>
      </c>
      <c r="N496" s="7">
        <f t="shared" si="30"/>
        <v>2.341285265E-2</v>
      </c>
      <c r="O496" s="7">
        <f t="shared" si="31"/>
        <v>0.21094980237649999</v>
      </c>
      <c r="P496">
        <v>48</v>
      </c>
      <c r="Q496">
        <v>3.5</v>
      </c>
      <c r="R496">
        <v>3</v>
      </c>
      <c r="S496">
        <v>3.3</v>
      </c>
      <c r="T496">
        <v>4</v>
      </c>
      <c r="U496">
        <v>3</v>
      </c>
      <c r="V496" t="s">
        <v>27</v>
      </c>
    </row>
    <row r="497" spans="1:22" hidden="1" outlineLevel="2" x14ac:dyDescent="0.25">
      <c r="A497" t="s">
        <v>93</v>
      </c>
      <c r="B497">
        <v>3</v>
      </c>
      <c r="C497" t="s">
        <v>66</v>
      </c>
      <c r="D497" t="s">
        <v>67</v>
      </c>
      <c r="E497" t="s">
        <v>68</v>
      </c>
      <c r="F497">
        <v>180</v>
      </c>
      <c r="G497">
        <v>1080</v>
      </c>
      <c r="H497">
        <v>-3</v>
      </c>
      <c r="I497">
        <v>1981</v>
      </c>
      <c r="J497" t="s">
        <v>32</v>
      </c>
      <c r="K497">
        <v>2634</v>
      </c>
      <c r="L497">
        <v>11.84</v>
      </c>
      <c r="M497">
        <v>9.1300000000000008</v>
      </c>
      <c r="N497" s="7">
        <f t="shared" si="30"/>
        <v>1.1004569600000002E-2</v>
      </c>
      <c r="O497" s="7">
        <f t="shared" si="31"/>
        <v>0.10047172044800003</v>
      </c>
      <c r="P497">
        <v>18</v>
      </c>
      <c r="Q497">
        <v>2.5</v>
      </c>
      <c r="R497">
        <v>3.5</v>
      </c>
      <c r="S497">
        <v>2.5</v>
      </c>
      <c r="T497">
        <v>3.5</v>
      </c>
      <c r="U497">
        <v>3</v>
      </c>
      <c r="V497" t="s">
        <v>38</v>
      </c>
    </row>
    <row r="498" spans="1:22" hidden="1" outlineLevel="2" x14ac:dyDescent="0.25">
      <c r="A498" t="s">
        <v>93</v>
      </c>
      <c r="B498">
        <v>3</v>
      </c>
      <c r="C498" t="s">
        <v>66</v>
      </c>
      <c r="D498" t="s">
        <v>67</v>
      </c>
      <c r="E498" t="s">
        <v>68</v>
      </c>
      <c r="F498">
        <v>180</v>
      </c>
      <c r="G498">
        <v>1080</v>
      </c>
      <c r="H498">
        <v>-3</v>
      </c>
      <c r="I498">
        <v>1981</v>
      </c>
      <c r="J498" t="s">
        <v>35</v>
      </c>
      <c r="K498">
        <v>1788</v>
      </c>
      <c r="L498">
        <v>9.5399999999999991</v>
      </c>
      <c r="M498">
        <v>6.83</v>
      </c>
      <c r="N498" s="7">
        <f t="shared" si="30"/>
        <v>7.1444105999999979E-3</v>
      </c>
      <c r="O498" s="7">
        <f t="shared" si="31"/>
        <v>4.8796324397999989E-2</v>
      </c>
      <c r="P498">
        <v>13</v>
      </c>
      <c r="Q498">
        <v>2.5</v>
      </c>
      <c r="R498">
        <v>1.8</v>
      </c>
      <c r="S498">
        <v>2.5</v>
      </c>
      <c r="T498">
        <v>4</v>
      </c>
      <c r="U498">
        <v>3</v>
      </c>
      <c r="V498" t="s">
        <v>38</v>
      </c>
    </row>
    <row r="499" spans="1:22" hidden="1" outlineLevel="2" x14ac:dyDescent="0.25">
      <c r="A499" t="s">
        <v>93</v>
      </c>
      <c r="B499">
        <v>3</v>
      </c>
      <c r="C499" t="s">
        <v>66</v>
      </c>
      <c r="D499" t="s">
        <v>67</v>
      </c>
      <c r="E499" t="s">
        <v>68</v>
      </c>
      <c r="F499">
        <v>180</v>
      </c>
      <c r="G499">
        <v>1080</v>
      </c>
      <c r="H499">
        <v>-3</v>
      </c>
      <c r="I499">
        <v>1981</v>
      </c>
      <c r="J499" t="s">
        <v>35</v>
      </c>
      <c r="K499">
        <v>1785</v>
      </c>
      <c r="L499">
        <v>7.89</v>
      </c>
      <c r="M499">
        <v>5.65</v>
      </c>
      <c r="N499" s="7">
        <f t="shared" si="30"/>
        <v>4.88678985E-3</v>
      </c>
      <c r="O499" s="7">
        <f t="shared" si="31"/>
        <v>2.7610362652500001E-2</v>
      </c>
      <c r="P499">
        <v>45</v>
      </c>
      <c r="Q499">
        <v>2.5</v>
      </c>
      <c r="R499">
        <v>2</v>
      </c>
      <c r="S499">
        <v>3</v>
      </c>
      <c r="T499">
        <v>3.3</v>
      </c>
      <c r="U499">
        <v>2.5</v>
      </c>
      <c r="V499" t="s">
        <v>38</v>
      </c>
    </row>
    <row r="500" spans="1:22" hidden="1" outlineLevel="2" x14ac:dyDescent="0.25">
      <c r="A500" t="s">
        <v>93</v>
      </c>
      <c r="B500">
        <v>3</v>
      </c>
      <c r="C500" t="s">
        <v>66</v>
      </c>
      <c r="D500" t="s">
        <v>67</v>
      </c>
      <c r="E500" t="s">
        <v>68</v>
      </c>
      <c r="F500">
        <v>180</v>
      </c>
      <c r="G500">
        <v>1080</v>
      </c>
      <c r="H500">
        <v>-3</v>
      </c>
      <c r="I500">
        <v>1981</v>
      </c>
      <c r="J500" t="s">
        <v>35</v>
      </c>
      <c r="K500">
        <v>2571</v>
      </c>
      <c r="L500">
        <v>12.72</v>
      </c>
      <c r="M500">
        <v>10.6</v>
      </c>
      <c r="N500" s="7">
        <f t="shared" si="30"/>
        <v>1.2701174400000001E-2</v>
      </c>
      <c r="O500" s="7">
        <f t="shared" si="31"/>
        <v>0.13463244864000001</v>
      </c>
      <c r="P500">
        <v>37</v>
      </c>
      <c r="Q500">
        <v>3</v>
      </c>
      <c r="R500">
        <v>2</v>
      </c>
      <c r="S500">
        <v>3.5</v>
      </c>
      <c r="T500">
        <v>4.5</v>
      </c>
      <c r="U500">
        <v>4.3</v>
      </c>
      <c r="V500" t="s">
        <v>27</v>
      </c>
    </row>
    <row r="501" spans="1:22" hidden="1" outlineLevel="2" x14ac:dyDescent="0.25">
      <c r="A501" t="s">
        <v>93</v>
      </c>
      <c r="B501">
        <v>3</v>
      </c>
      <c r="C501" t="s">
        <v>66</v>
      </c>
      <c r="D501" t="s">
        <v>67</v>
      </c>
      <c r="E501" t="s">
        <v>68</v>
      </c>
      <c r="F501">
        <v>180</v>
      </c>
      <c r="G501">
        <v>1080</v>
      </c>
      <c r="H501">
        <v>-3</v>
      </c>
      <c r="I501">
        <v>1981</v>
      </c>
      <c r="J501" t="s">
        <v>35</v>
      </c>
      <c r="K501">
        <v>2622</v>
      </c>
      <c r="L501">
        <v>11.07</v>
      </c>
      <c r="M501">
        <v>8.9499999999999993</v>
      </c>
      <c r="N501" s="7">
        <f t="shared" si="30"/>
        <v>9.6197746500000011E-3</v>
      </c>
      <c r="O501" s="7">
        <f t="shared" si="31"/>
        <v>8.6096983117499998E-2</v>
      </c>
      <c r="P501">
        <v>70</v>
      </c>
      <c r="Q501">
        <v>3</v>
      </c>
      <c r="R501">
        <v>2</v>
      </c>
      <c r="S501">
        <v>2.5</v>
      </c>
      <c r="T501">
        <v>4</v>
      </c>
      <c r="U501">
        <v>3</v>
      </c>
      <c r="V501" t="s">
        <v>25</v>
      </c>
    </row>
    <row r="502" spans="1:22" hidden="1" outlineLevel="2" x14ac:dyDescent="0.25">
      <c r="A502" t="s">
        <v>93</v>
      </c>
      <c r="B502">
        <v>3</v>
      </c>
      <c r="C502" t="s">
        <v>66</v>
      </c>
      <c r="D502" t="s">
        <v>67</v>
      </c>
      <c r="E502" t="s">
        <v>68</v>
      </c>
      <c r="F502">
        <v>180</v>
      </c>
      <c r="G502">
        <v>1080</v>
      </c>
      <c r="H502">
        <v>-3</v>
      </c>
      <c r="I502">
        <v>1981</v>
      </c>
      <c r="J502" t="s">
        <v>62</v>
      </c>
      <c r="K502">
        <v>2431</v>
      </c>
      <c r="L502">
        <v>10.25</v>
      </c>
      <c r="M502">
        <v>10.02</v>
      </c>
      <c r="N502" s="7">
        <f t="shared" si="30"/>
        <v>8.2474062499999987E-3</v>
      </c>
      <c r="O502" s="7">
        <f t="shared" si="31"/>
        <v>8.2639010624999981E-2</v>
      </c>
      <c r="P502">
        <v>36</v>
      </c>
      <c r="Q502">
        <v>3</v>
      </c>
      <c r="R502">
        <v>3</v>
      </c>
      <c r="S502">
        <v>4</v>
      </c>
      <c r="T502">
        <v>4.5</v>
      </c>
      <c r="U502">
        <v>3.5</v>
      </c>
      <c r="V502" t="s">
        <v>38</v>
      </c>
    </row>
    <row r="503" spans="1:22" hidden="1" outlineLevel="2" x14ac:dyDescent="0.25">
      <c r="A503" t="s">
        <v>93</v>
      </c>
      <c r="B503">
        <v>3</v>
      </c>
      <c r="C503" t="s">
        <v>66</v>
      </c>
      <c r="D503" t="s">
        <v>67</v>
      </c>
      <c r="E503" t="s">
        <v>68</v>
      </c>
      <c r="F503">
        <v>180</v>
      </c>
      <c r="G503">
        <v>1080</v>
      </c>
      <c r="H503">
        <v>-3</v>
      </c>
      <c r="I503">
        <v>1981</v>
      </c>
      <c r="J503" t="s">
        <v>62</v>
      </c>
      <c r="K503">
        <v>2432</v>
      </c>
      <c r="L503">
        <v>14.46</v>
      </c>
      <c r="M503">
        <v>11.73</v>
      </c>
      <c r="N503" s="7">
        <f t="shared" si="30"/>
        <v>1.6413690600000003E-2</v>
      </c>
      <c r="O503" s="7">
        <f t="shared" si="31"/>
        <v>0.19253259073800003</v>
      </c>
      <c r="P503">
        <v>60</v>
      </c>
      <c r="Q503">
        <v>4.5</v>
      </c>
      <c r="R503">
        <v>4</v>
      </c>
      <c r="S503">
        <v>3.5</v>
      </c>
      <c r="T503">
        <v>3.5</v>
      </c>
      <c r="U503">
        <v>2.5</v>
      </c>
      <c r="V503" t="s">
        <v>27</v>
      </c>
    </row>
    <row r="504" spans="1:22" hidden="1" outlineLevel="2" x14ac:dyDescent="0.25">
      <c r="A504" t="s">
        <v>93</v>
      </c>
      <c r="B504">
        <v>3</v>
      </c>
      <c r="C504" t="s">
        <v>66</v>
      </c>
      <c r="D504" t="s">
        <v>67</v>
      </c>
      <c r="E504" t="s">
        <v>68</v>
      </c>
      <c r="F504">
        <v>180</v>
      </c>
      <c r="G504">
        <v>1080</v>
      </c>
      <c r="H504">
        <v>-3</v>
      </c>
      <c r="I504">
        <v>1981</v>
      </c>
      <c r="J504" t="s">
        <v>62</v>
      </c>
      <c r="K504">
        <v>2550</v>
      </c>
      <c r="L504">
        <v>15.37</v>
      </c>
      <c r="M504">
        <v>10.82</v>
      </c>
      <c r="N504" s="7">
        <f t="shared" si="30"/>
        <v>1.8544596650000002E-2</v>
      </c>
      <c r="O504" s="7">
        <f t="shared" si="31"/>
        <v>0.20065253575300002</v>
      </c>
      <c r="P504">
        <v>13</v>
      </c>
      <c r="Q504">
        <v>3</v>
      </c>
      <c r="R504">
        <v>2.7</v>
      </c>
      <c r="S504">
        <v>3.5</v>
      </c>
      <c r="T504">
        <v>3.5</v>
      </c>
      <c r="U504">
        <v>3</v>
      </c>
      <c r="V504" t="s">
        <v>38</v>
      </c>
    </row>
    <row r="505" spans="1:22" hidden="1" outlineLevel="2" x14ac:dyDescent="0.25">
      <c r="A505" t="s">
        <v>93</v>
      </c>
      <c r="B505">
        <v>3</v>
      </c>
      <c r="C505" t="s">
        <v>66</v>
      </c>
      <c r="D505" t="s">
        <v>67</v>
      </c>
      <c r="E505" t="s">
        <v>68</v>
      </c>
      <c r="F505">
        <v>180</v>
      </c>
      <c r="G505">
        <v>1080</v>
      </c>
      <c r="H505">
        <v>-3</v>
      </c>
      <c r="I505">
        <v>1981</v>
      </c>
      <c r="J505" t="s">
        <v>62</v>
      </c>
      <c r="K505">
        <v>2553</v>
      </c>
      <c r="L505">
        <v>11.96</v>
      </c>
      <c r="M505">
        <v>9.91</v>
      </c>
      <c r="N505" s="7">
        <f t="shared" si="30"/>
        <v>1.1228765600000003E-2</v>
      </c>
      <c r="O505" s="7">
        <f t="shared" si="31"/>
        <v>0.11127706709600003</v>
      </c>
      <c r="P505">
        <v>33</v>
      </c>
      <c r="Q505">
        <v>4</v>
      </c>
      <c r="R505">
        <v>4</v>
      </c>
      <c r="S505">
        <v>4</v>
      </c>
      <c r="T505">
        <v>4</v>
      </c>
      <c r="U505">
        <v>4</v>
      </c>
      <c r="V505" t="s">
        <v>25</v>
      </c>
    </row>
    <row r="506" spans="1:22" hidden="1" outlineLevel="2" x14ac:dyDescent="0.25">
      <c r="A506" t="s">
        <v>93</v>
      </c>
      <c r="B506">
        <v>3</v>
      </c>
      <c r="C506" t="s">
        <v>66</v>
      </c>
      <c r="D506" t="s">
        <v>67</v>
      </c>
      <c r="E506" t="s">
        <v>68</v>
      </c>
      <c r="F506">
        <v>180</v>
      </c>
      <c r="G506">
        <v>1080</v>
      </c>
      <c r="H506">
        <v>-3</v>
      </c>
      <c r="I506">
        <v>1981</v>
      </c>
      <c r="J506" t="s">
        <v>62</v>
      </c>
      <c r="K506">
        <v>2574</v>
      </c>
      <c r="L506">
        <v>12.41</v>
      </c>
      <c r="M506">
        <v>9.68</v>
      </c>
      <c r="N506" s="7">
        <f t="shared" si="30"/>
        <v>1.2089635850000001E-2</v>
      </c>
      <c r="O506" s="7">
        <f t="shared" si="31"/>
        <v>0.117027675028</v>
      </c>
      <c r="P506">
        <v>67</v>
      </c>
      <c r="Q506">
        <v>4</v>
      </c>
      <c r="R506">
        <v>4</v>
      </c>
      <c r="S506">
        <v>3.5</v>
      </c>
      <c r="T506">
        <v>4</v>
      </c>
      <c r="U506">
        <v>3</v>
      </c>
      <c r="V506" t="s">
        <v>25</v>
      </c>
    </row>
    <row r="507" spans="1:22" hidden="1" outlineLevel="2" x14ac:dyDescent="0.25">
      <c r="A507" t="s">
        <v>93</v>
      </c>
      <c r="B507">
        <v>3</v>
      </c>
      <c r="C507" t="s">
        <v>66</v>
      </c>
      <c r="D507" t="s">
        <v>67</v>
      </c>
      <c r="E507" t="s">
        <v>68</v>
      </c>
      <c r="F507">
        <v>180</v>
      </c>
      <c r="G507">
        <v>1080</v>
      </c>
      <c r="H507">
        <v>-3</v>
      </c>
      <c r="I507">
        <v>1981</v>
      </c>
      <c r="J507" t="s">
        <v>37</v>
      </c>
      <c r="K507">
        <v>2575</v>
      </c>
      <c r="L507">
        <v>7.94</v>
      </c>
      <c r="M507">
        <v>6.16</v>
      </c>
      <c r="N507" s="7">
        <f t="shared" si="30"/>
        <v>4.9489225999999999E-3</v>
      </c>
      <c r="O507" s="7">
        <f t="shared" si="31"/>
        <v>3.0485363216000001E-2</v>
      </c>
      <c r="P507">
        <v>51</v>
      </c>
      <c r="Q507">
        <v>2.5</v>
      </c>
      <c r="R507">
        <v>2</v>
      </c>
      <c r="S507">
        <v>2.5</v>
      </c>
      <c r="T507">
        <v>4.5</v>
      </c>
      <c r="U507">
        <v>4</v>
      </c>
      <c r="V507" t="s">
        <v>38</v>
      </c>
    </row>
    <row r="508" spans="1:22" hidden="1" outlineLevel="2" x14ac:dyDescent="0.25">
      <c r="A508" t="s">
        <v>93</v>
      </c>
      <c r="B508">
        <v>3</v>
      </c>
      <c r="C508" t="s">
        <v>66</v>
      </c>
      <c r="D508" t="s">
        <v>67</v>
      </c>
      <c r="E508" t="s">
        <v>68</v>
      </c>
      <c r="F508">
        <v>180</v>
      </c>
      <c r="G508">
        <v>1080</v>
      </c>
      <c r="H508">
        <v>-3</v>
      </c>
      <c r="I508">
        <v>1981</v>
      </c>
      <c r="J508" t="s">
        <v>57</v>
      </c>
      <c r="K508">
        <v>2621</v>
      </c>
      <c r="L508">
        <v>5.98</v>
      </c>
      <c r="M508">
        <v>4.03</v>
      </c>
      <c r="N508" s="7">
        <f t="shared" si="30"/>
        <v>2.8071914000000007E-3</v>
      </c>
      <c r="O508" s="7">
        <f t="shared" si="31"/>
        <v>1.1312981342000003E-2</v>
      </c>
      <c r="P508">
        <v>43</v>
      </c>
      <c r="Q508">
        <v>2.5</v>
      </c>
      <c r="R508">
        <v>2</v>
      </c>
      <c r="S508">
        <v>3.3</v>
      </c>
      <c r="T508">
        <v>4</v>
      </c>
      <c r="U508">
        <v>3.5</v>
      </c>
      <c r="V508" t="s">
        <v>38</v>
      </c>
    </row>
    <row r="509" spans="1:22" outlineLevel="1" collapsed="1" x14ac:dyDescent="0.25">
      <c r="G509" s="5" t="s">
        <v>110</v>
      </c>
      <c r="K509">
        <f>SUBTOTAL(4,K317:K508)</f>
        <v>2750</v>
      </c>
      <c r="L509">
        <f>SUBTOTAL(4,L317:L508)</f>
        <v>53.86</v>
      </c>
      <c r="M509">
        <f>SUBTOTAL(4,M317:M508)</f>
        <v>15.38</v>
      </c>
      <c r="N509" s="7">
        <f>SUBTOTAL(4,N317:N508)</f>
        <v>0.22772061859999998</v>
      </c>
      <c r="O509" s="7">
        <f>SUBTOTAL(4,O317:O508)</f>
        <v>1.1408802991859999</v>
      </c>
      <c r="V509">
        <f>SUBTOTAL(4,V317:V508)</f>
        <v>0</v>
      </c>
    </row>
    <row r="510" spans="1:22" hidden="1" outlineLevel="2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76</v>
      </c>
      <c r="K510">
        <v>1592</v>
      </c>
      <c r="L510">
        <v>10.4</v>
      </c>
      <c r="M510">
        <v>5.77</v>
      </c>
      <c r="N510" s="7">
        <f t="shared" ref="N510:N541" si="32">3.14/4*((L510/100)^2)</f>
        <v>8.4905600000000029E-3</v>
      </c>
      <c r="O510" s="7">
        <f t="shared" ref="O510:O541" si="33">3.14/4*((L510/100)^2)*M510</f>
        <v>4.8990531200000013E-2</v>
      </c>
      <c r="P510">
        <v>75</v>
      </c>
      <c r="Q510">
        <v>3</v>
      </c>
      <c r="R510">
        <v>3</v>
      </c>
      <c r="S510">
        <v>2</v>
      </c>
      <c r="T510">
        <v>3</v>
      </c>
      <c r="U510">
        <v>2</v>
      </c>
      <c r="V510" t="s">
        <v>38</v>
      </c>
    </row>
    <row r="511" spans="1:22" hidden="1" outlineLevel="2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76</v>
      </c>
      <c r="K511">
        <v>2560</v>
      </c>
      <c r="L511">
        <v>11.66</v>
      </c>
      <c r="M511">
        <v>7.27</v>
      </c>
      <c r="N511" s="7">
        <f t="shared" si="32"/>
        <v>1.06725146E-2</v>
      </c>
      <c r="O511" s="7">
        <f t="shared" si="33"/>
        <v>7.7589181142000002E-2</v>
      </c>
      <c r="P511">
        <v>100</v>
      </c>
      <c r="Q511">
        <v>3</v>
      </c>
      <c r="R511">
        <v>3</v>
      </c>
      <c r="S511">
        <v>2</v>
      </c>
      <c r="T511">
        <v>3</v>
      </c>
      <c r="U511">
        <v>2</v>
      </c>
      <c r="V511" t="s">
        <v>38</v>
      </c>
    </row>
    <row r="512" spans="1:22" hidden="1" outlineLevel="2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56</v>
      </c>
      <c r="K512">
        <v>1111</v>
      </c>
      <c r="L512">
        <v>10.99</v>
      </c>
      <c r="M512">
        <v>7.2</v>
      </c>
      <c r="N512" s="7">
        <f t="shared" si="32"/>
        <v>9.4812378500000009E-3</v>
      </c>
      <c r="O512" s="7">
        <f t="shared" si="33"/>
        <v>6.8264912520000012E-2</v>
      </c>
      <c r="P512">
        <v>100</v>
      </c>
      <c r="Q512">
        <v>2</v>
      </c>
      <c r="R512">
        <v>3</v>
      </c>
      <c r="S512">
        <v>3</v>
      </c>
      <c r="T512">
        <v>3</v>
      </c>
      <c r="U512">
        <v>3</v>
      </c>
      <c r="V512" t="s">
        <v>38</v>
      </c>
    </row>
    <row r="513" spans="1:22" hidden="1" outlineLevel="2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57</v>
      </c>
      <c r="K513">
        <v>2620</v>
      </c>
      <c r="L513">
        <v>7.87</v>
      </c>
      <c r="M513">
        <v>6.25</v>
      </c>
      <c r="N513" s="7">
        <f t="shared" si="32"/>
        <v>4.8620466500000009E-3</v>
      </c>
      <c r="O513" s="7">
        <f t="shared" si="33"/>
        <v>3.0387791562500006E-2</v>
      </c>
      <c r="P513">
        <v>100</v>
      </c>
      <c r="Q513">
        <v>3.5</v>
      </c>
      <c r="R513">
        <v>1.5</v>
      </c>
      <c r="S513">
        <v>2</v>
      </c>
      <c r="T513">
        <v>2</v>
      </c>
      <c r="U513">
        <v>2</v>
      </c>
      <c r="V513" t="s">
        <v>30</v>
      </c>
    </row>
    <row r="514" spans="1:22" hidden="1" outlineLevel="2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57</v>
      </c>
      <c r="K514">
        <v>2621</v>
      </c>
      <c r="L514">
        <v>7.64</v>
      </c>
      <c r="M514">
        <v>6.72</v>
      </c>
      <c r="N514" s="7">
        <f t="shared" si="32"/>
        <v>4.5820135999999996E-3</v>
      </c>
      <c r="O514" s="7">
        <f t="shared" si="33"/>
        <v>3.0791131391999994E-2</v>
      </c>
      <c r="P514">
        <v>100</v>
      </c>
      <c r="Q514">
        <v>3.5</v>
      </c>
      <c r="R514">
        <v>2</v>
      </c>
      <c r="S514">
        <v>2</v>
      </c>
      <c r="T514">
        <v>2</v>
      </c>
      <c r="U514">
        <v>2</v>
      </c>
      <c r="V514" t="s">
        <v>30</v>
      </c>
    </row>
    <row r="515" spans="1:22" hidden="1" outlineLevel="2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58</v>
      </c>
      <c r="K515">
        <v>2638</v>
      </c>
      <c r="L515">
        <v>1.27</v>
      </c>
      <c r="M515">
        <v>1.74</v>
      </c>
      <c r="N515" s="7">
        <f t="shared" si="32"/>
        <v>1.2661264999999999E-4</v>
      </c>
      <c r="O515" s="7">
        <f t="shared" si="33"/>
        <v>2.2030601099999998E-4</v>
      </c>
      <c r="P515">
        <v>50</v>
      </c>
      <c r="Q515">
        <v>1</v>
      </c>
      <c r="R515">
        <v>3</v>
      </c>
      <c r="S515">
        <v>2</v>
      </c>
      <c r="T515">
        <v>3</v>
      </c>
      <c r="U515">
        <v>3</v>
      </c>
      <c r="V515" t="s">
        <v>50</v>
      </c>
    </row>
    <row r="516" spans="1:22" hidden="1" outlineLevel="2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59</v>
      </c>
      <c r="K516">
        <v>2426</v>
      </c>
      <c r="L516">
        <v>11.85</v>
      </c>
      <c r="M516">
        <v>7.47</v>
      </c>
      <c r="N516" s="7">
        <f t="shared" si="32"/>
        <v>1.1023166249999999E-2</v>
      </c>
      <c r="O516" s="7">
        <f t="shared" si="33"/>
        <v>8.2343051887499991E-2</v>
      </c>
      <c r="P516">
        <v>50</v>
      </c>
      <c r="Q516">
        <v>3</v>
      </c>
      <c r="R516">
        <v>3</v>
      </c>
      <c r="S516">
        <v>4</v>
      </c>
      <c r="T516">
        <v>3</v>
      </c>
      <c r="U516">
        <v>3</v>
      </c>
      <c r="V516" t="s">
        <v>38</v>
      </c>
    </row>
    <row r="517" spans="1:22" hidden="1" outlineLevel="2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59</v>
      </c>
      <c r="K517">
        <v>1482</v>
      </c>
      <c r="L517">
        <v>6.52</v>
      </c>
      <c r="M517">
        <v>5.81</v>
      </c>
      <c r="N517" s="7">
        <f t="shared" si="32"/>
        <v>3.3370663999999998E-3</v>
      </c>
      <c r="O517" s="7">
        <f t="shared" si="33"/>
        <v>1.9388355783999996E-2</v>
      </c>
      <c r="P517">
        <v>100</v>
      </c>
      <c r="Q517">
        <v>3</v>
      </c>
      <c r="R517">
        <v>3</v>
      </c>
      <c r="S517">
        <v>3</v>
      </c>
      <c r="T517">
        <v>3</v>
      </c>
      <c r="U517">
        <v>3</v>
      </c>
      <c r="V517" t="s">
        <v>25</v>
      </c>
    </row>
    <row r="518" spans="1:22" hidden="1" outlineLevel="2" x14ac:dyDescent="0.25">
      <c r="A518" t="s">
        <v>86</v>
      </c>
      <c r="B518">
        <v>1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59</v>
      </c>
      <c r="K518">
        <v>2548</v>
      </c>
      <c r="L518">
        <v>7.7</v>
      </c>
      <c r="M518">
        <v>5.69</v>
      </c>
      <c r="N518" s="7">
        <f t="shared" si="32"/>
        <v>4.6542650000000003E-3</v>
      </c>
      <c r="O518" s="7">
        <f t="shared" si="33"/>
        <v>2.6482767850000005E-2</v>
      </c>
      <c r="P518">
        <v>100</v>
      </c>
      <c r="Q518">
        <v>3</v>
      </c>
      <c r="R518">
        <v>3</v>
      </c>
      <c r="S518">
        <v>4</v>
      </c>
      <c r="T518">
        <v>4</v>
      </c>
      <c r="U518">
        <v>4</v>
      </c>
      <c r="V518" t="s">
        <v>38</v>
      </c>
    </row>
    <row r="519" spans="1:22" hidden="1" outlineLevel="2" x14ac:dyDescent="0.25">
      <c r="A519" t="s">
        <v>86</v>
      </c>
      <c r="B519">
        <v>1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61</v>
      </c>
      <c r="K519">
        <v>1171</v>
      </c>
      <c r="L519">
        <v>10.81</v>
      </c>
      <c r="M519">
        <v>3.45</v>
      </c>
      <c r="N519" s="7">
        <f t="shared" si="32"/>
        <v>9.1732038500000005E-3</v>
      </c>
      <c r="O519" s="7">
        <f t="shared" si="33"/>
        <v>3.1647553282500004E-2</v>
      </c>
      <c r="P519">
        <v>100</v>
      </c>
      <c r="Q519">
        <v>3</v>
      </c>
      <c r="R519">
        <v>2</v>
      </c>
      <c r="S519">
        <v>1</v>
      </c>
      <c r="T519">
        <v>1</v>
      </c>
      <c r="U519">
        <v>1</v>
      </c>
      <c r="V519" t="s">
        <v>50</v>
      </c>
    </row>
    <row r="520" spans="1:22" hidden="1" outlineLevel="2" x14ac:dyDescent="0.25">
      <c r="A520" t="s">
        <v>86</v>
      </c>
      <c r="B520">
        <v>1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61</v>
      </c>
      <c r="K520">
        <v>2631</v>
      </c>
      <c r="L520">
        <v>17.829999999999998</v>
      </c>
      <c r="M520">
        <v>6.56</v>
      </c>
      <c r="N520" s="7">
        <f t="shared" si="32"/>
        <v>2.4955848649999997E-2</v>
      </c>
      <c r="O520" s="7">
        <f t="shared" si="33"/>
        <v>0.16371036714399997</v>
      </c>
      <c r="P520">
        <v>75</v>
      </c>
      <c r="Q520">
        <v>4</v>
      </c>
      <c r="R520">
        <v>2</v>
      </c>
      <c r="S520">
        <v>1</v>
      </c>
      <c r="T520">
        <v>1</v>
      </c>
      <c r="U520">
        <v>1</v>
      </c>
      <c r="V520" t="s">
        <v>30</v>
      </c>
    </row>
    <row r="521" spans="1:22" hidden="1" outlineLevel="2" x14ac:dyDescent="0.25">
      <c r="A521" t="s">
        <v>86</v>
      </c>
      <c r="B521">
        <v>1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32</v>
      </c>
      <c r="K521">
        <v>2569</v>
      </c>
      <c r="L521">
        <v>12.5</v>
      </c>
      <c r="M521">
        <v>6.62</v>
      </c>
      <c r="N521" s="7">
        <f t="shared" si="32"/>
        <v>1.2265625E-2</v>
      </c>
      <c r="O521" s="7">
        <f t="shared" si="33"/>
        <v>8.1198437499999998E-2</v>
      </c>
      <c r="P521">
        <v>100</v>
      </c>
      <c r="Q521">
        <v>3</v>
      </c>
      <c r="R521">
        <v>3</v>
      </c>
      <c r="S521">
        <v>3</v>
      </c>
      <c r="T521">
        <v>3</v>
      </c>
      <c r="U521">
        <v>3</v>
      </c>
      <c r="V521" t="s">
        <v>25</v>
      </c>
    </row>
    <row r="522" spans="1:22" hidden="1" outlineLevel="2" x14ac:dyDescent="0.25">
      <c r="A522" t="s">
        <v>86</v>
      </c>
      <c r="B522">
        <v>1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32</v>
      </c>
      <c r="K522">
        <v>2634</v>
      </c>
      <c r="L522">
        <v>7.97</v>
      </c>
      <c r="M522">
        <v>5.88</v>
      </c>
      <c r="N522" s="7">
        <f t="shared" si="32"/>
        <v>4.9863906499999994E-3</v>
      </c>
      <c r="O522" s="7">
        <f t="shared" si="33"/>
        <v>2.9319977021999996E-2</v>
      </c>
      <c r="P522">
        <v>75</v>
      </c>
      <c r="Q522">
        <v>2.5</v>
      </c>
      <c r="R522">
        <v>3</v>
      </c>
      <c r="S522">
        <v>3</v>
      </c>
      <c r="T522">
        <v>3</v>
      </c>
      <c r="U522">
        <v>3.5</v>
      </c>
      <c r="V522" t="s">
        <v>38</v>
      </c>
    </row>
    <row r="523" spans="1:22" hidden="1" outlineLevel="2" x14ac:dyDescent="0.25">
      <c r="A523" t="s">
        <v>86</v>
      </c>
      <c r="B523">
        <v>1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32</v>
      </c>
      <c r="K523">
        <v>2635</v>
      </c>
      <c r="L523">
        <v>8.58</v>
      </c>
      <c r="M523">
        <v>7.48</v>
      </c>
      <c r="N523" s="7">
        <f t="shared" si="32"/>
        <v>5.7788874E-3</v>
      </c>
      <c r="O523" s="7">
        <f t="shared" si="33"/>
        <v>4.3226077752000006E-2</v>
      </c>
      <c r="P523">
        <v>100</v>
      </c>
      <c r="Q523">
        <v>3.5</v>
      </c>
      <c r="R523">
        <v>3</v>
      </c>
      <c r="S523">
        <v>2.5</v>
      </c>
      <c r="T523">
        <v>3.5</v>
      </c>
      <c r="U523">
        <v>3</v>
      </c>
      <c r="V523" t="s">
        <v>25</v>
      </c>
    </row>
    <row r="524" spans="1:22" hidden="1" outlineLevel="2" x14ac:dyDescent="0.25">
      <c r="A524" t="s">
        <v>86</v>
      </c>
      <c r="B524">
        <v>1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34</v>
      </c>
      <c r="K524">
        <v>2570</v>
      </c>
      <c r="L524">
        <v>6.05</v>
      </c>
      <c r="M524">
        <v>5.44</v>
      </c>
      <c r="N524" s="7">
        <f t="shared" si="32"/>
        <v>2.8732962499999999E-3</v>
      </c>
      <c r="O524" s="7">
        <f t="shared" si="33"/>
        <v>1.5630731599999999E-2</v>
      </c>
      <c r="P524">
        <v>100</v>
      </c>
      <c r="Q524">
        <v>3</v>
      </c>
      <c r="R524">
        <v>2.5</v>
      </c>
      <c r="S524">
        <v>3.5</v>
      </c>
      <c r="T524">
        <v>3.5</v>
      </c>
      <c r="U524">
        <v>3</v>
      </c>
      <c r="V524" t="s">
        <v>38</v>
      </c>
    </row>
    <row r="525" spans="1:22" hidden="1" outlineLevel="2" x14ac:dyDescent="0.25">
      <c r="A525" t="s">
        <v>86</v>
      </c>
      <c r="B525">
        <v>1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35</v>
      </c>
      <c r="K525">
        <v>1788</v>
      </c>
      <c r="L525">
        <v>6.76</v>
      </c>
      <c r="M525">
        <v>6.76</v>
      </c>
      <c r="N525" s="7">
        <f t="shared" si="32"/>
        <v>3.5872615999999993E-3</v>
      </c>
      <c r="O525" s="7">
        <f t="shared" si="33"/>
        <v>2.4249888415999996E-2</v>
      </c>
      <c r="P525">
        <v>75</v>
      </c>
      <c r="Q525">
        <v>1</v>
      </c>
      <c r="R525">
        <v>1</v>
      </c>
      <c r="S525">
        <v>3</v>
      </c>
      <c r="T525">
        <v>3</v>
      </c>
      <c r="U525">
        <v>3</v>
      </c>
      <c r="V525" t="s">
        <v>50</v>
      </c>
    </row>
    <row r="526" spans="1:22" hidden="1" outlineLevel="2" x14ac:dyDescent="0.25">
      <c r="A526" t="s">
        <v>86</v>
      </c>
      <c r="B526">
        <v>1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35</v>
      </c>
      <c r="K526">
        <v>1259</v>
      </c>
      <c r="L526">
        <v>13.99</v>
      </c>
      <c r="M526">
        <v>9.09</v>
      </c>
      <c r="N526" s="7">
        <f t="shared" si="32"/>
        <v>1.5364027849999998E-2</v>
      </c>
      <c r="O526" s="7">
        <f t="shared" si="33"/>
        <v>0.13965901315649998</v>
      </c>
      <c r="P526">
        <v>100</v>
      </c>
      <c r="Q526">
        <v>4</v>
      </c>
      <c r="R526">
        <v>2</v>
      </c>
      <c r="S526">
        <v>2</v>
      </c>
      <c r="T526">
        <v>2</v>
      </c>
      <c r="U526">
        <v>2</v>
      </c>
      <c r="V526" t="s">
        <v>38</v>
      </c>
    </row>
    <row r="527" spans="1:22" hidden="1" outlineLevel="2" x14ac:dyDescent="0.25">
      <c r="A527" t="s">
        <v>86</v>
      </c>
      <c r="B527">
        <v>1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35</v>
      </c>
      <c r="K527">
        <v>1785</v>
      </c>
      <c r="L527">
        <v>8.65</v>
      </c>
      <c r="M527">
        <v>5.95</v>
      </c>
      <c r="N527" s="7">
        <f t="shared" si="32"/>
        <v>5.8735662500000009E-3</v>
      </c>
      <c r="O527" s="7">
        <f t="shared" si="33"/>
        <v>3.4947719187500004E-2</v>
      </c>
      <c r="P527">
        <v>100</v>
      </c>
      <c r="Q527">
        <v>1.5</v>
      </c>
      <c r="R527">
        <v>1</v>
      </c>
      <c r="S527">
        <v>3</v>
      </c>
      <c r="T527">
        <v>3</v>
      </c>
      <c r="U527">
        <v>3</v>
      </c>
      <c r="V527" t="s">
        <v>50</v>
      </c>
    </row>
    <row r="528" spans="1:22" hidden="1" outlineLevel="2" x14ac:dyDescent="0.25">
      <c r="A528" t="s">
        <v>86</v>
      </c>
      <c r="B528">
        <v>1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35</v>
      </c>
      <c r="K528">
        <v>2571</v>
      </c>
      <c r="L528">
        <v>16.79</v>
      </c>
      <c r="M528">
        <v>13.17</v>
      </c>
      <c r="N528" s="7">
        <f t="shared" si="32"/>
        <v>2.2129471849999999E-2</v>
      </c>
      <c r="O528" s="7">
        <f t="shared" si="33"/>
        <v>0.29144514426449997</v>
      </c>
      <c r="P528">
        <v>100</v>
      </c>
      <c r="Q528">
        <v>4</v>
      </c>
      <c r="R528">
        <v>2</v>
      </c>
      <c r="S528">
        <v>3</v>
      </c>
      <c r="T528">
        <v>3</v>
      </c>
      <c r="U528">
        <v>2.5</v>
      </c>
      <c r="V528" t="s">
        <v>25</v>
      </c>
    </row>
    <row r="529" spans="1:22" hidden="1" outlineLevel="2" x14ac:dyDescent="0.25">
      <c r="A529" t="s">
        <v>86</v>
      </c>
      <c r="B529">
        <v>1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36</v>
      </c>
      <c r="K529">
        <v>2573</v>
      </c>
      <c r="L529">
        <v>2.4500000000000002</v>
      </c>
      <c r="M529">
        <v>3.06</v>
      </c>
      <c r="N529" s="7">
        <f t="shared" si="32"/>
        <v>4.7119625000000009E-4</v>
      </c>
      <c r="O529" s="7">
        <f t="shared" si="33"/>
        <v>1.4418605250000004E-3</v>
      </c>
      <c r="P529">
        <v>50</v>
      </c>
      <c r="Q529">
        <v>1.5</v>
      </c>
      <c r="R529">
        <v>4</v>
      </c>
      <c r="S529">
        <v>1</v>
      </c>
      <c r="T529">
        <v>2</v>
      </c>
      <c r="U529">
        <v>3</v>
      </c>
      <c r="V529" t="s">
        <v>50</v>
      </c>
    </row>
    <row r="530" spans="1:22" hidden="1" outlineLevel="2" x14ac:dyDescent="0.25">
      <c r="A530" t="s">
        <v>86</v>
      </c>
      <c r="B530">
        <v>1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62</v>
      </c>
      <c r="K530">
        <v>2550</v>
      </c>
      <c r="L530">
        <v>9.84</v>
      </c>
      <c r="M530">
        <v>8.68</v>
      </c>
      <c r="N530" s="7">
        <f t="shared" si="32"/>
        <v>7.6008096000000002E-3</v>
      </c>
      <c r="O530" s="7">
        <f t="shared" si="33"/>
        <v>6.5975027327999994E-2</v>
      </c>
      <c r="P530">
        <v>75</v>
      </c>
      <c r="Q530">
        <v>2</v>
      </c>
      <c r="R530">
        <v>2</v>
      </c>
      <c r="S530">
        <v>4</v>
      </c>
      <c r="T530">
        <v>4</v>
      </c>
      <c r="U530">
        <v>4</v>
      </c>
      <c r="V530" t="s">
        <v>38</v>
      </c>
    </row>
    <row r="531" spans="1:22" hidden="1" outlineLevel="2" x14ac:dyDescent="0.25">
      <c r="A531" t="s">
        <v>86</v>
      </c>
      <c r="B531">
        <v>1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62</v>
      </c>
      <c r="K531">
        <v>1352</v>
      </c>
      <c r="L531">
        <v>4.9800000000000004</v>
      </c>
      <c r="M531">
        <v>4.05</v>
      </c>
      <c r="N531" s="7">
        <f t="shared" si="32"/>
        <v>1.9468314000000001E-3</v>
      </c>
      <c r="O531" s="7">
        <f t="shared" si="33"/>
        <v>7.8846671699999999E-3</v>
      </c>
      <c r="P531">
        <v>75</v>
      </c>
      <c r="Q531">
        <v>2</v>
      </c>
      <c r="R531">
        <v>2.5</v>
      </c>
      <c r="S531">
        <v>3</v>
      </c>
      <c r="T531">
        <v>3</v>
      </c>
      <c r="U531">
        <v>3</v>
      </c>
      <c r="V531" t="s">
        <v>30</v>
      </c>
    </row>
    <row r="532" spans="1:22" hidden="1" outlineLevel="2" x14ac:dyDescent="0.25">
      <c r="A532" t="s">
        <v>86</v>
      </c>
      <c r="B532">
        <v>1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62</v>
      </c>
      <c r="K532">
        <v>2432</v>
      </c>
      <c r="L532">
        <v>8.92</v>
      </c>
      <c r="M532">
        <v>6.14</v>
      </c>
      <c r="N532" s="7">
        <f t="shared" si="32"/>
        <v>6.2459624000000009E-3</v>
      </c>
      <c r="O532" s="7">
        <f t="shared" si="33"/>
        <v>3.8350209136000006E-2</v>
      </c>
      <c r="P532">
        <v>75</v>
      </c>
      <c r="Q532">
        <v>2.5</v>
      </c>
      <c r="R532">
        <v>3</v>
      </c>
      <c r="S532">
        <v>4</v>
      </c>
      <c r="T532">
        <v>4</v>
      </c>
      <c r="U532">
        <v>3.5</v>
      </c>
      <c r="V532" t="s">
        <v>38</v>
      </c>
    </row>
    <row r="533" spans="1:22" hidden="1" outlineLevel="2" x14ac:dyDescent="0.25">
      <c r="A533" t="s">
        <v>86</v>
      </c>
      <c r="B533">
        <v>1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62</v>
      </c>
      <c r="K533">
        <v>2553</v>
      </c>
      <c r="L533">
        <v>13.39</v>
      </c>
      <c r="M533">
        <v>6.6</v>
      </c>
      <c r="N533" s="7">
        <f t="shared" si="32"/>
        <v>1.4074429850000004E-2</v>
      </c>
      <c r="O533" s="7">
        <f t="shared" si="33"/>
        <v>9.2891237010000016E-2</v>
      </c>
      <c r="P533">
        <v>75</v>
      </c>
      <c r="Q533">
        <v>3</v>
      </c>
      <c r="R533">
        <v>2.5</v>
      </c>
      <c r="S533">
        <v>3</v>
      </c>
      <c r="T533">
        <v>3</v>
      </c>
      <c r="U533">
        <v>2.5</v>
      </c>
      <c r="V533" t="s">
        <v>38</v>
      </c>
    </row>
    <row r="534" spans="1:22" hidden="1" outlineLevel="2" x14ac:dyDescent="0.25">
      <c r="A534" t="s">
        <v>86</v>
      </c>
      <c r="B534">
        <v>1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62</v>
      </c>
      <c r="K534">
        <v>2574</v>
      </c>
      <c r="L534">
        <v>13.43</v>
      </c>
      <c r="M534">
        <v>9.0299999999999994</v>
      </c>
      <c r="N534" s="7">
        <f t="shared" si="32"/>
        <v>1.4158644650000001E-2</v>
      </c>
      <c r="O534" s="7">
        <f t="shared" si="33"/>
        <v>0.1278525611895</v>
      </c>
      <c r="P534">
        <v>100</v>
      </c>
      <c r="Q534">
        <v>4</v>
      </c>
      <c r="R534">
        <v>2</v>
      </c>
      <c r="S534">
        <v>4</v>
      </c>
      <c r="T534">
        <v>3</v>
      </c>
      <c r="U534">
        <v>2.5</v>
      </c>
      <c r="V534" t="s">
        <v>25</v>
      </c>
    </row>
    <row r="535" spans="1:22" hidden="1" outlineLevel="2" x14ac:dyDescent="0.25">
      <c r="A535" t="s">
        <v>86</v>
      </c>
      <c r="B535">
        <v>1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37</v>
      </c>
      <c r="K535">
        <v>2575</v>
      </c>
      <c r="L535">
        <v>9.84</v>
      </c>
      <c r="M535">
        <v>5.67</v>
      </c>
      <c r="N535" s="7">
        <f t="shared" si="32"/>
        <v>7.6008096000000002E-3</v>
      </c>
      <c r="O535" s="7">
        <f t="shared" si="33"/>
        <v>4.3096590432000002E-2</v>
      </c>
      <c r="P535">
        <v>100</v>
      </c>
      <c r="Q535">
        <v>1.5</v>
      </c>
      <c r="R535">
        <v>1.5</v>
      </c>
      <c r="S535">
        <v>2</v>
      </c>
      <c r="T535">
        <v>2</v>
      </c>
      <c r="U535">
        <v>2</v>
      </c>
      <c r="V535" t="s">
        <v>50</v>
      </c>
    </row>
    <row r="536" spans="1:22" hidden="1" outlineLevel="2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76</v>
      </c>
      <c r="K536">
        <v>1592</v>
      </c>
      <c r="L536">
        <v>4.7300000000000004</v>
      </c>
      <c r="M536">
        <v>5.31</v>
      </c>
      <c r="N536" s="7">
        <f t="shared" si="32"/>
        <v>1.7562726500000003E-3</v>
      </c>
      <c r="O536" s="7">
        <f t="shared" si="33"/>
        <v>9.3258077715000012E-3</v>
      </c>
      <c r="P536">
        <v>100</v>
      </c>
      <c r="Q536">
        <v>2</v>
      </c>
      <c r="R536">
        <v>3</v>
      </c>
      <c r="S536">
        <v>3</v>
      </c>
      <c r="T536">
        <v>4</v>
      </c>
      <c r="U536">
        <v>4</v>
      </c>
      <c r="V536" t="s">
        <v>25</v>
      </c>
    </row>
    <row r="537" spans="1:22" hidden="1" outlineLevel="2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76</v>
      </c>
      <c r="K537">
        <v>2560</v>
      </c>
      <c r="L537">
        <v>6.35</v>
      </c>
      <c r="M537">
        <v>4.62</v>
      </c>
      <c r="N537" s="7">
        <f t="shared" si="32"/>
        <v>3.1653162500000004E-3</v>
      </c>
      <c r="O537" s="7">
        <f t="shared" si="33"/>
        <v>1.4623761075000002E-2</v>
      </c>
      <c r="P537">
        <v>100</v>
      </c>
      <c r="Q537">
        <v>3</v>
      </c>
      <c r="R537">
        <v>4</v>
      </c>
      <c r="S537">
        <v>2</v>
      </c>
      <c r="T537">
        <v>3</v>
      </c>
      <c r="U537">
        <v>4</v>
      </c>
      <c r="V537" t="s">
        <v>38</v>
      </c>
    </row>
    <row r="538" spans="1:22" hidden="1" outlineLevel="2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56</v>
      </c>
      <c r="K538">
        <v>1111</v>
      </c>
      <c r="L538">
        <v>18.989999999999998</v>
      </c>
      <c r="M538">
        <v>10.73</v>
      </c>
      <c r="N538" s="7">
        <f t="shared" si="32"/>
        <v>2.8308677849999995E-2</v>
      </c>
      <c r="O538" s="7">
        <f t="shared" si="33"/>
        <v>0.30375211333049995</v>
      </c>
      <c r="P538">
        <v>75</v>
      </c>
      <c r="Q538">
        <v>3</v>
      </c>
      <c r="R538">
        <v>3</v>
      </c>
      <c r="S538">
        <v>3.5</v>
      </c>
      <c r="T538">
        <v>3</v>
      </c>
      <c r="U538">
        <v>3</v>
      </c>
      <c r="V538" t="s">
        <v>25</v>
      </c>
    </row>
    <row r="539" spans="1:22" hidden="1" outlineLevel="2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57</v>
      </c>
      <c r="K539">
        <v>2620</v>
      </c>
      <c r="L539">
        <v>7.3</v>
      </c>
      <c r="M539">
        <v>5.91</v>
      </c>
      <c r="N539" s="7">
        <f t="shared" si="32"/>
        <v>4.1832649999999994E-3</v>
      </c>
      <c r="O539" s="7">
        <f t="shared" si="33"/>
        <v>2.4723096149999998E-2</v>
      </c>
      <c r="P539">
        <v>100</v>
      </c>
      <c r="Q539">
        <v>2</v>
      </c>
      <c r="R539">
        <v>2</v>
      </c>
      <c r="S539">
        <v>3</v>
      </c>
      <c r="T539">
        <v>4</v>
      </c>
      <c r="U539">
        <v>4</v>
      </c>
      <c r="V539" t="s">
        <v>30</v>
      </c>
    </row>
    <row r="540" spans="1:22" hidden="1" outlineLevel="2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57</v>
      </c>
      <c r="K540">
        <v>2621</v>
      </c>
      <c r="L540">
        <v>8.11</v>
      </c>
      <c r="M540">
        <v>4.9800000000000004</v>
      </c>
      <c r="N540" s="7">
        <f t="shared" si="32"/>
        <v>5.1631098499999991E-3</v>
      </c>
      <c r="O540" s="7">
        <f t="shared" si="33"/>
        <v>2.5712287052999997E-2</v>
      </c>
      <c r="P540">
        <v>100</v>
      </c>
      <c r="Q540">
        <v>3</v>
      </c>
      <c r="R540">
        <v>1</v>
      </c>
      <c r="S540">
        <v>4</v>
      </c>
      <c r="T540">
        <v>4</v>
      </c>
      <c r="U540">
        <v>4</v>
      </c>
      <c r="V540" t="s">
        <v>38</v>
      </c>
    </row>
    <row r="541" spans="1:22" hidden="1" outlineLevel="2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58</v>
      </c>
      <c r="K541">
        <v>2638</v>
      </c>
      <c r="L541">
        <v>5.25</v>
      </c>
      <c r="M541">
        <v>3.5</v>
      </c>
      <c r="N541" s="7">
        <f t="shared" si="32"/>
        <v>2.1636562499999998E-3</v>
      </c>
      <c r="O541" s="7">
        <f t="shared" si="33"/>
        <v>7.5727968749999992E-3</v>
      </c>
      <c r="P541">
        <v>50</v>
      </c>
      <c r="Q541">
        <v>2</v>
      </c>
      <c r="R541">
        <v>3</v>
      </c>
      <c r="S541">
        <v>3</v>
      </c>
      <c r="T541">
        <v>3</v>
      </c>
      <c r="U541">
        <v>4</v>
      </c>
      <c r="V541" t="s">
        <v>30</v>
      </c>
    </row>
    <row r="542" spans="1:22" hidden="1" outlineLevel="2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59</v>
      </c>
      <c r="K542">
        <v>2426</v>
      </c>
      <c r="L542">
        <v>16.690000000000001</v>
      </c>
      <c r="M542">
        <v>9.48</v>
      </c>
      <c r="N542" s="7">
        <f t="shared" ref="N542:N573" si="34">3.14/4*((L542/100)^2)</f>
        <v>2.1866653850000004E-2</v>
      </c>
      <c r="O542" s="7">
        <f t="shared" ref="O542:O573" si="35">3.14/4*((L542/100)^2)*M542</f>
        <v>0.20729587849800005</v>
      </c>
      <c r="P542">
        <v>50</v>
      </c>
      <c r="Q542">
        <v>4</v>
      </c>
      <c r="R542">
        <v>3</v>
      </c>
      <c r="S542">
        <v>4</v>
      </c>
      <c r="T542">
        <v>4</v>
      </c>
      <c r="U542">
        <v>3</v>
      </c>
      <c r="V542" t="s">
        <v>27</v>
      </c>
    </row>
    <row r="543" spans="1:22" hidden="1" outlineLevel="2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59</v>
      </c>
      <c r="K543">
        <v>1482</v>
      </c>
      <c r="L543">
        <v>2.37</v>
      </c>
      <c r="M543">
        <v>2.73</v>
      </c>
      <c r="N543" s="7">
        <f t="shared" si="34"/>
        <v>4.4092665000000013E-4</v>
      </c>
      <c r="O543" s="7">
        <f t="shared" si="35"/>
        <v>1.2037297545000004E-3</v>
      </c>
      <c r="P543">
        <v>50</v>
      </c>
      <c r="Q543">
        <v>1</v>
      </c>
      <c r="R543">
        <v>3</v>
      </c>
      <c r="S543">
        <v>3</v>
      </c>
      <c r="T543">
        <v>3</v>
      </c>
      <c r="U543">
        <v>3</v>
      </c>
      <c r="V543" t="s">
        <v>50</v>
      </c>
    </row>
    <row r="544" spans="1:22" hidden="1" outlineLevel="2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59</v>
      </c>
      <c r="K544">
        <v>2548</v>
      </c>
      <c r="L544">
        <v>10.08</v>
      </c>
      <c r="M544">
        <v>6.52</v>
      </c>
      <c r="N544" s="7">
        <f t="shared" si="34"/>
        <v>7.9761024000000007E-3</v>
      </c>
      <c r="O544" s="7">
        <f t="shared" si="35"/>
        <v>5.2004187648000001E-2</v>
      </c>
      <c r="P544">
        <v>50</v>
      </c>
      <c r="Q544">
        <v>3</v>
      </c>
      <c r="R544">
        <v>3</v>
      </c>
      <c r="S544">
        <v>4</v>
      </c>
      <c r="T544">
        <v>4</v>
      </c>
      <c r="U544">
        <v>4</v>
      </c>
      <c r="V544" t="s">
        <v>38</v>
      </c>
    </row>
    <row r="545" spans="1:22" hidden="1" outlineLevel="2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26</v>
      </c>
      <c r="K545">
        <v>2552</v>
      </c>
      <c r="L545">
        <v>17.190000000000001</v>
      </c>
      <c r="M545">
        <v>12.45</v>
      </c>
      <c r="N545" s="7">
        <f t="shared" si="34"/>
        <v>2.3196443850000005E-2</v>
      </c>
      <c r="O545" s="7">
        <f t="shared" si="35"/>
        <v>0.28879572593250002</v>
      </c>
      <c r="P545">
        <v>50</v>
      </c>
      <c r="Q545">
        <v>4</v>
      </c>
      <c r="R545">
        <v>4</v>
      </c>
      <c r="S545">
        <v>4</v>
      </c>
      <c r="T545">
        <v>4</v>
      </c>
      <c r="U545">
        <v>4</v>
      </c>
      <c r="V545" t="s">
        <v>25</v>
      </c>
    </row>
    <row r="546" spans="1:22" hidden="1" outlineLevel="2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61</v>
      </c>
      <c r="K546">
        <v>1171</v>
      </c>
      <c r="L546">
        <v>1.27</v>
      </c>
      <c r="M546">
        <v>1.1200000000000001</v>
      </c>
      <c r="N546" s="7">
        <f t="shared" si="34"/>
        <v>1.2661264999999999E-4</v>
      </c>
      <c r="O546" s="7">
        <f t="shared" si="35"/>
        <v>1.41806168E-4</v>
      </c>
      <c r="P546">
        <v>25</v>
      </c>
      <c r="Q546">
        <v>1.5</v>
      </c>
      <c r="R546">
        <v>3</v>
      </c>
      <c r="S546">
        <v>0</v>
      </c>
      <c r="T546">
        <v>2</v>
      </c>
      <c r="U546">
        <v>3</v>
      </c>
      <c r="V546" t="s">
        <v>50</v>
      </c>
    </row>
    <row r="547" spans="1:22" hidden="1" outlineLevel="2" x14ac:dyDescent="0.25">
      <c r="A547" t="s">
        <v>86</v>
      </c>
      <c r="B547">
        <v>2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61</v>
      </c>
      <c r="K547">
        <v>2631</v>
      </c>
      <c r="L547">
        <v>5.75</v>
      </c>
      <c r="M547">
        <v>4.5999999999999996</v>
      </c>
      <c r="N547" s="7">
        <f t="shared" si="34"/>
        <v>2.5954062500000001E-3</v>
      </c>
      <c r="O547" s="7">
        <f t="shared" si="35"/>
        <v>1.193886875E-2</v>
      </c>
      <c r="P547">
        <v>25</v>
      </c>
      <c r="Q547">
        <v>2</v>
      </c>
      <c r="R547">
        <v>2</v>
      </c>
      <c r="S547">
        <v>3</v>
      </c>
      <c r="T547">
        <v>3</v>
      </c>
      <c r="U547">
        <v>3</v>
      </c>
      <c r="V547" t="s">
        <v>50</v>
      </c>
    </row>
    <row r="548" spans="1:22" hidden="1" outlineLevel="2" x14ac:dyDescent="0.25">
      <c r="A548" t="s">
        <v>86</v>
      </c>
      <c r="B548">
        <v>2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32</v>
      </c>
      <c r="K548">
        <v>1595</v>
      </c>
      <c r="L548">
        <v>15.69</v>
      </c>
      <c r="M548">
        <v>8.9499999999999993</v>
      </c>
      <c r="N548" s="7">
        <f t="shared" si="34"/>
        <v>1.9324823849999995E-2</v>
      </c>
      <c r="O548" s="7">
        <f t="shared" si="35"/>
        <v>0.17295717345749995</v>
      </c>
      <c r="P548">
        <v>100</v>
      </c>
      <c r="Q548">
        <v>3</v>
      </c>
      <c r="R548">
        <v>3</v>
      </c>
      <c r="S548">
        <v>4</v>
      </c>
      <c r="T548">
        <v>4</v>
      </c>
      <c r="U548">
        <v>3</v>
      </c>
      <c r="V548" t="s">
        <v>25</v>
      </c>
    </row>
    <row r="549" spans="1:22" hidden="1" outlineLevel="2" x14ac:dyDescent="0.25">
      <c r="A549" t="s">
        <v>86</v>
      </c>
      <c r="B549">
        <v>2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32</v>
      </c>
      <c r="K549">
        <v>2569</v>
      </c>
      <c r="L549">
        <v>17.03</v>
      </c>
      <c r="M549">
        <v>10.42</v>
      </c>
      <c r="N549" s="7">
        <f t="shared" si="34"/>
        <v>2.2766640650000003E-2</v>
      </c>
      <c r="O549" s="7">
        <f t="shared" si="35"/>
        <v>0.23722839557300002</v>
      </c>
      <c r="P549">
        <v>100</v>
      </c>
      <c r="Q549">
        <v>3</v>
      </c>
      <c r="R549">
        <v>3</v>
      </c>
      <c r="S549">
        <v>4</v>
      </c>
      <c r="T549">
        <v>4</v>
      </c>
      <c r="U549">
        <v>3</v>
      </c>
      <c r="V549" t="s">
        <v>25</v>
      </c>
    </row>
    <row r="550" spans="1:22" hidden="1" outlineLevel="2" x14ac:dyDescent="0.25">
      <c r="A550" t="s">
        <v>86</v>
      </c>
      <c r="B550">
        <v>2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32</v>
      </c>
      <c r="K550">
        <v>2634</v>
      </c>
      <c r="L550">
        <v>17.77</v>
      </c>
      <c r="M550">
        <v>10.42</v>
      </c>
      <c r="N550" s="7">
        <f t="shared" si="34"/>
        <v>2.4788172650000002E-2</v>
      </c>
      <c r="O550" s="7">
        <f t="shared" si="35"/>
        <v>0.25829275901300003</v>
      </c>
      <c r="P550">
        <v>50</v>
      </c>
      <c r="Q550">
        <v>3</v>
      </c>
      <c r="R550">
        <v>3</v>
      </c>
      <c r="S550">
        <v>2</v>
      </c>
      <c r="T550">
        <v>2</v>
      </c>
      <c r="U550">
        <v>2</v>
      </c>
      <c r="V550" t="s">
        <v>38</v>
      </c>
    </row>
    <row r="551" spans="1:22" hidden="1" outlineLevel="2" x14ac:dyDescent="0.25">
      <c r="A551" t="s">
        <v>86</v>
      </c>
      <c r="B551">
        <v>2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32</v>
      </c>
      <c r="K551">
        <v>2635</v>
      </c>
      <c r="L551">
        <v>17.399999999999999</v>
      </c>
      <c r="M551">
        <v>10.66</v>
      </c>
      <c r="N551" s="7">
        <f t="shared" si="34"/>
        <v>2.3766659999999998E-2</v>
      </c>
      <c r="O551" s="7">
        <f t="shared" si="35"/>
        <v>0.25335259560000001</v>
      </c>
      <c r="P551">
        <v>75</v>
      </c>
      <c r="Q551">
        <v>3</v>
      </c>
      <c r="R551">
        <v>2</v>
      </c>
      <c r="S551">
        <v>4</v>
      </c>
      <c r="T551">
        <v>4</v>
      </c>
      <c r="U551">
        <v>3</v>
      </c>
      <c r="V551" t="s">
        <v>25</v>
      </c>
    </row>
    <row r="552" spans="1:22" hidden="1" outlineLevel="2" x14ac:dyDescent="0.25">
      <c r="A552" t="s">
        <v>86</v>
      </c>
      <c r="B552">
        <v>2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34</v>
      </c>
      <c r="K552">
        <v>2570</v>
      </c>
      <c r="L552">
        <v>10.16</v>
      </c>
      <c r="M552">
        <v>7.74</v>
      </c>
      <c r="N552" s="7">
        <f t="shared" si="34"/>
        <v>8.1032095999999994E-3</v>
      </c>
      <c r="O552" s="7">
        <f t="shared" si="35"/>
        <v>6.2718842304000003E-2</v>
      </c>
      <c r="P552">
        <v>100</v>
      </c>
      <c r="Q552">
        <v>3</v>
      </c>
      <c r="R552">
        <v>3</v>
      </c>
      <c r="S552">
        <v>4</v>
      </c>
      <c r="T552">
        <v>4</v>
      </c>
      <c r="U552">
        <v>4</v>
      </c>
      <c r="V552" t="s">
        <v>25</v>
      </c>
    </row>
    <row r="553" spans="1:22" hidden="1" outlineLevel="2" x14ac:dyDescent="0.25">
      <c r="A553" t="s">
        <v>86</v>
      </c>
      <c r="B553">
        <v>2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35</v>
      </c>
      <c r="K553">
        <v>1788</v>
      </c>
      <c r="L553">
        <v>6.06</v>
      </c>
      <c r="M553">
        <v>4.2</v>
      </c>
      <c r="N553" s="7">
        <f t="shared" si="34"/>
        <v>2.8828025999999992E-3</v>
      </c>
      <c r="O553" s="7">
        <f t="shared" si="35"/>
        <v>1.2107770919999997E-2</v>
      </c>
      <c r="P553">
        <v>100</v>
      </c>
      <c r="Q553">
        <v>1.5</v>
      </c>
      <c r="R553">
        <v>1.5</v>
      </c>
      <c r="S553">
        <v>2</v>
      </c>
      <c r="T553">
        <v>2</v>
      </c>
      <c r="U553">
        <v>1</v>
      </c>
      <c r="V553" t="s">
        <v>50</v>
      </c>
    </row>
    <row r="554" spans="1:22" hidden="1" outlineLevel="2" x14ac:dyDescent="0.25">
      <c r="A554" t="s">
        <v>86</v>
      </c>
      <c r="B554">
        <v>2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35</v>
      </c>
      <c r="K554">
        <v>1259</v>
      </c>
      <c r="L554">
        <v>10.37</v>
      </c>
      <c r="M554">
        <v>5.6</v>
      </c>
      <c r="N554" s="7">
        <f t="shared" si="34"/>
        <v>8.4416466499999988E-3</v>
      </c>
      <c r="O554" s="7">
        <f t="shared" si="35"/>
        <v>4.7273221239999989E-2</v>
      </c>
      <c r="P554">
        <v>100</v>
      </c>
      <c r="Q554">
        <v>3</v>
      </c>
      <c r="R554">
        <v>2</v>
      </c>
      <c r="S554">
        <v>2</v>
      </c>
      <c r="T554">
        <v>2</v>
      </c>
      <c r="U554">
        <v>1</v>
      </c>
      <c r="V554" t="s">
        <v>30</v>
      </c>
    </row>
    <row r="555" spans="1:22" hidden="1" outlineLevel="2" x14ac:dyDescent="0.25">
      <c r="A555" t="s">
        <v>86</v>
      </c>
      <c r="B555">
        <v>2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35</v>
      </c>
      <c r="K555">
        <v>1785</v>
      </c>
      <c r="L555">
        <v>2.56</v>
      </c>
      <c r="M555">
        <v>2.91</v>
      </c>
      <c r="N555" s="7">
        <f t="shared" si="34"/>
        <v>5.1445760000000005E-4</v>
      </c>
      <c r="O555" s="7">
        <f t="shared" si="35"/>
        <v>1.4970716160000001E-3</v>
      </c>
      <c r="P555">
        <v>75</v>
      </c>
      <c r="Q555">
        <v>1</v>
      </c>
      <c r="R555">
        <v>1</v>
      </c>
      <c r="S555">
        <v>2</v>
      </c>
      <c r="T555">
        <v>2</v>
      </c>
      <c r="U555">
        <v>3</v>
      </c>
      <c r="V555" t="s">
        <v>50</v>
      </c>
    </row>
    <row r="556" spans="1:22" hidden="1" outlineLevel="2" x14ac:dyDescent="0.25">
      <c r="A556" t="s">
        <v>86</v>
      </c>
      <c r="B556">
        <v>2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35</v>
      </c>
      <c r="K556">
        <v>2571</v>
      </c>
      <c r="L556">
        <v>8.98</v>
      </c>
      <c r="M556">
        <v>4.08</v>
      </c>
      <c r="N556" s="7">
        <f t="shared" si="34"/>
        <v>6.3302714000000012E-3</v>
      </c>
      <c r="O556" s="7">
        <f t="shared" si="35"/>
        <v>2.5827507312000005E-2</v>
      </c>
      <c r="P556">
        <v>75</v>
      </c>
      <c r="Q556">
        <v>4</v>
      </c>
      <c r="R556">
        <v>2</v>
      </c>
      <c r="S556">
        <v>2</v>
      </c>
      <c r="T556">
        <v>2</v>
      </c>
      <c r="U556">
        <v>2</v>
      </c>
      <c r="V556" t="s">
        <v>38</v>
      </c>
    </row>
    <row r="557" spans="1:22" hidden="1" outlineLevel="2" x14ac:dyDescent="0.25">
      <c r="A557" t="s">
        <v>86</v>
      </c>
      <c r="B557">
        <v>2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36</v>
      </c>
      <c r="K557">
        <v>2573</v>
      </c>
      <c r="L557">
        <v>7.84</v>
      </c>
      <c r="M557">
        <v>4.29</v>
      </c>
      <c r="N557" s="7">
        <f t="shared" si="34"/>
        <v>4.8250495999999999E-3</v>
      </c>
      <c r="O557" s="7">
        <f t="shared" si="35"/>
        <v>2.0699462783999999E-2</v>
      </c>
      <c r="P557">
        <v>25</v>
      </c>
      <c r="Q557">
        <v>2</v>
      </c>
      <c r="R557">
        <v>4</v>
      </c>
      <c r="S557">
        <v>1</v>
      </c>
      <c r="T557">
        <v>2</v>
      </c>
      <c r="U557">
        <v>3</v>
      </c>
      <c r="V557" t="s">
        <v>50</v>
      </c>
    </row>
    <row r="558" spans="1:22" hidden="1" outlineLevel="2" x14ac:dyDescent="0.25">
      <c r="A558" t="s">
        <v>86</v>
      </c>
      <c r="B558">
        <v>2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62</v>
      </c>
      <c r="K558">
        <v>2550</v>
      </c>
      <c r="L558">
        <v>5.44</v>
      </c>
      <c r="M558">
        <v>4.05</v>
      </c>
      <c r="N558" s="7">
        <f t="shared" si="34"/>
        <v>2.3230976000000003E-3</v>
      </c>
      <c r="O558" s="7">
        <f t="shared" si="35"/>
        <v>9.4085452800000014E-3</v>
      </c>
      <c r="P558">
        <v>50</v>
      </c>
      <c r="Q558">
        <v>1</v>
      </c>
      <c r="R558">
        <v>2</v>
      </c>
      <c r="S558">
        <v>3</v>
      </c>
      <c r="T558">
        <v>3</v>
      </c>
      <c r="U558">
        <v>3</v>
      </c>
      <c r="V558" t="s">
        <v>50</v>
      </c>
    </row>
    <row r="559" spans="1:22" hidden="1" outlineLevel="2" x14ac:dyDescent="0.25">
      <c r="A559" t="s">
        <v>86</v>
      </c>
      <c r="B559">
        <v>2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62</v>
      </c>
      <c r="K559">
        <v>1352</v>
      </c>
      <c r="L559">
        <v>11.93</v>
      </c>
      <c r="M559">
        <v>11</v>
      </c>
      <c r="N559" s="7">
        <f t="shared" si="34"/>
        <v>1.1172504650000002E-2</v>
      </c>
      <c r="O559" s="7">
        <f t="shared" si="35"/>
        <v>0.12289755115000002</v>
      </c>
      <c r="P559">
        <v>100</v>
      </c>
      <c r="Q559">
        <v>3.5</v>
      </c>
      <c r="R559">
        <v>3</v>
      </c>
      <c r="S559">
        <v>4</v>
      </c>
      <c r="T559">
        <v>4</v>
      </c>
      <c r="U559">
        <v>3.5</v>
      </c>
      <c r="V559" t="s">
        <v>25</v>
      </c>
    </row>
    <row r="560" spans="1:22" hidden="1" outlineLevel="2" x14ac:dyDescent="0.25">
      <c r="A560" t="s">
        <v>86</v>
      </c>
      <c r="B560">
        <v>2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62</v>
      </c>
      <c r="K560">
        <v>2432</v>
      </c>
      <c r="L560">
        <v>12.39</v>
      </c>
      <c r="M560">
        <v>10.77</v>
      </c>
      <c r="N560" s="7">
        <f t="shared" si="34"/>
        <v>1.2050699850000002E-2</v>
      </c>
      <c r="O560" s="7">
        <f t="shared" si="35"/>
        <v>0.12978603738450001</v>
      </c>
      <c r="P560">
        <v>75</v>
      </c>
      <c r="Q560">
        <v>3</v>
      </c>
      <c r="R560">
        <v>3</v>
      </c>
      <c r="S560">
        <v>4</v>
      </c>
      <c r="T560">
        <v>4</v>
      </c>
      <c r="U560">
        <v>4</v>
      </c>
      <c r="V560" t="s">
        <v>25</v>
      </c>
    </row>
    <row r="561" spans="1:22" hidden="1" outlineLevel="2" x14ac:dyDescent="0.25">
      <c r="A561" t="s">
        <v>86</v>
      </c>
      <c r="B561">
        <v>2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62</v>
      </c>
      <c r="K561">
        <v>2553</v>
      </c>
      <c r="L561">
        <v>17.95</v>
      </c>
      <c r="M561">
        <v>13.66</v>
      </c>
      <c r="N561" s="7">
        <f t="shared" si="34"/>
        <v>2.5292896249999999E-2</v>
      </c>
      <c r="O561" s="7">
        <f t="shared" si="35"/>
        <v>0.34550096277499998</v>
      </c>
      <c r="P561">
        <v>100</v>
      </c>
      <c r="Q561">
        <v>5</v>
      </c>
      <c r="R561">
        <v>3</v>
      </c>
      <c r="S561">
        <v>4.5</v>
      </c>
      <c r="T561">
        <v>4.5</v>
      </c>
      <c r="U561">
        <v>4</v>
      </c>
      <c r="V561" t="s">
        <v>27</v>
      </c>
    </row>
    <row r="562" spans="1:22" hidden="1" outlineLevel="2" x14ac:dyDescent="0.25">
      <c r="A562" t="s">
        <v>86</v>
      </c>
      <c r="B562">
        <v>2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62</v>
      </c>
      <c r="K562">
        <v>2574</v>
      </c>
      <c r="L562">
        <v>10.07</v>
      </c>
      <c r="M562">
        <v>12.74</v>
      </c>
      <c r="N562" s="7">
        <f t="shared" si="34"/>
        <v>7.9602846499999998E-3</v>
      </c>
      <c r="O562" s="7">
        <f t="shared" si="35"/>
        <v>0.101414026441</v>
      </c>
      <c r="P562">
        <v>100</v>
      </c>
      <c r="Q562">
        <v>2.5</v>
      </c>
      <c r="R562">
        <v>2.5</v>
      </c>
      <c r="S562">
        <v>5</v>
      </c>
      <c r="T562">
        <v>5</v>
      </c>
      <c r="U562">
        <v>5</v>
      </c>
      <c r="V562" t="s">
        <v>25</v>
      </c>
    </row>
    <row r="563" spans="1:22" hidden="1" outlineLevel="2" x14ac:dyDescent="0.25">
      <c r="A563" t="s">
        <v>86</v>
      </c>
      <c r="B563">
        <v>2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37</v>
      </c>
      <c r="K563">
        <v>2575</v>
      </c>
      <c r="L563">
        <v>8.56</v>
      </c>
      <c r="M563">
        <v>3.33</v>
      </c>
      <c r="N563" s="7">
        <f t="shared" si="34"/>
        <v>5.7519776000000012E-3</v>
      </c>
      <c r="O563" s="7">
        <f t="shared" si="35"/>
        <v>1.9154085408000003E-2</v>
      </c>
      <c r="P563">
        <v>75</v>
      </c>
      <c r="Q563">
        <v>2</v>
      </c>
      <c r="R563">
        <v>3</v>
      </c>
      <c r="S563">
        <v>2</v>
      </c>
      <c r="T563">
        <v>2</v>
      </c>
      <c r="U563">
        <v>2</v>
      </c>
      <c r="V563" t="s">
        <v>50</v>
      </c>
    </row>
    <row r="564" spans="1:22" hidden="1" outlineLevel="2" x14ac:dyDescent="0.25">
      <c r="A564" t="s">
        <v>86</v>
      </c>
      <c r="B564">
        <v>2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63</v>
      </c>
      <c r="K564">
        <v>1340</v>
      </c>
      <c r="L564">
        <v>1.56</v>
      </c>
      <c r="M564">
        <v>2.16</v>
      </c>
      <c r="N564" s="7">
        <f t="shared" si="34"/>
        <v>1.9103760000000004E-4</v>
      </c>
      <c r="O564" s="7">
        <f t="shared" si="35"/>
        <v>4.1264121600000011E-4</v>
      </c>
      <c r="P564">
        <v>50</v>
      </c>
      <c r="Q564">
        <v>1</v>
      </c>
      <c r="R564">
        <v>2</v>
      </c>
      <c r="S564">
        <v>2</v>
      </c>
      <c r="T564">
        <v>2</v>
      </c>
      <c r="U564">
        <v>3</v>
      </c>
      <c r="V564" t="s">
        <v>50</v>
      </c>
    </row>
    <row r="565" spans="1:22" hidden="1" outlineLevel="2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76</v>
      </c>
      <c r="K565">
        <v>1592</v>
      </c>
      <c r="L565">
        <v>20.43</v>
      </c>
      <c r="M565">
        <v>10.39</v>
      </c>
      <c r="N565" s="7">
        <f t="shared" si="34"/>
        <v>3.2764714650000006E-2</v>
      </c>
      <c r="O565" s="7">
        <f t="shared" si="35"/>
        <v>0.34042538521350008</v>
      </c>
      <c r="P565">
        <v>75</v>
      </c>
      <c r="Q565">
        <v>3</v>
      </c>
      <c r="R565">
        <v>4</v>
      </c>
      <c r="S565">
        <v>2</v>
      </c>
      <c r="T565">
        <v>3</v>
      </c>
      <c r="U565">
        <v>2</v>
      </c>
      <c r="V565" t="s">
        <v>25</v>
      </c>
    </row>
    <row r="566" spans="1:22" hidden="1" outlineLevel="2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76</v>
      </c>
      <c r="K566">
        <v>2560</v>
      </c>
      <c r="L566">
        <v>16.04</v>
      </c>
      <c r="M566">
        <v>8.66</v>
      </c>
      <c r="N566" s="7">
        <f t="shared" si="34"/>
        <v>2.0196605599999997E-2</v>
      </c>
      <c r="O566" s="7">
        <f t="shared" si="35"/>
        <v>0.17490260449599998</v>
      </c>
      <c r="P566">
        <v>100</v>
      </c>
      <c r="Q566">
        <v>3</v>
      </c>
      <c r="R566">
        <v>4</v>
      </c>
      <c r="S566">
        <v>4</v>
      </c>
      <c r="T566">
        <v>4</v>
      </c>
      <c r="U566">
        <v>4</v>
      </c>
      <c r="V566" t="s">
        <v>25</v>
      </c>
    </row>
    <row r="567" spans="1:22" hidden="1" outlineLevel="2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56</v>
      </c>
      <c r="K567">
        <v>1111</v>
      </c>
      <c r="L567">
        <v>11.9</v>
      </c>
      <c r="M567">
        <v>7.2</v>
      </c>
      <c r="N567" s="7">
        <f t="shared" si="34"/>
        <v>1.1116385000000001E-2</v>
      </c>
      <c r="O567" s="7">
        <f t="shared" si="35"/>
        <v>8.0037972000000013E-2</v>
      </c>
      <c r="P567">
        <v>100</v>
      </c>
      <c r="Q567">
        <v>3</v>
      </c>
      <c r="R567">
        <v>2</v>
      </c>
      <c r="S567">
        <v>3</v>
      </c>
      <c r="T567">
        <v>3</v>
      </c>
      <c r="U567">
        <v>3</v>
      </c>
      <c r="V567" t="s">
        <v>38</v>
      </c>
    </row>
    <row r="568" spans="1:22" hidden="1" outlineLevel="2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57</v>
      </c>
      <c r="K568">
        <v>2620</v>
      </c>
      <c r="L568">
        <v>2.66</v>
      </c>
      <c r="M568">
        <v>2.08</v>
      </c>
      <c r="N568" s="7">
        <f t="shared" si="34"/>
        <v>5.5543460000000015E-4</v>
      </c>
      <c r="O568" s="7">
        <f t="shared" si="35"/>
        <v>1.1553039680000004E-3</v>
      </c>
      <c r="P568">
        <v>100</v>
      </c>
      <c r="Q568">
        <v>2</v>
      </c>
      <c r="R568">
        <v>1.5</v>
      </c>
      <c r="S568">
        <v>1</v>
      </c>
      <c r="T568">
        <v>2</v>
      </c>
      <c r="U568">
        <v>3</v>
      </c>
      <c r="V568" t="s">
        <v>50</v>
      </c>
    </row>
    <row r="569" spans="1:22" hidden="1" outlineLevel="2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57</v>
      </c>
      <c r="K569">
        <v>2621</v>
      </c>
      <c r="L569">
        <v>5.0999999999999996</v>
      </c>
      <c r="M569">
        <v>2.66</v>
      </c>
      <c r="N569" s="7">
        <f t="shared" si="34"/>
        <v>2.041785E-3</v>
      </c>
      <c r="O569" s="7">
        <f t="shared" si="35"/>
        <v>5.4311480999999998E-3</v>
      </c>
      <c r="P569">
        <v>75</v>
      </c>
      <c r="Q569">
        <v>3</v>
      </c>
      <c r="R569">
        <v>2</v>
      </c>
      <c r="S569">
        <v>2</v>
      </c>
      <c r="T569">
        <v>2</v>
      </c>
      <c r="U569">
        <v>3</v>
      </c>
      <c r="V569" t="s">
        <v>30</v>
      </c>
    </row>
    <row r="570" spans="1:22" hidden="1" outlineLevel="2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58</v>
      </c>
      <c r="K570">
        <v>2638</v>
      </c>
      <c r="L570">
        <v>12.24</v>
      </c>
      <c r="M570">
        <v>5.83</v>
      </c>
      <c r="N570" s="7">
        <f t="shared" si="34"/>
        <v>1.1760681600000001E-2</v>
      </c>
      <c r="O570" s="7">
        <f t="shared" si="35"/>
        <v>6.8564773728000003E-2</v>
      </c>
      <c r="P570">
        <v>25</v>
      </c>
      <c r="Q570">
        <v>2</v>
      </c>
      <c r="R570">
        <v>3</v>
      </c>
      <c r="S570">
        <v>3</v>
      </c>
      <c r="T570">
        <v>3</v>
      </c>
      <c r="U570">
        <v>3</v>
      </c>
      <c r="V570" t="s">
        <v>30</v>
      </c>
    </row>
    <row r="571" spans="1:22" hidden="1" outlineLevel="2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59</v>
      </c>
      <c r="K571">
        <v>2426</v>
      </c>
      <c r="L571">
        <v>21.93</v>
      </c>
      <c r="M571">
        <v>9.84</v>
      </c>
      <c r="N571" s="7">
        <f t="shared" si="34"/>
        <v>3.775260465E-2</v>
      </c>
      <c r="O571" s="7">
        <f t="shared" si="35"/>
        <v>0.37148562975600002</v>
      </c>
      <c r="P571">
        <v>100</v>
      </c>
      <c r="Q571">
        <v>4</v>
      </c>
      <c r="R571">
        <v>3</v>
      </c>
      <c r="S571">
        <v>3.5</v>
      </c>
      <c r="T571">
        <v>3</v>
      </c>
      <c r="U571">
        <v>2</v>
      </c>
      <c r="V571" t="s">
        <v>25</v>
      </c>
    </row>
    <row r="572" spans="1:22" hidden="1" outlineLevel="2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59</v>
      </c>
      <c r="K572">
        <v>1482</v>
      </c>
      <c r="L572">
        <v>24.16</v>
      </c>
      <c r="M572">
        <v>10.31</v>
      </c>
      <c r="N572" s="7">
        <f t="shared" si="34"/>
        <v>4.5820889600000005E-2</v>
      </c>
      <c r="O572" s="7">
        <f t="shared" si="35"/>
        <v>0.47241337177600007</v>
      </c>
      <c r="P572">
        <v>75</v>
      </c>
      <c r="Q572">
        <v>4.5</v>
      </c>
      <c r="R572">
        <v>3</v>
      </c>
      <c r="S572">
        <v>4</v>
      </c>
      <c r="T572">
        <v>3</v>
      </c>
      <c r="U572">
        <v>2</v>
      </c>
      <c r="V572" t="s">
        <v>25</v>
      </c>
    </row>
    <row r="573" spans="1:22" hidden="1" outlineLevel="2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59</v>
      </c>
      <c r="K573">
        <v>2548</v>
      </c>
      <c r="L573">
        <v>24.77</v>
      </c>
      <c r="M573">
        <v>10.67</v>
      </c>
      <c r="N573" s="7">
        <f t="shared" si="34"/>
        <v>4.816390265E-2</v>
      </c>
      <c r="O573" s="7">
        <f t="shared" si="35"/>
        <v>0.51390884127549996</v>
      </c>
      <c r="P573">
        <v>100</v>
      </c>
      <c r="Q573">
        <v>4.5</v>
      </c>
      <c r="R573">
        <v>3</v>
      </c>
      <c r="S573">
        <v>4</v>
      </c>
      <c r="T573">
        <v>3</v>
      </c>
      <c r="U573">
        <v>2</v>
      </c>
      <c r="V573" t="s">
        <v>25</v>
      </c>
    </row>
    <row r="574" spans="1:22" hidden="1" outlineLevel="2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26</v>
      </c>
      <c r="K574">
        <v>2552</v>
      </c>
      <c r="L574">
        <v>16.829999999999998</v>
      </c>
      <c r="M574">
        <v>10.31</v>
      </c>
      <c r="N574" s="7">
        <f t="shared" ref="N574:N593" si="36">3.14/4*((L574/100)^2)</f>
        <v>2.2235038649999993E-2</v>
      </c>
      <c r="O574" s="7">
        <f t="shared" ref="O574:O593" si="37">3.14/4*((L574/100)^2)*M574</f>
        <v>0.22924324848149993</v>
      </c>
      <c r="P574">
        <v>75</v>
      </c>
      <c r="Q574">
        <v>4</v>
      </c>
      <c r="R574">
        <v>3</v>
      </c>
      <c r="S574">
        <v>4</v>
      </c>
      <c r="T574">
        <v>4</v>
      </c>
      <c r="U574">
        <v>3</v>
      </c>
      <c r="V574" t="s">
        <v>27</v>
      </c>
    </row>
    <row r="575" spans="1:22" hidden="1" outlineLevel="2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61</v>
      </c>
      <c r="K575">
        <v>1171</v>
      </c>
      <c r="L575">
        <v>8.4</v>
      </c>
      <c r="M575">
        <v>3.91</v>
      </c>
      <c r="N575" s="7">
        <f t="shared" si="36"/>
        <v>5.5389600000000008E-3</v>
      </c>
      <c r="O575" s="7">
        <f t="shared" si="37"/>
        <v>2.1657333600000005E-2</v>
      </c>
      <c r="P575">
        <v>100</v>
      </c>
      <c r="Q575">
        <v>3</v>
      </c>
      <c r="R575">
        <v>2</v>
      </c>
      <c r="S575">
        <v>1</v>
      </c>
      <c r="T575">
        <v>2</v>
      </c>
      <c r="U575">
        <v>1</v>
      </c>
      <c r="V575" t="s">
        <v>50</v>
      </c>
    </row>
    <row r="576" spans="1:22" hidden="1" outlineLevel="2" x14ac:dyDescent="0.25">
      <c r="A576" t="s">
        <v>86</v>
      </c>
      <c r="B576">
        <v>3</v>
      </c>
      <c r="C576" t="s">
        <v>71</v>
      </c>
      <c r="D576" t="s">
        <v>87</v>
      </c>
      <c r="E576" t="s">
        <v>88</v>
      </c>
      <c r="F576">
        <v>300</v>
      </c>
      <c r="G576">
        <v>1200</v>
      </c>
      <c r="H576">
        <v>-3</v>
      </c>
      <c r="I576">
        <v>1982</v>
      </c>
      <c r="J576" t="s">
        <v>61</v>
      </c>
      <c r="K576">
        <v>2631</v>
      </c>
      <c r="L576">
        <v>5.75</v>
      </c>
      <c r="M576">
        <v>4.26</v>
      </c>
      <c r="N576" s="7">
        <f t="shared" si="36"/>
        <v>2.5954062500000001E-3</v>
      </c>
      <c r="O576" s="7">
        <f t="shared" si="37"/>
        <v>1.1056430625E-2</v>
      </c>
      <c r="P576">
        <v>75</v>
      </c>
      <c r="Q576">
        <v>2</v>
      </c>
      <c r="R576">
        <v>3</v>
      </c>
      <c r="S576">
        <v>2</v>
      </c>
      <c r="T576">
        <v>2</v>
      </c>
      <c r="U576">
        <v>2</v>
      </c>
      <c r="V576" t="s">
        <v>50</v>
      </c>
    </row>
    <row r="577" spans="1:22" hidden="1" outlineLevel="2" x14ac:dyDescent="0.25">
      <c r="A577" t="s">
        <v>86</v>
      </c>
      <c r="B577">
        <v>3</v>
      </c>
      <c r="C577" t="s">
        <v>71</v>
      </c>
      <c r="D577" t="s">
        <v>87</v>
      </c>
      <c r="E577" t="s">
        <v>88</v>
      </c>
      <c r="F577">
        <v>300</v>
      </c>
      <c r="G577">
        <v>1200</v>
      </c>
      <c r="H577">
        <v>-3</v>
      </c>
      <c r="I577">
        <v>1982</v>
      </c>
      <c r="J577" t="s">
        <v>32</v>
      </c>
      <c r="K577">
        <v>1595</v>
      </c>
      <c r="L577">
        <v>16.54</v>
      </c>
      <c r="M577">
        <v>7.23</v>
      </c>
      <c r="N577" s="7">
        <f t="shared" si="36"/>
        <v>2.1475370599999998E-2</v>
      </c>
      <c r="O577" s="7">
        <f t="shared" si="37"/>
        <v>0.155266929438</v>
      </c>
      <c r="P577">
        <v>100</v>
      </c>
      <c r="Q577">
        <v>3</v>
      </c>
      <c r="R577">
        <v>2.5</v>
      </c>
      <c r="S577">
        <v>3</v>
      </c>
      <c r="T577">
        <v>4</v>
      </c>
      <c r="U577">
        <v>2</v>
      </c>
      <c r="V577" t="s">
        <v>25</v>
      </c>
    </row>
    <row r="578" spans="1:22" hidden="1" outlineLevel="2" x14ac:dyDescent="0.25">
      <c r="A578" t="s">
        <v>86</v>
      </c>
      <c r="B578">
        <v>3</v>
      </c>
      <c r="C578" t="s">
        <v>71</v>
      </c>
      <c r="D578" t="s">
        <v>87</v>
      </c>
      <c r="E578" t="s">
        <v>88</v>
      </c>
      <c r="F578">
        <v>300</v>
      </c>
      <c r="G578">
        <v>1200</v>
      </c>
      <c r="H578">
        <v>-3</v>
      </c>
      <c r="I578">
        <v>1982</v>
      </c>
      <c r="J578" t="s">
        <v>32</v>
      </c>
      <c r="K578">
        <v>2569</v>
      </c>
      <c r="L578">
        <v>13.73</v>
      </c>
      <c r="M578">
        <v>7.6</v>
      </c>
      <c r="N578" s="7">
        <f t="shared" si="36"/>
        <v>1.4798262650000003E-2</v>
      </c>
      <c r="O578" s="7">
        <f t="shared" si="37"/>
        <v>0.11246679614000002</v>
      </c>
      <c r="P578">
        <v>75</v>
      </c>
      <c r="Q578">
        <v>2.5</v>
      </c>
      <c r="R578">
        <v>2</v>
      </c>
      <c r="S578">
        <v>3</v>
      </c>
      <c r="T578">
        <v>3</v>
      </c>
      <c r="U578">
        <v>3</v>
      </c>
      <c r="V578" t="s">
        <v>38</v>
      </c>
    </row>
    <row r="579" spans="1:22" hidden="1" outlineLevel="2" x14ac:dyDescent="0.25">
      <c r="A579" t="s">
        <v>86</v>
      </c>
      <c r="B579">
        <v>3</v>
      </c>
      <c r="C579" t="s">
        <v>71</v>
      </c>
      <c r="D579" t="s">
        <v>87</v>
      </c>
      <c r="E579" t="s">
        <v>88</v>
      </c>
      <c r="F579">
        <v>300</v>
      </c>
      <c r="G579">
        <v>1200</v>
      </c>
      <c r="H579">
        <v>-3</v>
      </c>
      <c r="I579">
        <v>1982</v>
      </c>
      <c r="J579" t="s">
        <v>32</v>
      </c>
      <c r="K579">
        <v>2634</v>
      </c>
      <c r="L579">
        <v>16.3</v>
      </c>
      <c r="M579">
        <v>7.84</v>
      </c>
      <c r="N579" s="7">
        <f t="shared" si="36"/>
        <v>2.0856665000000003E-2</v>
      </c>
      <c r="O579" s="7">
        <f t="shared" si="37"/>
        <v>0.16351625360000002</v>
      </c>
      <c r="P579">
        <v>100</v>
      </c>
      <c r="Q579">
        <v>3</v>
      </c>
      <c r="R579">
        <v>3</v>
      </c>
      <c r="S579">
        <v>3</v>
      </c>
      <c r="T579">
        <v>3</v>
      </c>
      <c r="U579">
        <v>3</v>
      </c>
      <c r="V579" t="s">
        <v>38</v>
      </c>
    </row>
    <row r="580" spans="1:22" hidden="1" outlineLevel="2" x14ac:dyDescent="0.25">
      <c r="A580" t="s">
        <v>86</v>
      </c>
      <c r="B580">
        <v>3</v>
      </c>
      <c r="C580" t="s">
        <v>71</v>
      </c>
      <c r="D580" t="s">
        <v>87</v>
      </c>
      <c r="E580" t="s">
        <v>88</v>
      </c>
      <c r="F580">
        <v>300</v>
      </c>
      <c r="G580">
        <v>1200</v>
      </c>
      <c r="H580">
        <v>-3</v>
      </c>
      <c r="I580">
        <v>1982</v>
      </c>
      <c r="J580" t="s">
        <v>32</v>
      </c>
      <c r="K580">
        <v>2635</v>
      </c>
      <c r="L580">
        <v>13.73</v>
      </c>
      <c r="M580">
        <v>8.58</v>
      </c>
      <c r="N580" s="7">
        <f t="shared" si="36"/>
        <v>1.4798262650000003E-2</v>
      </c>
      <c r="O580" s="7">
        <f t="shared" si="37"/>
        <v>0.12696909353700003</v>
      </c>
      <c r="P580">
        <v>75</v>
      </c>
      <c r="Q580">
        <v>3</v>
      </c>
      <c r="R580">
        <v>3</v>
      </c>
      <c r="S580">
        <v>3</v>
      </c>
      <c r="T580">
        <v>3</v>
      </c>
      <c r="U580">
        <v>3</v>
      </c>
      <c r="V580" t="s">
        <v>38</v>
      </c>
    </row>
    <row r="581" spans="1:22" hidden="1" outlineLevel="2" x14ac:dyDescent="0.25">
      <c r="A581" t="s">
        <v>86</v>
      </c>
      <c r="B581">
        <v>3</v>
      </c>
      <c r="C581" t="s">
        <v>71</v>
      </c>
      <c r="D581" t="s">
        <v>87</v>
      </c>
      <c r="E581" t="s">
        <v>88</v>
      </c>
      <c r="F581">
        <v>300</v>
      </c>
      <c r="G581">
        <v>1200</v>
      </c>
      <c r="H581">
        <v>-3</v>
      </c>
      <c r="I581">
        <v>1982</v>
      </c>
      <c r="J581" t="s">
        <v>34</v>
      </c>
      <c r="K581">
        <v>2570</v>
      </c>
      <c r="L581">
        <v>16.93</v>
      </c>
      <c r="M581">
        <v>8.1</v>
      </c>
      <c r="N581" s="7">
        <f t="shared" si="36"/>
        <v>2.2500054650000004E-2</v>
      </c>
      <c r="O581" s="7">
        <f t="shared" si="37"/>
        <v>0.18225044266500001</v>
      </c>
      <c r="P581">
        <v>75</v>
      </c>
      <c r="Q581">
        <v>2.5</v>
      </c>
      <c r="R581">
        <v>2</v>
      </c>
      <c r="S581">
        <v>2.5</v>
      </c>
      <c r="T581">
        <v>2.5</v>
      </c>
      <c r="U581">
        <v>2</v>
      </c>
      <c r="V581" t="s">
        <v>38</v>
      </c>
    </row>
    <row r="582" spans="1:22" hidden="1" outlineLevel="2" x14ac:dyDescent="0.25">
      <c r="A582" t="s">
        <v>86</v>
      </c>
      <c r="B582">
        <v>3</v>
      </c>
      <c r="C582" t="s">
        <v>71</v>
      </c>
      <c r="D582" t="s">
        <v>87</v>
      </c>
      <c r="E582" t="s">
        <v>88</v>
      </c>
      <c r="F582">
        <v>300</v>
      </c>
      <c r="G582">
        <v>1200</v>
      </c>
      <c r="H582">
        <v>-3</v>
      </c>
      <c r="I582">
        <v>1982</v>
      </c>
      <c r="J582" t="s">
        <v>35</v>
      </c>
      <c r="K582">
        <v>1788</v>
      </c>
      <c r="L582">
        <v>2.68</v>
      </c>
      <c r="M582">
        <v>2.33</v>
      </c>
      <c r="N582" s="7">
        <f t="shared" si="36"/>
        <v>5.6381840000000014E-4</v>
      </c>
      <c r="O582" s="7">
        <f t="shared" si="37"/>
        <v>1.3136968720000005E-3</v>
      </c>
      <c r="P582">
        <v>75</v>
      </c>
      <c r="Q582">
        <v>1</v>
      </c>
      <c r="R582">
        <v>1.5</v>
      </c>
      <c r="S582">
        <v>2</v>
      </c>
      <c r="T582">
        <v>2</v>
      </c>
      <c r="U582">
        <v>2</v>
      </c>
      <c r="V582" t="s">
        <v>50</v>
      </c>
    </row>
    <row r="583" spans="1:22" hidden="1" outlineLevel="2" x14ac:dyDescent="0.25">
      <c r="A583" t="s">
        <v>86</v>
      </c>
      <c r="B583">
        <v>3</v>
      </c>
      <c r="C583" t="s">
        <v>71</v>
      </c>
      <c r="D583" t="s">
        <v>87</v>
      </c>
      <c r="E583" t="s">
        <v>88</v>
      </c>
      <c r="F583">
        <v>300</v>
      </c>
      <c r="G583">
        <v>1200</v>
      </c>
      <c r="H583">
        <v>-3</v>
      </c>
      <c r="I583">
        <v>1982</v>
      </c>
      <c r="J583" t="s">
        <v>35</v>
      </c>
      <c r="K583">
        <v>1259</v>
      </c>
      <c r="L583">
        <v>11.66</v>
      </c>
      <c r="M583">
        <v>6.18</v>
      </c>
      <c r="N583" s="7">
        <f t="shared" si="36"/>
        <v>1.06725146E-2</v>
      </c>
      <c r="O583" s="7">
        <f t="shared" si="37"/>
        <v>6.5956140228000004E-2</v>
      </c>
      <c r="P583">
        <v>75</v>
      </c>
      <c r="Q583">
        <v>3</v>
      </c>
      <c r="R583">
        <v>2</v>
      </c>
      <c r="S583">
        <v>3</v>
      </c>
      <c r="T583">
        <v>3</v>
      </c>
      <c r="U583">
        <v>3</v>
      </c>
      <c r="V583" t="s">
        <v>38</v>
      </c>
    </row>
    <row r="584" spans="1:22" hidden="1" outlineLevel="2" x14ac:dyDescent="0.25">
      <c r="A584" t="s">
        <v>86</v>
      </c>
      <c r="B584">
        <v>3</v>
      </c>
      <c r="C584" t="s">
        <v>71</v>
      </c>
      <c r="D584" t="s">
        <v>87</v>
      </c>
      <c r="E584" t="s">
        <v>88</v>
      </c>
      <c r="F584">
        <v>300</v>
      </c>
      <c r="G584">
        <v>1200</v>
      </c>
      <c r="H584">
        <v>-3</v>
      </c>
      <c r="I584">
        <v>1982</v>
      </c>
      <c r="J584" t="s">
        <v>35</v>
      </c>
      <c r="K584">
        <v>1785</v>
      </c>
      <c r="L584">
        <v>3.03</v>
      </c>
      <c r="M584">
        <v>1.75</v>
      </c>
      <c r="N584" s="7">
        <f t="shared" si="36"/>
        <v>7.207006499999998E-4</v>
      </c>
      <c r="O584" s="7">
        <f t="shared" si="37"/>
        <v>1.2612261374999997E-3</v>
      </c>
      <c r="P584">
        <v>75</v>
      </c>
      <c r="Q584">
        <v>1</v>
      </c>
      <c r="R584">
        <v>2</v>
      </c>
      <c r="S584">
        <v>2</v>
      </c>
      <c r="T584">
        <v>2</v>
      </c>
      <c r="U584">
        <v>2</v>
      </c>
      <c r="V584" t="s">
        <v>50</v>
      </c>
    </row>
    <row r="585" spans="1:22" hidden="1" outlineLevel="2" x14ac:dyDescent="0.25">
      <c r="A585" t="s">
        <v>86</v>
      </c>
      <c r="B585">
        <v>3</v>
      </c>
      <c r="C585" t="s">
        <v>71</v>
      </c>
      <c r="D585" t="s">
        <v>87</v>
      </c>
      <c r="E585" t="s">
        <v>88</v>
      </c>
      <c r="F585">
        <v>300</v>
      </c>
      <c r="G585">
        <v>1200</v>
      </c>
      <c r="H585">
        <v>-3</v>
      </c>
      <c r="I585">
        <v>1982</v>
      </c>
      <c r="J585" t="s">
        <v>35</v>
      </c>
      <c r="K585">
        <v>2571</v>
      </c>
      <c r="L585">
        <v>6.41</v>
      </c>
      <c r="M585">
        <v>3.26</v>
      </c>
      <c r="N585" s="7">
        <f t="shared" si="36"/>
        <v>3.2254158500000006E-3</v>
      </c>
      <c r="O585" s="7">
        <f t="shared" si="37"/>
        <v>1.0514855671000002E-2</v>
      </c>
      <c r="P585">
        <v>75</v>
      </c>
      <c r="Q585">
        <v>2</v>
      </c>
      <c r="R585">
        <v>2</v>
      </c>
      <c r="S585">
        <v>2</v>
      </c>
      <c r="T585">
        <v>2</v>
      </c>
      <c r="U585">
        <v>2</v>
      </c>
      <c r="V585" t="s">
        <v>30</v>
      </c>
    </row>
    <row r="586" spans="1:22" hidden="1" outlineLevel="2" x14ac:dyDescent="0.25">
      <c r="A586" t="s">
        <v>86</v>
      </c>
      <c r="B586">
        <v>3</v>
      </c>
      <c r="C586" t="s">
        <v>71</v>
      </c>
      <c r="D586" t="s">
        <v>87</v>
      </c>
      <c r="E586" t="s">
        <v>88</v>
      </c>
      <c r="F586">
        <v>300</v>
      </c>
      <c r="G586">
        <v>1200</v>
      </c>
      <c r="H586">
        <v>-3</v>
      </c>
      <c r="I586">
        <v>1982</v>
      </c>
      <c r="J586" t="s">
        <v>36</v>
      </c>
      <c r="K586">
        <v>2573</v>
      </c>
      <c r="L586">
        <v>10.78</v>
      </c>
      <c r="M586">
        <v>6.62</v>
      </c>
      <c r="N586" s="7">
        <f t="shared" si="36"/>
        <v>9.1223593999999984E-3</v>
      </c>
      <c r="O586" s="7">
        <f t="shared" si="37"/>
        <v>6.039001922799999E-2</v>
      </c>
      <c r="P586">
        <v>100</v>
      </c>
      <c r="Q586">
        <v>2.5</v>
      </c>
      <c r="R586">
        <v>4</v>
      </c>
      <c r="S586">
        <v>3</v>
      </c>
      <c r="T586">
        <v>3</v>
      </c>
      <c r="U586">
        <v>2</v>
      </c>
      <c r="V586" t="s">
        <v>38</v>
      </c>
    </row>
    <row r="587" spans="1:22" hidden="1" outlineLevel="2" x14ac:dyDescent="0.25">
      <c r="A587" t="s">
        <v>86</v>
      </c>
      <c r="B587">
        <v>3</v>
      </c>
      <c r="C587" t="s">
        <v>71</v>
      </c>
      <c r="D587" t="s">
        <v>87</v>
      </c>
      <c r="E587" t="s">
        <v>88</v>
      </c>
      <c r="F587">
        <v>300</v>
      </c>
      <c r="G587">
        <v>1200</v>
      </c>
      <c r="H587">
        <v>-3</v>
      </c>
      <c r="I587">
        <v>1982</v>
      </c>
      <c r="J587" t="s">
        <v>62</v>
      </c>
      <c r="K587">
        <v>2550</v>
      </c>
      <c r="L587">
        <v>14.59</v>
      </c>
      <c r="M587">
        <v>8.68</v>
      </c>
      <c r="N587" s="7">
        <f t="shared" si="36"/>
        <v>1.671014585E-2</v>
      </c>
      <c r="O587" s="7">
        <f t="shared" si="37"/>
        <v>0.14504406597799999</v>
      </c>
      <c r="P587">
        <v>100</v>
      </c>
      <c r="Q587">
        <v>3</v>
      </c>
      <c r="R587">
        <v>2</v>
      </c>
      <c r="S587">
        <v>4</v>
      </c>
      <c r="T587">
        <v>3</v>
      </c>
      <c r="U587">
        <v>3</v>
      </c>
      <c r="V587" t="s">
        <v>38</v>
      </c>
    </row>
    <row r="588" spans="1:22" hidden="1" outlineLevel="2" x14ac:dyDescent="0.25">
      <c r="A588" t="s">
        <v>86</v>
      </c>
      <c r="B588">
        <v>3</v>
      </c>
      <c r="C588" t="s">
        <v>71</v>
      </c>
      <c r="D588" t="s">
        <v>87</v>
      </c>
      <c r="E588" t="s">
        <v>88</v>
      </c>
      <c r="F588">
        <v>300</v>
      </c>
      <c r="G588">
        <v>1200</v>
      </c>
      <c r="H588">
        <v>-3</v>
      </c>
      <c r="I588">
        <v>1982</v>
      </c>
      <c r="J588" t="s">
        <v>62</v>
      </c>
      <c r="K588">
        <v>1352</v>
      </c>
      <c r="L588">
        <v>17.95</v>
      </c>
      <c r="M588">
        <v>13.09</v>
      </c>
      <c r="N588" s="7">
        <f t="shared" si="36"/>
        <v>2.5292896249999999E-2</v>
      </c>
      <c r="O588" s="7">
        <f t="shared" si="37"/>
        <v>0.33108401191249998</v>
      </c>
      <c r="P588">
        <v>75</v>
      </c>
      <c r="Q588">
        <v>4</v>
      </c>
      <c r="R588">
        <v>3</v>
      </c>
      <c r="S588">
        <v>4</v>
      </c>
      <c r="T588">
        <v>3.5</v>
      </c>
      <c r="U588">
        <v>3</v>
      </c>
      <c r="V588" t="s">
        <v>25</v>
      </c>
    </row>
    <row r="589" spans="1:22" hidden="1" outlineLevel="2" x14ac:dyDescent="0.25">
      <c r="A589" t="s">
        <v>86</v>
      </c>
      <c r="B589">
        <v>3</v>
      </c>
      <c r="C589" t="s">
        <v>71</v>
      </c>
      <c r="D589" t="s">
        <v>87</v>
      </c>
      <c r="E589" t="s">
        <v>88</v>
      </c>
      <c r="F589">
        <v>300</v>
      </c>
      <c r="G589">
        <v>1200</v>
      </c>
      <c r="H589">
        <v>-3</v>
      </c>
      <c r="I589">
        <v>1982</v>
      </c>
      <c r="J589" t="s">
        <v>62</v>
      </c>
      <c r="K589">
        <v>2432</v>
      </c>
      <c r="L589">
        <v>18.87</v>
      </c>
      <c r="M589">
        <v>14.24</v>
      </c>
      <c r="N589" s="7">
        <f t="shared" si="36"/>
        <v>2.7952036650000005E-2</v>
      </c>
      <c r="O589" s="7">
        <f t="shared" si="37"/>
        <v>0.39803700189600005</v>
      </c>
      <c r="P589">
        <v>75</v>
      </c>
      <c r="Q589">
        <v>5</v>
      </c>
      <c r="R589">
        <v>3</v>
      </c>
      <c r="S589">
        <v>5</v>
      </c>
      <c r="T589">
        <v>4</v>
      </c>
      <c r="U589">
        <v>4.5</v>
      </c>
      <c r="V589" t="s">
        <v>27</v>
      </c>
    </row>
    <row r="590" spans="1:22" hidden="1" outlineLevel="2" x14ac:dyDescent="0.25">
      <c r="A590" t="s">
        <v>86</v>
      </c>
      <c r="B590">
        <v>3</v>
      </c>
      <c r="C590" t="s">
        <v>71</v>
      </c>
      <c r="D590" t="s">
        <v>87</v>
      </c>
      <c r="E590" t="s">
        <v>88</v>
      </c>
      <c r="F590">
        <v>300</v>
      </c>
      <c r="G590">
        <v>1200</v>
      </c>
      <c r="H590">
        <v>-3</v>
      </c>
      <c r="I590">
        <v>1982</v>
      </c>
      <c r="J590" t="s">
        <v>62</v>
      </c>
      <c r="K590">
        <v>2553</v>
      </c>
      <c r="L590">
        <v>17.72</v>
      </c>
      <c r="M590">
        <v>11.93</v>
      </c>
      <c r="N590" s="7">
        <f t="shared" si="36"/>
        <v>2.46488744E-2</v>
      </c>
      <c r="O590" s="7">
        <f t="shared" si="37"/>
        <v>0.29406107159200001</v>
      </c>
      <c r="P590">
        <v>75</v>
      </c>
      <c r="Q590">
        <v>4</v>
      </c>
      <c r="R590">
        <v>3</v>
      </c>
      <c r="S590">
        <v>5</v>
      </c>
      <c r="T590">
        <v>4</v>
      </c>
      <c r="U590">
        <v>4</v>
      </c>
      <c r="V590" t="s">
        <v>27</v>
      </c>
    </row>
    <row r="591" spans="1:22" hidden="1" outlineLevel="2" x14ac:dyDescent="0.25">
      <c r="A591" t="s">
        <v>86</v>
      </c>
      <c r="B591">
        <v>3</v>
      </c>
      <c r="C591" t="s">
        <v>71</v>
      </c>
      <c r="D591" t="s">
        <v>87</v>
      </c>
      <c r="E591" t="s">
        <v>88</v>
      </c>
      <c r="F591">
        <v>300</v>
      </c>
      <c r="G591">
        <v>1200</v>
      </c>
      <c r="H591">
        <v>-3</v>
      </c>
      <c r="I591">
        <v>1982</v>
      </c>
      <c r="J591" t="s">
        <v>62</v>
      </c>
      <c r="K591">
        <v>2574</v>
      </c>
      <c r="L591">
        <v>13.55</v>
      </c>
      <c r="M591">
        <v>9.26</v>
      </c>
      <c r="N591" s="7">
        <f t="shared" si="36"/>
        <v>1.4412796250000002E-2</v>
      </c>
      <c r="O591" s="7">
        <f t="shared" si="37"/>
        <v>0.13346249327500001</v>
      </c>
      <c r="P591">
        <v>75</v>
      </c>
      <c r="Q591">
        <v>3</v>
      </c>
      <c r="R591">
        <v>3</v>
      </c>
      <c r="S591">
        <v>4</v>
      </c>
      <c r="T591">
        <v>4</v>
      </c>
      <c r="U591">
        <v>3.5</v>
      </c>
      <c r="V591" t="s">
        <v>25</v>
      </c>
    </row>
    <row r="592" spans="1:22" hidden="1" outlineLevel="2" x14ac:dyDescent="0.25">
      <c r="A592" t="s">
        <v>86</v>
      </c>
      <c r="B592">
        <v>3</v>
      </c>
      <c r="C592" t="s">
        <v>71</v>
      </c>
      <c r="D592" t="s">
        <v>87</v>
      </c>
      <c r="E592" t="s">
        <v>88</v>
      </c>
      <c r="F592">
        <v>300</v>
      </c>
      <c r="G592">
        <v>1200</v>
      </c>
      <c r="H592">
        <v>-3</v>
      </c>
      <c r="I592">
        <v>1982</v>
      </c>
      <c r="J592" t="s">
        <v>37</v>
      </c>
      <c r="K592">
        <v>2575</v>
      </c>
      <c r="L592">
        <v>9.6300000000000008</v>
      </c>
      <c r="M592">
        <v>5.1100000000000003</v>
      </c>
      <c r="N592" s="7">
        <f t="shared" si="36"/>
        <v>7.2798466500000021E-3</v>
      </c>
      <c r="O592" s="7">
        <f t="shared" si="37"/>
        <v>3.7200016381500015E-2</v>
      </c>
      <c r="P592">
        <v>50</v>
      </c>
      <c r="Q592">
        <v>1</v>
      </c>
      <c r="R592">
        <v>0.5</v>
      </c>
      <c r="S592">
        <v>2</v>
      </c>
      <c r="T592">
        <v>2</v>
      </c>
      <c r="U592">
        <v>2</v>
      </c>
      <c r="V592" t="s">
        <v>50</v>
      </c>
    </row>
    <row r="593" spans="1:22" hidden="1" outlineLevel="2" x14ac:dyDescent="0.25">
      <c r="A593" t="s">
        <v>86</v>
      </c>
      <c r="B593">
        <v>3</v>
      </c>
      <c r="C593" t="s">
        <v>71</v>
      </c>
      <c r="D593" t="s">
        <v>87</v>
      </c>
      <c r="E593" t="s">
        <v>88</v>
      </c>
      <c r="F593">
        <v>300</v>
      </c>
      <c r="G593">
        <v>1200</v>
      </c>
      <c r="H593">
        <v>-3</v>
      </c>
      <c r="I593">
        <v>1982</v>
      </c>
      <c r="J593" t="s">
        <v>63</v>
      </c>
      <c r="K593">
        <v>1340</v>
      </c>
      <c r="L593">
        <v>2.63</v>
      </c>
      <c r="M593">
        <v>2.39</v>
      </c>
      <c r="N593" s="7">
        <f t="shared" si="36"/>
        <v>5.4297665000000003E-4</v>
      </c>
      <c r="O593" s="7">
        <f t="shared" si="37"/>
        <v>1.2977141935E-3</v>
      </c>
      <c r="P593">
        <v>50</v>
      </c>
      <c r="Q593">
        <v>1</v>
      </c>
      <c r="R593">
        <v>1.5</v>
      </c>
      <c r="S593">
        <v>1</v>
      </c>
      <c r="T593">
        <v>2</v>
      </c>
      <c r="U593">
        <v>2</v>
      </c>
      <c r="V593" t="s">
        <v>50</v>
      </c>
    </row>
    <row r="594" spans="1:22" outlineLevel="1" collapsed="1" x14ac:dyDescent="0.25">
      <c r="G594" s="5" t="s">
        <v>113</v>
      </c>
      <c r="K594">
        <f>SUBTOTAL(4,K510:K593)</f>
        <v>2638</v>
      </c>
      <c r="L594">
        <f>SUBTOTAL(4,L510:L593)</f>
        <v>24.77</v>
      </c>
      <c r="M594">
        <f>SUBTOTAL(4,M510:M593)</f>
        <v>14.24</v>
      </c>
      <c r="N594" s="7">
        <f>SUBTOTAL(4,N510:N593)</f>
        <v>4.816390265E-2</v>
      </c>
      <c r="O594" s="7">
        <f>SUBTOTAL(4,O510:O593)</f>
        <v>0.51390884127549996</v>
      </c>
      <c r="V594">
        <f>SUBTOTAL(4,V510:V593)</f>
        <v>0</v>
      </c>
    </row>
    <row r="595" spans="1:22" hidden="1" outlineLevel="2" x14ac:dyDescent="0.25">
      <c r="A595" t="s">
        <v>77</v>
      </c>
      <c r="B595">
        <v>1</v>
      </c>
      <c r="C595" t="s">
        <v>47</v>
      </c>
      <c r="D595" t="s">
        <v>78</v>
      </c>
      <c r="E595" t="s">
        <v>79</v>
      </c>
      <c r="F595">
        <v>150</v>
      </c>
      <c r="G595">
        <v>1250</v>
      </c>
      <c r="H595">
        <v>-3</v>
      </c>
      <c r="I595">
        <v>1983</v>
      </c>
      <c r="J595" t="s">
        <v>76</v>
      </c>
      <c r="K595">
        <v>1592</v>
      </c>
      <c r="L595">
        <v>24.24</v>
      </c>
      <c r="M595">
        <v>17.899999999999999</v>
      </c>
      <c r="N595" s="7">
        <f t="shared" ref="N595:N626" si="38">3.14/4*((L595/100)^2)</f>
        <v>4.6124841599999987E-2</v>
      </c>
      <c r="O595" s="7">
        <f t="shared" ref="O595:O626" si="39">3.14/4*((L595/100)^2)*M595</f>
        <v>0.82563466463999968</v>
      </c>
      <c r="P595">
        <v>38</v>
      </c>
      <c r="Q595">
        <v>3.5</v>
      </c>
      <c r="R595">
        <v>3.5</v>
      </c>
      <c r="S595">
        <v>3</v>
      </c>
      <c r="T595">
        <v>3.3</v>
      </c>
      <c r="U595">
        <v>2.5</v>
      </c>
      <c r="V595" t="s">
        <v>25</v>
      </c>
    </row>
    <row r="596" spans="1:22" hidden="1" outlineLevel="2" x14ac:dyDescent="0.25">
      <c r="A596" t="s">
        <v>77</v>
      </c>
      <c r="B596">
        <v>1</v>
      </c>
      <c r="C596" t="s">
        <v>47</v>
      </c>
      <c r="D596" t="s">
        <v>78</v>
      </c>
      <c r="E596" t="s">
        <v>79</v>
      </c>
      <c r="F596">
        <v>150</v>
      </c>
      <c r="G596">
        <v>1250</v>
      </c>
      <c r="H596">
        <v>-3</v>
      </c>
      <c r="I596">
        <v>1983</v>
      </c>
      <c r="J596" t="s">
        <v>76</v>
      </c>
      <c r="K596">
        <v>2560</v>
      </c>
      <c r="L596">
        <v>20.239999999999998</v>
      </c>
      <c r="M596">
        <v>14.6</v>
      </c>
      <c r="N596" s="7">
        <f t="shared" si="38"/>
        <v>3.2158121599999999E-2</v>
      </c>
      <c r="O596" s="7">
        <f t="shared" si="39"/>
        <v>0.46950857535999996</v>
      </c>
      <c r="P596">
        <v>63</v>
      </c>
      <c r="Q596">
        <v>3</v>
      </c>
      <c r="R596">
        <v>3.5</v>
      </c>
      <c r="S596">
        <v>3</v>
      </c>
      <c r="T596">
        <v>3.7</v>
      </c>
      <c r="U596">
        <v>2.5</v>
      </c>
      <c r="V596" t="s">
        <v>25</v>
      </c>
    </row>
    <row r="597" spans="1:22" hidden="1" outlineLevel="2" x14ac:dyDescent="0.25">
      <c r="A597" t="s">
        <v>77</v>
      </c>
      <c r="B597">
        <v>1</v>
      </c>
      <c r="C597" t="s">
        <v>47</v>
      </c>
      <c r="D597" t="s">
        <v>78</v>
      </c>
      <c r="E597" t="s">
        <v>79</v>
      </c>
      <c r="F597">
        <v>150</v>
      </c>
      <c r="G597">
        <v>1250</v>
      </c>
      <c r="H597">
        <v>-3</v>
      </c>
      <c r="I597">
        <v>1983</v>
      </c>
      <c r="J597" t="s">
        <v>24</v>
      </c>
      <c r="K597">
        <v>2562</v>
      </c>
      <c r="L597">
        <v>17.399999999999999</v>
      </c>
      <c r="M597">
        <v>14.14</v>
      </c>
      <c r="N597" s="7">
        <f t="shared" si="38"/>
        <v>2.3766659999999998E-2</v>
      </c>
      <c r="O597" s="7">
        <f t="shared" si="39"/>
        <v>0.33606057239999998</v>
      </c>
      <c r="P597">
        <v>63</v>
      </c>
      <c r="Q597">
        <v>3.5</v>
      </c>
      <c r="R597">
        <v>4</v>
      </c>
      <c r="S597">
        <v>3.7</v>
      </c>
      <c r="T597">
        <v>4</v>
      </c>
      <c r="U597">
        <v>3.5</v>
      </c>
      <c r="V597" t="s">
        <v>25</v>
      </c>
    </row>
    <row r="598" spans="1:22" hidden="1" outlineLevel="2" x14ac:dyDescent="0.25">
      <c r="A598" t="s">
        <v>77</v>
      </c>
      <c r="B598">
        <v>1</v>
      </c>
      <c r="C598" t="s">
        <v>47</v>
      </c>
      <c r="D598" t="s">
        <v>78</v>
      </c>
      <c r="E598" t="s">
        <v>79</v>
      </c>
      <c r="F598">
        <v>150</v>
      </c>
      <c r="G598">
        <v>1250</v>
      </c>
      <c r="H598">
        <v>-3</v>
      </c>
      <c r="I598">
        <v>1983</v>
      </c>
      <c r="J598" t="s">
        <v>80</v>
      </c>
      <c r="K598">
        <v>1252</v>
      </c>
      <c r="L598">
        <v>17.36</v>
      </c>
      <c r="M598">
        <v>15.64</v>
      </c>
      <c r="N598" s="7">
        <f t="shared" si="38"/>
        <v>2.3657513600000003E-2</v>
      </c>
      <c r="O598" s="7">
        <f t="shared" si="39"/>
        <v>0.37000351270400006</v>
      </c>
      <c r="P598">
        <v>50</v>
      </c>
      <c r="Q598">
        <v>3.5</v>
      </c>
      <c r="R598">
        <v>3.5</v>
      </c>
      <c r="S598">
        <v>2.5</v>
      </c>
      <c r="T598">
        <v>2.5</v>
      </c>
      <c r="U598">
        <v>2.5</v>
      </c>
      <c r="V598" t="s">
        <v>38</v>
      </c>
    </row>
    <row r="599" spans="1:22" hidden="1" outlineLevel="2" x14ac:dyDescent="0.25">
      <c r="A599" t="s">
        <v>77</v>
      </c>
      <c r="B599">
        <v>1</v>
      </c>
      <c r="C599" t="s">
        <v>47</v>
      </c>
      <c r="D599" t="s">
        <v>78</v>
      </c>
      <c r="E599" t="s">
        <v>79</v>
      </c>
      <c r="F599">
        <v>150</v>
      </c>
      <c r="G599">
        <v>1250</v>
      </c>
      <c r="H599">
        <v>-3</v>
      </c>
      <c r="I599">
        <v>1983</v>
      </c>
      <c r="J599" t="s">
        <v>59</v>
      </c>
      <c r="K599">
        <v>2548</v>
      </c>
      <c r="L599">
        <v>41.04</v>
      </c>
      <c r="M599">
        <v>16.600000000000001</v>
      </c>
      <c r="N599" s="7">
        <f t="shared" si="38"/>
        <v>0.13221610559999999</v>
      </c>
      <c r="O599" s="7">
        <f t="shared" si="39"/>
        <v>2.1947873529600002</v>
      </c>
      <c r="P599">
        <v>50</v>
      </c>
      <c r="Q599">
        <v>3.3</v>
      </c>
      <c r="R599">
        <v>3</v>
      </c>
      <c r="S599">
        <v>2</v>
      </c>
      <c r="T599">
        <v>1.5</v>
      </c>
      <c r="U599">
        <v>1.5</v>
      </c>
      <c r="V599" t="s">
        <v>25</v>
      </c>
    </row>
    <row r="600" spans="1:22" hidden="1" outlineLevel="2" x14ac:dyDescent="0.25">
      <c r="A600" t="s">
        <v>77</v>
      </c>
      <c r="B600">
        <v>1</v>
      </c>
      <c r="C600" t="s">
        <v>47</v>
      </c>
      <c r="D600" t="s">
        <v>78</v>
      </c>
      <c r="E600" t="s">
        <v>79</v>
      </c>
      <c r="F600">
        <v>150</v>
      </c>
      <c r="G600">
        <v>1250</v>
      </c>
      <c r="H600">
        <v>-3</v>
      </c>
      <c r="I600">
        <v>1983</v>
      </c>
      <c r="J600" t="s">
        <v>32</v>
      </c>
      <c r="K600">
        <v>1596</v>
      </c>
      <c r="L600">
        <v>15.02</v>
      </c>
      <c r="M600">
        <v>9.92</v>
      </c>
      <c r="N600" s="7">
        <f t="shared" si="38"/>
        <v>1.7709631400000002E-2</v>
      </c>
      <c r="O600" s="7">
        <f t="shared" si="39"/>
        <v>0.17567954348800002</v>
      </c>
      <c r="P600">
        <v>100</v>
      </c>
      <c r="Q600">
        <v>3.5</v>
      </c>
      <c r="R600">
        <v>4</v>
      </c>
      <c r="S600">
        <v>2.7</v>
      </c>
      <c r="T600">
        <v>4</v>
      </c>
      <c r="U600">
        <v>2.5</v>
      </c>
      <c r="V600" t="s">
        <v>25</v>
      </c>
    </row>
    <row r="601" spans="1:22" hidden="1" outlineLevel="2" x14ac:dyDescent="0.25">
      <c r="A601" t="s">
        <v>77</v>
      </c>
      <c r="B601">
        <v>1</v>
      </c>
      <c r="C601" t="s">
        <v>47</v>
      </c>
      <c r="D601" t="s">
        <v>78</v>
      </c>
      <c r="E601" t="s">
        <v>79</v>
      </c>
      <c r="F601">
        <v>150</v>
      </c>
      <c r="G601">
        <v>1250</v>
      </c>
      <c r="H601">
        <v>-3</v>
      </c>
      <c r="I601">
        <v>1983</v>
      </c>
      <c r="J601" t="s">
        <v>32</v>
      </c>
      <c r="K601">
        <v>2569</v>
      </c>
      <c r="L601">
        <v>17.829999999999998</v>
      </c>
      <c r="M601">
        <v>11.8</v>
      </c>
      <c r="N601" s="7">
        <f t="shared" si="38"/>
        <v>2.4955848649999997E-2</v>
      </c>
      <c r="O601" s="7">
        <f t="shared" si="39"/>
        <v>0.29447901406999999</v>
      </c>
      <c r="P601">
        <v>50</v>
      </c>
      <c r="Q601">
        <v>3</v>
      </c>
      <c r="R601">
        <v>3</v>
      </c>
      <c r="S601">
        <v>3</v>
      </c>
      <c r="T601">
        <v>4</v>
      </c>
      <c r="U601">
        <v>2.5</v>
      </c>
      <c r="V601" t="s">
        <v>25</v>
      </c>
    </row>
    <row r="602" spans="1:22" hidden="1" outlineLevel="2" x14ac:dyDescent="0.25">
      <c r="A602" t="s">
        <v>77</v>
      </c>
      <c r="B602">
        <v>1</v>
      </c>
      <c r="C602" t="s">
        <v>47</v>
      </c>
      <c r="D602" t="s">
        <v>78</v>
      </c>
      <c r="E602" t="s">
        <v>79</v>
      </c>
      <c r="F602">
        <v>150</v>
      </c>
      <c r="G602">
        <v>1250</v>
      </c>
      <c r="H602">
        <v>-3</v>
      </c>
      <c r="I602">
        <v>1983</v>
      </c>
      <c r="J602" t="s">
        <v>33</v>
      </c>
      <c r="K602">
        <v>2547</v>
      </c>
      <c r="L602">
        <v>20.8</v>
      </c>
      <c r="M602">
        <v>10.23</v>
      </c>
      <c r="N602" s="7">
        <f t="shared" si="38"/>
        <v>3.3962240000000012E-2</v>
      </c>
      <c r="O602" s="7">
        <f t="shared" si="39"/>
        <v>0.34743371520000016</v>
      </c>
      <c r="P602">
        <v>13</v>
      </c>
      <c r="Q602">
        <v>3</v>
      </c>
      <c r="R602">
        <v>3</v>
      </c>
      <c r="S602">
        <v>3</v>
      </c>
      <c r="T602">
        <v>2.5</v>
      </c>
      <c r="U602">
        <v>3</v>
      </c>
      <c r="V602" t="s">
        <v>38</v>
      </c>
    </row>
    <row r="603" spans="1:22" hidden="1" outlineLevel="2" x14ac:dyDescent="0.25">
      <c r="A603" t="s">
        <v>77</v>
      </c>
      <c r="B603">
        <v>1</v>
      </c>
      <c r="C603" t="s">
        <v>47</v>
      </c>
      <c r="D603" t="s">
        <v>78</v>
      </c>
      <c r="E603" t="s">
        <v>79</v>
      </c>
      <c r="F603">
        <v>150</v>
      </c>
      <c r="G603">
        <v>1250</v>
      </c>
      <c r="H603">
        <v>-3</v>
      </c>
      <c r="I603">
        <v>1983</v>
      </c>
      <c r="J603" t="s">
        <v>33</v>
      </c>
      <c r="K603">
        <v>2568</v>
      </c>
      <c r="L603">
        <v>24.89</v>
      </c>
      <c r="M603">
        <v>16.71</v>
      </c>
      <c r="N603" s="7">
        <f t="shared" si="38"/>
        <v>4.8631699850000008E-2</v>
      </c>
      <c r="O603" s="7">
        <f t="shared" si="39"/>
        <v>0.8126357044935002</v>
      </c>
      <c r="P603">
        <v>63</v>
      </c>
      <c r="Q603">
        <v>3</v>
      </c>
      <c r="R603">
        <v>2.5</v>
      </c>
      <c r="S603">
        <v>2.7</v>
      </c>
      <c r="T603">
        <v>3</v>
      </c>
      <c r="U603">
        <v>2</v>
      </c>
      <c r="V603" t="s">
        <v>38</v>
      </c>
    </row>
    <row r="604" spans="1:22" hidden="1" outlineLevel="2" x14ac:dyDescent="0.25">
      <c r="A604" t="s">
        <v>77</v>
      </c>
      <c r="B604">
        <v>1</v>
      </c>
      <c r="C604" t="s">
        <v>47</v>
      </c>
      <c r="D604" t="s">
        <v>78</v>
      </c>
      <c r="E604" t="s">
        <v>79</v>
      </c>
      <c r="F604">
        <v>150</v>
      </c>
      <c r="G604">
        <v>1250</v>
      </c>
      <c r="H604">
        <v>-3</v>
      </c>
      <c r="I604">
        <v>1983</v>
      </c>
      <c r="J604" t="s">
        <v>34</v>
      </c>
      <c r="K604">
        <v>1522</v>
      </c>
      <c r="L604">
        <v>19.13</v>
      </c>
      <c r="M604">
        <v>10.66</v>
      </c>
      <c r="N604" s="7">
        <f t="shared" si="38"/>
        <v>2.8727616650000003E-2</v>
      </c>
      <c r="O604" s="7">
        <f t="shared" si="39"/>
        <v>0.30623639348900006</v>
      </c>
      <c r="P604">
        <v>38</v>
      </c>
      <c r="Q604">
        <v>3.5</v>
      </c>
      <c r="R604">
        <v>3</v>
      </c>
      <c r="S604">
        <v>2.5</v>
      </c>
      <c r="T604">
        <v>2.5</v>
      </c>
      <c r="U604">
        <v>2</v>
      </c>
      <c r="V604" t="s">
        <v>25</v>
      </c>
    </row>
    <row r="605" spans="1:22" hidden="1" outlineLevel="2" x14ac:dyDescent="0.25">
      <c r="A605" t="s">
        <v>77</v>
      </c>
      <c r="B605">
        <v>1</v>
      </c>
      <c r="C605" t="s">
        <v>47</v>
      </c>
      <c r="D605" t="s">
        <v>78</v>
      </c>
      <c r="E605" t="s">
        <v>79</v>
      </c>
      <c r="F605">
        <v>150</v>
      </c>
      <c r="G605">
        <v>1250</v>
      </c>
      <c r="H605">
        <v>-3</v>
      </c>
      <c r="I605">
        <v>1983</v>
      </c>
      <c r="J605" t="s">
        <v>34</v>
      </c>
      <c r="K605">
        <v>2570</v>
      </c>
      <c r="L605">
        <v>17.59</v>
      </c>
      <c r="M605">
        <v>12.2</v>
      </c>
      <c r="N605" s="7">
        <f t="shared" si="38"/>
        <v>2.4288535850000001E-2</v>
      </c>
      <c r="O605" s="7">
        <f t="shared" si="39"/>
        <v>0.29632013737000001</v>
      </c>
      <c r="P605">
        <v>50</v>
      </c>
      <c r="Q605">
        <v>3</v>
      </c>
      <c r="R605">
        <v>2.7</v>
      </c>
      <c r="S605">
        <v>3</v>
      </c>
      <c r="T605">
        <v>3.5</v>
      </c>
      <c r="U605">
        <v>2.7</v>
      </c>
      <c r="V605" t="s">
        <v>38</v>
      </c>
    </row>
    <row r="606" spans="1:22" hidden="1" outlineLevel="2" x14ac:dyDescent="0.25">
      <c r="A606" t="s">
        <v>77</v>
      </c>
      <c r="B606">
        <v>1</v>
      </c>
      <c r="C606" t="s">
        <v>47</v>
      </c>
      <c r="D606" t="s">
        <v>78</v>
      </c>
      <c r="E606" t="s">
        <v>79</v>
      </c>
      <c r="F606">
        <v>150</v>
      </c>
      <c r="G606">
        <v>1250</v>
      </c>
      <c r="H606">
        <v>-3</v>
      </c>
      <c r="I606">
        <v>1983</v>
      </c>
      <c r="J606" t="s">
        <v>35</v>
      </c>
      <c r="K606">
        <v>2571</v>
      </c>
      <c r="L606">
        <v>19.350000000000001</v>
      </c>
      <c r="M606">
        <v>17.3</v>
      </c>
      <c r="N606" s="7">
        <f t="shared" si="38"/>
        <v>2.9392166250000004E-2</v>
      </c>
      <c r="O606" s="7">
        <f t="shared" si="39"/>
        <v>0.50848447612500014</v>
      </c>
      <c r="P606">
        <v>50</v>
      </c>
      <c r="Q606">
        <v>2.5</v>
      </c>
      <c r="R606">
        <v>2</v>
      </c>
      <c r="S606">
        <v>3.2</v>
      </c>
      <c r="T606">
        <v>4</v>
      </c>
      <c r="U606">
        <v>4</v>
      </c>
      <c r="V606" t="s">
        <v>38</v>
      </c>
    </row>
    <row r="607" spans="1:22" hidden="1" outlineLevel="2" x14ac:dyDescent="0.25">
      <c r="A607" t="s">
        <v>77</v>
      </c>
      <c r="B607">
        <v>1</v>
      </c>
      <c r="C607" t="s">
        <v>47</v>
      </c>
      <c r="D607" t="s">
        <v>78</v>
      </c>
      <c r="E607" t="s">
        <v>79</v>
      </c>
      <c r="F607">
        <v>150</v>
      </c>
      <c r="G607">
        <v>1250</v>
      </c>
      <c r="H607">
        <v>-3</v>
      </c>
      <c r="I607">
        <v>1983</v>
      </c>
      <c r="J607" t="s">
        <v>36</v>
      </c>
      <c r="K607">
        <v>2573</v>
      </c>
      <c r="L607">
        <v>21.7</v>
      </c>
      <c r="M607">
        <v>17.420000000000002</v>
      </c>
      <c r="N607" s="7">
        <f t="shared" si="38"/>
        <v>3.6964865E-2</v>
      </c>
      <c r="O607" s="7">
        <f t="shared" si="39"/>
        <v>0.64392794830000011</v>
      </c>
      <c r="P607">
        <v>88</v>
      </c>
      <c r="Q607">
        <v>3</v>
      </c>
      <c r="R607">
        <v>3.5</v>
      </c>
      <c r="S607">
        <v>3</v>
      </c>
      <c r="T607">
        <v>3.3</v>
      </c>
      <c r="U607">
        <v>2.2999999999999998</v>
      </c>
      <c r="V607" t="s">
        <v>25</v>
      </c>
    </row>
    <row r="608" spans="1:22" hidden="1" outlineLevel="2" x14ac:dyDescent="0.25">
      <c r="A608" t="s">
        <v>77</v>
      </c>
      <c r="B608">
        <v>1</v>
      </c>
      <c r="C608" t="s">
        <v>47</v>
      </c>
      <c r="D608" t="s">
        <v>78</v>
      </c>
      <c r="E608" t="s">
        <v>79</v>
      </c>
      <c r="F608">
        <v>150</v>
      </c>
      <c r="G608">
        <v>1250</v>
      </c>
      <c r="H608">
        <v>-3</v>
      </c>
      <c r="I608">
        <v>1983</v>
      </c>
      <c r="J608" t="s">
        <v>62</v>
      </c>
      <c r="K608">
        <v>2550</v>
      </c>
      <c r="L608">
        <v>7.84</v>
      </c>
      <c r="M608">
        <v>3.34</v>
      </c>
      <c r="N608" s="7">
        <f t="shared" si="38"/>
        <v>4.8250495999999999E-3</v>
      </c>
      <c r="O608" s="7">
        <f t="shared" si="39"/>
        <v>1.6115665663999999E-2</v>
      </c>
      <c r="P608">
        <v>38</v>
      </c>
      <c r="Q608">
        <v>2</v>
      </c>
      <c r="R608">
        <v>2.2999999999999998</v>
      </c>
      <c r="S608">
        <v>1.5</v>
      </c>
      <c r="T608">
        <v>2</v>
      </c>
      <c r="U608">
        <v>2</v>
      </c>
      <c r="V608" t="s">
        <v>30</v>
      </c>
    </row>
    <row r="609" spans="1:22" hidden="1" outlineLevel="2" x14ac:dyDescent="0.25">
      <c r="A609" t="s">
        <v>77</v>
      </c>
      <c r="B609">
        <v>1</v>
      </c>
      <c r="C609" t="s">
        <v>47</v>
      </c>
      <c r="D609" t="s">
        <v>78</v>
      </c>
      <c r="E609" t="s">
        <v>79</v>
      </c>
      <c r="F609">
        <v>150</v>
      </c>
      <c r="G609">
        <v>1250</v>
      </c>
      <c r="H609">
        <v>-3</v>
      </c>
      <c r="I609">
        <v>1983</v>
      </c>
      <c r="J609" t="s">
        <v>62</v>
      </c>
      <c r="K609">
        <v>2553</v>
      </c>
      <c r="L609">
        <v>25.57</v>
      </c>
      <c r="M609">
        <v>17.43</v>
      </c>
      <c r="N609" s="7">
        <f t="shared" si="38"/>
        <v>5.1325254649999992E-2</v>
      </c>
      <c r="O609" s="7">
        <f t="shared" si="39"/>
        <v>0.89459918854949982</v>
      </c>
      <c r="P609">
        <v>50</v>
      </c>
      <c r="Q609">
        <v>3.7</v>
      </c>
      <c r="R609">
        <v>3</v>
      </c>
      <c r="S609">
        <v>2.7</v>
      </c>
      <c r="T609">
        <v>3</v>
      </c>
      <c r="U609">
        <v>2</v>
      </c>
      <c r="V609" t="s">
        <v>38</v>
      </c>
    </row>
    <row r="610" spans="1:22" hidden="1" outlineLevel="2" x14ac:dyDescent="0.25">
      <c r="A610" t="s">
        <v>77</v>
      </c>
      <c r="B610">
        <v>1</v>
      </c>
      <c r="C610" t="s">
        <v>47</v>
      </c>
      <c r="D610" t="s">
        <v>78</v>
      </c>
      <c r="E610" t="s">
        <v>79</v>
      </c>
      <c r="F610">
        <v>150</v>
      </c>
      <c r="G610">
        <v>1250</v>
      </c>
      <c r="H610">
        <v>-3</v>
      </c>
      <c r="I610">
        <v>1983</v>
      </c>
      <c r="J610" t="s">
        <v>37</v>
      </c>
      <c r="K610">
        <v>2575</v>
      </c>
      <c r="L610">
        <v>6.87</v>
      </c>
      <c r="M610">
        <v>9.4</v>
      </c>
      <c r="N610" s="7">
        <f t="shared" si="38"/>
        <v>3.7049566499999997E-3</v>
      </c>
      <c r="O610" s="7">
        <f t="shared" si="39"/>
        <v>3.4826592509999997E-2</v>
      </c>
      <c r="P610">
        <v>50</v>
      </c>
      <c r="Q610">
        <v>1.5</v>
      </c>
      <c r="R610">
        <v>3</v>
      </c>
      <c r="S610">
        <v>2</v>
      </c>
      <c r="T610">
        <v>2</v>
      </c>
      <c r="U610">
        <v>2</v>
      </c>
      <c r="V610" t="s">
        <v>50</v>
      </c>
    </row>
    <row r="611" spans="1:22" hidden="1" outlineLevel="2" x14ac:dyDescent="0.25">
      <c r="A611" t="s">
        <v>77</v>
      </c>
      <c r="B611">
        <v>1</v>
      </c>
      <c r="C611" t="s">
        <v>47</v>
      </c>
      <c r="D611" t="s">
        <v>78</v>
      </c>
      <c r="E611" t="s">
        <v>79</v>
      </c>
      <c r="F611">
        <v>150</v>
      </c>
      <c r="G611">
        <v>1250</v>
      </c>
      <c r="H611">
        <v>-3</v>
      </c>
      <c r="I611">
        <v>1983</v>
      </c>
      <c r="J611" t="s">
        <v>26</v>
      </c>
      <c r="K611">
        <v>2552</v>
      </c>
      <c r="L611">
        <v>31.87</v>
      </c>
      <c r="M611">
        <v>20.52</v>
      </c>
      <c r="N611" s="7">
        <f t="shared" si="38"/>
        <v>7.9732206649999998E-2</v>
      </c>
      <c r="O611" s="7">
        <f t="shared" si="39"/>
        <v>1.6361048804579998</v>
      </c>
      <c r="P611">
        <v>25</v>
      </c>
      <c r="Q611">
        <v>3.7</v>
      </c>
      <c r="R611">
        <v>3.5</v>
      </c>
      <c r="S611">
        <v>2.5</v>
      </c>
      <c r="T611">
        <v>2.5</v>
      </c>
      <c r="U611">
        <v>1.5</v>
      </c>
      <c r="V611" t="s">
        <v>38</v>
      </c>
    </row>
    <row r="612" spans="1:22" hidden="1" outlineLevel="2" x14ac:dyDescent="0.25">
      <c r="A612" t="s">
        <v>77</v>
      </c>
      <c r="B612">
        <v>1</v>
      </c>
      <c r="C612" t="s">
        <v>47</v>
      </c>
      <c r="D612" t="s">
        <v>78</v>
      </c>
      <c r="E612" t="s">
        <v>79</v>
      </c>
      <c r="F612">
        <v>150</v>
      </c>
      <c r="G612">
        <v>1250</v>
      </c>
      <c r="H612">
        <v>-3</v>
      </c>
      <c r="I612">
        <v>1983</v>
      </c>
      <c r="J612" t="s">
        <v>62</v>
      </c>
      <c r="K612">
        <v>2574</v>
      </c>
      <c r="L612">
        <v>15.11</v>
      </c>
      <c r="M612">
        <v>15.54</v>
      </c>
      <c r="N612" s="7">
        <f t="shared" si="38"/>
        <v>1.7922499849999995E-2</v>
      </c>
      <c r="O612" s="7">
        <f t="shared" si="39"/>
        <v>0.27851564766899989</v>
      </c>
      <c r="P612">
        <v>75</v>
      </c>
      <c r="Q612">
        <v>3.7</v>
      </c>
      <c r="R612">
        <v>3</v>
      </c>
      <c r="S612">
        <v>3.3</v>
      </c>
      <c r="T612">
        <v>3.5</v>
      </c>
      <c r="U612">
        <v>3.5</v>
      </c>
      <c r="V612" t="s">
        <v>25</v>
      </c>
    </row>
    <row r="613" spans="1:22" hidden="1" outlineLevel="2" x14ac:dyDescent="0.25">
      <c r="A613" t="s">
        <v>77</v>
      </c>
      <c r="B613">
        <v>1</v>
      </c>
      <c r="C613" t="s">
        <v>47</v>
      </c>
      <c r="D613" t="s">
        <v>78</v>
      </c>
      <c r="E613" t="s">
        <v>79</v>
      </c>
      <c r="F613">
        <v>150</v>
      </c>
      <c r="G613">
        <v>1250</v>
      </c>
      <c r="H613">
        <v>-3</v>
      </c>
      <c r="I613">
        <v>1983</v>
      </c>
      <c r="J613" t="s">
        <v>32</v>
      </c>
      <c r="K613">
        <v>2634</v>
      </c>
      <c r="L613">
        <v>21.72</v>
      </c>
      <c r="M613">
        <v>14.75</v>
      </c>
      <c r="N613" s="7">
        <f t="shared" si="38"/>
        <v>3.7033034399999991E-2</v>
      </c>
      <c r="O613" s="7">
        <f t="shared" si="39"/>
        <v>0.54623725739999984</v>
      </c>
      <c r="P613">
        <v>38</v>
      </c>
      <c r="Q613">
        <v>3</v>
      </c>
      <c r="R613">
        <v>3</v>
      </c>
      <c r="S613">
        <v>3</v>
      </c>
      <c r="T613">
        <v>4</v>
      </c>
      <c r="U613">
        <v>2.2999999999999998</v>
      </c>
      <c r="V613" t="s">
        <v>25</v>
      </c>
    </row>
    <row r="614" spans="1:22" hidden="1" outlineLevel="2" x14ac:dyDescent="0.25">
      <c r="A614" t="s">
        <v>77</v>
      </c>
      <c r="B614">
        <v>2</v>
      </c>
      <c r="C614" t="s">
        <v>47</v>
      </c>
      <c r="D614" t="s">
        <v>78</v>
      </c>
      <c r="E614" t="s">
        <v>79</v>
      </c>
      <c r="F614">
        <v>150</v>
      </c>
      <c r="G614">
        <v>1250</v>
      </c>
      <c r="H614">
        <v>-3</v>
      </c>
      <c r="I614">
        <v>1983</v>
      </c>
      <c r="J614" t="s">
        <v>76</v>
      </c>
      <c r="K614">
        <v>1592</v>
      </c>
      <c r="L614">
        <v>24.95</v>
      </c>
      <c r="M614">
        <v>19.690000000000001</v>
      </c>
      <c r="N614" s="7">
        <f t="shared" si="38"/>
        <v>4.8866446250000001E-2</v>
      </c>
      <c r="O614" s="7">
        <f t="shared" si="39"/>
        <v>0.96218032666250008</v>
      </c>
      <c r="P614">
        <v>50</v>
      </c>
      <c r="Q614">
        <v>3.5</v>
      </c>
      <c r="R614">
        <v>3</v>
      </c>
      <c r="S614">
        <v>2.7</v>
      </c>
      <c r="T614">
        <v>3</v>
      </c>
      <c r="U614">
        <v>2.7</v>
      </c>
      <c r="V614" t="s">
        <v>25</v>
      </c>
    </row>
    <row r="615" spans="1:22" hidden="1" outlineLevel="2" x14ac:dyDescent="0.25">
      <c r="A615" t="s">
        <v>77</v>
      </c>
      <c r="B615">
        <v>2</v>
      </c>
      <c r="C615" t="s">
        <v>47</v>
      </c>
      <c r="D615" t="s">
        <v>78</v>
      </c>
      <c r="E615" t="s">
        <v>79</v>
      </c>
      <c r="F615">
        <v>150</v>
      </c>
      <c r="G615">
        <v>1250</v>
      </c>
      <c r="H615">
        <v>-3</v>
      </c>
      <c r="I615">
        <v>1983</v>
      </c>
      <c r="J615" t="s">
        <v>76</v>
      </c>
      <c r="K615">
        <v>2560</v>
      </c>
      <c r="L615">
        <v>17.350000000000001</v>
      </c>
      <c r="M615">
        <v>16.11</v>
      </c>
      <c r="N615" s="7">
        <f t="shared" si="38"/>
        <v>2.3630266250000004E-2</v>
      </c>
      <c r="O615" s="7">
        <f t="shared" si="39"/>
        <v>0.38068358928750007</v>
      </c>
      <c r="P615">
        <v>38</v>
      </c>
      <c r="Q615">
        <v>3</v>
      </c>
      <c r="R615">
        <v>3</v>
      </c>
      <c r="S615">
        <v>2.5</v>
      </c>
      <c r="T615">
        <v>3.5</v>
      </c>
      <c r="U615">
        <v>2.5</v>
      </c>
      <c r="V615" t="s">
        <v>25</v>
      </c>
    </row>
    <row r="616" spans="1:22" hidden="1" outlineLevel="2" x14ac:dyDescent="0.25">
      <c r="A616" t="s">
        <v>77</v>
      </c>
      <c r="B616">
        <v>2</v>
      </c>
      <c r="C616" t="s">
        <v>47</v>
      </c>
      <c r="D616" t="s">
        <v>78</v>
      </c>
      <c r="E616" t="s">
        <v>79</v>
      </c>
      <c r="F616">
        <v>150</v>
      </c>
      <c r="G616">
        <v>1250</v>
      </c>
      <c r="H616">
        <v>-3</v>
      </c>
      <c r="I616">
        <v>1983</v>
      </c>
      <c r="J616" t="s">
        <v>24</v>
      </c>
      <c r="K616">
        <v>2562</v>
      </c>
      <c r="L616">
        <v>18.809999999999999</v>
      </c>
      <c r="M616">
        <v>19.09</v>
      </c>
      <c r="N616" s="7">
        <f t="shared" si="38"/>
        <v>2.7774563849999996E-2</v>
      </c>
      <c r="O616" s="7">
        <f t="shared" si="39"/>
        <v>0.53021642389649992</v>
      </c>
      <c r="P616">
        <v>75</v>
      </c>
      <c r="Q616">
        <v>3</v>
      </c>
      <c r="R616">
        <v>3</v>
      </c>
      <c r="S616">
        <v>3.5</v>
      </c>
      <c r="T616">
        <v>4</v>
      </c>
      <c r="U616">
        <v>3</v>
      </c>
      <c r="V616" t="s">
        <v>27</v>
      </c>
    </row>
    <row r="617" spans="1:22" hidden="1" outlineLevel="2" x14ac:dyDescent="0.25">
      <c r="A617" t="s">
        <v>77</v>
      </c>
      <c r="B617">
        <v>2</v>
      </c>
      <c r="C617" t="s">
        <v>47</v>
      </c>
      <c r="D617" t="s">
        <v>78</v>
      </c>
      <c r="E617" t="s">
        <v>79</v>
      </c>
      <c r="F617">
        <v>150</v>
      </c>
      <c r="G617">
        <v>1250</v>
      </c>
      <c r="H617">
        <v>-3</v>
      </c>
      <c r="I617">
        <v>1983</v>
      </c>
      <c r="J617" t="s">
        <v>80</v>
      </c>
      <c r="K617">
        <v>1252</v>
      </c>
      <c r="L617">
        <v>15.35</v>
      </c>
      <c r="M617">
        <v>11.87</v>
      </c>
      <c r="N617" s="7">
        <f t="shared" si="38"/>
        <v>1.849636625E-2</v>
      </c>
      <c r="O617" s="7">
        <f t="shared" si="39"/>
        <v>0.21955186738749999</v>
      </c>
      <c r="P617">
        <v>75</v>
      </c>
      <c r="Q617">
        <v>2.9</v>
      </c>
      <c r="R617">
        <v>2.7</v>
      </c>
      <c r="S617">
        <v>2.5</v>
      </c>
      <c r="T617">
        <v>3</v>
      </c>
      <c r="U617">
        <v>2.5</v>
      </c>
      <c r="V617" t="s">
        <v>38</v>
      </c>
    </row>
    <row r="618" spans="1:22" hidden="1" outlineLevel="2" x14ac:dyDescent="0.25">
      <c r="A618" t="s">
        <v>77</v>
      </c>
      <c r="B618">
        <v>2</v>
      </c>
      <c r="C618" t="s">
        <v>47</v>
      </c>
      <c r="D618" t="s">
        <v>78</v>
      </c>
      <c r="E618" t="s">
        <v>79</v>
      </c>
      <c r="F618">
        <v>150</v>
      </c>
      <c r="G618">
        <v>1250</v>
      </c>
      <c r="H618">
        <v>-3</v>
      </c>
      <c r="I618">
        <v>1983</v>
      </c>
      <c r="J618" t="s">
        <v>59</v>
      </c>
      <c r="K618">
        <v>2548</v>
      </c>
      <c r="L618">
        <v>22.6</v>
      </c>
      <c r="M618">
        <v>12.61</v>
      </c>
      <c r="N618" s="7">
        <f t="shared" si="38"/>
        <v>4.0094660000000004E-2</v>
      </c>
      <c r="O618" s="7">
        <f t="shared" si="39"/>
        <v>0.50559366260000005</v>
      </c>
      <c r="P618">
        <v>63</v>
      </c>
      <c r="Q618">
        <v>3.5</v>
      </c>
      <c r="R618">
        <v>3</v>
      </c>
      <c r="S618">
        <v>2</v>
      </c>
      <c r="T618">
        <v>2</v>
      </c>
      <c r="U618">
        <v>1.5</v>
      </c>
      <c r="V618" t="s">
        <v>38</v>
      </c>
    </row>
    <row r="619" spans="1:22" hidden="1" outlineLevel="2" x14ac:dyDescent="0.25">
      <c r="A619" t="s">
        <v>77</v>
      </c>
      <c r="B619">
        <v>2</v>
      </c>
      <c r="C619" t="s">
        <v>47</v>
      </c>
      <c r="D619" t="s">
        <v>78</v>
      </c>
      <c r="E619" t="s">
        <v>79</v>
      </c>
      <c r="F619">
        <v>150</v>
      </c>
      <c r="G619">
        <v>1250</v>
      </c>
      <c r="H619">
        <v>-3</v>
      </c>
      <c r="I619">
        <v>1983</v>
      </c>
      <c r="J619" t="s">
        <v>32</v>
      </c>
      <c r="K619">
        <v>1596</v>
      </c>
      <c r="L619">
        <v>21.45</v>
      </c>
      <c r="M619">
        <v>16.760000000000002</v>
      </c>
      <c r="N619" s="7">
        <f t="shared" si="38"/>
        <v>3.6118046250000001E-2</v>
      </c>
      <c r="O619" s="7">
        <f t="shared" si="39"/>
        <v>0.60533845515000007</v>
      </c>
      <c r="P619">
        <v>75</v>
      </c>
      <c r="Q619">
        <v>3</v>
      </c>
      <c r="R619">
        <v>3.2</v>
      </c>
      <c r="S619">
        <v>3.3</v>
      </c>
      <c r="T619">
        <v>3.5</v>
      </c>
      <c r="U619">
        <v>3</v>
      </c>
      <c r="V619" t="s">
        <v>25</v>
      </c>
    </row>
    <row r="620" spans="1:22" hidden="1" outlineLevel="2" x14ac:dyDescent="0.25">
      <c r="A620" t="s">
        <v>77</v>
      </c>
      <c r="B620">
        <v>2</v>
      </c>
      <c r="C620" t="s">
        <v>47</v>
      </c>
      <c r="D620" t="s">
        <v>78</v>
      </c>
      <c r="E620" t="s">
        <v>79</v>
      </c>
      <c r="F620">
        <v>150</v>
      </c>
      <c r="G620">
        <v>1250</v>
      </c>
      <c r="H620">
        <v>-3</v>
      </c>
      <c r="I620">
        <v>1983</v>
      </c>
      <c r="J620" t="s">
        <v>32</v>
      </c>
      <c r="K620">
        <v>2569</v>
      </c>
      <c r="L620">
        <v>15.15</v>
      </c>
      <c r="M620">
        <v>15.82</v>
      </c>
      <c r="N620" s="7">
        <f t="shared" si="38"/>
        <v>1.8017516250000001E-2</v>
      </c>
      <c r="O620" s="7">
        <f t="shared" si="39"/>
        <v>0.28503710707500002</v>
      </c>
      <c r="P620">
        <v>75</v>
      </c>
      <c r="Q620">
        <v>3</v>
      </c>
      <c r="R620">
        <v>3</v>
      </c>
      <c r="S620">
        <v>3.1</v>
      </c>
      <c r="T620">
        <v>3.4</v>
      </c>
      <c r="U620">
        <v>3</v>
      </c>
      <c r="V620" t="s">
        <v>25</v>
      </c>
    </row>
    <row r="621" spans="1:22" hidden="1" outlineLevel="2" x14ac:dyDescent="0.25">
      <c r="A621" t="s">
        <v>77</v>
      </c>
      <c r="B621">
        <v>2</v>
      </c>
      <c r="C621" t="s">
        <v>47</v>
      </c>
      <c r="D621" t="s">
        <v>78</v>
      </c>
      <c r="E621" t="s">
        <v>79</v>
      </c>
      <c r="F621">
        <v>150</v>
      </c>
      <c r="G621">
        <v>1250</v>
      </c>
      <c r="H621">
        <v>-3</v>
      </c>
      <c r="I621">
        <v>1983</v>
      </c>
      <c r="J621" t="s">
        <v>33</v>
      </c>
      <c r="K621">
        <v>2568</v>
      </c>
      <c r="L621">
        <v>20.46</v>
      </c>
      <c r="M621">
        <v>19.260000000000002</v>
      </c>
      <c r="N621" s="7">
        <f t="shared" si="38"/>
        <v>3.2861010600000004E-2</v>
      </c>
      <c r="O621" s="7">
        <f t="shared" si="39"/>
        <v>0.63290306415600017</v>
      </c>
      <c r="P621">
        <v>50</v>
      </c>
      <c r="Q621">
        <v>3</v>
      </c>
      <c r="R621">
        <v>2.2000000000000002</v>
      </c>
      <c r="S621">
        <v>3.3</v>
      </c>
      <c r="T621">
        <v>3.3</v>
      </c>
      <c r="U621">
        <v>3</v>
      </c>
      <c r="V621" t="s">
        <v>25</v>
      </c>
    </row>
    <row r="622" spans="1:22" hidden="1" outlineLevel="2" x14ac:dyDescent="0.25">
      <c r="A622" t="s">
        <v>77</v>
      </c>
      <c r="B622">
        <v>2</v>
      </c>
      <c r="C622" t="s">
        <v>47</v>
      </c>
      <c r="D622" t="s">
        <v>78</v>
      </c>
      <c r="E622" t="s">
        <v>79</v>
      </c>
      <c r="F622">
        <v>150</v>
      </c>
      <c r="G622">
        <v>1250</v>
      </c>
      <c r="H622">
        <v>-3</v>
      </c>
      <c r="I622">
        <v>1983</v>
      </c>
      <c r="J622" t="s">
        <v>34</v>
      </c>
      <c r="K622">
        <v>1522</v>
      </c>
      <c r="L622">
        <v>20.8</v>
      </c>
      <c r="M622">
        <v>15.41</v>
      </c>
      <c r="N622" s="7">
        <f t="shared" si="38"/>
        <v>3.3962240000000012E-2</v>
      </c>
      <c r="O622" s="7">
        <f t="shared" si="39"/>
        <v>0.52335811840000024</v>
      </c>
      <c r="P622">
        <v>25</v>
      </c>
      <c r="Q622">
        <v>3.5</v>
      </c>
      <c r="R622">
        <v>2.8</v>
      </c>
      <c r="S622">
        <v>3.3</v>
      </c>
      <c r="T622">
        <v>3.2</v>
      </c>
      <c r="U622">
        <v>3.5</v>
      </c>
      <c r="V622" t="s">
        <v>25</v>
      </c>
    </row>
    <row r="623" spans="1:22" hidden="1" outlineLevel="2" x14ac:dyDescent="0.25">
      <c r="A623" t="s">
        <v>77</v>
      </c>
      <c r="B623">
        <v>2</v>
      </c>
      <c r="C623" t="s">
        <v>47</v>
      </c>
      <c r="D623" t="s">
        <v>78</v>
      </c>
      <c r="E623" t="s">
        <v>79</v>
      </c>
      <c r="F623">
        <v>150</v>
      </c>
      <c r="G623">
        <v>1250</v>
      </c>
      <c r="H623">
        <v>-3</v>
      </c>
      <c r="I623">
        <v>1983</v>
      </c>
      <c r="J623" t="s">
        <v>34</v>
      </c>
      <c r="K623">
        <v>2570</v>
      </c>
      <c r="L623">
        <v>22.98</v>
      </c>
      <c r="M623">
        <v>19.899999999999999</v>
      </c>
      <c r="N623" s="7">
        <f t="shared" si="38"/>
        <v>4.1454311399999999E-2</v>
      </c>
      <c r="O623" s="7">
        <f t="shared" si="39"/>
        <v>0.82494079685999988</v>
      </c>
      <c r="P623">
        <v>50</v>
      </c>
      <c r="Q623">
        <v>4</v>
      </c>
      <c r="R623">
        <v>2.7</v>
      </c>
      <c r="S623">
        <v>3.5</v>
      </c>
      <c r="T623">
        <v>3.3</v>
      </c>
      <c r="U623">
        <v>3.5</v>
      </c>
      <c r="V623" t="s">
        <v>27</v>
      </c>
    </row>
    <row r="624" spans="1:22" hidden="1" outlineLevel="2" x14ac:dyDescent="0.25">
      <c r="A624" t="s">
        <v>77</v>
      </c>
      <c r="B624">
        <v>2</v>
      </c>
      <c r="C624" t="s">
        <v>47</v>
      </c>
      <c r="D624" t="s">
        <v>78</v>
      </c>
      <c r="E624" t="s">
        <v>79</v>
      </c>
      <c r="F624">
        <v>150</v>
      </c>
      <c r="G624">
        <v>1250</v>
      </c>
      <c r="H624">
        <v>-3</v>
      </c>
      <c r="I624">
        <v>1983</v>
      </c>
      <c r="J624" t="s">
        <v>35</v>
      </c>
      <c r="K624">
        <v>1788</v>
      </c>
      <c r="L624">
        <v>16.989999999999998</v>
      </c>
      <c r="M624">
        <v>16.52</v>
      </c>
      <c r="N624" s="7">
        <f t="shared" si="38"/>
        <v>2.265981785E-2</v>
      </c>
      <c r="O624" s="7">
        <f t="shared" si="39"/>
        <v>0.37434019088199999</v>
      </c>
      <c r="P624">
        <v>25</v>
      </c>
      <c r="Q624">
        <v>3</v>
      </c>
      <c r="R624">
        <v>2.7</v>
      </c>
      <c r="S624">
        <v>3.2</v>
      </c>
      <c r="T624">
        <v>3.7</v>
      </c>
      <c r="U624">
        <v>3.2</v>
      </c>
      <c r="V624" t="s">
        <v>38</v>
      </c>
    </row>
    <row r="625" spans="1:22" hidden="1" outlineLevel="2" x14ac:dyDescent="0.25">
      <c r="A625" t="s">
        <v>77</v>
      </c>
      <c r="B625">
        <v>2</v>
      </c>
      <c r="C625" t="s">
        <v>47</v>
      </c>
      <c r="D625" t="s">
        <v>78</v>
      </c>
      <c r="E625" t="s">
        <v>79</v>
      </c>
      <c r="F625">
        <v>150</v>
      </c>
      <c r="G625">
        <v>1250</v>
      </c>
      <c r="H625">
        <v>-3</v>
      </c>
      <c r="I625">
        <v>1983</v>
      </c>
      <c r="J625" t="s">
        <v>35</v>
      </c>
      <c r="K625">
        <v>2571</v>
      </c>
      <c r="L625">
        <v>19.670000000000002</v>
      </c>
      <c r="M625">
        <v>20.14</v>
      </c>
      <c r="N625" s="7">
        <f t="shared" si="38"/>
        <v>3.0372348650000006E-2</v>
      </c>
      <c r="O625" s="7">
        <f t="shared" si="39"/>
        <v>0.61169910181100018</v>
      </c>
      <c r="P625">
        <v>50</v>
      </c>
      <c r="Q625">
        <v>3</v>
      </c>
      <c r="R625">
        <v>2</v>
      </c>
      <c r="S625">
        <v>3.3</v>
      </c>
      <c r="T625">
        <v>3.7</v>
      </c>
      <c r="U625">
        <v>4</v>
      </c>
      <c r="V625" t="s">
        <v>25</v>
      </c>
    </row>
    <row r="626" spans="1:22" hidden="1" outlineLevel="2" x14ac:dyDescent="0.25">
      <c r="A626" t="s">
        <v>77</v>
      </c>
      <c r="B626">
        <v>2</v>
      </c>
      <c r="C626" t="s">
        <v>47</v>
      </c>
      <c r="D626" t="s">
        <v>78</v>
      </c>
      <c r="E626" t="s">
        <v>79</v>
      </c>
      <c r="F626">
        <v>150</v>
      </c>
      <c r="G626">
        <v>1250</v>
      </c>
      <c r="H626">
        <v>-3</v>
      </c>
      <c r="I626">
        <v>1983</v>
      </c>
      <c r="J626" t="s">
        <v>81</v>
      </c>
      <c r="K626">
        <v>2750</v>
      </c>
      <c r="L626">
        <v>29.47</v>
      </c>
      <c r="M626">
        <v>14.67</v>
      </c>
      <c r="N626" s="7">
        <f t="shared" si="38"/>
        <v>6.8175750649999978E-2</v>
      </c>
      <c r="O626" s="7">
        <f t="shared" si="39"/>
        <v>1.0001382620354997</v>
      </c>
      <c r="P626">
        <v>88</v>
      </c>
      <c r="Q626">
        <v>4</v>
      </c>
      <c r="R626">
        <v>4</v>
      </c>
      <c r="S626">
        <v>3</v>
      </c>
      <c r="T626">
        <v>3</v>
      </c>
      <c r="U626">
        <v>1.7</v>
      </c>
      <c r="V626" t="s">
        <v>27</v>
      </c>
    </row>
    <row r="627" spans="1:22" hidden="1" outlineLevel="2" x14ac:dyDescent="0.25">
      <c r="A627" t="s">
        <v>77</v>
      </c>
      <c r="B627">
        <v>2</v>
      </c>
      <c r="C627" t="s">
        <v>47</v>
      </c>
      <c r="D627" t="s">
        <v>78</v>
      </c>
      <c r="E627" t="s">
        <v>79</v>
      </c>
      <c r="F627">
        <v>150</v>
      </c>
      <c r="G627">
        <v>1250</v>
      </c>
      <c r="H627">
        <v>-3</v>
      </c>
      <c r="I627">
        <v>1983</v>
      </c>
      <c r="J627" t="s">
        <v>36</v>
      </c>
      <c r="K627">
        <v>2573</v>
      </c>
      <c r="L627">
        <v>23.29</v>
      </c>
      <c r="M627">
        <v>17.739999999999998</v>
      </c>
      <c r="N627" s="7">
        <f t="shared" ref="N627:N658" si="40">3.14/4*((L627/100)^2)</f>
        <v>4.258029185E-2</v>
      </c>
      <c r="O627" s="7">
        <f t="shared" ref="O627:O658" si="41">3.14/4*((L627/100)^2)*M627</f>
        <v>0.75537437741899993</v>
      </c>
      <c r="P627">
        <v>75</v>
      </c>
      <c r="Q627">
        <v>3</v>
      </c>
      <c r="R627">
        <v>3</v>
      </c>
      <c r="S627">
        <v>3</v>
      </c>
      <c r="T627">
        <v>3.5</v>
      </c>
      <c r="U627">
        <v>2.5</v>
      </c>
      <c r="V627" t="s">
        <v>27</v>
      </c>
    </row>
    <row r="628" spans="1:22" hidden="1" outlineLevel="2" x14ac:dyDescent="0.25">
      <c r="A628" t="s">
        <v>77</v>
      </c>
      <c r="B628">
        <v>2</v>
      </c>
      <c r="C628" t="s">
        <v>47</v>
      </c>
      <c r="D628" t="s">
        <v>78</v>
      </c>
      <c r="E628" t="s">
        <v>79</v>
      </c>
      <c r="F628">
        <v>150</v>
      </c>
      <c r="G628">
        <v>1250</v>
      </c>
      <c r="H628">
        <v>-3</v>
      </c>
      <c r="I628">
        <v>1983</v>
      </c>
      <c r="J628" t="s">
        <v>62</v>
      </c>
      <c r="K628">
        <v>2550</v>
      </c>
      <c r="L628">
        <v>24.55</v>
      </c>
      <c r="M628">
        <v>15.98</v>
      </c>
      <c r="N628" s="7">
        <f t="shared" si="40"/>
        <v>4.7312146249999999E-2</v>
      </c>
      <c r="O628" s="7">
        <f t="shared" si="41"/>
        <v>0.75604809707499998</v>
      </c>
      <c r="P628">
        <v>13</v>
      </c>
      <c r="Q628">
        <v>3</v>
      </c>
      <c r="R628">
        <v>2.7</v>
      </c>
      <c r="S628">
        <v>4</v>
      </c>
      <c r="T628">
        <v>3.3</v>
      </c>
      <c r="U628">
        <v>3</v>
      </c>
      <c r="V628" t="s">
        <v>38</v>
      </c>
    </row>
    <row r="629" spans="1:22" hidden="1" outlineLevel="2" x14ac:dyDescent="0.25">
      <c r="A629" t="s">
        <v>77</v>
      </c>
      <c r="B629">
        <v>2</v>
      </c>
      <c r="C629" t="s">
        <v>47</v>
      </c>
      <c r="D629" t="s">
        <v>78</v>
      </c>
      <c r="E629" t="s">
        <v>79</v>
      </c>
      <c r="F629">
        <v>150</v>
      </c>
      <c r="G629">
        <v>1250</v>
      </c>
      <c r="H629">
        <v>-3</v>
      </c>
      <c r="I629">
        <v>1983</v>
      </c>
      <c r="J629" t="s">
        <v>62</v>
      </c>
      <c r="K629">
        <v>2553</v>
      </c>
      <c r="L629">
        <v>23.53</v>
      </c>
      <c r="M629">
        <v>21.06</v>
      </c>
      <c r="N629" s="7">
        <f t="shared" si="40"/>
        <v>4.3462380650000007E-2</v>
      </c>
      <c r="O629" s="7">
        <f t="shared" si="41"/>
        <v>0.91531773648900006</v>
      </c>
      <c r="P629">
        <v>50</v>
      </c>
      <c r="Q629">
        <v>4.5</v>
      </c>
      <c r="R629">
        <v>3.5</v>
      </c>
      <c r="S629">
        <v>3.3</v>
      </c>
      <c r="T629">
        <v>3.2</v>
      </c>
      <c r="U629">
        <v>2.8</v>
      </c>
      <c r="V629" t="s">
        <v>25</v>
      </c>
    </row>
    <row r="630" spans="1:22" hidden="1" outlineLevel="2" x14ac:dyDescent="0.25">
      <c r="A630" t="s">
        <v>77</v>
      </c>
      <c r="B630">
        <v>2</v>
      </c>
      <c r="C630" t="s">
        <v>47</v>
      </c>
      <c r="D630" t="s">
        <v>78</v>
      </c>
      <c r="E630" t="s">
        <v>79</v>
      </c>
      <c r="F630">
        <v>150</v>
      </c>
      <c r="G630">
        <v>1250</v>
      </c>
      <c r="H630">
        <v>-3</v>
      </c>
      <c r="I630">
        <v>1983</v>
      </c>
      <c r="J630" t="s">
        <v>37</v>
      </c>
      <c r="K630">
        <v>2575</v>
      </c>
      <c r="L630">
        <v>3.62</v>
      </c>
      <c r="M630">
        <v>6.03</v>
      </c>
      <c r="N630" s="7">
        <f t="shared" si="40"/>
        <v>1.0286954000000002E-3</v>
      </c>
      <c r="O630" s="7">
        <f t="shared" si="41"/>
        <v>6.2030332620000017E-3</v>
      </c>
      <c r="P630">
        <v>25</v>
      </c>
      <c r="Q630">
        <v>1</v>
      </c>
      <c r="R630">
        <v>3</v>
      </c>
      <c r="S630">
        <v>2.5</v>
      </c>
      <c r="T630">
        <v>2.5</v>
      </c>
      <c r="U630">
        <v>3</v>
      </c>
      <c r="V630" t="s">
        <v>50</v>
      </c>
    </row>
    <row r="631" spans="1:22" hidden="1" outlineLevel="2" x14ac:dyDescent="0.25">
      <c r="A631" t="s">
        <v>77</v>
      </c>
      <c r="B631">
        <v>2</v>
      </c>
      <c r="C631" t="s">
        <v>47</v>
      </c>
      <c r="D631" t="s">
        <v>78</v>
      </c>
      <c r="E631" t="s">
        <v>79</v>
      </c>
      <c r="F631">
        <v>150</v>
      </c>
      <c r="G631">
        <v>1250</v>
      </c>
      <c r="H631">
        <v>-3</v>
      </c>
      <c r="I631">
        <v>1983</v>
      </c>
      <c r="J631" t="s">
        <v>26</v>
      </c>
      <c r="K631">
        <v>2552</v>
      </c>
      <c r="L631">
        <v>31.73</v>
      </c>
      <c r="M631">
        <v>18.88</v>
      </c>
      <c r="N631" s="7">
        <f t="shared" si="40"/>
        <v>7.9033242650000016E-2</v>
      </c>
      <c r="O631" s="7">
        <f t="shared" si="41"/>
        <v>1.4921476212320002</v>
      </c>
      <c r="P631">
        <v>63</v>
      </c>
      <c r="Q631">
        <v>3.8</v>
      </c>
      <c r="R631">
        <v>3.2</v>
      </c>
      <c r="S631">
        <v>3</v>
      </c>
      <c r="T631">
        <v>3</v>
      </c>
      <c r="U631">
        <v>2</v>
      </c>
      <c r="V631" t="s">
        <v>25</v>
      </c>
    </row>
    <row r="632" spans="1:22" hidden="1" outlineLevel="2" x14ac:dyDescent="0.25">
      <c r="A632" t="s">
        <v>77</v>
      </c>
      <c r="B632">
        <v>2</v>
      </c>
      <c r="C632" t="s">
        <v>47</v>
      </c>
      <c r="D632" t="s">
        <v>78</v>
      </c>
      <c r="E632" t="s">
        <v>79</v>
      </c>
      <c r="F632">
        <v>150</v>
      </c>
      <c r="G632">
        <v>1250</v>
      </c>
      <c r="H632">
        <v>-3</v>
      </c>
      <c r="I632">
        <v>1983</v>
      </c>
      <c r="J632" t="s">
        <v>34</v>
      </c>
      <c r="K632">
        <v>2458</v>
      </c>
      <c r="L632">
        <v>18.88</v>
      </c>
      <c r="M632">
        <v>10.53</v>
      </c>
      <c r="N632" s="7">
        <f t="shared" si="40"/>
        <v>2.7981670400000002E-2</v>
      </c>
      <c r="O632" s="7">
        <f t="shared" si="41"/>
        <v>0.29464698931200001</v>
      </c>
      <c r="P632">
        <v>63</v>
      </c>
      <c r="Q632">
        <v>3.5</v>
      </c>
      <c r="R632">
        <v>3</v>
      </c>
      <c r="S632">
        <v>2</v>
      </c>
      <c r="T632">
        <v>2</v>
      </c>
      <c r="U632">
        <v>1.5</v>
      </c>
      <c r="V632" t="s">
        <v>38</v>
      </c>
    </row>
    <row r="633" spans="1:22" hidden="1" outlineLevel="2" x14ac:dyDescent="0.25">
      <c r="A633" t="s">
        <v>77</v>
      </c>
      <c r="B633">
        <v>2</v>
      </c>
      <c r="C633" t="s">
        <v>47</v>
      </c>
      <c r="D633" t="s">
        <v>78</v>
      </c>
      <c r="E633" t="s">
        <v>79</v>
      </c>
      <c r="F633">
        <v>150</v>
      </c>
      <c r="G633">
        <v>1250</v>
      </c>
      <c r="H633">
        <v>-3</v>
      </c>
      <c r="I633">
        <v>1983</v>
      </c>
      <c r="J633" t="s">
        <v>62</v>
      </c>
      <c r="K633">
        <v>2574</v>
      </c>
      <c r="L633">
        <v>24.4</v>
      </c>
      <c r="M633">
        <v>20.329999999999998</v>
      </c>
      <c r="N633" s="7">
        <f t="shared" si="40"/>
        <v>4.6735760000000001E-2</v>
      </c>
      <c r="O633" s="7">
        <f t="shared" si="41"/>
        <v>0.95013800079999999</v>
      </c>
      <c r="P633">
        <v>75</v>
      </c>
      <c r="Q633">
        <v>4.5</v>
      </c>
      <c r="R633">
        <v>3.5</v>
      </c>
      <c r="S633">
        <v>3.3</v>
      </c>
      <c r="T633">
        <v>3.2</v>
      </c>
      <c r="U633">
        <v>2.8</v>
      </c>
      <c r="V633" t="s">
        <v>25</v>
      </c>
    </row>
    <row r="634" spans="1:22" hidden="1" outlineLevel="2" x14ac:dyDescent="0.25">
      <c r="A634" t="s">
        <v>77</v>
      </c>
      <c r="B634">
        <v>3</v>
      </c>
      <c r="C634" t="s">
        <v>47</v>
      </c>
      <c r="D634" t="s">
        <v>78</v>
      </c>
      <c r="E634" t="s">
        <v>79</v>
      </c>
      <c r="F634">
        <v>150</v>
      </c>
      <c r="G634">
        <v>1250</v>
      </c>
      <c r="H634">
        <v>-3</v>
      </c>
      <c r="I634">
        <v>1983</v>
      </c>
      <c r="J634" t="s">
        <v>76</v>
      </c>
      <c r="K634">
        <v>1592</v>
      </c>
      <c r="L634">
        <v>18.399999999999999</v>
      </c>
      <c r="M634">
        <v>14.18</v>
      </c>
      <c r="N634" s="7">
        <f t="shared" si="40"/>
        <v>2.657696E-2</v>
      </c>
      <c r="O634" s="7">
        <f t="shared" si="41"/>
        <v>0.37686129279999997</v>
      </c>
      <c r="P634">
        <v>50</v>
      </c>
      <c r="Q634">
        <v>3.5</v>
      </c>
      <c r="R634">
        <v>3.2</v>
      </c>
      <c r="S634">
        <v>2</v>
      </c>
      <c r="T634">
        <v>2.5</v>
      </c>
      <c r="U634">
        <v>1.5</v>
      </c>
      <c r="V634" t="s">
        <v>25</v>
      </c>
    </row>
    <row r="635" spans="1:22" hidden="1" outlineLevel="2" x14ac:dyDescent="0.25">
      <c r="A635" t="s">
        <v>77</v>
      </c>
      <c r="B635">
        <v>3</v>
      </c>
      <c r="C635" t="s">
        <v>47</v>
      </c>
      <c r="D635" t="s">
        <v>78</v>
      </c>
      <c r="E635" t="s">
        <v>79</v>
      </c>
      <c r="F635">
        <v>150</v>
      </c>
      <c r="G635">
        <v>1250</v>
      </c>
      <c r="H635">
        <v>-3</v>
      </c>
      <c r="I635">
        <v>1983</v>
      </c>
      <c r="J635" t="s">
        <v>76</v>
      </c>
      <c r="K635">
        <v>2560</v>
      </c>
      <c r="L635">
        <v>18.59</v>
      </c>
      <c r="M635">
        <v>8.26</v>
      </c>
      <c r="N635" s="7">
        <f t="shared" si="40"/>
        <v>2.7128665850000004E-2</v>
      </c>
      <c r="O635" s="7">
        <f t="shared" si="41"/>
        <v>0.22408277992100004</v>
      </c>
      <c r="P635">
        <v>13</v>
      </c>
      <c r="Q635">
        <v>2.5</v>
      </c>
      <c r="R635">
        <v>3.5</v>
      </c>
      <c r="S635">
        <v>2</v>
      </c>
      <c r="T635">
        <v>2</v>
      </c>
      <c r="U635">
        <v>2</v>
      </c>
      <c r="V635" t="s">
        <v>38</v>
      </c>
    </row>
    <row r="636" spans="1:22" hidden="1" outlineLevel="2" x14ac:dyDescent="0.25">
      <c r="A636" t="s">
        <v>77</v>
      </c>
      <c r="B636">
        <v>3</v>
      </c>
      <c r="C636" t="s">
        <v>47</v>
      </c>
      <c r="D636" t="s">
        <v>78</v>
      </c>
      <c r="E636" t="s">
        <v>79</v>
      </c>
      <c r="F636">
        <v>150</v>
      </c>
      <c r="G636">
        <v>1250</v>
      </c>
      <c r="H636">
        <v>-3</v>
      </c>
      <c r="I636">
        <v>1983</v>
      </c>
      <c r="J636" t="s">
        <v>24</v>
      </c>
      <c r="K636">
        <v>2562</v>
      </c>
      <c r="L636">
        <v>14.87</v>
      </c>
      <c r="M636">
        <v>15.56</v>
      </c>
      <c r="N636" s="7">
        <f t="shared" si="40"/>
        <v>1.7357676650000001E-2</v>
      </c>
      <c r="O636" s="7">
        <f t="shared" si="41"/>
        <v>0.27008544867400003</v>
      </c>
      <c r="P636">
        <v>38</v>
      </c>
      <c r="Q636">
        <v>3.5</v>
      </c>
      <c r="R636">
        <v>3.5</v>
      </c>
      <c r="S636">
        <v>3.3</v>
      </c>
      <c r="T636">
        <v>3.3</v>
      </c>
      <c r="U636">
        <v>3</v>
      </c>
      <c r="V636" t="s">
        <v>25</v>
      </c>
    </row>
    <row r="637" spans="1:22" hidden="1" outlineLevel="2" x14ac:dyDescent="0.25">
      <c r="A637" t="s">
        <v>77</v>
      </c>
      <c r="B637">
        <v>3</v>
      </c>
      <c r="C637" t="s">
        <v>47</v>
      </c>
      <c r="D637" t="s">
        <v>78</v>
      </c>
      <c r="E637" t="s">
        <v>79</v>
      </c>
      <c r="F637">
        <v>150</v>
      </c>
      <c r="G637">
        <v>1250</v>
      </c>
      <c r="H637">
        <v>-3</v>
      </c>
      <c r="I637">
        <v>1983</v>
      </c>
      <c r="J637" t="s">
        <v>59</v>
      </c>
      <c r="K637">
        <v>2548</v>
      </c>
      <c r="L637">
        <v>41.51</v>
      </c>
      <c r="M637">
        <v>14.6</v>
      </c>
      <c r="N637" s="7">
        <f t="shared" si="40"/>
        <v>0.13526178784999998</v>
      </c>
      <c r="O637" s="7">
        <f t="shared" si="41"/>
        <v>1.9748221026099997</v>
      </c>
      <c r="P637">
        <v>25</v>
      </c>
      <c r="Q637">
        <v>3</v>
      </c>
      <c r="R637">
        <v>3</v>
      </c>
      <c r="S637">
        <v>1.5</v>
      </c>
      <c r="T637">
        <v>1.5</v>
      </c>
      <c r="U637">
        <v>1</v>
      </c>
      <c r="V637" t="s">
        <v>38</v>
      </c>
    </row>
    <row r="638" spans="1:22" hidden="1" outlineLevel="2" x14ac:dyDescent="0.25">
      <c r="A638" t="s">
        <v>77</v>
      </c>
      <c r="B638">
        <v>3</v>
      </c>
      <c r="C638" t="s">
        <v>47</v>
      </c>
      <c r="D638" t="s">
        <v>78</v>
      </c>
      <c r="E638" t="s">
        <v>79</v>
      </c>
      <c r="F638">
        <v>150</v>
      </c>
      <c r="G638">
        <v>1250</v>
      </c>
      <c r="H638">
        <v>-3</v>
      </c>
      <c r="I638">
        <v>1983</v>
      </c>
      <c r="J638" t="s">
        <v>32</v>
      </c>
      <c r="K638">
        <v>1596</v>
      </c>
      <c r="L638">
        <v>19.04</v>
      </c>
      <c r="M638">
        <v>14.75</v>
      </c>
      <c r="N638" s="7">
        <f t="shared" si="40"/>
        <v>2.8457945599999996E-2</v>
      </c>
      <c r="O638" s="7">
        <f t="shared" si="41"/>
        <v>0.41975469759999995</v>
      </c>
      <c r="P638">
        <v>50</v>
      </c>
      <c r="Q638">
        <v>3.5</v>
      </c>
      <c r="R638">
        <v>4</v>
      </c>
      <c r="S638">
        <v>2.5</v>
      </c>
      <c r="T638">
        <v>2.5</v>
      </c>
      <c r="U638">
        <v>2</v>
      </c>
      <c r="V638" t="s">
        <v>25</v>
      </c>
    </row>
    <row r="639" spans="1:22" hidden="1" outlineLevel="2" x14ac:dyDescent="0.25">
      <c r="A639" t="s">
        <v>77</v>
      </c>
      <c r="B639">
        <v>3</v>
      </c>
      <c r="C639" t="s">
        <v>47</v>
      </c>
      <c r="D639" t="s">
        <v>78</v>
      </c>
      <c r="E639" t="s">
        <v>79</v>
      </c>
      <c r="F639">
        <v>150</v>
      </c>
      <c r="G639">
        <v>1250</v>
      </c>
      <c r="H639">
        <v>-3</v>
      </c>
      <c r="I639">
        <v>1983</v>
      </c>
      <c r="J639" t="s">
        <v>32</v>
      </c>
      <c r="K639">
        <v>2569</v>
      </c>
      <c r="L639">
        <v>15.55</v>
      </c>
      <c r="M639">
        <v>12.87</v>
      </c>
      <c r="N639" s="7">
        <f t="shared" si="40"/>
        <v>1.898149625E-2</v>
      </c>
      <c r="O639" s="7">
        <f t="shared" si="41"/>
        <v>0.24429185673749998</v>
      </c>
      <c r="P639">
        <v>63</v>
      </c>
      <c r="Q639">
        <v>3</v>
      </c>
      <c r="R639">
        <v>3</v>
      </c>
      <c r="S639">
        <v>2.5</v>
      </c>
      <c r="T639">
        <v>3</v>
      </c>
      <c r="U639">
        <v>2</v>
      </c>
      <c r="V639" t="s">
        <v>25</v>
      </c>
    </row>
    <row r="640" spans="1:22" hidden="1" outlineLevel="2" x14ac:dyDescent="0.25">
      <c r="A640" t="s">
        <v>77</v>
      </c>
      <c r="B640">
        <v>3</v>
      </c>
      <c r="C640" t="s">
        <v>47</v>
      </c>
      <c r="D640" t="s">
        <v>78</v>
      </c>
      <c r="E640" t="s">
        <v>79</v>
      </c>
      <c r="F640">
        <v>150</v>
      </c>
      <c r="G640">
        <v>1250</v>
      </c>
      <c r="H640">
        <v>-3</v>
      </c>
      <c r="I640">
        <v>1983</v>
      </c>
      <c r="J640" t="s">
        <v>33</v>
      </c>
      <c r="K640">
        <v>2547</v>
      </c>
      <c r="L640">
        <v>25.4</v>
      </c>
      <c r="M640">
        <v>18.75</v>
      </c>
      <c r="N640" s="7">
        <f t="shared" si="40"/>
        <v>5.0645060000000006E-2</v>
      </c>
      <c r="O640" s="7">
        <f t="shared" si="41"/>
        <v>0.94959487500000006</v>
      </c>
      <c r="P640">
        <v>13</v>
      </c>
      <c r="Q640">
        <v>3.7</v>
      </c>
      <c r="R640">
        <v>2.7</v>
      </c>
      <c r="S640">
        <v>2</v>
      </c>
      <c r="T640">
        <v>2.5</v>
      </c>
      <c r="U640">
        <v>2.2999999999999998</v>
      </c>
      <c r="V640" t="s">
        <v>38</v>
      </c>
    </row>
    <row r="641" spans="1:22" hidden="1" outlineLevel="2" x14ac:dyDescent="0.25">
      <c r="A641" t="s">
        <v>77</v>
      </c>
      <c r="B641">
        <v>3</v>
      </c>
      <c r="C641" t="s">
        <v>47</v>
      </c>
      <c r="D641" t="s">
        <v>78</v>
      </c>
      <c r="E641" t="s">
        <v>79</v>
      </c>
      <c r="F641">
        <v>150</v>
      </c>
      <c r="G641">
        <v>1250</v>
      </c>
      <c r="H641">
        <v>-3</v>
      </c>
      <c r="I641">
        <v>1983</v>
      </c>
      <c r="J641" t="s">
        <v>33</v>
      </c>
      <c r="K641">
        <v>2568</v>
      </c>
      <c r="L641">
        <v>47.73</v>
      </c>
      <c r="M641">
        <v>18.55</v>
      </c>
      <c r="N641" s="7">
        <f t="shared" si="40"/>
        <v>0.17883500264999996</v>
      </c>
      <c r="O641" s="7">
        <f t="shared" si="41"/>
        <v>3.3173892991574996</v>
      </c>
      <c r="P641">
        <v>13</v>
      </c>
      <c r="Q641">
        <v>3.5</v>
      </c>
      <c r="R641">
        <v>2.7</v>
      </c>
      <c r="S641">
        <v>2</v>
      </c>
      <c r="T641">
        <v>2</v>
      </c>
      <c r="U641">
        <v>2</v>
      </c>
      <c r="V641" t="s">
        <v>25</v>
      </c>
    </row>
    <row r="642" spans="1:22" hidden="1" outlineLevel="2" x14ac:dyDescent="0.25">
      <c r="A642" t="s">
        <v>77</v>
      </c>
      <c r="B642">
        <v>3</v>
      </c>
      <c r="C642" t="s">
        <v>47</v>
      </c>
      <c r="D642" t="s">
        <v>78</v>
      </c>
      <c r="E642" t="s">
        <v>79</v>
      </c>
      <c r="F642">
        <v>150</v>
      </c>
      <c r="G642">
        <v>1250</v>
      </c>
      <c r="H642">
        <v>-3</v>
      </c>
      <c r="I642">
        <v>1983</v>
      </c>
      <c r="J642" t="s">
        <v>34</v>
      </c>
      <c r="K642">
        <v>1522</v>
      </c>
      <c r="L642">
        <v>21.7</v>
      </c>
      <c r="M642">
        <v>17.329999999999998</v>
      </c>
      <c r="N642" s="7">
        <f t="shared" si="40"/>
        <v>3.6964865E-2</v>
      </c>
      <c r="O642" s="7">
        <f t="shared" si="41"/>
        <v>0.6406011104499999</v>
      </c>
      <c r="P642">
        <v>25</v>
      </c>
      <c r="Q642">
        <v>3.3</v>
      </c>
      <c r="R642">
        <v>3</v>
      </c>
      <c r="S642">
        <v>3</v>
      </c>
      <c r="T642">
        <v>3</v>
      </c>
      <c r="U642">
        <v>3</v>
      </c>
      <c r="V642" t="s">
        <v>25</v>
      </c>
    </row>
    <row r="643" spans="1:22" hidden="1" outlineLevel="2" x14ac:dyDescent="0.25">
      <c r="A643" t="s">
        <v>77</v>
      </c>
      <c r="B643">
        <v>3</v>
      </c>
      <c r="C643" t="s">
        <v>47</v>
      </c>
      <c r="D643" t="s">
        <v>78</v>
      </c>
      <c r="E643" t="s">
        <v>79</v>
      </c>
      <c r="F643">
        <v>150</v>
      </c>
      <c r="G643">
        <v>1250</v>
      </c>
      <c r="H643">
        <v>-3</v>
      </c>
      <c r="I643">
        <v>1983</v>
      </c>
      <c r="J643" t="s">
        <v>34</v>
      </c>
      <c r="K643">
        <v>2570</v>
      </c>
      <c r="L643">
        <v>34.67</v>
      </c>
      <c r="M643">
        <v>15.41</v>
      </c>
      <c r="N643" s="7">
        <f t="shared" si="40"/>
        <v>9.4357698650000002E-2</v>
      </c>
      <c r="O643" s="7">
        <f t="shared" si="41"/>
        <v>1.4540521361965</v>
      </c>
      <c r="P643">
        <v>13</v>
      </c>
      <c r="Q643">
        <v>4</v>
      </c>
      <c r="R643">
        <v>3</v>
      </c>
      <c r="S643">
        <v>2.5</v>
      </c>
      <c r="T643">
        <v>2.5</v>
      </c>
      <c r="U643">
        <v>2</v>
      </c>
      <c r="V643" t="s">
        <v>38</v>
      </c>
    </row>
    <row r="644" spans="1:22" hidden="1" outlineLevel="2" x14ac:dyDescent="0.25">
      <c r="A644" t="s">
        <v>77</v>
      </c>
      <c r="B644">
        <v>3</v>
      </c>
      <c r="C644" t="s">
        <v>47</v>
      </c>
      <c r="D644" t="s">
        <v>78</v>
      </c>
      <c r="E644" t="s">
        <v>79</v>
      </c>
      <c r="F644">
        <v>150</v>
      </c>
      <c r="G644">
        <v>1250</v>
      </c>
      <c r="H644">
        <v>-3</v>
      </c>
      <c r="I644">
        <v>1983</v>
      </c>
      <c r="J644" t="s">
        <v>35</v>
      </c>
      <c r="K644">
        <v>1788</v>
      </c>
      <c r="L644">
        <v>7.4</v>
      </c>
      <c r="M644">
        <v>13.38</v>
      </c>
      <c r="N644" s="7">
        <f t="shared" si="40"/>
        <v>4.2986600000000019E-3</v>
      </c>
      <c r="O644" s="7">
        <f t="shared" si="41"/>
        <v>5.7516070800000027E-2</v>
      </c>
      <c r="P644">
        <v>25</v>
      </c>
      <c r="Q644">
        <v>1</v>
      </c>
      <c r="R644">
        <v>2</v>
      </c>
      <c r="S644">
        <v>3.2</v>
      </c>
      <c r="T644">
        <v>3</v>
      </c>
      <c r="U644">
        <v>3</v>
      </c>
      <c r="V644" t="s">
        <v>50</v>
      </c>
    </row>
    <row r="645" spans="1:22" hidden="1" outlineLevel="2" x14ac:dyDescent="0.25">
      <c r="A645" t="s">
        <v>77</v>
      </c>
      <c r="B645">
        <v>3</v>
      </c>
      <c r="C645" t="s">
        <v>47</v>
      </c>
      <c r="D645" t="s">
        <v>78</v>
      </c>
      <c r="E645" t="s">
        <v>79</v>
      </c>
      <c r="F645">
        <v>150</v>
      </c>
      <c r="G645">
        <v>1250</v>
      </c>
      <c r="H645">
        <v>-3</v>
      </c>
      <c r="I645">
        <v>1983</v>
      </c>
      <c r="J645" t="s">
        <v>35</v>
      </c>
      <c r="K645">
        <v>2571</v>
      </c>
      <c r="L645">
        <v>22.03</v>
      </c>
      <c r="M645">
        <v>19.34</v>
      </c>
      <c r="N645" s="7">
        <f t="shared" si="40"/>
        <v>3.8097690650000016E-2</v>
      </c>
      <c r="O645" s="7">
        <f t="shared" si="41"/>
        <v>0.73680933717100028</v>
      </c>
      <c r="P645">
        <v>50</v>
      </c>
      <c r="Q645">
        <v>4</v>
      </c>
      <c r="R645">
        <v>2.5</v>
      </c>
      <c r="S645">
        <v>3.3</v>
      </c>
      <c r="T645">
        <v>3.3</v>
      </c>
      <c r="U645">
        <v>3</v>
      </c>
      <c r="V645" t="s">
        <v>27</v>
      </c>
    </row>
    <row r="646" spans="1:22" hidden="1" outlineLevel="2" x14ac:dyDescent="0.25">
      <c r="A646" t="s">
        <v>77</v>
      </c>
      <c r="B646">
        <v>3</v>
      </c>
      <c r="C646" t="s">
        <v>47</v>
      </c>
      <c r="D646" t="s">
        <v>78</v>
      </c>
      <c r="E646" t="s">
        <v>79</v>
      </c>
      <c r="F646">
        <v>150</v>
      </c>
      <c r="G646">
        <v>1250</v>
      </c>
      <c r="H646">
        <v>-3</v>
      </c>
      <c r="I646">
        <v>1983</v>
      </c>
      <c r="J646" t="s">
        <v>81</v>
      </c>
      <c r="K646">
        <v>2750</v>
      </c>
      <c r="L646">
        <v>32.75</v>
      </c>
      <c r="M646">
        <v>16.37</v>
      </c>
      <c r="N646" s="7">
        <f t="shared" si="40"/>
        <v>8.4196156250000015E-2</v>
      </c>
      <c r="O646" s="7">
        <f t="shared" si="41"/>
        <v>1.3782910778125004</v>
      </c>
      <c r="P646">
        <v>50</v>
      </c>
      <c r="Q646">
        <v>4</v>
      </c>
      <c r="R646">
        <v>4</v>
      </c>
      <c r="S646">
        <v>2</v>
      </c>
      <c r="T646">
        <v>2</v>
      </c>
      <c r="U646">
        <v>2</v>
      </c>
      <c r="V646" t="s">
        <v>27</v>
      </c>
    </row>
    <row r="647" spans="1:22" hidden="1" outlineLevel="2" x14ac:dyDescent="0.25">
      <c r="A647" t="s">
        <v>77</v>
      </c>
      <c r="B647">
        <v>3</v>
      </c>
      <c r="C647" t="s">
        <v>47</v>
      </c>
      <c r="D647" t="s">
        <v>78</v>
      </c>
      <c r="E647" t="s">
        <v>79</v>
      </c>
      <c r="F647">
        <v>150</v>
      </c>
      <c r="G647">
        <v>1250</v>
      </c>
      <c r="H647">
        <v>-3</v>
      </c>
      <c r="I647">
        <v>1983</v>
      </c>
      <c r="J647" t="s">
        <v>36</v>
      </c>
      <c r="K647">
        <v>2573</v>
      </c>
      <c r="L647">
        <v>27.4</v>
      </c>
      <c r="M647">
        <v>17.899999999999999</v>
      </c>
      <c r="N647" s="7">
        <f t="shared" si="40"/>
        <v>5.8934659999999986E-2</v>
      </c>
      <c r="O647" s="7">
        <f t="shared" si="41"/>
        <v>1.0549304139999998</v>
      </c>
      <c r="P647">
        <v>38</v>
      </c>
      <c r="Q647">
        <v>3</v>
      </c>
      <c r="R647">
        <v>3.3</v>
      </c>
      <c r="S647">
        <v>2.5</v>
      </c>
      <c r="T647">
        <v>3</v>
      </c>
      <c r="U647">
        <v>2</v>
      </c>
      <c r="V647" t="s">
        <v>25</v>
      </c>
    </row>
    <row r="648" spans="1:22" hidden="1" outlineLevel="2" x14ac:dyDescent="0.25">
      <c r="A648" t="s">
        <v>77</v>
      </c>
      <c r="B648">
        <v>3</v>
      </c>
      <c r="C648" t="s">
        <v>47</v>
      </c>
      <c r="D648" t="s">
        <v>78</v>
      </c>
      <c r="E648" t="s">
        <v>79</v>
      </c>
      <c r="F648">
        <v>150</v>
      </c>
      <c r="G648">
        <v>1250</v>
      </c>
      <c r="H648">
        <v>-3</v>
      </c>
      <c r="I648">
        <v>1983</v>
      </c>
      <c r="J648" t="s">
        <v>62</v>
      </c>
      <c r="K648">
        <v>2550</v>
      </c>
      <c r="L648">
        <v>23.1</v>
      </c>
      <c r="M648">
        <v>18.59</v>
      </c>
      <c r="N648" s="7">
        <f t="shared" si="40"/>
        <v>4.1888385000000007E-2</v>
      </c>
      <c r="O648" s="7">
        <f t="shared" si="41"/>
        <v>0.77870507715000015</v>
      </c>
      <c r="P648">
        <v>63</v>
      </c>
      <c r="Q648">
        <v>4</v>
      </c>
      <c r="R648">
        <v>3.5</v>
      </c>
      <c r="S648">
        <v>3.3</v>
      </c>
      <c r="T648">
        <v>3.3</v>
      </c>
      <c r="U648">
        <v>3</v>
      </c>
      <c r="V648" t="s">
        <v>25</v>
      </c>
    </row>
    <row r="649" spans="1:22" hidden="1" outlineLevel="2" x14ac:dyDescent="0.25">
      <c r="A649" t="s">
        <v>77</v>
      </c>
      <c r="B649">
        <v>3</v>
      </c>
      <c r="C649" t="s">
        <v>47</v>
      </c>
      <c r="D649" t="s">
        <v>78</v>
      </c>
      <c r="E649" t="s">
        <v>79</v>
      </c>
      <c r="F649">
        <v>150</v>
      </c>
      <c r="G649">
        <v>1250</v>
      </c>
      <c r="H649">
        <v>-3</v>
      </c>
      <c r="I649">
        <v>1983</v>
      </c>
      <c r="J649" t="s">
        <v>62</v>
      </c>
      <c r="K649">
        <v>2553</v>
      </c>
      <c r="L649">
        <v>20.34</v>
      </c>
      <c r="M649">
        <v>18.45</v>
      </c>
      <c r="N649" s="7">
        <f t="shared" si="40"/>
        <v>3.2476674600000005E-2</v>
      </c>
      <c r="O649" s="7">
        <f t="shared" si="41"/>
        <v>0.59919464637000008</v>
      </c>
      <c r="P649">
        <v>75</v>
      </c>
      <c r="Q649">
        <v>3.5</v>
      </c>
      <c r="R649">
        <v>3</v>
      </c>
      <c r="S649">
        <v>3.3</v>
      </c>
      <c r="T649">
        <v>3.3</v>
      </c>
      <c r="U649">
        <v>3</v>
      </c>
      <c r="V649" t="s">
        <v>25</v>
      </c>
    </row>
    <row r="650" spans="1:22" hidden="1" outlineLevel="2" x14ac:dyDescent="0.25">
      <c r="A650" t="s">
        <v>77</v>
      </c>
      <c r="B650">
        <v>3</v>
      </c>
      <c r="C650" t="s">
        <v>47</v>
      </c>
      <c r="D650" t="s">
        <v>78</v>
      </c>
      <c r="E650" t="s">
        <v>79</v>
      </c>
      <c r="F650">
        <v>150</v>
      </c>
      <c r="G650">
        <v>1250</v>
      </c>
      <c r="H650">
        <v>-3</v>
      </c>
      <c r="I650">
        <v>1983</v>
      </c>
      <c r="J650" t="s">
        <v>37</v>
      </c>
      <c r="K650">
        <v>2575</v>
      </c>
      <c r="L650">
        <v>5.18</v>
      </c>
      <c r="M650">
        <v>4.82</v>
      </c>
      <c r="N650" s="7">
        <f t="shared" si="40"/>
        <v>2.1063434000000002E-3</v>
      </c>
      <c r="O650" s="7">
        <f t="shared" si="41"/>
        <v>1.0152575188000001E-2</v>
      </c>
      <c r="P650">
        <v>38</v>
      </c>
      <c r="Q650">
        <v>1</v>
      </c>
      <c r="R650">
        <v>2</v>
      </c>
      <c r="S650">
        <v>2</v>
      </c>
      <c r="T650">
        <v>2</v>
      </c>
      <c r="U650">
        <v>2</v>
      </c>
      <c r="V650" t="s">
        <v>50</v>
      </c>
    </row>
    <row r="651" spans="1:22" hidden="1" outlineLevel="2" x14ac:dyDescent="0.25">
      <c r="A651" t="s">
        <v>77</v>
      </c>
      <c r="B651">
        <v>3</v>
      </c>
      <c r="C651" t="s">
        <v>47</v>
      </c>
      <c r="D651" t="s">
        <v>78</v>
      </c>
      <c r="E651" t="s">
        <v>79</v>
      </c>
      <c r="F651">
        <v>150</v>
      </c>
      <c r="G651">
        <v>1250</v>
      </c>
      <c r="H651">
        <v>-3</v>
      </c>
      <c r="I651">
        <v>1983</v>
      </c>
      <c r="J651" t="s">
        <v>26</v>
      </c>
      <c r="K651">
        <v>2552</v>
      </c>
      <c r="L651">
        <v>15.05</v>
      </c>
      <c r="M651">
        <v>9.0500000000000007</v>
      </c>
      <c r="N651" s="7">
        <f t="shared" si="40"/>
        <v>1.7780446249999998E-2</v>
      </c>
      <c r="O651" s="7">
        <f t="shared" si="41"/>
        <v>0.1609130385625</v>
      </c>
      <c r="P651">
        <v>25</v>
      </c>
      <c r="Q651">
        <v>4</v>
      </c>
      <c r="R651">
        <v>4</v>
      </c>
      <c r="S651">
        <v>2</v>
      </c>
      <c r="T651">
        <v>1.5</v>
      </c>
      <c r="U651">
        <v>1</v>
      </c>
      <c r="V651" t="s">
        <v>38</v>
      </c>
    </row>
    <row r="652" spans="1:22" hidden="1" outlineLevel="2" x14ac:dyDescent="0.25">
      <c r="A652" t="s">
        <v>77</v>
      </c>
      <c r="B652">
        <v>3</v>
      </c>
      <c r="C652" t="s">
        <v>47</v>
      </c>
      <c r="D652" t="s">
        <v>78</v>
      </c>
      <c r="E652" t="s">
        <v>79</v>
      </c>
      <c r="F652">
        <v>150</v>
      </c>
      <c r="G652">
        <v>1250</v>
      </c>
      <c r="H652">
        <v>-3</v>
      </c>
      <c r="I652">
        <v>1983</v>
      </c>
      <c r="J652" t="s">
        <v>62</v>
      </c>
      <c r="K652">
        <v>2574</v>
      </c>
      <c r="L652">
        <v>22.08</v>
      </c>
      <c r="M652">
        <v>21.79</v>
      </c>
      <c r="N652" s="7">
        <f t="shared" si="40"/>
        <v>3.8270822400000001E-2</v>
      </c>
      <c r="O652" s="7">
        <f t="shared" si="41"/>
        <v>0.833921220096</v>
      </c>
      <c r="P652">
        <v>50</v>
      </c>
      <c r="Q652">
        <v>3.5</v>
      </c>
      <c r="R652">
        <v>3</v>
      </c>
      <c r="S652">
        <v>3.3</v>
      </c>
      <c r="T652">
        <v>3.3</v>
      </c>
      <c r="U652">
        <v>3</v>
      </c>
      <c r="V652" t="s">
        <v>25</v>
      </c>
    </row>
    <row r="653" spans="1:22" hidden="1" outlineLevel="2" x14ac:dyDescent="0.25">
      <c r="A653" t="s">
        <v>77</v>
      </c>
      <c r="B653">
        <v>3</v>
      </c>
      <c r="C653" t="s">
        <v>47</v>
      </c>
      <c r="D653" t="s">
        <v>78</v>
      </c>
      <c r="E653" t="s">
        <v>79</v>
      </c>
      <c r="F653">
        <v>150</v>
      </c>
      <c r="G653">
        <v>1250</v>
      </c>
      <c r="H653">
        <v>-3</v>
      </c>
      <c r="I653">
        <v>1983</v>
      </c>
      <c r="J653" t="s">
        <v>32</v>
      </c>
      <c r="K653">
        <v>2634</v>
      </c>
      <c r="L653">
        <v>26.28</v>
      </c>
      <c r="M653">
        <v>20.11</v>
      </c>
      <c r="N653" s="7">
        <f t="shared" si="40"/>
        <v>5.4215114400000014E-2</v>
      </c>
      <c r="O653" s="7">
        <f t="shared" si="41"/>
        <v>1.0902659505840002</v>
      </c>
      <c r="P653">
        <v>25</v>
      </c>
      <c r="Q653">
        <v>3.1</v>
      </c>
      <c r="R653">
        <v>3</v>
      </c>
      <c r="S653">
        <v>3</v>
      </c>
      <c r="T653">
        <v>3</v>
      </c>
      <c r="U653">
        <v>2</v>
      </c>
      <c r="V653" t="s">
        <v>25</v>
      </c>
    </row>
    <row r="654" spans="1:22" hidden="1" outlineLevel="2" x14ac:dyDescent="0.25">
      <c r="A654" t="s">
        <v>103</v>
      </c>
      <c r="B654">
        <v>1</v>
      </c>
      <c r="C654" t="s">
        <v>47</v>
      </c>
      <c r="D654" t="s">
        <v>104</v>
      </c>
      <c r="E654" t="s">
        <v>79</v>
      </c>
      <c r="F654">
        <v>100</v>
      </c>
      <c r="G654">
        <v>1250</v>
      </c>
      <c r="H654">
        <v>-2</v>
      </c>
      <c r="I654">
        <v>1983</v>
      </c>
      <c r="J654" t="s">
        <v>59</v>
      </c>
      <c r="K654">
        <v>2548</v>
      </c>
      <c r="L654">
        <v>41.63</v>
      </c>
      <c r="M654">
        <v>12.64</v>
      </c>
      <c r="N654" s="7">
        <f t="shared" si="40"/>
        <v>0.13604496665000002</v>
      </c>
      <c r="O654" s="7">
        <f t="shared" si="41"/>
        <v>1.7196083784560003</v>
      </c>
      <c r="P654">
        <v>28</v>
      </c>
      <c r="Q654">
        <v>4.2</v>
      </c>
      <c r="R654">
        <v>3.2</v>
      </c>
      <c r="S654">
        <v>2.2999999999999998</v>
      </c>
      <c r="T654">
        <v>1.9</v>
      </c>
      <c r="U654">
        <v>1.7</v>
      </c>
      <c r="V654" t="s">
        <v>38</v>
      </c>
    </row>
    <row r="655" spans="1:22" hidden="1" outlineLevel="2" x14ac:dyDescent="0.25">
      <c r="A655" t="s">
        <v>103</v>
      </c>
      <c r="B655">
        <v>1</v>
      </c>
      <c r="C655" t="s">
        <v>47</v>
      </c>
      <c r="D655" t="s">
        <v>104</v>
      </c>
      <c r="E655" t="s">
        <v>79</v>
      </c>
      <c r="F655">
        <v>100</v>
      </c>
      <c r="G655">
        <v>1250</v>
      </c>
      <c r="H655">
        <v>-2</v>
      </c>
      <c r="I655">
        <v>1983</v>
      </c>
      <c r="J655" t="s">
        <v>26</v>
      </c>
      <c r="K655">
        <v>2552</v>
      </c>
      <c r="L655">
        <v>33.35</v>
      </c>
      <c r="M655">
        <v>10.61</v>
      </c>
      <c r="N655" s="7">
        <f t="shared" si="40"/>
        <v>8.7309466250000009E-2</v>
      </c>
      <c r="O655" s="7">
        <f t="shared" si="41"/>
        <v>0.92635343691250005</v>
      </c>
      <c r="P655">
        <v>33</v>
      </c>
      <c r="Q655">
        <v>4.5</v>
      </c>
      <c r="R655">
        <v>4</v>
      </c>
      <c r="S655">
        <v>2.8</v>
      </c>
      <c r="T655">
        <v>3</v>
      </c>
      <c r="U655">
        <v>1.5</v>
      </c>
      <c r="V655" t="s">
        <v>25</v>
      </c>
    </row>
    <row r="656" spans="1:22" hidden="1" outlineLevel="2" x14ac:dyDescent="0.25">
      <c r="A656" t="s">
        <v>103</v>
      </c>
      <c r="B656">
        <v>1</v>
      </c>
      <c r="C656" t="s">
        <v>47</v>
      </c>
      <c r="D656" t="s">
        <v>104</v>
      </c>
      <c r="E656" t="s">
        <v>79</v>
      </c>
      <c r="F656">
        <v>100</v>
      </c>
      <c r="G656">
        <v>1250</v>
      </c>
      <c r="H656">
        <v>-2</v>
      </c>
      <c r="I656">
        <v>1983</v>
      </c>
      <c r="J656" t="s">
        <v>33</v>
      </c>
      <c r="K656">
        <v>2568</v>
      </c>
      <c r="L656">
        <v>28.21</v>
      </c>
      <c r="M656">
        <v>9.4700000000000006</v>
      </c>
      <c r="N656" s="7">
        <f t="shared" si="40"/>
        <v>6.2470621850000005E-2</v>
      </c>
      <c r="O656" s="7">
        <f t="shared" si="41"/>
        <v>0.59159678891950007</v>
      </c>
      <c r="P656">
        <v>94</v>
      </c>
      <c r="Q656">
        <v>4.5999999999999996</v>
      </c>
      <c r="R656">
        <v>3</v>
      </c>
      <c r="S656">
        <v>2</v>
      </c>
      <c r="T656">
        <v>1.8</v>
      </c>
      <c r="U656">
        <v>1.2</v>
      </c>
      <c r="V656" t="s">
        <v>25</v>
      </c>
    </row>
    <row r="657" spans="1:22" hidden="1" outlineLevel="2" x14ac:dyDescent="0.25">
      <c r="A657" t="s">
        <v>103</v>
      </c>
      <c r="B657">
        <v>1</v>
      </c>
      <c r="C657" t="s">
        <v>47</v>
      </c>
      <c r="D657" t="s">
        <v>104</v>
      </c>
      <c r="E657" t="s">
        <v>79</v>
      </c>
      <c r="F657">
        <v>100</v>
      </c>
      <c r="G657">
        <v>1250</v>
      </c>
      <c r="H657">
        <v>-2</v>
      </c>
      <c r="I657">
        <v>1983</v>
      </c>
      <c r="J657" t="s">
        <v>34</v>
      </c>
      <c r="K657">
        <v>1522</v>
      </c>
      <c r="L657">
        <v>27.36</v>
      </c>
      <c r="M657">
        <v>11.49</v>
      </c>
      <c r="N657" s="7">
        <f t="shared" si="40"/>
        <v>5.8762713600000002E-2</v>
      </c>
      <c r="O657" s="7">
        <f t="shared" si="41"/>
        <v>0.67518357926400008</v>
      </c>
      <c r="P657">
        <v>67</v>
      </c>
      <c r="Q657">
        <v>4.7</v>
      </c>
      <c r="R657">
        <v>3.3</v>
      </c>
      <c r="S657">
        <v>3.4</v>
      </c>
      <c r="T657">
        <v>3.4</v>
      </c>
      <c r="U657">
        <v>3</v>
      </c>
      <c r="V657" t="s">
        <v>25</v>
      </c>
    </row>
    <row r="658" spans="1:22" hidden="1" outlineLevel="2" x14ac:dyDescent="0.25">
      <c r="A658" t="s">
        <v>103</v>
      </c>
      <c r="B658">
        <v>1</v>
      </c>
      <c r="C658" t="s">
        <v>47</v>
      </c>
      <c r="D658" t="s">
        <v>104</v>
      </c>
      <c r="E658" t="s">
        <v>79</v>
      </c>
      <c r="F658">
        <v>100</v>
      </c>
      <c r="G658">
        <v>1250</v>
      </c>
      <c r="H658">
        <v>-2</v>
      </c>
      <c r="I658">
        <v>1983</v>
      </c>
      <c r="J658" t="s">
        <v>62</v>
      </c>
      <c r="K658" t="s">
        <v>44</v>
      </c>
      <c r="L658">
        <v>22.34</v>
      </c>
      <c r="M658">
        <v>8.84</v>
      </c>
      <c r="N658" s="7">
        <f t="shared" si="40"/>
        <v>3.9177434599999998E-2</v>
      </c>
      <c r="O658" s="7">
        <f t="shared" si="41"/>
        <v>0.34632852186399998</v>
      </c>
      <c r="P658">
        <v>25</v>
      </c>
      <c r="Q658">
        <v>3.8</v>
      </c>
      <c r="R658">
        <v>3.5</v>
      </c>
      <c r="S658">
        <v>3</v>
      </c>
      <c r="T658">
        <v>3.5</v>
      </c>
      <c r="U658">
        <v>3</v>
      </c>
      <c r="V658" t="s">
        <v>38</v>
      </c>
    </row>
    <row r="659" spans="1:22" outlineLevel="1" collapsed="1" x14ac:dyDescent="0.25">
      <c r="G659" s="5" t="s">
        <v>111</v>
      </c>
      <c r="K659">
        <f>SUBTOTAL(4,K595:K658)</f>
        <v>2750</v>
      </c>
      <c r="L659">
        <f>SUBTOTAL(4,L595:L658)</f>
        <v>47.73</v>
      </c>
      <c r="M659">
        <f>SUBTOTAL(4,M595:M658)</f>
        <v>21.79</v>
      </c>
      <c r="N659" s="7">
        <f>SUBTOTAL(4,N595:N658)</f>
        <v>0.17883500264999996</v>
      </c>
      <c r="O659" s="7">
        <f>SUBTOTAL(4,O595:O658)</f>
        <v>3.3173892991574996</v>
      </c>
      <c r="V659">
        <f>SUBTOTAL(4,V595:V658)</f>
        <v>0</v>
      </c>
    </row>
    <row r="660" spans="1:22" hidden="1" outlineLevel="2" x14ac:dyDescent="0.25">
      <c r="A660" t="s">
        <v>89</v>
      </c>
      <c r="B660">
        <v>1</v>
      </c>
      <c r="C660" t="s">
        <v>90</v>
      </c>
      <c r="D660" t="s">
        <v>91</v>
      </c>
      <c r="E660" t="s">
        <v>92</v>
      </c>
      <c r="F660">
        <v>150</v>
      </c>
      <c r="G660">
        <v>1300</v>
      </c>
      <c r="H660">
        <v>-2</v>
      </c>
      <c r="I660">
        <v>1983</v>
      </c>
      <c r="J660" t="s">
        <v>76</v>
      </c>
      <c r="K660">
        <v>1592</v>
      </c>
      <c r="L660">
        <v>43.29</v>
      </c>
      <c r="M660">
        <v>17.2</v>
      </c>
      <c r="N660" s="7">
        <f t="shared" ref="N660:N691" si="42">3.14/4*((L660/100)^2)</f>
        <v>0.14711089185000001</v>
      </c>
      <c r="O660" s="7">
        <f t="shared" ref="O660:O691" si="43">3.14/4*((L660/100)^2)*M660</f>
        <v>2.5303073398200002</v>
      </c>
      <c r="P660">
        <v>20</v>
      </c>
      <c r="Q660">
        <v>4.5</v>
      </c>
      <c r="R660">
        <v>4.5</v>
      </c>
      <c r="S660">
        <v>3.7</v>
      </c>
      <c r="T660">
        <v>4</v>
      </c>
      <c r="U660">
        <v>3</v>
      </c>
      <c r="V660" t="s">
        <v>27</v>
      </c>
    </row>
    <row r="661" spans="1:22" hidden="1" outlineLevel="2" x14ac:dyDescent="0.25">
      <c r="A661" t="s">
        <v>89</v>
      </c>
      <c r="B661">
        <v>1</v>
      </c>
      <c r="C661" t="s">
        <v>90</v>
      </c>
      <c r="D661" t="s">
        <v>91</v>
      </c>
      <c r="E661" t="s">
        <v>92</v>
      </c>
      <c r="F661">
        <v>150</v>
      </c>
      <c r="G661">
        <v>1300</v>
      </c>
      <c r="H661">
        <v>-2</v>
      </c>
      <c r="I661">
        <v>1983</v>
      </c>
      <c r="J661" t="s">
        <v>76</v>
      </c>
      <c r="K661">
        <v>2560</v>
      </c>
      <c r="L661">
        <v>24.94</v>
      </c>
      <c r="M661">
        <v>14.33</v>
      </c>
      <c r="N661" s="7">
        <f t="shared" si="42"/>
        <v>4.8827282600000008E-2</v>
      </c>
      <c r="O661" s="7">
        <f t="shared" si="43"/>
        <v>0.6996949596580001</v>
      </c>
      <c r="P661">
        <v>10</v>
      </c>
      <c r="Q661">
        <v>3</v>
      </c>
      <c r="R661">
        <v>4</v>
      </c>
      <c r="S661">
        <v>3.5</v>
      </c>
      <c r="T661">
        <v>4</v>
      </c>
      <c r="U661">
        <v>3</v>
      </c>
      <c r="V661" t="s">
        <v>25</v>
      </c>
    </row>
    <row r="662" spans="1:22" hidden="1" outlineLevel="2" x14ac:dyDescent="0.25">
      <c r="A662" t="s">
        <v>89</v>
      </c>
      <c r="B662">
        <v>1</v>
      </c>
      <c r="C662" t="s">
        <v>90</v>
      </c>
      <c r="D662" t="s">
        <v>91</v>
      </c>
      <c r="E662" t="s">
        <v>92</v>
      </c>
      <c r="F662">
        <v>150</v>
      </c>
      <c r="G662">
        <v>1300</v>
      </c>
      <c r="H662">
        <v>-2</v>
      </c>
      <c r="I662">
        <v>1983</v>
      </c>
      <c r="J662" t="s">
        <v>24</v>
      </c>
      <c r="K662">
        <v>2562</v>
      </c>
      <c r="L662">
        <v>29.22</v>
      </c>
      <c r="M662">
        <v>13.58</v>
      </c>
      <c r="N662" s="7">
        <f t="shared" si="42"/>
        <v>6.7023959400000013E-2</v>
      </c>
      <c r="O662" s="7">
        <f t="shared" si="43"/>
        <v>0.91018536865200017</v>
      </c>
      <c r="P662">
        <v>30</v>
      </c>
      <c r="Q662">
        <v>3.6</v>
      </c>
      <c r="R662">
        <v>3.8</v>
      </c>
      <c r="S662">
        <v>3.5</v>
      </c>
      <c r="T662">
        <v>3.9</v>
      </c>
      <c r="U662">
        <v>3.7</v>
      </c>
      <c r="V662" t="s">
        <v>25</v>
      </c>
    </row>
    <row r="663" spans="1:22" hidden="1" outlineLevel="2" x14ac:dyDescent="0.25">
      <c r="A663" t="s">
        <v>89</v>
      </c>
      <c r="B663">
        <v>1</v>
      </c>
      <c r="C663" t="s">
        <v>90</v>
      </c>
      <c r="D663" t="s">
        <v>91</v>
      </c>
      <c r="E663" t="s">
        <v>92</v>
      </c>
      <c r="F663">
        <v>150</v>
      </c>
      <c r="G663">
        <v>1300</v>
      </c>
      <c r="H663">
        <v>-2</v>
      </c>
      <c r="I663">
        <v>1983</v>
      </c>
      <c r="J663" t="s">
        <v>80</v>
      </c>
      <c r="K663">
        <v>1252</v>
      </c>
      <c r="L663">
        <v>26.59</v>
      </c>
      <c r="M663">
        <v>10.8</v>
      </c>
      <c r="N663" s="7">
        <f t="shared" si="42"/>
        <v>5.550170585000002E-2</v>
      </c>
      <c r="O663" s="7">
        <f t="shared" si="43"/>
        <v>0.59941842318000027</v>
      </c>
      <c r="P663">
        <v>40</v>
      </c>
      <c r="Q663">
        <v>3.6</v>
      </c>
      <c r="R663">
        <v>3.8</v>
      </c>
      <c r="S663">
        <v>2.6</v>
      </c>
      <c r="T663">
        <v>2.6</v>
      </c>
      <c r="U663">
        <v>2.5</v>
      </c>
      <c r="V663" t="s">
        <v>25</v>
      </c>
    </row>
    <row r="664" spans="1:22" hidden="1" outlineLevel="2" x14ac:dyDescent="0.25">
      <c r="A664" t="s">
        <v>89</v>
      </c>
      <c r="B664">
        <v>1</v>
      </c>
      <c r="C664" t="s">
        <v>90</v>
      </c>
      <c r="D664" t="s">
        <v>91</v>
      </c>
      <c r="E664" t="s">
        <v>92</v>
      </c>
      <c r="F664">
        <v>150</v>
      </c>
      <c r="G664">
        <v>1300</v>
      </c>
      <c r="H664">
        <v>-2</v>
      </c>
      <c r="I664">
        <v>1983</v>
      </c>
      <c r="J664" t="s">
        <v>59</v>
      </c>
      <c r="K664">
        <v>2548</v>
      </c>
      <c r="L664">
        <v>35.54</v>
      </c>
      <c r="M664">
        <v>13.02</v>
      </c>
      <c r="N664" s="7">
        <f t="shared" si="42"/>
        <v>9.915269060000001E-2</v>
      </c>
      <c r="O664" s="7">
        <f t="shared" si="43"/>
        <v>1.290968031612</v>
      </c>
      <c r="P664">
        <v>20</v>
      </c>
      <c r="Q664">
        <v>3.2</v>
      </c>
      <c r="R664">
        <v>3.5</v>
      </c>
      <c r="S664">
        <v>2.5</v>
      </c>
      <c r="T664">
        <v>2.5</v>
      </c>
      <c r="U664">
        <v>2.2999999999999998</v>
      </c>
      <c r="V664" t="s">
        <v>25</v>
      </c>
    </row>
    <row r="665" spans="1:22" hidden="1" outlineLevel="2" x14ac:dyDescent="0.25">
      <c r="A665" t="s">
        <v>89</v>
      </c>
      <c r="B665">
        <v>1</v>
      </c>
      <c r="C665" t="s">
        <v>90</v>
      </c>
      <c r="D665" t="s">
        <v>91</v>
      </c>
      <c r="E665" t="s">
        <v>92</v>
      </c>
      <c r="F665">
        <v>150</v>
      </c>
      <c r="G665">
        <v>1300</v>
      </c>
      <c r="H665">
        <v>-2</v>
      </c>
      <c r="I665">
        <v>1983</v>
      </c>
      <c r="J665" t="s">
        <v>59</v>
      </c>
      <c r="K665">
        <v>1482</v>
      </c>
      <c r="L665">
        <v>38.15</v>
      </c>
      <c r="M665">
        <v>16.850000000000001</v>
      </c>
      <c r="N665" s="7">
        <f t="shared" si="42"/>
        <v>0.11425066625000001</v>
      </c>
      <c r="O665" s="7">
        <f t="shared" si="43"/>
        <v>1.9251237263125003</v>
      </c>
      <c r="P665">
        <v>10</v>
      </c>
      <c r="Q665">
        <v>3.5</v>
      </c>
      <c r="R665">
        <v>4</v>
      </c>
      <c r="S665">
        <v>3.3</v>
      </c>
      <c r="T665">
        <v>4</v>
      </c>
      <c r="U665">
        <v>3.5</v>
      </c>
      <c r="V665" t="s">
        <v>27</v>
      </c>
    </row>
    <row r="666" spans="1:22" hidden="1" outlineLevel="2" x14ac:dyDescent="0.25">
      <c r="A666" t="s">
        <v>89</v>
      </c>
      <c r="B666">
        <v>1</v>
      </c>
      <c r="C666" t="s">
        <v>90</v>
      </c>
      <c r="D666" t="s">
        <v>91</v>
      </c>
      <c r="E666" t="s">
        <v>92</v>
      </c>
      <c r="F666">
        <v>150</v>
      </c>
      <c r="G666">
        <v>1300</v>
      </c>
      <c r="H666">
        <v>-2</v>
      </c>
      <c r="I666">
        <v>1983</v>
      </c>
      <c r="J666" t="s">
        <v>26</v>
      </c>
      <c r="K666">
        <v>2552</v>
      </c>
      <c r="L666">
        <v>33.89</v>
      </c>
      <c r="M666">
        <v>14.24</v>
      </c>
      <c r="N666" s="7">
        <f t="shared" si="42"/>
        <v>9.0159769849999988E-2</v>
      </c>
      <c r="O666" s="7">
        <f t="shared" si="43"/>
        <v>1.2838751226639999</v>
      </c>
      <c r="P666">
        <v>20</v>
      </c>
      <c r="Q666">
        <v>3.1</v>
      </c>
      <c r="R666">
        <v>3.5</v>
      </c>
      <c r="S666">
        <v>3.2</v>
      </c>
      <c r="T666">
        <v>3.8</v>
      </c>
      <c r="U666">
        <v>2.5</v>
      </c>
      <c r="V666" t="s">
        <v>25</v>
      </c>
    </row>
    <row r="667" spans="1:22" hidden="1" outlineLevel="2" x14ac:dyDescent="0.25">
      <c r="A667" t="s">
        <v>89</v>
      </c>
      <c r="B667">
        <v>1</v>
      </c>
      <c r="C667" t="s">
        <v>90</v>
      </c>
      <c r="D667" t="s">
        <v>91</v>
      </c>
      <c r="E667" t="s">
        <v>92</v>
      </c>
      <c r="F667">
        <v>150</v>
      </c>
      <c r="G667">
        <v>1300</v>
      </c>
      <c r="H667">
        <v>-2</v>
      </c>
      <c r="I667">
        <v>1983</v>
      </c>
      <c r="J667" t="s">
        <v>33</v>
      </c>
      <c r="K667">
        <v>2547</v>
      </c>
      <c r="L667">
        <v>37.49</v>
      </c>
      <c r="M667">
        <v>17.45</v>
      </c>
      <c r="N667" s="7">
        <f t="shared" si="42"/>
        <v>0.11033175785</v>
      </c>
      <c r="O667" s="7">
        <f t="shared" si="43"/>
        <v>1.9252891744825</v>
      </c>
      <c r="P667">
        <v>40</v>
      </c>
      <c r="Q667">
        <v>4.5</v>
      </c>
      <c r="R667">
        <v>2.6</v>
      </c>
      <c r="S667">
        <v>3.6</v>
      </c>
      <c r="T667">
        <v>2.9</v>
      </c>
      <c r="U667">
        <v>2.2999999999999998</v>
      </c>
      <c r="V667" t="s">
        <v>25</v>
      </c>
    </row>
    <row r="668" spans="1:22" hidden="1" outlineLevel="2" x14ac:dyDescent="0.25">
      <c r="A668" t="s">
        <v>89</v>
      </c>
      <c r="B668">
        <v>1</v>
      </c>
      <c r="C668" t="s">
        <v>90</v>
      </c>
      <c r="D668" t="s">
        <v>91</v>
      </c>
      <c r="E668" t="s">
        <v>92</v>
      </c>
      <c r="F668">
        <v>150</v>
      </c>
      <c r="G668">
        <v>1300</v>
      </c>
      <c r="H668">
        <v>-2</v>
      </c>
      <c r="I668">
        <v>1983</v>
      </c>
      <c r="J668" t="s">
        <v>33</v>
      </c>
      <c r="K668">
        <v>2568</v>
      </c>
      <c r="L668">
        <v>31.63</v>
      </c>
      <c r="M668">
        <v>13.91</v>
      </c>
      <c r="N668" s="7">
        <f t="shared" si="42"/>
        <v>7.853586664999998E-2</v>
      </c>
      <c r="O668" s="7">
        <f t="shared" si="43"/>
        <v>1.0924339051014997</v>
      </c>
      <c r="P668">
        <v>60</v>
      </c>
      <c r="Q668">
        <v>3.6</v>
      </c>
      <c r="R668">
        <v>2.6</v>
      </c>
      <c r="S668">
        <v>3.6</v>
      </c>
      <c r="T668">
        <v>3.3</v>
      </c>
      <c r="U668">
        <v>2.8</v>
      </c>
      <c r="V668" t="s">
        <v>25</v>
      </c>
    </row>
    <row r="669" spans="1:22" hidden="1" outlineLevel="2" x14ac:dyDescent="0.25">
      <c r="A669" t="s">
        <v>89</v>
      </c>
      <c r="B669">
        <v>1</v>
      </c>
      <c r="C669" t="s">
        <v>90</v>
      </c>
      <c r="D669" t="s">
        <v>91</v>
      </c>
      <c r="E669" t="s">
        <v>92</v>
      </c>
      <c r="F669">
        <v>150</v>
      </c>
      <c r="G669">
        <v>1300</v>
      </c>
      <c r="H669">
        <v>-2</v>
      </c>
      <c r="I669">
        <v>1983</v>
      </c>
      <c r="J669" t="s">
        <v>32</v>
      </c>
      <c r="K669">
        <v>1596</v>
      </c>
      <c r="L669">
        <v>20.11</v>
      </c>
      <c r="M669">
        <v>13.55</v>
      </c>
      <c r="N669" s="7">
        <f t="shared" si="42"/>
        <v>3.1746349850000001E-2</v>
      </c>
      <c r="O669" s="7">
        <f t="shared" si="43"/>
        <v>0.43016304046750004</v>
      </c>
      <c r="P669">
        <v>20</v>
      </c>
      <c r="Q669">
        <v>3</v>
      </c>
      <c r="R669">
        <v>4</v>
      </c>
      <c r="S669">
        <v>4</v>
      </c>
      <c r="T669">
        <v>4</v>
      </c>
      <c r="U669">
        <v>4</v>
      </c>
      <c r="V669" t="s">
        <v>38</v>
      </c>
    </row>
    <row r="670" spans="1:22" hidden="1" outlineLevel="2" x14ac:dyDescent="0.25">
      <c r="A670" t="s">
        <v>89</v>
      </c>
      <c r="B670">
        <v>1</v>
      </c>
      <c r="C670" t="s">
        <v>90</v>
      </c>
      <c r="D670" t="s">
        <v>91</v>
      </c>
      <c r="E670" t="s">
        <v>92</v>
      </c>
      <c r="F670">
        <v>150</v>
      </c>
      <c r="G670">
        <v>1300</v>
      </c>
      <c r="H670">
        <v>-2</v>
      </c>
      <c r="I670">
        <v>1983</v>
      </c>
      <c r="J670" t="s">
        <v>32</v>
      </c>
      <c r="K670">
        <v>2569</v>
      </c>
      <c r="L670">
        <v>22.15</v>
      </c>
      <c r="M670">
        <v>14.57</v>
      </c>
      <c r="N670" s="7">
        <f t="shared" si="42"/>
        <v>3.8513866249999994E-2</v>
      </c>
      <c r="O670" s="7">
        <f t="shared" si="43"/>
        <v>0.56114703126249987</v>
      </c>
      <c r="P670">
        <v>20</v>
      </c>
      <c r="Q670">
        <v>3</v>
      </c>
      <c r="R670">
        <v>4</v>
      </c>
      <c r="S670">
        <v>3</v>
      </c>
      <c r="T670">
        <v>3.4</v>
      </c>
      <c r="U670">
        <v>3</v>
      </c>
      <c r="V670" t="s">
        <v>25</v>
      </c>
    </row>
    <row r="671" spans="1:22" hidden="1" outlineLevel="2" x14ac:dyDescent="0.25">
      <c r="A671" t="s">
        <v>89</v>
      </c>
      <c r="B671">
        <v>1</v>
      </c>
      <c r="C671" t="s">
        <v>90</v>
      </c>
      <c r="D671" t="s">
        <v>91</v>
      </c>
      <c r="E671" t="s">
        <v>92</v>
      </c>
      <c r="F671">
        <v>150</v>
      </c>
      <c r="G671">
        <v>1300</v>
      </c>
      <c r="H671">
        <v>-2</v>
      </c>
      <c r="I671">
        <v>1983</v>
      </c>
      <c r="J671" t="s">
        <v>32</v>
      </c>
      <c r="K671">
        <v>2634</v>
      </c>
      <c r="L671">
        <v>40.520000000000003</v>
      </c>
      <c r="M671">
        <v>18.95</v>
      </c>
      <c r="N671" s="7">
        <f t="shared" si="42"/>
        <v>0.12888682640000002</v>
      </c>
      <c r="O671" s="7">
        <f t="shared" si="43"/>
        <v>2.44240536028</v>
      </c>
      <c r="P671">
        <v>10</v>
      </c>
      <c r="Q671">
        <v>4.5</v>
      </c>
      <c r="R671">
        <v>4.5</v>
      </c>
      <c r="S671">
        <v>3</v>
      </c>
      <c r="T671">
        <v>4</v>
      </c>
      <c r="U671">
        <v>2</v>
      </c>
      <c r="V671" t="s">
        <v>25</v>
      </c>
    </row>
    <row r="672" spans="1:22" hidden="1" outlineLevel="2" x14ac:dyDescent="0.25">
      <c r="A672" t="s">
        <v>89</v>
      </c>
      <c r="B672">
        <v>1</v>
      </c>
      <c r="C672" t="s">
        <v>90</v>
      </c>
      <c r="D672" t="s">
        <v>91</v>
      </c>
      <c r="E672" t="s">
        <v>92</v>
      </c>
      <c r="F672">
        <v>150</v>
      </c>
      <c r="G672">
        <v>1300</v>
      </c>
      <c r="H672">
        <v>-2</v>
      </c>
      <c r="I672">
        <v>1983</v>
      </c>
      <c r="J672" t="s">
        <v>32</v>
      </c>
      <c r="K672">
        <v>2635</v>
      </c>
      <c r="L672">
        <v>20.399999999999999</v>
      </c>
      <c r="M672">
        <v>10.199999999999999</v>
      </c>
      <c r="N672" s="7">
        <f t="shared" si="42"/>
        <v>3.2668559999999999E-2</v>
      </c>
      <c r="O672" s="7">
        <f t="shared" si="43"/>
        <v>0.33321931199999999</v>
      </c>
      <c r="P672">
        <v>10</v>
      </c>
      <c r="Q672">
        <v>3.3</v>
      </c>
      <c r="R672">
        <v>4.5</v>
      </c>
      <c r="S672">
        <v>3.3</v>
      </c>
      <c r="T672">
        <v>4</v>
      </c>
      <c r="U672">
        <v>3.5</v>
      </c>
      <c r="V672" t="s">
        <v>25</v>
      </c>
    </row>
    <row r="673" spans="1:22" hidden="1" outlineLevel="2" x14ac:dyDescent="0.25">
      <c r="A673" t="s">
        <v>89</v>
      </c>
      <c r="B673">
        <v>1</v>
      </c>
      <c r="C673" t="s">
        <v>90</v>
      </c>
      <c r="D673" t="s">
        <v>91</v>
      </c>
      <c r="E673" t="s">
        <v>92</v>
      </c>
      <c r="F673">
        <v>150</v>
      </c>
      <c r="G673">
        <v>1300</v>
      </c>
      <c r="H673">
        <v>-2</v>
      </c>
      <c r="I673">
        <v>1983</v>
      </c>
      <c r="J673" t="s">
        <v>34</v>
      </c>
      <c r="K673">
        <v>2570</v>
      </c>
      <c r="L673">
        <v>24.87</v>
      </c>
      <c r="M673">
        <v>11.66</v>
      </c>
      <c r="N673" s="7">
        <f t="shared" si="42"/>
        <v>4.8553576649999999E-2</v>
      </c>
      <c r="O673" s="7">
        <f t="shared" si="43"/>
        <v>0.56613470373899999</v>
      </c>
      <c r="P673">
        <v>40</v>
      </c>
      <c r="Q673">
        <v>3.3</v>
      </c>
      <c r="R673">
        <v>3.4</v>
      </c>
      <c r="S673">
        <v>3.5</v>
      </c>
      <c r="T673">
        <v>4.0999999999999996</v>
      </c>
      <c r="U673">
        <v>3.4</v>
      </c>
      <c r="V673" t="s">
        <v>25</v>
      </c>
    </row>
    <row r="674" spans="1:22" hidden="1" outlineLevel="2" x14ac:dyDescent="0.25">
      <c r="A674" t="s">
        <v>89</v>
      </c>
      <c r="B674">
        <v>1</v>
      </c>
      <c r="C674" t="s">
        <v>90</v>
      </c>
      <c r="D674" t="s">
        <v>91</v>
      </c>
      <c r="E674" t="s">
        <v>92</v>
      </c>
      <c r="F674">
        <v>150</v>
      </c>
      <c r="G674">
        <v>1300</v>
      </c>
      <c r="H674">
        <v>-2</v>
      </c>
      <c r="I674">
        <v>1983</v>
      </c>
      <c r="J674" t="s">
        <v>34</v>
      </c>
      <c r="K674">
        <v>1522</v>
      </c>
      <c r="L674">
        <v>33.159999999999997</v>
      </c>
      <c r="M674">
        <v>14.75</v>
      </c>
      <c r="N674" s="7">
        <f t="shared" si="42"/>
        <v>8.6317469599999974E-2</v>
      </c>
      <c r="O674" s="7">
        <f t="shared" si="43"/>
        <v>1.2731826765999996</v>
      </c>
      <c r="P674">
        <v>40</v>
      </c>
      <c r="Q674">
        <v>3.7</v>
      </c>
      <c r="R674">
        <v>3.5</v>
      </c>
      <c r="S674">
        <v>3.6</v>
      </c>
      <c r="T674">
        <v>3.6</v>
      </c>
      <c r="U674">
        <v>2.9</v>
      </c>
      <c r="V674" t="s">
        <v>25</v>
      </c>
    </row>
    <row r="675" spans="1:22" hidden="1" outlineLevel="2" x14ac:dyDescent="0.25">
      <c r="A675" t="s">
        <v>89</v>
      </c>
      <c r="B675">
        <v>1</v>
      </c>
      <c r="C675" t="s">
        <v>90</v>
      </c>
      <c r="D675" t="s">
        <v>91</v>
      </c>
      <c r="E675" t="s">
        <v>92</v>
      </c>
      <c r="F675">
        <v>150</v>
      </c>
      <c r="G675">
        <v>1300</v>
      </c>
      <c r="H675">
        <v>-2</v>
      </c>
      <c r="I675">
        <v>1983</v>
      </c>
      <c r="J675" t="s">
        <v>35</v>
      </c>
      <c r="K675">
        <v>1788</v>
      </c>
      <c r="L675">
        <v>31.05</v>
      </c>
      <c r="M675">
        <v>15.25</v>
      </c>
      <c r="N675" s="7">
        <f t="shared" si="42"/>
        <v>7.568204625000001E-2</v>
      </c>
      <c r="O675" s="7">
        <f t="shared" si="43"/>
        <v>1.1541512053125</v>
      </c>
      <c r="P675">
        <v>30</v>
      </c>
      <c r="Q675">
        <v>3.2</v>
      </c>
      <c r="R675">
        <v>1.8</v>
      </c>
      <c r="S675">
        <v>2.8</v>
      </c>
      <c r="T675">
        <v>3.5</v>
      </c>
      <c r="U675">
        <v>2.9</v>
      </c>
      <c r="V675" t="s">
        <v>38</v>
      </c>
    </row>
    <row r="676" spans="1:22" hidden="1" outlineLevel="2" x14ac:dyDescent="0.25">
      <c r="A676" t="s">
        <v>89</v>
      </c>
      <c r="B676">
        <v>1</v>
      </c>
      <c r="C676" t="s">
        <v>90</v>
      </c>
      <c r="D676" t="s">
        <v>91</v>
      </c>
      <c r="E676" t="s">
        <v>92</v>
      </c>
      <c r="F676">
        <v>150</v>
      </c>
      <c r="G676">
        <v>1300</v>
      </c>
      <c r="H676">
        <v>-2</v>
      </c>
      <c r="I676">
        <v>1983</v>
      </c>
      <c r="J676" t="s">
        <v>35</v>
      </c>
      <c r="K676">
        <v>2571</v>
      </c>
      <c r="L676">
        <v>31.33</v>
      </c>
      <c r="M676">
        <v>15.67</v>
      </c>
      <c r="N676" s="7">
        <f t="shared" si="42"/>
        <v>7.7053158649999995E-2</v>
      </c>
      <c r="O676" s="7">
        <f t="shared" si="43"/>
        <v>1.2074229960454999</v>
      </c>
      <c r="P676">
        <v>30</v>
      </c>
      <c r="Q676">
        <v>4.0999999999999996</v>
      </c>
      <c r="R676">
        <v>2.2999999999999998</v>
      </c>
      <c r="S676">
        <v>3.4</v>
      </c>
      <c r="T676">
        <v>4</v>
      </c>
      <c r="U676">
        <v>3.1</v>
      </c>
      <c r="V676" t="s">
        <v>25</v>
      </c>
    </row>
    <row r="677" spans="1:22" hidden="1" outlineLevel="2" x14ac:dyDescent="0.25">
      <c r="A677" t="s">
        <v>89</v>
      </c>
      <c r="B677">
        <v>1</v>
      </c>
      <c r="C677" t="s">
        <v>90</v>
      </c>
      <c r="D677" t="s">
        <v>91</v>
      </c>
      <c r="E677" t="s">
        <v>92</v>
      </c>
      <c r="F677">
        <v>150</v>
      </c>
      <c r="G677">
        <v>1300</v>
      </c>
      <c r="H677">
        <v>-2</v>
      </c>
      <c r="I677">
        <v>1983</v>
      </c>
      <c r="J677" t="s">
        <v>36</v>
      </c>
      <c r="K677">
        <v>2573</v>
      </c>
      <c r="L677">
        <v>32.97</v>
      </c>
      <c r="M677">
        <v>14.24</v>
      </c>
      <c r="N677" s="7">
        <f t="shared" si="42"/>
        <v>8.5331140649999998E-2</v>
      </c>
      <c r="O677" s="7">
        <f t="shared" si="43"/>
        <v>1.215115442856</v>
      </c>
      <c r="P677">
        <v>40</v>
      </c>
      <c r="Q677">
        <v>3.2</v>
      </c>
      <c r="R677">
        <v>4</v>
      </c>
      <c r="S677">
        <v>3.1</v>
      </c>
      <c r="T677">
        <v>3.3</v>
      </c>
      <c r="U677">
        <v>3</v>
      </c>
      <c r="V677" t="s">
        <v>25</v>
      </c>
    </row>
    <row r="678" spans="1:22" hidden="1" outlineLevel="2" x14ac:dyDescent="0.25">
      <c r="A678" t="s">
        <v>89</v>
      </c>
      <c r="B678">
        <v>1</v>
      </c>
      <c r="C678" t="s">
        <v>90</v>
      </c>
      <c r="D678" t="s">
        <v>91</v>
      </c>
      <c r="E678" t="s">
        <v>92</v>
      </c>
      <c r="F678">
        <v>150</v>
      </c>
      <c r="G678">
        <v>1300</v>
      </c>
      <c r="H678">
        <v>-2</v>
      </c>
      <c r="I678">
        <v>1983</v>
      </c>
      <c r="J678" t="s">
        <v>62</v>
      </c>
      <c r="K678">
        <v>2550</v>
      </c>
      <c r="L678">
        <v>20.25</v>
      </c>
      <c r="M678">
        <v>10.66</v>
      </c>
      <c r="N678" s="7">
        <f t="shared" si="42"/>
        <v>3.2189906250000004E-2</v>
      </c>
      <c r="O678" s="7">
        <f t="shared" si="43"/>
        <v>0.34314440062500007</v>
      </c>
      <c r="P678">
        <v>30</v>
      </c>
      <c r="Q678">
        <v>2.7</v>
      </c>
      <c r="R678">
        <v>3</v>
      </c>
      <c r="S678">
        <v>4</v>
      </c>
      <c r="T678">
        <v>4.2</v>
      </c>
      <c r="U678">
        <v>3.7</v>
      </c>
      <c r="V678" t="s">
        <v>25</v>
      </c>
    </row>
    <row r="679" spans="1:22" hidden="1" outlineLevel="2" x14ac:dyDescent="0.25">
      <c r="A679" t="s">
        <v>89</v>
      </c>
      <c r="B679">
        <v>1</v>
      </c>
      <c r="C679" t="s">
        <v>90</v>
      </c>
      <c r="D679" t="s">
        <v>91</v>
      </c>
      <c r="E679" t="s">
        <v>92</v>
      </c>
      <c r="F679">
        <v>150</v>
      </c>
      <c r="G679">
        <v>1300</v>
      </c>
      <c r="H679">
        <v>-2</v>
      </c>
      <c r="I679">
        <v>1983</v>
      </c>
      <c r="J679" t="s">
        <v>62</v>
      </c>
      <c r="K679">
        <v>2553</v>
      </c>
      <c r="L679">
        <v>27.44</v>
      </c>
      <c r="M679">
        <v>11.32</v>
      </c>
      <c r="N679" s="7">
        <f t="shared" si="42"/>
        <v>5.9106857600000021E-2</v>
      </c>
      <c r="O679" s="7">
        <f t="shared" si="43"/>
        <v>0.66908962803200023</v>
      </c>
      <c r="P679">
        <v>20</v>
      </c>
      <c r="Q679">
        <v>3.5</v>
      </c>
      <c r="R679">
        <v>3</v>
      </c>
      <c r="S679">
        <v>3.3</v>
      </c>
      <c r="T679">
        <v>4</v>
      </c>
      <c r="U679">
        <v>2.9</v>
      </c>
      <c r="V679" t="s">
        <v>27</v>
      </c>
    </row>
    <row r="680" spans="1:22" hidden="1" outlineLevel="2" x14ac:dyDescent="0.25">
      <c r="A680" t="s">
        <v>89</v>
      </c>
      <c r="B680">
        <v>1</v>
      </c>
      <c r="C680" t="s">
        <v>90</v>
      </c>
      <c r="D680" t="s">
        <v>91</v>
      </c>
      <c r="E680" t="s">
        <v>92</v>
      </c>
      <c r="F680">
        <v>150</v>
      </c>
      <c r="G680">
        <v>1300</v>
      </c>
      <c r="H680">
        <v>-2</v>
      </c>
      <c r="I680">
        <v>1983</v>
      </c>
      <c r="J680" t="s">
        <v>37</v>
      </c>
      <c r="K680">
        <v>2575</v>
      </c>
      <c r="L680">
        <v>19.91</v>
      </c>
      <c r="M680">
        <v>6.77</v>
      </c>
      <c r="N680" s="7">
        <f t="shared" si="42"/>
        <v>3.111803585E-2</v>
      </c>
      <c r="O680" s="7">
        <f t="shared" si="43"/>
        <v>0.21066910270449998</v>
      </c>
      <c r="P680">
        <v>40</v>
      </c>
      <c r="Q680">
        <v>1.6</v>
      </c>
      <c r="R680">
        <v>1.8</v>
      </c>
      <c r="S680">
        <v>2.2999999999999998</v>
      </c>
      <c r="T680">
        <v>2.5</v>
      </c>
      <c r="U680">
        <v>2.2999999999999998</v>
      </c>
      <c r="V680" t="s">
        <v>30</v>
      </c>
    </row>
    <row r="681" spans="1:22" hidden="1" outlineLevel="2" x14ac:dyDescent="0.25">
      <c r="A681" t="s">
        <v>89</v>
      </c>
      <c r="B681">
        <v>2</v>
      </c>
      <c r="C681" t="s">
        <v>90</v>
      </c>
      <c r="D681" t="s">
        <v>91</v>
      </c>
      <c r="E681" t="s">
        <v>92</v>
      </c>
      <c r="F681">
        <v>150</v>
      </c>
      <c r="G681">
        <v>1300</v>
      </c>
      <c r="H681">
        <v>-2</v>
      </c>
      <c r="I681">
        <v>1983</v>
      </c>
      <c r="J681" t="s">
        <v>76</v>
      </c>
      <c r="K681">
        <v>1592</v>
      </c>
      <c r="L681">
        <v>34.11</v>
      </c>
      <c r="M681">
        <v>16.48</v>
      </c>
      <c r="N681" s="7">
        <f t="shared" si="42"/>
        <v>9.1334129850000015E-2</v>
      </c>
      <c r="O681" s="7">
        <f t="shared" si="43"/>
        <v>1.5051864599280003</v>
      </c>
      <c r="P681">
        <v>20</v>
      </c>
      <c r="Q681">
        <v>3.5</v>
      </c>
      <c r="R681">
        <v>3.8</v>
      </c>
      <c r="S681">
        <v>3.2</v>
      </c>
      <c r="T681">
        <v>3.9</v>
      </c>
      <c r="U681">
        <v>2.5</v>
      </c>
      <c r="V681" t="s">
        <v>25</v>
      </c>
    </row>
    <row r="682" spans="1:22" hidden="1" outlineLevel="2" x14ac:dyDescent="0.25">
      <c r="A682" t="s">
        <v>89</v>
      </c>
      <c r="B682">
        <v>2</v>
      </c>
      <c r="C682" t="s">
        <v>90</v>
      </c>
      <c r="D682" t="s">
        <v>91</v>
      </c>
      <c r="E682" t="s">
        <v>92</v>
      </c>
      <c r="F682">
        <v>150</v>
      </c>
      <c r="G682">
        <v>1300</v>
      </c>
      <c r="H682">
        <v>-2</v>
      </c>
      <c r="I682">
        <v>1983</v>
      </c>
      <c r="J682" t="s">
        <v>76</v>
      </c>
      <c r="K682">
        <v>2560</v>
      </c>
      <c r="L682">
        <v>35.83</v>
      </c>
      <c r="M682">
        <v>21.5</v>
      </c>
      <c r="N682" s="7">
        <f t="shared" si="42"/>
        <v>0.10077742865</v>
      </c>
      <c r="O682" s="7">
        <f t="shared" si="43"/>
        <v>2.166714715975</v>
      </c>
      <c r="P682">
        <v>10</v>
      </c>
      <c r="Q682">
        <v>3.3</v>
      </c>
      <c r="R682">
        <v>3.5</v>
      </c>
      <c r="S682">
        <v>4</v>
      </c>
      <c r="T682">
        <v>4.5</v>
      </c>
      <c r="U682">
        <v>3</v>
      </c>
      <c r="V682" t="s">
        <v>27</v>
      </c>
    </row>
    <row r="683" spans="1:22" hidden="1" outlineLevel="2" x14ac:dyDescent="0.25">
      <c r="A683" t="s">
        <v>89</v>
      </c>
      <c r="B683">
        <v>2</v>
      </c>
      <c r="C683" t="s">
        <v>90</v>
      </c>
      <c r="D683" t="s">
        <v>91</v>
      </c>
      <c r="E683" t="s">
        <v>92</v>
      </c>
      <c r="F683">
        <v>150</v>
      </c>
      <c r="G683">
        <v>1300</v>
      </c>
      <c r="H683">
        <v>-2</v>
      </c>
      <c r="I683">
        <v>1983</v>
      </c>
      <c r="J683" t="s">
        <v>24</v>
      </c>
      <c r="K683">
        <v>2562</v>
      </c>
      <c r="L683">
        <v>33.19</v>
      </c>
      <c r="M683">
        <v>14.42</v>
      </c>
      <c r="N683" s="7">
        <f t="shared" si="42"/>
        <v>8.6473723849999989E-2</v>
      </c>
      <c r="O683" s="7">
        <f t="shared" si="43"/>
        <v>1.2469510979169998</v>
      </c>
      <c r="P683">
        <v>30</v>
      </c>
      <c r="Q683">
        <v>3.6</v>
      </c>
      <c r="R683">
        <v>3.7</v>
      </c>
      <c r="S683">
        <v>3.2</v>
      </c>
      <c r="T683">
        <v>3.7</v>
      </c>
      <c r="U683">
        <v>3.2</v>
      </c>
      <c r="V683" t="s">
        <v>25</v>
      </c>
    </row>
    <row r="684" spans="1:22" hidden="1" outlineLevel="2" x14ac:dyDescent="0.25">
      <c r="A684" t="s">
        <v>89</v>
      </c>
      <c r="B684">
        <v>2</v>
      </c>
      <c r="C684" t="s">
        <v>90</v>
      </c>
      <c r="D684" t="s">
        <v>91</v>
      </c>
      <c r="E684" t="s">
        <v>92</v>
      </c>
      <c r="F684">
        <v>150</v>
      </c>
      <c r="G684">
        <v>1300</v>
      </c>
      <c r="H684">
        <v>-2</v>
      </c>
      <c r="I684">
        <v>1983</v>
      </c>
      <c r="J684" t="s">
        <v>80</v>
      </c>
      <c r="K684">
        <v>1252</v>
      </c>
      <c r="L684">
        <v>27.13</v>
      </c>
      <c r="M684">
        <v>11.88</v>
      </c>
      <c r="N684" s="7">
        <f t="shared" si="42"/>
        <v>5.7778896649999988E-2</v>
      </c>
      <c r="O684" s="7">
        <f t="shared" si="43"/>
        <v>0.68641329220199987</v>
      </c>
      <c r="P684">
        <v>90</v>
      </c>
      <c r="Q684">
        <v>3.3</v>
      </c>
      <c r="R684">
        <v>3.7</v>
      </c>
      <c r="S684">
        <v>2.1</v>
      </c>
      <c r="T684">
        <v>2.1</v>
      </c>
      <c r="U684">
        <v>2</v>
      </c>
      <c r="V684" t="s">
        <v>38</v>
      </c>
    </row>
    <row r="685" spans="1:22" hidden="1" outlineLevel="2" x14ac:dyDescent="0.25">
      <c r="A685" t="s">
        <v>89</v>
      </c>
      <c r="B685">
        <v>2</v>
      </c>
      <c r="C685" t="s">
        <v>90</v>
      </c>
      <c r="D685" t="s">
        <v>91</v>
      </c>
      <c r="E685" t="s">
        <v>92</v>
      </c>
      <c r="F685">
        <v>150</v>
      </c>
      <c r="G685">
        <v>1300</v>
      </c>
      <c r="H685">
        <v>-2</v>
      </c>
      <c r="I685">
        <v>1983</v>
      </c>
      <c r="J685" t="s">
        <v>59</v>
      </c>
      <c r="K685">
        <v>2548</v>
      </c>
      <c r="L685">
        <v>49.34</v>
      </c>
      <c r="M685">
        <v>16.850000000000001</v>
      </c>
      <c r="N685" s="7">
        <f t="shared" si="42"/>
        <v>0.19110319460000005</v>
      </c>
      <c r="O685" s="7">
        <f t="shared" si="43"/>
        <v>3.2200888290100012</v>
      </c>
      <c r="P685">
        <v>10</v>
      </c>
      <c r="Q685">
        <v>5</v>
      </c>
      <c r="R685">
        <v>4.5</v>
      </c>
      <c r="S685">
        <v>3.5</v>
      </c>
      <c r="T685">
        <v>3.5</v>
      </c>
      <c r="U685">
        <v>3</v>
      </c>
      <c r="V685" t="s">
        <v>27</v>
      </c>
    </row>
    <row r="686" spans="1:22" hidden="1" outlineLevel="2" x14ac:dyDescent="0.25">
      <c r="A686" t="s">
        <v>89</v>
      </c>
      <c r="B686">
        <v>2</v>
      </c>
      <c r="C686" t="s">
        <v>90</v>
      </c>
      <c r="D686" t="s">
        <v>91</v>
      </c>
      <c r="E686" t="s">
        <v>92</v>
      </c>
      <c r="F686">
        <v>150</v>
      </c>
      <c r="G686">
        <v>1300</v>
      </c>
      <c r="H686">
        <v>-2</v>
      </c>
      <c r="I686">
        <v>1983</v>
      </c>
      <c r="J686" t="s">
        <v>26</v>
      </c>
      <c r="K686">
        <v>2552</v>
      </c>
      <c r="L686">
        <v>15.52</v>
      </c>
      <c r="M686">
        <v>7.83</v>
      </c>
      <c r="N686" s="7">
        <f t="shared" si="42"/>
        <v>1.8908326400000001E-2</v>
      </c>
      <c r="O686" s="7">
        <f t="shared" si="43"/>
        <v>0.14805219571200001</v>
      </c>
      <c r="P686">
        <v>10</v>
      </c>
      <c r="Q686">
        <v>2</v>
      </c>
      <c r="R686">
        <v>4</v>
      </c>
      <c r="S686">
        <v>4</v>
      </c>
      <c r="T686">
        <v>4</v>
      </c>
      <c r="U686">
        <v>4</v>
      </c>
      <c r="V686" t="s">
        <v>30</v>
      </c>
    </row>
    <row r="687" spans="1:22" hidden="1" outlineLevel="2" x14ac:dyDescent="0.25">
      <c r="A687" t="s">
        <v>89</v>
      </c>
      <c r="B687">
        <v>2</v>
      </c>
      <c r="C687" t="s">
        <v>90</v>
      </c>
      <c r="D687" t="s">
        <v>91</v>
      </c>
      <c r="E687" t="s">
        <v>92</v>
      </c>
      <c r="F687">
        <v>150</v>
      </c>
      <c r="G687">
        <v>1300</v>
      </c>
      <c r="H687">
        <v>-2</v>
      </c>
      <c r="I687">
        <v>1983</v>
      </c>
      <c r="J687" t="s">
        <v>33</v>
      </c>
      <c r="K687">
        <v>2547</v>
      </c>
      <c r="L687">
        <v>46.36</v>
      </c>
      <c r="M687">
        <v>19.09</v>
      </c>
      <c r="N687" s="7">
        <f t="shared" si="42"/>
        <v>0.16871609360000001</v>
      </c>
      <c r="O687" s="7">
        <f t="shared" si="43"/>
        <v>3.2207902268240001</v>
      </c>
      <c r="P687">
        <v>40</v>
      </c>
      <c r="Q687">
        <v>4.3</v>
      </c>
      <c r="R687">
        <v>2.6</v>
      </c>
      <c r="S687">
        <v>3.8</v>
      </c>
      <c r="T687">
        <v>2.9</v>
      </c>
      <c r="U687">
        <v>2.6</v>
      </c>
      <c r="V687" t="s">
        <v>27</v>
      </c>
    </row>
    <row r="688" spans="1:22" hidden="1" outlineLevel="2" x14ac:dyDescent="0.25">
      <c r="A688" t="s">
        <v>89</v>
      </c>
      <c r="B688">
        <v>2</v>
      </c>
      <c r="C688" t="s">
        <v>90</v>
      </c>
      <c r="D688" t="s">
        <v>91</v>
      </c>
      <c r="E688" t="s">
        <v>92</v>
      </c>
      <c r="F688">
        <v>150</v>
      </c>
      <c r="G688">
        <v>1300</v>
      </c>
      <c r="H688">
        <v>-2</v>
      </c>
      <c r="I688">
        <v>1983</v>
      </c>
      <c r="J688" t="s">
        <v>33</v>
      </c>
      <c r="K688">
        <v>2568</v>
      </c>
      <c r="L688">
        <v>52.76</v>
      </c>
      <c r="M688">
        <v>21</v>
      </c>
      <c r="N688" s="7">
        <f t="shared" si="42"/>
        <v>0.21851398159999996</v>
      </c>
      <c r="O688" s="7">
        <f t="shared" si="43"/>
        <v>4.5887936135999992</v>
      </c>
      <c r="P688">
        <v>50</v>
      </c>
      <c r="Q688">
        <v>4.5</v>
      </c>
      <c r="R688">
        <v>2.7</v>
      </c>
      <c r="S688">
        <v>3.9</v>
      </c>
      <c r="T688">
        <v>3.4</v>
      </c>
      <c r="U688">
        <v>2.6</v>
      </c>
      <c r="V688" t="s">
        <v>27</v>
      </c>
    </row>
    <row r="689" spans="1:22" hidden="1" outlineLevel="2" x14ac:dyDescent="0.25">
      <c r="A689" t="s">
        <v>89</v>
      </c>
      <c r="B689">
        <v>2</v>
      </c>
      <c r="C689" t="s">
        <v>90</v>
      </c>
      <c r="D689" t="s">
        <v>91</v>
      </c>
      <c r="E689" t="s">
        <v>92</v>
      </c>
      <c r="F689">
        <v>150</v>
      </c>
      <c r="G689">
        <v>1300</v>
      </c>
      <c r="H689">
        <v>-2</v>
      </c>
      <c r="I689">
        <v>1983</v>
      </c>
      <c r="J689" t="s">
        <v>32</v>
      </c>
      <c r="K689">
        <v>1596</v>
      </c>
      <c r="L689">
        <v>42.085000000000001</v>
      </c>
      <c r="M689">
        <v>17.05</v>
      </c>
      <c r="N689" s="7">
        <f t="shared" si="42"/>
        <v>0.1390350571625</v>
      </c>
      <c r="O689" s="7">
        <f t="shared" si="43"/>
        <v>2.370547724620625</v>
      </c>
      <c r="P689">
        <v>40</v>
      </c>
      <c r="Q689">
        <v>3.9</v>
      </c>
      <c r="R689">
        <v>3.9</v>
      </c>
      <c r="S689">
        <v>3.2</v>
      </c>
      <c r="T689">
        <v>3.3</v>
      </c>
      <c r="U689">
        <v>2.4</v>
      </c>
      <c r="V689" t="s">
        <v>27</v>
      </c>
    </row>
    <row r="690" spans="1:22" hidden="1" outlineLevel="2" x14ac:dyDescent="0.25">
      <c r="A690" t="s">
        <v>89</v>
      </c>
      <c r="B690">
        <v>2</v>
      </c>
      <c r="C690" t="s">
        <v>90</v>
      </c>
      <c r="D690" t="s">
        <v>91</v>
      </c>
      <c r="E690" t="s">
        <v>92</v>
      </c>
      <c r="F690">
        <v>150</v>
      </c>
      <c r="G690">
        <v>1300</v>
      </c>
      <c r="H690">
        <v>-2</v>
      </c>
      <c r="I690">
        <v>1983</v>
      </c>
      <c r="J690" t="s">
        <v>32</v>
      </c>
      <c r="K690">
        <v>2634</v>
      </c>
      <c r="L690">
        <v>39.79</v>
      </c>
      <c r="M690">
        <v>17.489999999999998</v>
      </c>
      <c r="N690" s="7">
        <f t="shared" si="42"/>
        <v>0.12428466184999998</v>
      </c>
      <c r="O690" s="7">
        <f t="shared" si="43"/>
        <v>2.1737387357564995</v>
      </c>
      <c r="P690">
        <v>10</v>
      </c>
      <c r="Q690">
        <v>4</v>
      </c>
      <c r="R690">
        <v>4</v>
      </c>
      <c r="S690">
        <v>3.3</v>
      </c>
      <c r="T690">
        <v>2.5</v>
      </c>
      <c r="U690">
        <v>1.5</v>
      </c>
      <c r="V690" t="s">
        <v>38</v>
      </c>
    </row>
    <row r="691" spans="1:22" hidden="1" outlineLevel="2" x14ac:dyDescent="0.25">
      <c r="A691" t="s">
        <v>89</v>
      </c>
      <c r="B691">
        <v>2</v>
      </c>
      <c r="C691" t="s">
        <v>90</v>
      </c>
      <c r="D691" t="s">
        <v>91</v>
      </c>
      <c r="E691" t="s">
        <v>92</v>
      </c>
      <c r="F691">
        <v>150</v>
      </c>
      <c r="G691">
        <v>1300</v>
      </c>
      <c r="H691">
        <v>-2</v>
      </c>
      <c r="I691">
        <v>1983</v>
      </c>
      <c r="J691" t="s">
        <v>32</v>
      </c>
      <c r="K691">
        <v>2635</v>
      </c>
      <c r="L691">
        <v>32.5</v>
      </c>
      <c r="M691">
        <v>14.57</v>
      </c>
      <c r="N691" s="7">
        <f t="shared" si="42"/>
        <v>8.2915625000000007E-2</v>
      </c>
      <c r="O691" s="7">
        <f t="shared" si="43"/>
        <v>1.2080806562500002</v>
      </c>
      <c r="P691">
        <v>10</v>
      </c>
      <c r="Q691">
        <v>2.7</v>
      </c>
      <c r="R691">
        <v>3</v>
      </c>
      <c r="S691">
        <v>3</v>
      </c>
      <c r="T691">
        <v>4</v>
      </c>
      <c r="U691">
        <v>3</v>
      </c>
      <c r="V691" t="s">
        <v>25</v>
      </c>
    </row>
    <row r="692" spans="1:22" hidden="1" outlineLevel="2" x14ac:dyDescent="0.25">
      <c r="A692" t="s">
        <v>89</v>
      </c>
      <c r="B692">
        <v>2</v>
      </c>
      <c r="C692" t="s">
        <v>90</v>
      </c>
      <c r="D692" t="s">
        <v>91</v>
      </c>
      <c r="E692" t="s">
        <v>92</v>
      </c>
      <c r="F692">
        <v>150</v>
      </c>
      <c r="G692">
        <v>1300</v>
      </c>
      <c r="H692">
        <v>-2</v>
      </c>
      <c r="I692">
        <v>1983</v>
      </c>
      <c r="J692" t="s">
        <v>34</v>
      </c>
      <c r="K692">
        <v>2570</v>
      </c>
      <c r="L692">
        <v>49.88</v>
      </c>
      <c r="M692">
        <v>14.05</v>
      </c>
      <c r="N692" s="7">
        <f t="shared" ref="N692:N714" si="44">3.14/4*((L692/100)^2)</f>
        <v>0.19530913040000003</v>
      </c>
      <c r="O692" s="7">
        <f t="shared" ref="O692:O714" si="45">3.14/4*((L692/100)^2)*M692</f>
        <v>2.7440932821200006</v>
      </c>
      <c r="P692">
        <v>10</v>
      </c>
      <c r="Q692">
        <v>4</v>
      </c>
      <c r="R692">
        <v>4.5</v>
      </c>
      <c r="S692">
        <v>3</v>
      </c>
      <c r="T692">
        <v>4</v>
      </c>
      <c r="U692">
        <v>3</v>
      </c>
      <c r="V692" t="s">
        <v>27</v>
      </c>
    </row>
    <row r="693" spans="1:22" hidden="1" outlineLevel="2" x14ac:dyDescent="0.25">
      <c r="A693" t="s">
        <v>89</v>
      </c>
      <c r="B693">
        <v>2</v>
      </c>
      <c r="C693" t="s">
        <v>90</v>
      </c>
      <c r="D693" t="s">
        <v>91</v>
      </c>
      <c r="E693" t="s">
        <v>92</v>
      </c>
      <c r="F693">
        <v>150</v>
      </c>
      <c r="G693">
        <v>1300</v>
      </c>
      <c r="H693">
        <v>-2</v>
      </c>
      <c r="I693">
        <v>1983</v>
      </c>
      <c r="J693" t="s">
        <v>34</v>
      </c>
      <c r="K693">
        <v>1522</v>
      </c>
      <c r="L693">
        <v>52.26</v>
      </c>
      <c r="M693">
        <v>15.45</v>
      </c>
      <c r="N693" s="7">
        <f t="shared" si="44"/>
        <v>0.21439194659999997</v>
      </c>
      <c r="O693" s="7">
        <f t="shared" si="45"/>
        <v>3.3123555749699993</v>
      </c>
      <c r="P693">
        <v>10</v>
      </c>
      <c r="Q693">
        <v>5</v>
      </c>
      <c r="R693">
        <v>4.5</v>
      </c>
      <c r="S693">
        <v>2.5</v>
      </c>
      <c r="T693">
        <v>2</v>
      </c>
      <c r="U693">
        <v>2.5</v>
      </c>
      <c r="V693" t="s">
        <v>25</v>
      </c>
    </row>
    <row r="694" spans="1:22" hidden="1" outlineLevel="2" x14ac:dyDescent="0.25">
      <c r="A694" t="s">
        <v>89</v>
      </c>
      <c r="B694">
        <v>2</v>
      </c>
      <c r="C694" t="s">
        <v>90</v>
      </c>
      <c r="D694" t="s">
        <v>91</v>
      </c>
      <c r="E694" t="s">
        <v>92</v>
      </c>
      <c r="F694">
        <v>150</v>
      </c>
      <c r="G694">
        <v>1300</v>
      </c>
      <c r="H694">
        <v>-2</v>
      </c>
      <c r="I694">
        <v>1983</v>
      </c>
      <c r="J694" t="s">
        <v>35</v>
      </c>
      <c r="K694">
        <v>1788</v>
      </c>
      <c r="L694">
        <v>32.86</v>
      </c>
      <c r="M694">
        <v>13.86</v>
      </c>
      <c r="N694" s="7">
        <f t="shared" si="44"/>
        <v>8.4762698600000005E-2</v>
      </c>
      <c r="O694" s="7">
        <f t="shared" si="45"/>
        <v>1.1748110025960001</v>
      </c>
      <c r="P694">
        <v>30</v>
      </c>
      <c r="Q694">
        <v>2.8</v>
      </c>
      <c r="R694">
        <v>2</v>
      </c>
      <c r="S694">
        <v>3.1</v>
      </c>
      <c r="T694">
        <v>3.1</v>
      </c>
      <c r="U694">
        <v>2.2999999999999998</v>
      </c>
      <c r="V694" t="s">
        <v>25</v>
      </c>
    </row>
    <row r="695" spans="1:22" hidden="1" outlineLevel="2" x14ac:dyDescent="0.25">
      <c r="A695" t="s">
        <v>89</v>
      </c>
      <c r="B695">
        <v>2</v>
      </c>
      <c r="C695" t="s">
        <v>90</v>
      </c>
      <c r="D695" t="s">
        <v>91</v>
      </c>
      <c r="E695" t="s">
        <v>92</v>
      </c>
      <c r="F695">
        <v>150</v>
      </c>
      <c r="G695">
        <v>1300</v>
      </c>
      <c r="H695">
        <v>-2</v>
      </c>
      <c r="I695">
        <v>1983</v>
      </c>
      <c r="J695" t="s">
        <v>35</v>
      </c>
      <c r="K695">
        <v>2571</v>
      </c>
      <c r="L695">
        <v>39.79</v>
      </c>
      <c r="M695">
        <v>18.02</v>
      </c>
      <c r="N695" s="7">
        <f t="shared" si="44"/>
        <v>0.12428466184999998</v>
      </c>
      <c r="O695" s="7">
        <f t="shared" si="45"/>
        <v>2.2396096065369995</v>
      </c>
      <c r="P695">
        <v>40</v>
      </c>
      <c r="Q695">
        <v>4.3</v>
      </c>
      <c r="R695">
        <v>2.5</v>
      </c>
      <c r="S695">
        <v>3.4</v>
      </c>
      <c r="T695">
        <v>3.8</v>
      </c>
      <c r="U695">
        <v>3.1</v>
      </c>
      <c r="V695" t="s">
        <v>27</v>
      </c>
    </row>
    <row r="696" spans="1:22" hidden="1" outlineLevel="2" x14ac:dyDescent="0.25">
      <c r="A696" t="s">
        <v>89</v>
      </c>
      <c r="B696">
        <v>2</v>
      </c>
      <c r="C696" t="s">
        <v>90</v>
      </c>
      <c r="D696" t="s">
        <v>91</v>
      </c>
      <c r="E696" t="s">
        <v>92</v>
      </c>
      <c r="F696">
        <v>150</v>
      </c>
      <c r="G696">
        <v>1300</v>
      </c>
      <c r="H696">
        <v>-2</v>
      </c>
      <c r="I696">
        <v>1983</v>
      </c>
      <c r="J696" t="s">
        <v>36</v>
      </c>
      <c r="K696">
        <v>2573</v>
      </c>
      <c r="L696">
        <v>8.7200000000000006</v>
      </c>
      <c r="M696">
        <v>10.17</v>
      </c>
      <c r="N696" s="7">
        <f t="shared" si="44"/>
        <v>5.9690144000000001E-3</v>
      </c>
      <c r="O696" s="7">
        <f t="shared" si="45"/>
        <v>6.0704876448000003E-2</v>
      </c>
      <c r="P696">
        <v>10</v>
      </c>
      <c r="Q696">
        <v>1.5</v>
      </c>
      <c r="R696">
        <v>4</v>
      </c>
      <c r="S696">
        <v>4</v>
      </c>
      <c r="T696">
        <v>4</v>
      </c>
      <c r="U696">
        <v>4</v>
      </c>
      <c r="V696" t="s">
        <v>50</v>
      </c>
    </row>
    <row r="697" spans="1:22" hidden="1" outlineLevel="2" x14ac:dyDescent="0.25">
      <c r="A697" t="s">
        <v>89</v>
      </c>
      <c r="B697">
        <v>2</v>
      </c>
      <c r="C697" t="s">
        <v>90</v>
      </c>
      <c r="D697" t="s">
        <v>91</v>
      </c>
      <c r="E697" t="s">
        <v>92</v>
      </c>
      <c r="F697">
        <v>150</v>
      </c>
      <c r="G697">
        <v>1300</v>
      </c>
      <c r="H697">
        <v>-2</v>
      </c>
      <c r="I697">
        <v>1983</v>
      </c>
      <c r="J697" t="s">
        <v>62</v>
      </c>
      <c r="K697">
        <v>2550</v>
      </c>
      <c r="L697">
        <v>27.97</v>
      </c>
      <c r="M697">
        <v>14.65</v>
      </c>
      <c r="N697" s="7">
        <f t="shared" si="44"/>
        <v>6.1412190650000004E-2</v>
      </c>
      <c r="O697" s="7">
        <f t="shared" si="45"/>
        <v>0.89968859302250004</v>
      </c>
      <c r="P697">
        <v>10</v>
      </c>
      <c r="Q697">
        <v>3</v>
      </c>
      <c r="R697">
        <v>3.5</v>
      </c>
      <c r="S697">
        <v>3.5</v>
      </c>
      <c r="T697">
        <v>3</v>
      </c>
      <c r="U697">
        <v>3</v>
      </c>
      <c r="V697" t="s">
        <v>25</v>
      </c>
    </row>
    <row r="698" spans="1:22" hidden="1" outlineLevel="2" x14ac:dyDescent="0.25">
      <c r="A698" t="s">
        <v>89</v>
      </c>
      <c r="B698">
        <v>2</v>
      </c>
      <c r="C698" t="s">
        <v>90</v>
      </c>
      <c r="D698" t="s">
        <v>91</v>
      </c>
      <c r="E698" t="s">
        <v>92</v>
      </c>
      <c r="F698">
        <v>150</v>
      </c>
      <c r="G698">
        <v>1300</v>
      </c>
      <c r="H698">
        <v>-2</v>
      </c>
      <c r="I698">
        <v>1983</v>
      </c>
      <c r="J698" t="s">
        <v>62</v>
      </c>
      <c r="K698">
        <v>2553</v>
      </c>
      <c r="L698">
        <v>39.69</v>
      </c>
      <c r="M698">
        <v>18.25</v>
      </c>
      <c r="N698" s="7">
        <f t="shared" si="44"/>
        <v>0.12366074384999999</v>
      </c>
      <c r="O698" s="7">
        <f t="shared" si="45"/>
        <v>2.2568085752624998</v>
      </c>
      <c r="P698">
        <v>30</v>
      </c>
      <c r="Q698">
        <v>3.9</v>
      </c>
      <c r="R698">
        <v>3.8</v>
      </c>
      <c r="S698">
        <v>4.2</v>
      </c>
      <c r="T698">
        <v>4.0999999999999996</v>
      </c>
      <c r="U698">
        <v>3.6</v>
      </c>
      <c r="V698" t="s">
        <v>27</v>
      </c>
    </row>
    <row r="699" spans="1:22" hidden="1" outlineLevel="2" x14ac:dyDescent="0.25">
      <c r="A699" t="s">
        <v>89</v>
      </c>
      <c r="B699">
        <v>2</v>
      </c>
      <c r="C699" t="s">
        <v>90</v>
      </c>
      <c r="D699" t="s">
        <v>91</v>
      </c>
      <c r="E699" t="s">
        <v>92</v>
      </c>
      <c r="F699">
        <v>150</v>
      </c>
      <c r="G699">
        <v>1300</v>
      </c>
      <c r="H699">
        <v>-2</v>
      </c>
      <c r="I699">
        <v>1983</v>
      </c>
      <c r="J699" t="s">
        <v>37</v>
      </c>
      <c r="K699">
        <v>2575</v>
      </c>
      <c r="L699">
        <v>13.81</v>
      </c>
      <c r="M699">
        <v>10.62</v>
      </c>
      <c r="N699" s="7">
        <f t="shared" si="44"/>
        <v>1.497121385E-2</v>
      </c>
      <c r="O699" s="7">
        <f t="shared" si="45"/>
        <v>0.15899429108699997</v>
      </c>
      <c r="P699">
        <v>10</v>
      </c>
      <c r="Q699">
        <v>1.5</v>
      </c>
      <c r="R699">
        <v>3</v>
      </c>
      <c r="S699">
        <v>2</v>
      </c>
      <c r="T699">
        <v>4</v>
      </c>
      <c r="U699">
        <v>3</v>
      </c>
      <c r="V699" t="s">
        <v>50</v>
      </c>
    </row>
    <row r="700" spans="1:22" hidden="1" outlineLevel="2" x14ac:dyDescent="0.25">
      <c r="A700" t="s">
        <v>89</v>
      </c>
      <c r="B700">
        <v>3</v>
      </c>
      <c r="C700" t="s">
        <v>90</v>
      </c>
      <c r="D700" t="s">
        <v>91</v>
      </c>
      <c r="E700" t="s">
        <v>92</v>
      </c>
      <c r="F700">
        <v>150</v>
      </c>
      <c r="G700">
        <v>1300</v>
      </c>
      <c r="H700">
        <v>-2</v>
      </c>
      <c r="I700">
        <v>1983</v>
      </c>
      <c r="J700" t="s">
        <v>24</v>
      </c>
      <c r="K700">
        <v>2562</v>
      </c>
      <c r="L700">
        <v>38.79</v>
      </c>
      <c r="M700">
        <v>14.56</v>
      </c>
      <c r="N700" s="7">
        <f t="shared" si="44"/>
        <v>0.11811613184999997</v>
      </c>
      <c r="O700" s="7">
        <f t="shared" si="45"/>
        <v>1.7197708797359996</v>
      </c>
      <c r="P700">
        <v>50</v>
      </c>
      <c r="Q700">
        <v>3.9</v>
      </c>
      <c r="R700">
        <v>3.6</v>
      </c>
      <c r="S700">
        <v>3.2</v>
      </c>
      <c r="T700">
        <v>3.5</v>
      </c>
      <c r="U700">
        <v>2.4</v>
      </c>
      <c r="V700" t="s">
        <v>27</v>
      </c>
    </row>
    <row r="701" spans="1:22" hidden="1" outlineLevel="2" x14ac:dyDescent="0.25">
      <c r="A701" t="s">
        <v>89</v>
      </c>
      <c r="B701">
        <v>3</v>
      </c>
      <c r="C701" t="s">
        <v>90</v>
      </c>
      <c r="D701" t="s">
        <v>91</v>
      </c>
      <c r="E701" t="s">
        <v>92</v>
      </c>
      <c r="F701">
        <v>150</v>
      </c>
      <c r="G701">
        <v>1300</v>
      </c>
      <c r="H701">
        <v>-2</v>
      </c>
      <c r="I701">
        <v>1983</v>
      </c>
      <c r="J701" t="s">
        <v>80</v>
      </c>
      <c r="K701">
        <v>1252</v>
      </c>
      <c r="L701">
        <v>26.05</v>
      </c>
      <c r="M701">
        <v>12.15</v>
      </c>
      <c r="N701" s="7">
        <f t="shared" si="44"/>
        <v>5.3270296250000009E-2</v>
      </c>
      <c r="O701" s="7">
        <f t="shared" si="45"/>
        <v>0.6472340994375001</v>
      </c>
      <c r="P701">
        <v>10</v>
      </c>
      <c r="Q701">
        <v>3</v>
      </c>
      <c r="R701">
        <v>3</v>
      </c>
      <c r="S701">
        <v>2.5</v>
      </c>
      <c r="T701">
        <v>3.3</v>
      </c>
      <c r="U701">
        <v>3</v>
      </c>
      <c r="V701" t="s">
        <v>38</v>
      </c>
    </row>
    <row r="702" spans="1:22" hidden="1" outlineLevel="2" x14ac:dyDescent="0.25">
      <c r="A702" t="s">
        <v>89</v>
      </c>
      <c r="B702">
        <v>3</v>
      </c>
      <c r="C702" t="s">
        <v>90</v>
      </c>
      <c r="D702" t="s">
        <v>91</v>
      </c>
      <c r="E702" t="s">
        <v>92</v>
      </c>
      <c r="F702">
        <v>150</v>
      </c>
      <c r="G702">
        <v>1300</v>
      </c>
      <c r="H702">
        <v>-2</v>
      </c>
      <c r="I702">
        <v>1983</v>
      </c>
      <c r="J702" t="s">
        <v>59</v>
      </c>
      <c r="K702">
        <v>2548</v>
      </c>
      <c r="L702">
        <v>26.51</v>
      </c>
      <c r="M702">
        <v>7.66</v>
      </c>
      <c r="N702" s="7">
        <f t="shared" si="44"/>
        <v>5.5168237850000003E-2</v>
      </c>
      <c r="O702" s="7">
        <f t="shared" si="45"/>
        <v>0.42258870193100001</v>
      </c>
      <c r="P702">
        <v>10</v>
      </c>
      <c r="Q702">
        <v>2.5</v>
      </c>
      <c r="R702">
        <v>3</v>
      </c>
      <c r="S702">
        <v>3</v>
      </c>
      <c r="T702">
        <v>3</v>
      </c>
      <c r="U702">
        <v>3</v>
      </c>
      <c r="V702" t="s">
        <v>38</v>
      </c>
    </row>
    <row r="703" spans="1:22" hidden="1" outlineLevel="2" x14ac:dyDescent="0.25">
      <c r="A703" t="s">
        <v>89</v>
      </c>
      <c r="B703">
        <v>3</v>
      </c>
      <c r="C703" t="s">
        <v>90</v>
      </c>
      <c r="D703" t="s">
        <v>91</v>
      </c>
      <c r="E703" t="s">
        <v>92</v>
      </c>
      <c r="F703">
        <v>150</v>
      </c>
      <c r="G703">
        <v>1300</v>
      </c>
      <c r="H703">
        <v>-2</v>
      </c>
      <c r="I703">
        <v>1983</v>
      </c>
      <c r="J703" t="s">
        <v>26</v>
      </c>
      <c r="K703">
        <v>2552</v>
      </c>
      <c r="L703">
        <v>14.24</v>
      </c>
      <c r="M703">
        <v>7.12</v>
      </c>
      <c r="N703" s="7">
        <f t="shared" si="44"/>
        <v>1.5918041599999998E-2</v>
      </c>
      <c r="O703" s="7">
        <f t="shared" si="45"/>
        <v>0.11333645619199999</v>
      </c>
      <c r="P703">
        <v>10</v>
      </c>
      <c r="Q703">
        <v>2</v>
      </c>
      <c r="R703">
        <v>3</v>
      </c>
      <c r="S703">
        <v>3</v>
      </c>
      <c r="T703">
        <v>4</v>
      </c>
      <c r="U703">
        <v>4</v>
      </c>
      <c r="V703" t="s">
        <v>30</v>
      </c>
    </row>
    <row r="704" spans="1:22" hidden="1" outlineLevel="2" x14ac:dyDescent="0.25">
      <c r="A704" t="s">
        <v>89</v>
      </c>
      <c r="B704">
        <v>3</v>
      </c>
      <c r="C704" t="s">
        <v>90</v>
      </c>
      <c r="D704" t="s">
        <v>91</v>
      </c>
      <c r="E704" t="s">
        <v>92</v>
      </c>
      <c r="F704">
        <v>150</v>
      </c>
      <c r="G704">
        <v>1300</v>
      </c>
      <c r="H704">
        <v>-2</v>
      </c>
      <c r="I704">
        <v>1983</v>
      </c>
      <c r="J704" t="s">
        <v>33</v>
      </c>
      <c r="K704">
        <v>2547</v>
      </c>
      <c r="L704">
        <v>42.95</v>
      </c>
      <c r="M704">
        <v>13.91</v>
      </c>
      <c r="N704" s="7">
        <f t="shared" si="44"/>
        <v>0.14480914625000002</v>
      </c>
      <c r="O704" s="7">
        <f t="shared" si="45"/>
        <v>2.0142952243375003</v>
      </c>
      <c r="P704">
        <v>50</v>
      </c>
      <c r="Q704">
        <v>4.2</v>
      </c>
      <c r="R704">
        <v>2.8</v>
      </c>
      <c r="S704">
        <v>2</v>
      </c>
      <c r="T704">
        <v>2.5</v>
      </c>
      <c r="U704">
        <v>1.7</v>
      </c>
      <c r="V704" t="s">
        <v>25</v>
      </c>
    </row>
    <row r="705" spans="1:22" hidden="1" outlineLevel="2" x14ac:dyDescent="0.25">
      <c r="A705" t="s">
        <v>89</v>
      </c>
      <c r="B705">
        <v>3</v>
      </c>
      <c r="C705" t="s">
        <v>90</v>
      </c>
      <c r="D705" t="s">
        <v>91</v>
      </c>
      <c r="E705" t="s">
        <v>92</v>
      </c>
      <c r="F705">
        <v>150</v>
      </c>
      <c r="G705">
        <v>1300</v>
      </c>
      <c r="H705">
        <v>-2</v>
      </c>
      <c r="I705">
        <v>1983</v>
      </c>
      <c r="J705" t="s">
        <v>33</v>
      </c>
      <c r="K705">
        <v>2568</v>
      </c>
      <c r="L705">
        <v>40.08</v>
      </c>
      <c r="M705">
        <v>12.27</v>
      </c>
      <c r="N705" s="7">
        <f t="shared" si="44"/>
        <v>0.12610290239999999</v>
      </c>
      <c r="O705" s="7">
        <f t="shared" si="45"/>
        <v>1.5472826124479999</v>
      </c>
      <c r="P705">
        <v>50</v>
      </c>
      <c r="Q705">
        <v>4.0999999999999996</v>
      </c>
      <c r="R705">
        <v>2.5</v>
      </c>
      <c r="S705">
        <v>2.2999999999999998</v>
      </c>
      <c r="T705">
        <v>2.6</v>
      </c>
      <c r="U705">
        <v>1.7</v>
      </c>
      <c r="V705" t="s">
        <v>25</v>
      </c>
    </row>
    <row r="706" spans="1:22" hidden="1" outlineLevel="2" x14ac:dyDescent="0.25">
      <c r="A706" t="s">
        <v>89</v>
      </c>
      <c r="B706">
        <v>3</v>
      </c>
      <c r="C706" t="s">
        <v>90</v>
      </c>
      <c r="D706" t="s">
        <v>91</v>
      </c>
      <c r="E706" t="s">
        <v>92</v>
      </c>
      <c r="F706">
        <v>150</v>
      </c>
      <c r="G706">
        <v>1300</v>
      </c>
      <c r="H706">
        <v>-2</v>
      </c>
      <c r="I706">
        <v>1983</v>
      </c>
      <c r="J706" t="s">
        <v>32</v>
      </c>
      <c r="K706">
        <v>1596</v>
      </c>
      <c r="L706">
        <v>33.81</v>
      </c>
      <c r="M706">
        <v>10.93</v>
      </c>
      <c r="N706" s="7">
        <f t="shared" si="44"/>
        <v>8.9734613850000006E-2</v>
      </c>
      <c r="O706" s="7">
        <f t="shared" si="45"/>
        <v>0.98079932938050007</v>
      </c>
      <c r="P706">
        <v>10</v>
      </c>
      <c r="Q706">
        <v>3.3</v>
      </c>
      <c r="R706">
        <v>4</v>
      </c>
      <c r="S706">
        <v>3.3</v>
      </c>
      <c r="T706">
        <v>4</v>
      </c>
      <c r="U706">
        <v>2.7</v>
      </c>
      <c r="V706" t="s">
        <v>25</v>
      </c>
    </row>
    <row r="707" spans="1:22" hidden="1" outlineLevel="2" x14ac:dyDescent="0.25">
      <c r="A707" t="s">
        <v>89</v>
      </c>
      <c r="B707">
        <v>3</v>
      </c>
      <c r="C707" t="s">
        <v>90</v>
      </c>
      <c r="D707" t="s">
        <v>91</v>
      </c>
      <c r="E707" t="s">
        <v>92</v>
      </c>
      <c r="F707">
        <v>150</v>
      </c>
      <c r="G707">
        <v>1300</v>
      </c>
      <c r="H707">
        <v>-2</v>
      </c>
      <c r="I707">
        <v>1983</v>
      </c>
      <c r="J707" t="s">
        <v>32</v>
      </c>
      <c r="K707">
        <v>2569</v>
      </c>
      <c r="L707">
        <v>31.33</v>
      </c>
      <c r="M707">
        <v>10.199999999999999</v>
      </c>
      <c r="N707" s="7">
        <f t="shared" si="44"/>
        <v>7.7053158649999995E-2</v>
      </c>
      <c r="O707" s="7">
        <f t="shared" si="45"/>
        <v>0.78594221822999988</v>
      </c>
      <c r="P707">
        <v>10</v>
      </c>
      <c r="Q707">
        <v>3.5</v>
      </c>
      <c r="R707">
        <v>4</v>
      </c>
      <c r="S707">
        <v>3</v>
      </c>
      <c r="T707">
        <v>4</v>
      </c>
      <c r="U707">
        <v>3</v>
      </c>
      <c r="V707" t="s">
        <v>27</v>
      </c>
    </row>
    <row r="708" spans="1:22" hidden="1" outlineLevel="2" x14ac:dyDescent="0.25">
      <c r="A708" t="s">
        <v>89</v>
      </c>
      <c r="B708">
        <v>3</v>
      </c>
      <c r="C708" t="s">
        <v>90</v>
      </c>
      <c r="D708" t="s">
        <v>91</v>
      </c>
      <c r="E708" t="s">
        <v>92</v>
      </c>
      <c r="F708">
        <v>150</v>
      </c>
      <c r="G708">
        <v>1300</v>
      </c>
      <c r="H708">
        <v>-2</v>
      </c>
      <c r="I708">
        <v>1983</v>
      </c>
      <c r="J708" t="s">
        <v>32</v>
      </c>
      <c r="K708">
        <v>2634</v>
      </c>
      <c r="L708">
        <v>40.22</v>
      </c>
      <c r="M708">
        <v>18.22</v>
      </c>
      <c r="N708" s="7">
        <f t="shared" si="44"/>
        <v>0.1269853994</v>
      </c>
      <c r="O708" s="7">
        <f t="shared" si="45"/>
        <v>2.3136739770679999</v>
      </c>
      <c r="P708">
        <v>10</v>
      </c>
      <c r="Q708">
        <v>4</v>
      </c>
      <c r="R708">
        <v>4.5</v>
      </c>
      <c r="S708">
        <v>3</v>
      </c>
      <c r="T708">
        <v>3.5</v>
      </c>
      <c r="U708">
        <v>2</v>
      </c>
      <c r="V708" t="s">
        <v>25</v>
      </c>
    </row>
    <row r="709" spans="1:22" hidden="1" outlineLevel="2" x14ac:dyDescent="0.25">
      <c r="A709" t="s">
        <v>89</v>
      </c>
      <c r="B709">
        <v>3</v>
      </c>
      <c r="C709" t="s">
        <v>90</v>
      </c>
      <c r="D709" t="s">
        <v>91</v>
      </c>
      <c r="E709" t="s">
        <v>92</v>
      </c>
      <c r="F709">
        <v>150</v>
      </c>
      <c r="G709">
        <v>1300</v>
      </c>
      <c r="H709">
        <v>-2</v>
      </c>
      <c r="I709">
        <v>1983</v>
      </c>
      <c r="J709" t="s">
        <v>32</v>
      </c>
      <c r="K709">
        <v>2635</v>
      </c>
      <c r="L709">
        <v>30.75</v>
      </c>
      <c r="M709">
        <v>14.57</v>
      </c>
      <c r="N709" s="7">
        <f t="shared" si="44"/>
        <v>7.4226656249999995E-2</v>
      </c>
      <c r="O709" s="7">
        <f t="shared" si="45"/>
        <v>1.0814823815624999</v>
      </c>
      <c r="P709">
        <v>20</v>
      </c>
      <c r="Q709">
        <v>3.8</v>
      </c>
      <c r="R709">
        <v>4</v>
      </c>
      <c r="S709">
        <v>3.5</v>
      </c>
      <c r="T709">
        <v>4</v>
      </c>
      <c r="U709">
        <v>2.9</v>
      </c>
      <c r="V709" t="s">
        <v>25</v>
      </c>
    </row>
    <row r="710" spans="1:22" hidden="1" outlineLevel="2" x14ac:dyDescent="0.25">
      <c r="A710" t="s">
        <v>89</v>
      </c>
      <c r="B710">
        <v>3</v>
      </c>
      <c r="C710" t="s">
        <v>90</v>
      </c>
      <c r="D710" t="s">
        <v>91</v>
      </c>
      <c r="E710" t="s">
        <v>92</v>
      </c>
      <c r="F710">
        <v>150</v>
      </c>
      <c r="G710">
        <v>1300</v>
      </c>
      <c r="H710">
        <v>-2</v>
      </c>
      <c r="I710">
        <v>1983</v>
      </c>
      <c r="J710" t="s">
        <v>34</v>
      </c>
      <c r="K710">
        <v>2570</v>
      </c>
      <c r="L710">
        <v>35.4</v>
      </c>
      <c r="M710">
        <v>14.05</v>
      </c>
      <c r="N710" s="7">
        <f t="shared" si="44"/>
        <v>9.8373059999999984E-2</v>
      </c>
      <c r="O710" s="7">
        <f t="shared" si="45"/>
        <v>1.3821414929999998</v>
      </c>
      <c r="P710">
        <v>10</v>
      </c>
      <c r="Q710">
        <v>3</v>
      </c>
      <c r="R710">
        <v>3</v>
      </c>
      <c r="S710">
        <v>3.3</v>
      </c>
      <c r="T710">
        <v>3.5</v>
      </c>
      <c r="U710">
        <v>3</v>
      </c>
      <c r="V710" t="s">
        <v>27</v>
      </c>
    </row>
    <row r="711" spans="1:22" hidden="1" outlineLevel="2" x14ac:dyDescent="0.25">
      <c r="A711" t="s">
        <v>89</v>
      </c>
      <c r="B711">
        <v>3</v>
      </c>
      <c r="C711" t="s">
        <v>90</v>
      </c>
      <c r="D711" t="s">
        <v>91</v>
      </c>
      <c r="E711" t="s">
        <v>92</v>
      </c>
      <c r="F711">
        <v>150</v>
      </c>
      <c r="G711">
        <v>1300</v>
      </c>
      <c r="H711">
        <v>-2</v>
      </c>
      <c r="I711">
        <v>1983</v>
      </c>
      <c r="J711" t="s">
        <v>34</v>
      </c>
      <c r="K711">
        <v>1522</v>
      </c>
      <c r="L711">
        <v>42.43</v>
      </c>
      <c r="M711">
        <v>13.35</v>
      </c>
      <c r="N711" s="7">
        <f t="shared" si="44"/>
        <v>0.14132393465000001</v>
      </c>
      <c r="O711" s="7">
        <f t="shared" si="45"/>
        <v>1.8866745275775001</v>
      </c>
      <c r="P711">
        <v>40</v>
      </c>
      <c r="Q711">
        <v>4</v>
      </c>
      <c r="R711">
        <v>3.4</v>
      </c>
      <c r="S711">
        <v>3</v>
      </c>
      <c r="T711">
        <v>3.5</v>
      </c>
      <c r="U711">
        <v>2.1</v>
      </c>
      <c r="V711" t="s">
        <v>27</v>
      </c>
    </row>
    <row r="712" spans="1:22" hidden="1" outlineLevel="2" x14ac:dyDescent="0.25">
      <c r="A712" t="s">
        <v>89</v>
      </c>
      <c r="B712">
        <v>3</v>
      </c>
      <c r="C712" t="s">
        <v>90</v>
      </c>
      <c r="D712" t="s">
        <v>91</v>
      </c>
      <c r="E712" t="s">
        <v>92</v>
      </c>
      <c r="F712">
        <v>150</v>
      </c>
      <c r="G712">
        <v>1300</v>
      </c>
      <c r="H712">
        <v>-2</v>
      </c>
      <c r="I712">
        <v>1983</v>
      </c>
      <c r="J712" t="s">
        <v>35</v>
      </c>
      <c r="K712">
        <v>1788</v>
      </c>
      <c r="L712">
        <v>17.329999999999998</v>
      </c>
      <c r="M712">
        <v>8.32</v>
      </c>
      <c r="N712" s="7">
        <f t="shared" si="44"/>
        <v>2.3575818649999997E-2</v>
      </c>
      <c r="O712" s="7">
        <f t="shared" si="45"/>
        <v>0.19615081116799998</v>
      </c>
      <c r="P712">
        <v>40</v>
      </c>
      <c r="Q712">
        <v>1.9</v>
      </c>
      <c r="R712">
        <v>2.1</v>
      </c>
      <c r="S712">
        <v>2.5</v>
      </c>
      <c r="T712">
        <v>3</v>
      </c>
      <c r="U712">
        <v>2.8</v>
      </c>
      <c r="V712" t="s">
        <v>30</v>
      </c>
    </row>
    <row r="713" spans="1:22" hidden="1" outlineLevel="2" x14ac:dyDescent="0.25">
      <c r="A713" t="s">
        <v>89</v>
      </c>
      <c r="B713">
        <v>3</v>
      </c>
      <c r="C713" t="s">
        <v>90</v>
      </c>
      <c r="D713" t="s">
        <v>91</v>
      </c>
      <c r="E713" t="s">
        <v>92</v>
      </c>
      <c r="F713">
        <v>150</v>
      </c>
      <c r="G713">
        <v>1300</v>
      </c>
      <c r="H713">
        <v>-2</v>
      </c>
      <c r="I713">
        <v>1983</v>
      </c>
      <c r="J713" t="s">
        <v>35</v>
      </c>
      <c r="K713">
        <v>2571</v>
      </c>
      <c r="L713">
        <v>41.87</v>
      </c>
      <c r="M713">
        <v>15.25</v>
      </c>
      <c r="N713" s="7">
        <f t="shared" si="44"/>
        <v>0.13761810664999999</v>
      </c>
      <c r="O713" s="7">
        <f t="shared" si="45"/>
        <v>2.0986761264124998</v>
      </c>
      <c r="P713">
        <v>30</v>
      </c>
      <c r="Q713">
        <v>4.2</v>
      </c>
      <c r="R713">
        <v>2.8</v>
      </c>
      <c r="S713">
        <v>2.6</v>
      </c>
      <c r="T713">
        <v>3.3</v>
      </c>
      <c r="U713">
        <v>2.2000000000000002</v>
      </c>
      <c r="V713" t="s">
        <v>25</v>
      </c>
    </row>
    <row r="714" spans="1:22" hidden="1" outlineLevel="2" x14ac:dyDescent="0.25">
      <c r="A714" t="s">
        <v>89</v>
      </c>
      <c r="B714">
        <v>3</v>
      </c>
      <c r="C714" t="s">
        <v>90</v>
      </c>
      <c r="D714" t="s">
        <v>91</v>
      </c>
      <c r="E714" t="s">
        <v>92</v>
      </c>
      <c r="F714">
        <v>150</v>
      </c>
      <c r="G714">
        <v>1300</v>
      </c>
      <c r="H714">
        <v>-2</v>
      </c>
      <c r="I714">
        <v>1983</v>
      </c>
      <c r="J714" t="s">
        <v>62</v>
      </c>
      <c r="K714">
        <v>2550</v>
      </c>
      <c r="L714">
        <v>9.99</v>
      </c>
      <c r="M714">
        <v>5.33</v>
      </c>
      <c r="N714" s="7">
        <f t="shared" si="44"/>
        <v>7.8343078500000014E-3</v>
      </c>
      <c r="O714" s="7">
        <f t="shared" si="45"/>
        <v>4.175686084050001E-2</v>
      </c>
      <c r="P714">
        <v>10</v>
      </c>
      <c r="Q714">
        <v>1.5</v>
      </c>
      <c r="R714">
        <v>2.5</v>
      </c>
      <c r="S714">
        <v>3</v>
      </c>
      <c r="T714">
        <v>3</v>
      </c>
      <c r="U714">
        <v>3</v>
      </c>
      <c r="V714" t="s">
        <v>50</v>
      </c>
    </row>
    <row r="715" spans="1:22" outlineLevel="1" collapsed="1" x14ac:dyDescent="0.25">
      <c r="G715" s="5" t="s">
        <v>114</v>
      </c>
      <c r="K715">
        <f>SUBTOTAL(4,K660:K714)</f>
        <v>2635</v>
      </c>
      <c r="L715">
        <f>SUBTOTAL(4,L660:L714)</f>
        <v>52.76</v>
      </c>
      <c r="M715">
        <f>SUBTOTAL(4,M660:M714)</f>
        <v>21.5</v>
      </c>
      <c r="N715" s="7">
        <f>SUBTOTAL(4,N660:N714)</f>
        <v>0.21851398159999996</v>
      </c>
      <c r="O715" s="7">
        <f>SUBTOTAL(4,O660:O714)</f>
        <v>4.5887936135999992</v>
      </c>
      <c r="V715">
        <f>SUBTOTAL(4,V660:V714)</f>
        <v>0</v>
      </c>
    </row>
    <row r="716" spans="1:22" hidden="1" outlineLevel="2" x14ac:dyDescent="0.25">
      <c r="A716" t="s">
        <v>40</v>
      </c>
      <c r="B716">
        <v>1</v>
      </c>
      <c r="C716" t="s">
        <v>41</v>
      </c>
      <c r="D716" t="s">
        <v>42</v>
      </c>
      <c r="E716" t="s">
        <v>43</v>
      </c>
      <c r="F716">
        <v>200</v>
      </c>
      <c r="G716">
        <v>1400</v>
      </c>
      <c r="H716">
        <v>-2</v>
      </c>
      <c r="I716">
        <v>1980</v>
      </c>
      <c r="J716" t="s">
        <v>26</v>
      </c>
      <c r="K716">
        <v>1487</v>
      </c>
      <c r="L716">
        <v>27.98</v>
      </c>
      <c r="M716">
        <v>8.64</v>
      </c>
      <c r="N716" s="7">
        <f t="shared" ref="N716:N739" si="46">3.14/4*((L716/100)^2)</f>
        <v>6.1456111399999992E-2</v>
      </c>
      <c r="O716" s="7">
        <f t="shared" ref="O716:O739" si="47">3.14/4*((L716/100)^2)*M716</f>
        <v>0.53098080249599999</v>
      </c>
      <c r="P716" t="s">
        <v>44</v>
      </c>
      <c r="Q716">
        <v>2.2999999999999998</v>
      </c>
      <c r="R716">
        <v>4</v>
      </c>
      <c r="S716">
        <v>2</v>
      </c>
      <c r="T716">
        <v>2</v>
      </c>
      <c r="U716">
        <v>2</v>
      </c>
      <c r="V716" t="s">
        <v>30</v>
      </c>
    </row>
    <row r="717" spans="1:22" hidden="1" outlineLevel="2" x14ac:dyDescent="0.25">
      <c r="A717" t="s">
        <v>40</v>
      </c>
      <c r="B717">
        <v>1</v>
      </c>
      <c r="C717" t="s">
        <v>41</v>
      </c>
      <c r="D717" t="s">
        <v>42</v>
      </c>
      <c r="E717" t="s">
        <v>43</v>
      </c>
      <c r="F717">
        <v>200</v>
      </c>
      <c r="G717">
        <v>1400</v>
      </c>
      <c r="H717">
        <v>-2</v>
      </c>
      <c r="I717">
        <v>1980</v>
      </c>
      <c r="J717" t="s">
        <v>32</v>
      </c>
      <c r="K717">
        <v>1596</v>
      </c>
      <c r="L717">
        <v>25.99</v>
      </c>
      <c r="M717">
        <v>9.6</v>
      </c>
      <c r="N717" s="7">
        <f t="shared" si="46"/>
        <v>5.3025187849999982E-2</v>
      </c>
      <c r="O717" s="7">
        <f t="shared" si="47"/>
        <v>0.50904180335999982</v>
      </c>
      <c r="P717" t="s">
        <v>44</v>
      </c>
      <c r="Q717">
        <v>4</v>
      </c>
      <c r="R717">
        <v>4</v>
      </c>
      <c r="S717">
        <v>3</v>
      </c>
      <c r="T717">
        <v>4</v>
      </c>
      <c r="U717">
        <v>2.7</v>
      </c>
      <c r="V717" t="s">
        <v>27</v>
      </c>
    </row>
    <row r="718" spans="1:22" hidden="1" outlineLevel="2" x14ac:dyDescent="0.25">
      <c r="A718" t="s">
        <v>40</v>
      </c>
      <c r="B718">
        <v>1</v>
      </c>
      <c r="C718" t="s">
        <v>41</v>
      </c>
      <c r="D718" t="s">
        <v>42</v>
      </c>
      <c r="E718" t="s">
        <v>43</v>
      </c>
      <c r="F718">
        <v>200</v>
      </c>
      <c r="G718">
        <v>1400</v>
      </c>
      <c r="H718">
        <v>-2</v>
      </c>
      <c r="I718">
        <v>1980</v>
      </c>
      <c r="J718" t="s">
        <v>33</v>
      </c>
      <c r="K718">
        <v>2088</v>
      </c>
      <c r="L718">
        <v>33.409999999999997</v>
      </c>
      <c r="M718">
        <v>8.35</v>
      </c>
      <c r="N718" s="7">
        <f t="shared" si="46"/>
        <v>8.7623905849999989E-2</v>
      </c>
      <c r="O718" s="7">
        <f t="shared" si="47"/>
        <v>0.73165961384749989</v>
      </c>
      <c r="P718" t="s">
        <v>44</v>
      </c>
      <c r="Q718">
        <v>4</v>
      </c>
      <c r="R718">
        <v>2.8</v>
      </c>
      <c r="S718">
        <v>2.5</v>
      </c>
      <c r="T718">
        <v>1.5</v>
      </c>
      <c r="U718">
        <v>1.5</v>
      </c>
      <c r="V718" t="s">
        <v>38</v>
      </c>
    </row>
    <row r="719" spans="1:22" hidden="1" outlineLevel="2" x14ac:dyDescent="0.25">
      <c r="A719" t="s">
        <v>40</v>
      </c>
      <c r="B719">
        <v>1</v>
      </c>
      <c r="C719" t="s">
        <v>41</v>
      </c>
      <c r="D719" t="s">
        <v>42</v>
      </c>
      <c r="E719" t="s">
        <v>43</v>
      </c>
      <c r="F719">
        <v>200</v>
      </c>
      <c r="G719">
        <v>1400</v>
      </c>
      <c r="H719">
        <v>-2</v>
      </c>
      <c r="I719">
        <v>1980</v>
      </c>
      <c r="J719" t="s">
        <v>35</v>
      </c>
      <c r="K719">
        <v>1521</v>
      </c>
      <c r="L719">
        <v>33.299999999999997</v>
      </c>
      <c r="M719">
        <v>13.32</v>
      </c>
      <c r="N719" s="7">
        <f t="shared" si="46"/>
        <v>8.7047864999999988E-2</v>
      </c>
      <c r="O719" s="7">
        <f t="shared" si="47"/>
        <v>1.1594775617999999</v>
      </c>
      <c r="P719" t="s">
        <v>44</v>
      </c>
      <c r="Q719">
        <v>4</v>
      </c>
      <c r="R719">
        <v>2.2999999999999998</v>
      </c>
      <c r="S719">
        <v>3.3</v>
      </c>
      <c r="T719">
        <v>2</v>
      </c>
      <c r="U719">
        <v>1</v>
      </c>
      <c r="V719" t="s">
        <v>25</v>
      </c>
    </row>
    <row r="720" spans="1:22" hidden="1" outlineLevel="2" x14ac:dyDescent="0.25">
      <c r="A720" t="s">
        <v>40</v>
      </c>
      <c r="B720">
        <v>1</v>
      </c>
      <c r="C720" t="s">
        <v>41</v>
      </c>
      <c r="D720" t="s">
        <v>42</v>
      </c>
      <c r="E720" t="s">
        <v>43</v>
      </c>
      <c r="F720">
        <v>200</v>
      </c>
      <c r="G720">
        <v>1400</v>
      </c>
      <c r="H720">
        <v>-2</v>
      </c>
      <c r="I720">
        <v>1980</v>
      </c>
      <c r="J720" t="s">
        <v>36</v>
      </c>
      <c r="K720">
        <v>1523</v>
      </c>
      <c r="L720">
        <v>33.130000000000003</v>
      </c>
      <c r="M720">
        <v>12.33</v>
      </c>
      <c r="N720" s="7">
        <f t="shared" si="46"/>
        <v>8.6161356650000021E-2</v>
      </c>
      <c r="O720" s="7">
        <f t="shared" si="47"/>
        <v>1.0623695274945002</v>
      </c>
      <c r="P720" t="s">
        <v>44</v>
      </c>
      <c r="Q720">
        <v>4</v>
      </c>
      <c r="R720">
        <v>4</v>
      </c>
      <c r="S720">
        <v>3.5</v>
      </c>
      <c r="T720">
        <v>4</v>
      </c>
      <c r="U720">
        <v>2.7</v>
      </c>
      <c r="V720" t="s">
        <v>25</v>
      </c>
    </row>
    <row r="721" spans="1:22" hidden="1" outlineLevel="2" x14ac:dyDescent="0.25">
      <c r="A721" t="s">
        <v>40</v>
      </c>
      <c r="B721">
        <v>1</v>
      </c>
      <c r="C721" t="s">
        <v>41</v>
      </c>
      <c r="D721" t="s">
        <v>42</v>
      </c>
      <c r="E721" t="s">
        <v>43</v>
      </c>
      <c r="F721">
        <v>200</v>
      </c>
      <c r="G721">
        <v>1400</v>
      </c>
      <c r="H721">
        <v>-2</v>
      </c>
      <c r="I721">
        <v>1980</v>
      </c>
      <c r="J721" t="s">
        <v>37</v>
      </c>
      <c r="K721">
        <v>1524</v>
      </c>
      <c r="L721">
        <v>12.79</v>
      </c>
      <c r="M721">
        <v>8.82</v>
      </c>
      <c r="N721" s="7">
        <f t="shared" si="46"/>
        <v>1.2841351849999998E-2</v>
      </c>
      <c r="O721" s="7">
        <f t="shared" si="47"/>
        <v>0.11326072331699999</v>
      </c>
      <c r="P721" t="s">
        <v>44</v>
      </c>
      <c r="Q721">
        <v>2.5</v>
      </c>
      <c r="R721">
        <v>3</v>
      </c>
      <c r="S721">
        <v>3.3</v>
      </c>
      <c r="T721">
        <v>4</v>
      </c>
      <c r="U721">
        <v>4</v>
      </c>
      <c r="V721" t="s">
        <v>30</v>
      </c>
    </row>
    <row r="722" spans="1:22" hidden="1" outlineLevel="2" x14ac:dyDescent="0.25">
      <c r="A722" t="s">
        <v>40</v>
      </c>
      <c r="B722">
        <v>2</v>
      </c>
      <c r="C722" t="s">
        <v>41</v>
      </c>
      <c r="D722" t="s">
        <v>42</v>
      </c>
      <c r="E722" t="s">
        <v>43</v>
      </c>
      <c r="F722">
        <v>200</v>
      </c>
      <c r="G722">
        <v>1400</v>
      </c>
      <c r="H722">
        <v>-2</v>
      </c>
      <c r="I722">
        <v>1980</v>
      </c>
      <c r="J722" t="s">
        <v>24</v>
      </c>
      <c r="K722">
        <v>1520</v>
      </c>
      <c r="L722">
        <v>25.92</v>
      </c>
      <c r="M722">
        <v>12.12</v>
      </c>
      <c r="N722" s="7">
        <f t="shared" si="46"/>
        <v>5.2739942400000017E-2</v>
      </c>
      <c r="O722" s="7">
        <f t="shared" si="47"/>
        <v>0.63920810188800015</v>
      </c>
      <c r="P722" t="s">
        <v>44</v>
      </c>
      <c r="Q722">
        <v>3.3</v>
      </c>
      <c r="R722">
        <v>3</v>
      </c>
      <c r="S722">
        <v>4</v>
      </c>
      <c r="T722">
        <v>3.5</v>
      </c>
      <c r="U722">
        <v>3.5</v>
      </c>
      <c r="V722" t="s">
        <v>25</v>
      </c>
    </row>
    <row r="723" spans="1:22" hidden="1" outlineLevel="2" x14ac:dyDescent="0.25">
      <c r="A723" t="s">
        <v>40</v>
      </c>
      <c r="B723">
        <v>2</v>
      </c>
      <c r="C723" t="s">
        <v>41</v>
      </c>
      <c r="D723" t="s">
        <v>42</v>
      </c>
      <c r="E723" t="s">
        <v>43</v>
      </c>
      <c r="F723">
        <v>200</v>
      </c>
      <c r="G723">
        <v>1400</v>
      </c>
      <c r="H723">
        <v>-2</v>
      </c>
      <c r="I723">
        <v>1980</v>
      </c>
      <c r="J723" t="s">
        <v>26</v>
      </c>
      <c r="K723">
        <v>1487</v>
      </c>
      <c r="L723">
        <v>26.94</v>
      </c>
      <c r="M723">
        <v>9.93</v>
      </c>
      <c r="N723" s="7">
        <f t="shared" si="46"/>
        <v>5.697244260000002E-2</v>
      </c>
      <c r="O723" s="7">
        <f t="shared" si="47"/>
        <v>0.56573635501800024</v>
      </c>
      <c r="P723" t="s">
        <v>44</v>
      </c>
      <c r="Q723">
        <v>3.3</v>
      </c>
      <c r="R723">
        <v>4</v>
      </c>
      <c r="S723">
        <v>3</v>
      </c>
      <c r="T723">
        <v>3.5</v>
      </c>
      <c r="U723">
        <v>3</v>
      </c>
      <c r="V723" t="s">
        <v>25</v>
      </c>
    </row>
    <row r="724" spans="1:22" hidden="1" outlineLevel="2" x14ac:dyDescent="0.25">
      <c r="A724" t="s">
        <v>40</v>
      </c>
      <c r="B724">
        <v>2</v>
      </c>
      <c r="C724" t="s">
        <v>41</v>
      </c>
      <c r="D724" t="s">
        <v>42</v>
      </c>
      <c r="E724" t="s">
        <v>43</v>
      </c>
      <c r="F724">
        <v>200</v>
      </c>
      <c r="G724">
        <v>1400</v>
      </c>
      <c r="H724">
        <v>-2</v>
      </c>
      <c r="I724">
        <v>1980</v>
      </c>
      <c r="J724" t="s">
        <v>45</v>
      </c>
      <c r="K724">
        <v>1362</v>
      </c>
      <c r="L724">
        <v>11.88</v>
      </c>
      <c r="M724">
        <v>8.23</v>
      </c>
      <c r="N724" s="7">
        <f t="shared" si="46"/>
        <v>1.1079050400000002E-2</v>
      </c>
      <c r="O724" s="7">
        <f t="shared" si="47"/>
        <v>9.1180584792000016E-2</v>
      </c>
      <c r="P724" t="s">
        <v>44</v>
      </c>
      <c r="Q724">
        <v>2</v>
      </c>
      <c r="R724">
        <v>4</v>
      </c>
      <c r="S724">
        <v>4</v>
      </c>
      <c r="T724">
        <v>4</v>
      </c>
      <c r="U724">
        <v>4</v>
      </c>
      <c r="V724" t="s">
        <v>30</v>
      </c>
    </row>
    <row r="725" spans="1:22" hidden="1" outlineLevel="2" x14ac:dyDescent="0.25">
      <c r="A725" t="s">
        <v>40</v>
      </c>
      <c r="B725">
        <v>2</v>
      </c>
      <c r="C725" t="s">
        <v>41</v>
      </c>
      <c r="D725" t="s">
        <v>42</v>
      </c>
      <c r="E725" t="s">
        <v>43</v>
      </c>
      <c r="F725">
        <v>200</v>
      </c>
      <c r="G725">
        <v>1400</v>
      </c>
      <c r="H725">
        <v>-2</v>
      </c>
      <c r="I725">
        <v>1980</v>
      </c>
      <c r="J725" t="s">
        <v>32</v>
      </c>
      <c r="K725">
        <v>1596</v>
      </c>
      <c r="L725">
        <v>24.42</v>
      </c>
      <c r="M725">
        <v>10.47</v>
      </c>
      <c r="N725" s="7">
        <f t="shared" si="46"/>
        <v>4.6812407400000013E-2</v>
      </c>
      <c r="O725" s="7">
        <f t="shared" si="47"/>
        <v>0.49012590547800017</v>
      </c>
      <c r="P725" t="s">
        <v>44</v>
      </c>
      <c r="Q725">
        <v>4.5</v>
      </c>
      <c r="R725">
        <v>4</v>
      </c>
      <c r="S725">
        <v>4.3</v>
      </c>
      <c r="T725">
        <v>3.7</v>
      </c>
      <c r="U725">
        <v>3.3</v>
      </c>
      <c r="V725" t="s">
        <v>27</v>
      </c>
    </row>
    <row r="726" spans="1:22" hidden="1" outlineLevel="2" x14ac:dyDescent="0.25">
      <c r="A726" t="s">
        <v>40</v>
      </c>
      <c r="B726">
        <v>2</v>
      </c>
      <c r="C726" t="s">
        <v>41</v>
      </c>
      <c r="D726" t="s">
        <v>42</v>
      </c>
      <c r="E726" t="s">
        <v>43</v>
      </c>
      <c r="F726">
        <v>200</v>
      </c>
      <c r="G726">
        <v>1400</v>
      </c>
      <c r="H726">
        <v>-2</v>
      </c>
      <c r="I726">
        <v>1980</v>
      </c>
      <c r="J726" t="s">
        <v>33</v>
      </c>
      <c r="K726">
        <v>2088</v>
      </c>
      <c r="L726">
        <v>31.74</v>
      </c>
      <c r="M726">
        <v>11.69</v>
      </c>
      <c r="N726" s="7">
        <f t="shared" si="46"/>
        <v>7.9083066599999988E-2</v>
      </c>
      <c r="O726" s="7">
        <f t="shared" si="47"/>
        <v>0.92448104855399982</v>
      </c>
      <c r="P726" t="s">
        <v>44</v>
      </c>
      <c r="Q726">
        <v>4</v>
      </c>
      <c r="R726">
        <v>2.5</v>
      </c>
      <c r="S726">
        <v>3</v>
      </c>
      <c r="T726">
        <v>3</v>
      </c>
      <c r="U726">
        <v>2</v>
      </c>
      <c r="V726" t="s">
        <v>25</v>
      </c>
    </row>
    <row r="727" spans="1:22" hidden="1" outlineLevel="2" x14ac:dyDescent="0.25">
      <c r="A727" t="s">
        <v>40</v>
      </c>
      <c r="B727">
        <v>2</v>
      </c>
      <c r="C727" t="s">
        <v>41</v>
      </c>
      <c r="D727" t="s">
        <v>42</v>
      </c>
      <c r="E727" t="s">
        <v>43</v>
      </c>
      <c r="F727">
        <v>200</v>
      </c>
      <c r="G727">
        <v>1400</v>
      </c>
      <c r="H727">
        <v>-2</v>
      </c>
      <c r="I727">
        <v>1980</v>
      </c>
      <c r="J727" t="s">
        <v>34</v>
      </c>
      <c r="K727">
        <v>1522</v>
      </c>
      <c r="L727">
        <v>39.72</v>
      </c>
      <c r="M727">
        <v>13.82</v>
      </c>
      <c r="N727" s="7">
        <f t="shared" si="46"/>
        <v>0.1238477544</v>
      </c>
      <c r="O727" s="7">
        <f t="shared" si="47"/>
        <v>1.7115759658080001</v>
      </c>
      <c r="P727" t="s">
        <v>44</v>
      </c>
      <c r="Q727">
        <v>5</v>
      </c>
      <c r="R727">
        <v>4</v>
      </c>
      <c r="S727">
        <v>3.3</v>
      </c>
      <c r="T727">
        <v>3</v>
      </c>
      <c r="U727">
        <v>2</v>
      </c>
      <c r="V727" t="s">
        <v>27</v>
      </c>
    </row>
    <row r="728" spans="1:22" hidden="1" outlineLevel="2" x14ac:dyDescent="0.25">
      <c r="A728" t="s">
        <v>40</v>
      </c>
      <c r="B728">
        <v>2</v>
      </c>
      <c r="C728" t="s">
        <v>41</v>
      </c>
      <c r="D728" t="s">
        <v>42</v>
      </c>
      <c r="E728" t="s">
        <v>43</v>
      </c>
      <c r="F728">
        <v>200</v>
      </c>
      <c r="G728">
        <v>1400</v>
      </c>
      <c r="H728">
        <v>-2</v>
      </c>
      <c r="I728">
        <v>1980</v>
      </c>
      <c r="J728" t="s">
        <v>35</v>
      </c>
      <c r="K728">
        <v>1521</v>
      </c>
      <c r="L728">
        <v>31.38</v>
      </c>
      <c r="M728">
        <v>13.32</v>
      </c>
      <c r="N728" s="7">
        <f t="shared" si="46"/>
        <v>7.7299295399999982E-2</v>
      </c>
      <c r="O728" s="7">
        <f t="shared" si="47"/>
        <v>1.0296266147279998</v>
      </c>
      <c r="P728" t="s">
        <v>44</v>
      </c>
      <c r="Q728">
        <v>4.3</v>
      </c>
      <c r="R728">
        <v>2.7</v>
      </c>
      <c r="S728">
        <v>4</v>
      </c>
      <c r="T728">
        <v>3.5</v>
      </c>
      <c r="U728">
        <v>3.3</v>
      </c>
      <c r="V728" t="s">
        <v>27</v>
      </c>
    </row>
    <row r="729" spans="1:22" hidden="1" outlineLevel="2" x14ac:dyDescent="0.25">
      <c r="A729" t="s">
        <v>40</v>
      </c>
      <c r="B729">
        <v>2</v>
      </c>
      <c r="C729" t="s">
        <v>41</v>
      </c>
      <c r="D729" t="s">
        <v>42</v>
      </c>
      <c r="E729" t="s">
        <v>43</v>
      </c>
      <c r="F729">
        <v>200</v>
      </c>
      <c r="G729">
        <v>1400</v>
      </c>
      <c r="H729">
        <v>-2</v>
      </c>
      <c r="I729">
        <v>1980</v>
      </c>
      <c r="J729" t="s">
        <v>36</v>
      </c>
      <c r="K729">
        <v>1523</v>
      </c>
      <c r="L729">
        <v>31.72</v>
      </c>
      <c r="M729">
        <v>9.9600000000000009</v>
      </c>
      <c r="N729" s="7">
        <f t="shared" si="46"/>
        <v>7.8983434399999997E-2</v>
      </c>
      <c r="O729" s="7">
        <f t="shared" si="47"/>
        <v>0.78667500662400003</v>
      </c>
      <c r="P729" t="s">
        <v>44</v>
      </c>
      <c r="Q729">
        <v>4.5</v>
      </c>
      <c r="R729">
        <v>4</v>
      </c>
      <c r="S729">
        <v>3.5</v>
      </c>
      <c r="T729">
        <v>3.5</v>
      </c>
      <c r="U729">
        <v>3</v>
      </c>
      <c r="V729" t="s">
        <v>27</v>
      </c>
    </row>
    <row r="730" spans="1:22" hidden="1" outlineLevel="2" x14ac:dyDescent="0.25">
      <c r="A730" t="s">
        <v>40</v>
      </c>
      <c r="B730">
        <v>2</v>
      </c>
      <c r="C730" t="s">
        <v>41</v>
      </c>
      <c r="D730" t="s">
        <v>42</v>
      </c>
      <c r="E730" t="s">
        <v>43</v>
      </c>
      <c r="F730">
        <v>200</v>
      </c>
      <c r="G730">
        <v>1400</v>
      </c>
      <c r="H730">
        <v>-2</v>
      </c>
      <c r="I730">
        <v>1980</v>
      </c>
      <c r="J730" t="s">
        <v>37</v>
      </c>
      <c r="K730">
        <v>1524</v>
      </c>
      <c r="L730">
        <v>23.36</v>
      </c>
      <c r="M730">
        <v>10.33</v>
      </c>
      <c r="N730" s="7">
        <f t="shared" si="46"/>
        <v>4.28366336E-2</v>
      </c>
      <c r="O730" s="7">
        <f t="shared" si="47"/>
        <v>0.44250242508800003</v>
      </c>
      <c r="P730" t="s">
        <v>44</v>
      </c>
      <c r="Q730">
        <v>3.3</v>
      </c>
      <c r="R730">
        <v>3</v>
      </c>
      <c r="S730">
        <v>3</v>
      </c>
      <c r="T730">
        <v>4</v>
      </c>
      <c r="U730">
        <v>4</v>
      </c>
      <c r="V730" t="s">
        <v>25</v>
      </c>
    </row>
    <row r="731" spans="1:22" hidden="1" outlineLevel="2" x14ac:dyDescent="0.25">
      <c r="A731" t="s">
        <v>40</v>
      </c>
      <c r="B731">
        <v>3</v>
      </c>
      <c r="C731" t="s">
        <v>41</v>
      </c>
      <c r="D731" t="s">
        <v>42</v>
      </c>
      <c r="E731" t="s">
        <v>43</v>
      </c>
      <c r="F731">
        <v>200</v>
      </c>
      <c r="G731">
        <v>1400</v>
      </c>
      <c r="H731">
        <v>-2</v>
      </c>
      <c r="I731">
        <v>1980</v>
      </c>
      <c r="J731" t="s">
        <v>24</v>
      </c>
      <c r="K731">
        <v>1520</v>
      </c>
      <c r="L731">
        <v>13.99</v>
      </c>
      <c r="M731">
        <v>5.59</v>
      </c>
      <c r="N731" s="7">
        <f t="shared" si="46"/>
        <v>1.5364027849999998E-2</v>
      </c>
      <c r="O731" s="7">
        <f t="shared" si="47"/>
        <v>8.5884915681499988E-2</v>
      </c>
      <c r="P731" t="s">
        <v>44</v>
      </c>
      <c r="Q731">
        <v>2</v>
      </c>
      <c r="R731">
        <v>4</v>
      </c>
      <c r="S731">
        <v>3</v>
      </c>
      <c r="T731">
        <v>4</v>
      </c>
      <c r="U731">
        <v>3</v>
      </c>
      <c r="V731" t="s">
        <v>30</v>
      </c>
    </row>
    <row r="732" spans="1:22" hidden="1" outlineLevel="2" x14ac:dyDescent="0.25">
      <c r="A732" t="s">
        <v>40</v>
      </c>
      <c r="B732">
        <v>3</v>
      </c>
      <c r="C732" t="s">
        <v>41</v>
      </c>
      <c r="D732" t="s">
        <v>42</v>
      </c>
      <c r="E732" t="s">
        <v>43</v>
      </c>
      <c r="F732">
        <v>200</v>
      </c>
      <c r="G732">
        <v>1400</v>
      </c>
      <c r="H732">
        <v>-2</v>
      </c>
      <c r="I732">
        <v>1980</v>
      </c>
      <c r="J732" t="s">
        <v>26</v>
      </c>
      <c r="K732">
        <v>1487</v>
      </c>
      <c r="L732">
        <v>3.0720000000000001</v>
      </c>
      <c r="M732">
        <v>9.93</v>
      </c>
      <c r="N732" s="7">
        <f t="shared" si="46"/>
        <v>7.4081894399999999E-4</v>
      </c>
      <c r="O732" s="7">
        <f t="shared" si="47"/>
        <v>7.3563321139199995E-3</v>
      </c>
      <c r="P732" t="s">
        <v>44</v>
      </c>
      <c r="Q732">
        <v>3</v>
      </c>
      <c r="R732">
        <v>4</v>
      </c>
      <c r="S732">
        <v>2</v>
      </c>
      <c r="T732">
        <v>2</v>
      </c>
      <c r="U732">
        <v>1</v>
      </c>
      <c r="V732" t="s">
        <v>25</v>
      </c>
    </row>
    <row r="733" spans="1:22" hidden="1" outlineLevel="2" x14ac:dyDescent="0.25">
      <c r="A733" t="s">
        <v>40</v>
      </c>
      <c r="B733">
        <v>3</v>
      </c>
      <c r="C733" t="s">
        <v>41</v>
      </c>
      <c r="D733" t="s">
        <v>42</v>
      </c>
      <c r="E733" t="s">
        <v>43</v>
      </c>
      <c r="F733">
        <v>200</v>
      </c>
      <c r="G733">
        <v>1400</v>
      </c>
      <c r="H733">
        <v>-2</v>
      </c>
      <c r="I733">
        <v>1980</v>
      </c>
      <c r="J733" t="s">
        <v>45</v>
      </c>
      <c r="K733">
        <v>1362</v>
      </c>
      <c r="L733">
        <v>26.5</v>
      </c>
      <c r="M733">
        <v>10.97</v>
      </c>
      <c r="N733" s="7">
        <f t="shared" si="46"/>
        <v>5.5126625000000012E-2</v>
      </c>
      <c r="O733" s="7">
        <f t="shared" si="47"/>
        <v>0.60473907625000012</v>
      </c>
      <c r="P733" t="s">
        <v>44</v>
      </c>
      <c r="Q733">
        <v>3.5</v>
      </c>
      <c r="R733">
        <v>3.5</v>
      </c>
      <c r="S733">
        <v>3.7</v>
      </c>
      <c r="T733">
        <v>4</v>
      </c>
      <c r="U733">
        <v>3.7</v>
      </c>
      <c r="V733" t="s">
        <v>25</v>
      </c>
    </row>
    <row r="734" spans="1:22" hidden="1" outlineLevel="2" x14ac:dyDescent="0.25">
      <c r="A734" t="s">
        <v>40</v>
      </c>
      <c r="B734">
        <v>3</v>
      </c>
      <c r="C734" t="s">
        <v>41</v>
      </c>
      <c r="D734" t="s">
        <v>42</v>
      </c>
      <c r="E734" t="s">
        <v>43</v>
      </c>
      <c r="F734">
        <v>200</v>
      </c>
      <c r="G734">
        <v>1400</v>
      </c>
      <c r="H734">
        <v>-2</v>
      </c>
      <c r="I734">
        <v>1980</v>
      </c>
      <c r="J734" t="s">
        <v>32</v>
      </c>
      <c r="K734">
        <v>1596</v>
      </c>
      <c r="L734">
        <v>24.42</v>
      </c>
      <c r="M734">
        <v>7.85</v>
      </c>
      <c r="N734" s="7">
        <f t="shared" si="46"/>
        <v>4.6812407400000013E-2</v>
      </c>
      <c r="O734" s="7">
        <f t="shared" si="47"/>
        <v>0.36747739809000007</v>
      </c>
      <c r="P734" t="s">
        <v>44</v>
      </c>
      <c r="Q734">
        <v>3</v>
      </c>
      <c r="R734">
        <v>3.5</v>
      </c>
      <c r="S734">
        <v>3.3</v>
      </c>
      <c r="T734">
        <v>3.3</v>
      </c>
      <c r="U734">
        <v>3.3</v>
      </c>
      <c r="V734" t="s">
        <v>25</v>
      </c>
    </row>
    <row r="735" spans="1:22" hidden="1" outlineLevel="2" x14ac:dyDescent="0.25">
      <c r="A735" t="s">
        <v>40</v>
      </c>
      <c r="B735">
        <v>3</v>
      </c>
      <c r="C735" t="s">
        <v>41</v>
      </c>
      <c r="D735" t="s">
        <v>42</v>
      </c>
      <c r="E735" t="s">
        <v>43</v>
      </c>
      <c r="F735">
        <v>200</v>
      </c>
      <c r="G735">
        <v>1400</v>
      </c>
      <c r="H735">
        <v>-2</v>
      </c>
      <c r="I735">
        <v>1980</v>
      </c>
      <c r="J735" t="s">
        <v>33</v>
      </c>
      <c r="K735">
        <v>2088</v>
      </c>
      <c r="L735">
        <v>32.99</v>
      </c>
      <c r="M735">
        <v>12.53</v>
      </c>
      <c r="N735" s="7">
        <f t="shared" si="46"/>
        <v>8.5434697850000019E-2</v>
      </c>
      <c r="O735" s="7">
        <f t="shared" si="47"/>
        <v>1.0704967640605001</v>
      </c>
      <c r="P735" t="s">
        <v>44</v>
      </c>
      <c r="Q735">
        <v>5</v>
      </c>
      <c r="R735">
        <v>2.5</v>
      </c>
      <c r="S735">
        <v>4</v>
      </c>
      <c r="T735">
        <v>3</v>
      </c>
      <c r="U735">
        <v>2</v>
      </c>
      <c r="V735" t="s">
        <v>25</v>
      </c>
    </row>
    <row r="736" spans="1:22" hidden="1" outlineLevel="2" x14ac:dyDescent="0.25">
      <c r="A736" t="s">
        <v>40</v>
      </c>
      <c r="B736">
        <v>3</v>
      </c>
      <c r="C736" t="s">
        <v>41</v>
      </c>
      <c r="D736" t="s">
        <v>42</v>
      </c>
      <c r="E736" t="s">
        <v>43</v>
      </c>
      <c r="F736">
        <v>200</v>
      </c>
      <c r="G736">
        <v>1400</v>
      </c>
      <c r="H736">
        <v>-2</v>
      </c>
      <c r="I736">
        <v>1980</v>
      </c>
      <c r="J736" t="s">
        <v>34</v>
      </c>
      <c r="K736">
        <v>1522</v>
      </c>
      <c r="L736">
        <v>30.48</v>
      </c>
      <c r="M736">
        <v>12.09</v>
      </c>
      <c r="N736" s="7">
        <f t="shared" si="46"/>
        <v>7.2928886400000004E-2</v>
      </c>
      <c r="O736" s="7">
        <f t="shared" si="47"/>
        <v>0.88171023657600001</v>
      </c>
      <c r="P736" t="s">
        <v>44</v>
      </c>
      <c r="Q736">
        <v>4.5</v>
      </c>
      <c r="R736">
        <v>4</v>
      </c>
      <c r="S736">
        <v>3.5</v>
      </c>
      <c r="T736">
        <v>3.5</v>
      </c>
      <c r="U736">
        <v>2.5</v>
      </c>
      <c r="V736" t="s">
        <v>27</v>
      </c>
    </row>
    <row r="737" spans="1:22" hidden="1" outlineLevel="2" x14ac:dyDescent="0.25">
      <c r="A737" t="s">
        <v>40</v>
      </c>
      <c r="B737">
        <v>3</v>
      </c>
      <c r="C737" t="s">
        <v>41</v>
      </c>
      <c r="D737" t="s">
        <v>42</v>
      </c>
      <c r="E737" t="s">
        <v>43</v>
      </c>
      <c r="F737">
        <v>200</v>
      </c>
      <c r="G737">
        <v>1400</v>
      </c>
      <c r="H737">
        <v>-2</v>
      </c>
      <c r="I737">
        <v>1980</v>
      </c>
      <c r="J737" t="s">
        <v>35</v>
      </c>
      <c r="K737">
        <v>1521</v>
      </c>
      <c r="L737">
        <v>9.99</v>
      </c>
      <c r="M737">
        <v>7.49</v>
      </c>
      <c r="N737" s="7">
        <f t="shared" si="46"/>
        <v>7.8343078500000014E-3</v>
      </c>
      <c r="O737" s="7">
        <f t="shared" si="47"/>
        <v>5.8678965796500011E-2</v>
      </c>
      <c r="P737" t="s">
        <v>44</v>
      </c>
      <c r="Q737">
        <v>2</v>
      </c>
      <c r="R737">
        <v>2</v>
      </c>
      <c r="S737">
        <v>3</v>
      </c>
      <c r="T737">
        <v>4</v>
      </c>
      <c r="U737">
        <v>4</v>
      </c>
      <c r="V737" t="s">
        <v>30</v>
      </c>
    </row>
    <row r="738" spans="1:22" hidden="1" outlineLevel="2" x14ac:dyDescent="0.25">
      <c r="A738" t="s">
        <v>40</v>
      </c>
      <c r="B738">
        <v>3</v>
      </c>
      <c r="C738" t="s">
        <v>41</v>
      </c>
      <c r="D738" t="s">
        <v>42</v>
      </c>
      <c r="E738" t="s">
        <v>43</v>
      </c>
      <c r="F738">
        <v>200</v>
      </c>
      <c r="G738">
        <v>1400</v>
      </c>
      <c r="H738">
        <v>-2</v>
      </c>
      <c r="I738">
        <v>1980</v>
      </c>
      <c r="J738" t="s">
        <v>36</v>
      </c>
      <c r="K738">
        <v>1523</v>
      </c>
      <c r="L738">
        <v>39.65</v>
      </c>
      <c r="M738">
        <v>10.56</v>
      </c>
      <c r="N738" s="7">
        <f t="shared" si="46"/>
        <v>0.12341161624999998</v>
      </c>
      <c r="O738" s="7">
        <f t="shared" si="47"/>
        <v>1.3032266675999999</v>
      </c>
      <c r="P738" t="s">
        <v>44</v>
      </c>
      <c r="Q738">
        <v>4</v>
      </c>
      <c r="R738">
        <v>4.5</v>
      </c>
      <c r="S738">
        <v>3</v>
      </c>
      <c r="T738">
        <v>3</v>
      </c>
      <c r="U738">
        <v>1</v>
      </c>
      <c r="V738" t="s">
        <v>27</v>
      </c>
    </row>
    <row r="739" spans="1:22" hidden="1" outlineLevel="2" x14ac:dyDescent="0.25">
      <c r="A739" t="s">
        <v>40</v>
      </c>
      <c r="B739">
        <v>3</v>
      </c>
      <c r="C739" t="s">
        <v>41</v>
      </c>
      <c r="D739" t="s">
        <v>42</v>
      </c>
      <c r="E739" t="s">
        <v>43</v>
      </c>
      <c r="F739">
        <v>200</v>
      </c>
      <c r="G739">
        <v>1400</v>
      </c>
      <c r="H739">
        <v>-2</v>
      </c>
      <c r="I739">
        <v>1980</v>
      </c>
      <c r="J739" t="s">
        <v>37</v>
      </c>
      <c r="K739">
        <v>1524</v>
      </c>
      <c r="L739">
        <v>22.72</v>
      </c>
      <c r="M739">
        <v>11.52</v>
      </c>
      <c r="N739" s="7">
        <f t="shared" si="46"/>
        <v>4.0521574399999996E-2</v>
      </c>
      <c r="O739" s="7">
        <f t="shared" si="47"/>
        <v>0.46680853708799996</v>
      </c>
      <c r="P739" t="s">
        <v>44</v>
      </c>
      <c r="Q739">
        <v>3</v>
      </c>
      <c r="R739">
        <v>2.5</v>
      </c>
      <c r="S739">
        <v>3.5</v>
      </c>
      <c r="T739">
        <v>3.5</v>
      </c>
      <c r="U739">
        <v>2.8</v>
      </c>
      <c r="V739" t="s">
        <v>25</v>
      </c>
    </row>
    <row r="740" spans="1:22" outlineLevel="1" collapsed="1" x14ac:dyDescent="0.25">
      <c r="G740" s="5" t="s">
        <v>108</v>
      </c>
      <c r="K740">
        <f>SUBTOTAL(4,K716:K739)</f>
        <v>2088</v>
      </c>
      <c r="L740">
        <f>SUBTOTAL(4,L716:L739)</f>
        <v>39.72</v>
      </c>
      <c r="M740">
        <f>SUBTOTAL(4,M716:M739)</f>
        <v>13.82</v>
      </c>
      <c r="N740" s="7">
        <f>SUBTOTAL(4,N716:N739)</f>
        <v>0.1238477544</v>
      </c>
      <c r="O740" s="7">
        <f>SUBTOTAL(4,O716:O739)</f>
        <v>1.7115759658080001</v>
      </c>
      <c r="V740">
        <f>SUBTOTAL(4,V716:V739)</f>
        <v>0</v>
      </c>
    </row>
    <row r="741" spans="1:22" hidden="1" outlineLevel="2" x14ac:dyDescent="0.25">
      <c r="A741" t="s">
        <v>99</v>
      </c>
      <c r="B741">
        <v>1</v>
      </c>
      <c r="C741" t="s">
        <v>100</v>
      </c>
      <c r="D741" t="s">
        <v>101</v>
      </c>
      <c r="E741" t="s">
        <v>102</v>
      </c>
      <c r="F741">
        <v>150</v>
      </c>
      <c r="G741">
        <v>1750</v>
      </c>
      <c r="H741">
        <v>-2</v>
      </c>
      <c r="I741">
        <v>1986</v>
      </c>
      <c r="J741" t="s">
        <v>76</v>
      </c>
      <c r="K741" t="s">
        <v>44</v>
      </c>
      <c r="L741">
        <v>27.68</v>
      </c>
      <c r="M741">
        <v>12.64</v>
      </c>
      <c r="N741" s="7">
        <f t="shared" ref="N741:N746" si="48">3.14/4*((L741/100)^2)</f>
        <v>6.0145318399999995E-2</v>
      </c>
      <c r="O741" s="7">
        <f t="shared" ref="O741:O746" si="49">3.14/4*((L741/100)^2)*M741</f>
        <v>0.76023682457599995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50</v>
      </c>
    </row>
    <row r="742" spans="1:22" hidden="1" outlineLevel="2" x14ac:dyDescent="0.25">
      <c r="A742" t="s">
        <v>99</v>
      </c>
      <c r="B742">
        <v>1</v>
      </c>
      <c r="C742" t="s">
        <v>100</v>
      </c>
      <c r="D742" t="s">
        <v>101</v>
      </c>
      <c r="E742" t="s">
        <v>102</v>
      </c>
      <c r="F742">
        <v>150</v>
      </c>
      <c r="G742">
        <v>1750</v>
      </c>
      <c r="H742">
        <v>-2</v>
      </c>
      <c r="I742">
        <v>1986</v>
      </c>
      <c r="J742" t="s">
        <v>24</v>
      </c>
      <c r="K742" t="s">
        <v>44</v>
      </c>
      <c r="L742">
        <v>30.93</v>
      </c>
      <c r="M742">
        <v>13.05</v>
      </c>
      <c r="N742" s="7">
        <f t="shared" si="48"/>
        <v>7.5098194650000005E-2</v>
      </c>
      <c r="O742" s="7">
        <f t="shared" si="49"/>
        <v>0.9800314401825001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50</v>
      </c>
    </row>
    <row r="743" spans="1:22" hidden="1" outlineLevel="2" x14ac:dyDescent="0.25">
      <c r="A743" t="s">
        <v>99</v>
      </c>
      <c r="B743">
        <v>1</v>
      </c>
      <c r="C743" t="s">
        <v>100</v>
      </c>
      <c r="D743" t="s">
        <v>101</v>
      </c>
      <c r="E743" t="s">
        <v>102</v>
      </c>
      <c r="F743">
        <v>150</v>
      </c>
      <c r="G743">
        <v>1750</v>
      </c>
      <c r="H743">
        <v>-2</v>
      </c>
      <c r="I743">
        <v>1986</v>
      </c>
      <c r="J743" t="s">
        <v>32</v>
      </c>
      <c r="K743" t="s">
        <v>44</v>
      </c>
      <c r="L743">
        <v>26.16</v>
      </c>
      <c r="M743">
        <v>11.89</v>
      </c>
      <c r="N743" s="7">
        <f t="shared" si="48"/>
        <v>5.3721129600000007E-2</v>
      </c>
      <c r="O743" s="7">
        <f t="shared" si="49"/>
        <v>0.63874423094400012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50</v>
      </c>
    </row>
    <row r="744" spans="1:22" hidden="1" outlineLevel="2" x14ac:dyDescent="0.25">
      <c r="A744" t="s">
        <v>99</v>
      </c>
      <c r="B744">
        <v>1</v>
      </c>
      <c r="C744" t="s">
        <v>100</v>
      </c>
      <c r="D744" t="s">
        <v>101</v>
      </c>
      <c r="E744" t="s">
        <v>102</v>
      </c>
      <c r="F744">
        <v>150</v>
      </c>
      <c r="G744">
        <v>1750</v>
      </c>
      <c r="H744">
        <v>-2</v>
      </c>
      <c r="I744">
        <v>1986</v>
      </c>
      <c r="J744" t="s">
        <v>36</v>
      </c>
      <c r="K744" t="s">
        <v>44</v>
      </c>
      <c r="L744">
        <v>38.51</v>
      </c>
      <c r="M744">
        <v>16.46</v>
      </c>
      <c r="N744" s="7">
        <f t="shared" si="48"/>
        <v>0.11641707785000001</v>
      </c>
      <c r="O744" s="7">
        <f t="shared" si="49"/>
        <v>1.9162251014110003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50</v>
      </c>
    </row>
    <row r="745" spans="1:22" hidden="1" outlineLevel="2" x14ac:dyDescent="0.25">
      <c r="A745" t="s">
        <v>99</v>
      </c>
      <c r="B745">
        <v>1</v>
      </c>
      <c r="C745" t="s">
        <v>100</v>
      </c>
      <c r="D745" t="s">
        <v>101</v>
      </c>
      <c r="E745" t="s">
        <v>102</v>
      </c>
      <c r="F745">
        <v>150</v>
      </c>
      <c r="G745">
        <v>1750</v>
      </c>
      <c r="H745">
        <v>-2</v>
      </c>
      <c r="I745">
        <v>1986</v>
      </c>
      <c r="J745" t="s">
        <v>97</v>
      </c>
      <c r="K745" t="s">
        <v>44</v>
      </c>
      <c r="L745">
        <v>24</v>
      </c>
      <c r="M745">
        <v>10.96</v>
      </c>
      <c r="N745" s="7">
        <f t="shared" si="48"/>
        <v>4.5215999999999999E-2</v>
      </c>
      <c r="O745" s="7">
        <f t="shared" si="49"/>
        <v>0.49556736000000001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50</v>
      </c>
    </row>
    <row r="746" spans="1:22" hidden="1" outlineLevel="2" x14ac:dyDescent="0.25">
      <c r="A746" t="s">
        <v>99</v>
      </c>
      <c r="B746">
        <v>1</v>
      </c>
      <c r="C746" t="s">
        <v>100</v>
      </c>
      <c r="D746" t="s">
        <v>101</v>
      </c>
      <c r="E746" t="s">
        <v>102</v>
      </c>
      <c r="F746">
        <v>150</v>
      </c>
      <c r="G746">
        <v>1750</v>
      </c>
      <c r="H746">
        <v>-2</v>
      </c>
      <c r="I746">
        <v>1986</v>
      </c>
      <c r="J746" t="s">
        <v>98</v>
      </c>
      <c r="K746" t="s">
        <v>44</v>
      </c>
      <c r="L746">
        <v>29.02</v>
      </c>
      <c r="M746">
        <v>10.87</v>
      </c>
      <c r="N746" s="7">
        <f t="shared" si="48"/>
        <v>6.6109591400000001E-2</v>
      </c>
      <c r="O746" s="7">
        <f t="shared" si="49"/>
        <v>0.71861125851800001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50</v>
      </c>
    </row>
    <row r="747" spans="1:22" outlineLevel="1" collapsed="1" x14ac:dyDescent="0.25">
      <c r="G747" s="5" t="s">
        <v>116</v>
      </c>
      <c r="K747">
        <f>SUBTOTAL(4,K741:K746)</f>
        <v>0</v>
      </c>
      <c r="L747">
        <f>SUBTOTAL(4,L741:L746)</f>
        <v>38.51</v>
      </c>
      <c r="M747">
        <f>SUBTOTAL(4,M741:M746)</f>
        <v>16.46</v>
      </c>
      <c r="N747" s="7">
        <f>SUBTOTAL(4,N741:N746)</f>
        <v>0.11641707785000001</v>
      </c>
      <c r="O747" s="7">
        <f>SUBTOTAL(4,O741:O746)</f>
        <v>1.9162251014110003</v>
      </c>
      <c r="V747">
        <f>SUBTOTAL(4,V741:V746)</f>
        <v>0</v>
      </c>
    </row>
    <row r="748" spans="1:22" x14ac:dyDescent="0.25">
      <c r="G748" s="5" t="s">
        <v>117</v>
      </c>
      <c r="K748">
        <f>SUBTOTAL(4,K2:K746)</f>
        <v>3275</v>
      </c>
      <c r="L748">
        <f>SUBTOTAL(4,L2:L746)</f>
        <v>53.86</v>
      </c>
      <c r="M748">
        <f>SUBTOTAL(4,M2:M746)</f>
        <v>21.79</v>
      </c>
      <c r="N748" s="7">
        <f>SUBTOTAL(4,N2:N746)</f>
        <v>0.22772061859999998</v>
      </c>
      <c r="O748" s="7">
        <f>SUBTOTAL(4,O2:O746)</f>
        <v>4.5887936135999992</v>
      </c>
      <c r="V748">
        <f>SUBTOTAL(4,V2:V746)</f>
        <v>0</v>
      </c>
    </row>
  </sheetData>
  <sortState ref="A2:V737">
    <sortCondition ref="G2:G7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37"/>
  <sheetViews>
    <sheetView topLeftCell="V1" workbookViewId="0">
      <selection activeCell="AQ12" sqref="AQ12"/>
    </sheetView>
  </sheetViews>
  <sheetFormatPr baseColWidth="10" defaultColWidth="9.140625" defaultRowHeight="15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4" width="6" style="4" customWidth="1"/>
    <col min="15" max="15" width="13.140625" style="4" customWidth="1"/>
    <col min="16" max="16" width="4.85546875" bestFit="1" customWidth="1"/>
    <col min="17" max="17" width="4" bestFit="1" customWidth="1"/>
    <col min="18" max="18" width="7.28515625" bestFit="1" customWidth="1"/>
    <col min="19" max="19" width="9.28515625" bestFit="1" customWidth="1"/>
    <col min="20" max="20" width="10.42578125" bestFit="1" customWidth="1"/>
    <col min="21" max="21" width="9.7109375" bestFit="1" customWidth="1"/>
    <col min="22" max="22" width="8" bestFit="1" customWidth="1"/>
    <col min="23" max="23" width="3" customWidth="1"/>
    <col min="25" max="35" width="7.28515625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105</v>
      </c>
      <c r="O1" s="3" t="s">
        <v>106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35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 s="4">
        <f>3.14/4*((L2/100)^2)</f>
        <v>2.6721596250000004E-2</v>
      </c>
      <c r="O2" s="4">
        <f>3.14/4*((L2/100)^2)*M2</f>
        <v>0.26614709865000008</v>
      </c>
      <c r="P2">
        <v>40</v>
      </c>
      <c r="Q2">
        <v>4</v>
      </c>
      <c r="R2">
        <v>3</v>
      </c>
      <c r="S2">
        <v>3.5</v>
      </c>
      <c r="T2">
        <v>4</v>
      </c>
      <c r="U2">
        <v>3.5</v>
      </c>
      <c r="V2" t="s">
        <v>25</v>
      </c>
      <c r="Y2" s="8" t="s">
        <v>121</v>
      </c>
      <c r="Z2" s="8" t="s">
        <v>120</v>
      </c>
    </row>
    <row r="3" spans="1:35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 s="4">
        <f t="shared" ref="N3:N66" si="0">3.14/4*((L3/100)^2)</f>
        <v>1.3574416250000002E-2</v>
      </c>
      <c r="O3" s="4">
        <f t="shared" ref="O3:O66" si="1">3.14/4*((L3/100)^2)*M3</f>
        <v>0.13099311681250003</v>
      </c>
      <c r="P3">
        <v>90</v>
      </c>
      <c r="Q3">
        <v>4.5</v>
      </c>
      <c r="R3">
        <v>4</v>
      </c>
      <c r="S3">
        <v>3.5</v>
      </c>
      <c r="T3">
        <v>3.5</v>
      </c>
      <c r="U3">
        <v>3</v>
      </c>
      <c r="V3" t="s">
        <v>27</v>
      </c>
      <c r="X3" s="2"/>
      <c r="Y3" s="8" t="s">
        <v>118</v>
      </c>
      <c r="Z3">
        <v>70</v>
      </c>
      <c r="AA3">
        <v>100</v>
      </c>
      <c r="AB3">
        <v>130</v>
      </c>
      <c r="AC3">
        <v>150</v>
      </c>
      <c r="AD3">
        <v>160</v>
      </c>
      <c r="AE3">
        <v>180</v>
      </c>
      <c r="AF3">
        <v>200</v>
      </c>
      <c r="AG3">
        <v>220</v>
      </c>
      <c r="AH3">
        <v>300</v>
      </c>
      <c r="AI3" t="s">
        <v>119</v>
      </c>
    </row>
    <row r="4" spans="1:35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 s="4">
        <f t="shared" si="0"/>
        <v>8.3604383999999997E-3</v>
      </c>
      <c r="O4" s="4">
        <f t="shared" si="1"/>
        <v>5.43428496E-2</v>
      </c>
      <c r="P4">
        <v>50</v>
      </c>
      <c r="Q4">
        <v>2.2999999999999998</v>
      </c>
      <c r="R4">
        <v>2.5</v>
      </c>
      <c r="S4">
        <v>3</v>
      </c>
      <c r="T4">
        <v>3.5</v>
      </c>
      <c r="U4">
        <v>3</v>
      </c>
      <c r="V4" t="s">
        <v>30</v>
      </c>
      <c r="X4" s="2"/>
      <c r="Y4" s="9" t="s">
        <v>43</v>
      </c>
      <c r="Z4" s="11"/>
      <c r="AA4" s="11"/>
      <c r="AB4" s="11"/>
      <c r="AC4" s="11"/>
      <c r="AD4" s="11"/>
      <c r="AE4" s="11"/>
      <c r="AF4" s="11">
        <v>0.65142837223122585</v>
      </c>
      <c r="AG4" s="11"/>
      <c r="AH4" s="11"/>
      <c r="AI4" s="11">
        <v>0.65142837223122585</v>
      </c>
    </row>
    <row r="5" spans="1:35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 s="4">
        <f t="shared" si="0"/>
        <v>1.7194640000000008E-2</v>
      </c>
      <c r="O5" s="4">
        <f t="shared" si="1"/>
        <v>0.16300518720000007</v>
      </c>
      <c r="P5">
        <v>70</v>
      </c>
      <c r="Q5">
        <v>3.7</v>
      </c>
      <c r="R5">
        <v>3</v>
      </c>
      <c r="S5">
        <v>3.3</v>
      </c>
      <c r="T5">
        <v>4</v>
      </c>
      <c r="U5">
        <v>3.5</v>
      </c>
      <c r="V5" t="s">
        <v>25</v>
      </c>
      <c r="X5" s="2"/>
      <c r="Y5" s="9" t="s">
        <v>23</v>
      </c>
      <c r="Z5" s="11"/>
      <c r="AA5" s="11">
        <v>0.14207786603513334</v>
      </c>
      <c r="AB5" s="11"/>
      <c r="AC5" s="11"/>
      <c r="AD5" s="11"/>
      <c r="AE5" s="11"/>
      <c r="AF5" s="11"/>
      <c r="AG5" s="11"/>
      <c r="AH5" s="11"/>
      <c r="AI5" s="11">
        <v>0.14207786603513334</v>
      </c>
    </row>
    <row r="6" spans="1:35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 s="4">
        <f t="shared" si="0"/>
        <v>1.6504624999999998E-2</v>
      </c>
      <c r="O6" s="4">
        <f t="shared" si="1"/>
        <v>0.17791985749999997</v>
      </c>
      <c r="P6">
        <v>90</v>
      </c>
      <c r="Q6">
        <v>4</v>
      </c>
      <c r="R6">
        <v>2.7</v>
      </c>
      <c r="S6">
        <v>3.3</v>
      </c>
      <c r="T6">
        <v>3</v>
      </c>
      <c r="U6">
        <v>3</v>
      </c>
      <c r="V6" t="s">
        <v>25</v>
      </c>
      <c r="Y6" s="9" t="s">
        <v>96</v>
      </c>
      <c r="Z6" s="11"/>
      <c r="AA6" s="11"/>
      <c r="AB6" s="11"/>
      <c r="AC6" s="11">
        <v>0.6111518569041744</v>
      </c>
      <c r="AD6" s="11"/>
      <c r="AE6" s="11"/>
      <c r="AF6" s="11"/>
      <c r="AG6" s="11"/>
      <c r="AH6" s="11"/>
      <c r="AI6" s="11">
        <v>0.6111518569041744</v>
      </c>
    </row>
    <row r="7" spans="1:35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 s="4">
        <f t="shared" si="0"/>
        <v>2.2713197850000009E-2</v>
      </c>
      <c r="O7" s="4">
        <f t="shared" si="1"/>
        <v>0.27891806959800008</v>
      </c>
      <c r="P7">
        <v>70</v>
      </c>
      <c r="Q7">
        <v>5</v>
      </c>
      <c r="R7">
        <v>4</v>
      </c>
      <c r="S7">
        <v>5</v>
      </c>
      <c r="T7">
        <v>4</v>
      </c>
      <c r="U7">
        <v>4.5</v>
      </c>
      <c r="V7" t="s">
        <v>27</v>
      </c>
      <c r="Y7" s="9" t="s">
        <v>54</v>
      </c>
      <c r="Z7" s="11">
        <v>0.28003557209285718</v>
      </c>
      <c r="AA7" s="11"/>
      <c r="AB7" s="11"/>
      <c r="AC7" s="11"/>
      <c r="AD7" s="11"/>
      <c r="AE7" s="11"/>
      <c r="AF7" s="11"/>
      <c r="AG7" s="11"/>
      <c r="AH7" s="11"/>
      <c r="AI7" s="11">
        <v>0.28003557209285718</v>
      </c>
    </row>
    <row r="8" spans="1:35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 s="4">
        <f t="shared" si="0"/>
        <v>1.5232524650000002E-2</v>
      </c>
      <c r="O8" s="4">
        <f t="shared" si="1"/>
        <v>0.14882176583050002</v>
      </c>
      <c r="P8">
        <v>80</v>
      </c>
      <c r="Q8">
        <v>4</v>
      </c>
      <c r="R8">
        <v>2</v>
      </c>
      <c r="S8">
        <v>3</v>
      </c>
      <c r="T8">
        <v>3</v>
      </c>
      <c r="U8">
        <v>3</v>
      </c>
      <c r="V8" t="s">
        <v>25</v>
      </c>
      <c r="Y8" s="9" t="s">
        <v>92</v>
      </c>
      <c r="Z8" s="11"/>
      <c r="AA8" s="11"/>
      <c r="AB8" s="11"/>
      <c r="AC8" s="11">
        <v>1.3686794545557568</v>
      </c>
      <c r="AD8" s="11"/>
      <c r="AE8" s="11"/>
      <c r="AF8" s="11"/>
      <c r="AG8" s="11"/>
      <c r="AH8" s="11"/>
      <c r="AI8" s="11">
        <v>1.3686794545557568</v>
      </c>
    </row>
    <row r="9" spans="1:35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 s="4">
        <f t="shared" si="0"/>
        <v>2.8487846250000004E-2</v>
      </c>
      <c r="O9" s="4">
        <f t="shared" si="1"/>
        <v>0.32077314877500002</v>
      </c>
      <c r="P9">
        <v>100</v>
      </c>
      <c r="Q9">
        <v>5</v>
      </c>
      <c r="R9">
        <v>4.5</v>
      </c>
      <c r="S9">
        <v>3.5</v>
      </c>
      <c r="T9">
        <v>4</v>
      </c>
      <c r="U9">
        <v>2</v>
      </c>
      <c r="V9" t="s">
        <v>27</v>
      </c>
      <c r="Y9" s="9" t="s">
        <v>49</v>
      </c>
      <c r="Z9" s="11"/>
      <c r="AA9" s="11"/>
      <c r="AB9" s="11">
        <v>0.2411402678181819</v>
      </c>
      <c r="AC9" s="11"/>
      <c r="AD9" s="11"/>
      <c r="AE9" s="11"/>
      <c r="AF9" s="11"/>
      <c r="AG9" s="11"/>
      <c r="AH9" s="11"/>
      <c r="AI9" s="11">
        <v>0.2411402678181819</v>
      </c>
    </row>
    <row r="10" spans="1:35" x14ac:dyDescent="0.25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 s="4">
        <f t="shared" si="0"/>
        <v>4.5580554000000002E-3</v>
      </c>
      <c r="O10" s="4">
        <f t="shared" si="1"/>
        <v>3.0037585086000001E-2</v>
      </c>
      <c r="P10">
        <v>80</v>
      </c>
      <c r="Q10">
        <v>2.5</v>
      </c>
      <c r="R10">
        <v>2.5</v>
      </c>
      <c r="S10">
        <v>3.3</v>
      </c>
      <c r="T10">
        <v>3.5</v>
      </c>
      <c r="U10">
        <v>3.5</v>
      </c>
      <c r="V10" t="s">
        <v>38</v>
      </c>
      <c r="Y10" s="9" t="s">
        <v>79</v>
      </c>
      <c r="Z10" s="11"/>
      <c r="AA10" s="11">
        <v>0.85181414108320008</v>
      </c>
      <c r="AB10" s="11"/>
      <c r="AC10" s="11">
        <v>0.68111326561903385</v>
      </c>
      <c r="AD10" s="11"/>
      <c r="AE10" s="11"/>
      <c r="AF10" s="11"/>
      <c r="AG10" s="11"/>
      <c r="AH10" s="11"/>
      <c r="AI10" s="11">
        <v>0.69444927151467173</v>
      </c>
    </row>
    <row r="11" spans="1:35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 s="4">
        <f t="shared" si="0"/>
        <v>1.7078656249999997E-2</v>
      </c>
      <c r="O11" s="4">
        <f t="shared" si="1"/>
        <v>0.15592813156249999</v>
      </c>
      <c r="P11">
        <v>50</v>
      </c>
      <c r="Q11">
        <v>4</v>
      </c>
      <c r="R11">
        <v>4</v>
      </c>
      <c r="S11">
        <v>3.3</v>
      </c>
      <c r="T11">
        <v>3</v>
      </c>
      <c r="U11">
        <v>3</v>
      </c>
      <c r="V11" t="s">
        <v>25</v>
      </c>
      <c r="Y11" s="9" t="s">
        <v>68</v>
      </c>
      <c r="Z11" s="10"/>
      <c r="AA11" s="10"/>
      <c r="AB11" s="10"/>
      <c r="AC11" s="10"/>
      <c r="AD11" s="10"/>
      <c r="AE11" s="10">
        <v>8.3024820632992213E-2</v>
      </c>
      <c r="AF11" s="10"/>
      <c r="AG11" s="10"/>
      <c r="AH11" s="10"/>
      <c r="AI11" s="10">
        <v>8.3024820632992213E-2</v>
      </c>
    </row>
    <row r="12" spans="1:35" x14ac:dyDescent="0.25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 s="4">
        <f t="shared" si="0"/>
        <v>5.2141662500000008E-3</v>
      </c>
      <c r="O12" s="4">
        <f t="shared" si="1"/>
        <v>3.5039197200000004E-2</v>
      </c>
      <c r="P12">
        <v>70</v>
      </c>
      <c r="Q12">
        <v>1.5</v>
      </c>
      <c r="R12">
        <v>3</v>
      </c>
      <c r="S12">
        <v>3</v>
      </c>
      <c r="T12">
        <v>3</v>
      </c>
      <c r="U12">
        <v>3</v>
      </c>
      <c r="V12" t="s">
        <v>30</v>
      </c>
      <c r="Y12" s="9" t="s">
        <v>85</v>
      </c>
      <c r="Z12" s="10"/>
      <c r="AA12" s="10"/>
      <c r="AB12" s="10"/>
      <c r="AC12" s="11"/>
      <c r="AD12" s="11"/>
      <c r="AE12" s="11"/>
      <c r="AF12" s="11"/>
      <c r="AG12" s="11">
        <v>0.18967876318709434</v>
      </c>
      <c r="AH12" s="11"/>
      <c r="AI12" s="11">
        <v>0.18967876318709434</v>
      </c>
    </row>
    <row r="13" spans="1:35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 s="4">
        <f t="shared" si="0"/>
        <v>1.782773465E-2</v>
      </c>
      <c r="O13" s="4">
        <f t="shared" si="1"/>
        <v>0.12782485744049998</v>
      </c>
      <c r="P13">
        <v>10</v>
      </c>
      <c r="Q13">
        <v>4</v>
      </c>
      <c r="R13">
        <v>4</v>
      </c>
      <c r="S13">
        <v>3.3</v>
      </c>
      <c r="T13">
        <v>3</v>
      </c>
      <c r="U13">
        <v>2</v>
      </c>
      <c r="V13" t="s">
        <v>25</v>
      </c>
      <c r="Y13" s="9" t="s">
        <v>73</v>
      </c>
      <c r="Z13" s="10"/>
      <c r="AA13" s="10"/>
      <c r="AB13" s="10"/>
      <c r="AC13" s="11"/>
      <c r="AD13" s="11">
        <v>9.4370884821917814E-2</v>
      </c>
      <c r="AE13" s="11"/>
      <c r="AF13" s="11"/>
      <c r="AG13" s="11"/>
      <c r="AH13" s="11"/>
      <c r="AI13" s="11">
        <v>9.4370884821917814E-2</v>
      </c>
    </row>
    <row r="14" spans="1:35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 s="4">
        <f t="shared" si="0"/>
        <v>6.3443778500000009E-3</v>
      </c>
      <c r="O14" s="4">
        <f t="shared" si="1"/>
        <v>3.8383485992500008E-2</v>
      </c>
      <c r="P14">
        <v>60</v>
      </c>
      <c r="Q14">
        <v>2.5</v>
      </c>
      <c r="R14">
        <v>3</v>
      </c>
      <c r="S14">
        <v>3</v>
      </c>
      <c r="T14">
        <v>4</v>
      </c>
      <c r="U14">
        <v>4</v>
      </c>
      <c r="V14" t="s">
        <v>30</v>
      </c>
      <c r="Y14" s="9" t="s">
        <v>88</v>
      </c>
      <c r="Z14" s="10"/>
      <c r="AA14" s="10"/>
      <c r="AB14" s="10"/>
      <c r="AC14" s="11"/>
      <c r="AD14" s="11"/>
      <c r="AE14" s="11"/>
      <c r="AF14" s="11"/>
      <c r="AG14" s="11"/>
      <c r="AH14" s="11">
        <v>0.10589259132986899</v>
      </c>
      <c r="AI14" s="11">
        <v>0.10589259132986899</v>
      </c>
    </row>
    <row r="15" spans="1:35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 s="4">
        <f t="shared" si="0"/>
        <v>1.3533156649999999E-2</v>
      </c>
      <c r="O15" s="4">
        <f t="shared" si="1"/>
        <v>8.2281592431999992E-2</v>
      </c>
      <c r="P15">
        <v>80</v>
      </c>
      <c r="Q15">
        <v>3.5</v>
      </c>
      <c r="R15">
        <v>4</v>
      </c>
      <c r="S15">
        <v>4</v>
      </c>
      <c r="T15">
        <v>3.5</v>
      </c>
      <c r="U15">
        <v>3.5</v>
      </c>
      <c r="V15" t="s">
        <v>27</v>
      </c>
      <c r="Y15" s="9" t="s">
        <v>102</v>
      </c>
      <c r="Z15" s="10"/>
      <c r="AA15" s="10"/>
      <c r="AB15" s="10"/>
      <c r="AC15" s="11">
        <v>0.91823603593858338</v>
      </c>
      <c r="AD15" s="11"/>
      <c r="AE15" s="11"/>
      <c r="AF15" s="11"/>
      <c r="AG15" s="11"/>
      <c r="AH15" s="11"/>
      <c r="AI15" s="11">
        <v>0.91823603593858338</v>
      </c>
    </row>
    <row r="16" spans="1:35" x14ac:dyDescent="0.25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 s="4">
        <f t="shared" si="0"/>
        <v>9.1223593999999984E-3</v>
      </c>
      <c r="O16" s="4">
        <f t="shared" si="1"/>
        <v>8.146266944199998E-2</v>
      </c>
      <c r="P16">
        <v>100</v>
      </c>
      <c r="Q16">
        <v>3</v>
      </c>
      <c r="R16">
        <v>2</v>
      </c>
      <c r="S16">
        <v>3</v>
      </c>
      <c r="T16">
        <v>3</v>
      </c>
      <c r="U16">
        <v>3</v>
      </c>
      <c r="V16" t="s">
        <v>25</v>
      </c>
      <c r="Y16" s="9" t="s">
        <v>119</v>
      </c>
      <c r="Z16" s="10">
        <v>0.28003557209285718</v>
      </c>
      <c r="AA16" s="10">
        <v>0.24346876247057148</v>
      </c>
      <c r="AB16" s="10">
        <v>0.2411402678181819</v>
      </c>
      <c r="AC16" s="10">
        <v>0.87144828345729086</v>
      </c>
      <c r="AD16" s="10">
        <v>9.4370884821917814E-2</v>
      </c>
      <c r="AE16" s="10">
        <v>8.3024820632992213E-2</v>
      </c>
      <c r="AF16" s="10">
        <v>0.65142837223122585</v>
      </c>
      <c r="AG16" s="10">
        <v>0.18967876318709434</v>
      </c>
      <c r="AH16" s="10">
        <v>0.10589259132986899</v>
      </c>
      <c r="AI16" s="10">
        <v>0.34010338546924318</v>
      </c>
    </row>
    <row r="17" spans="1:22" x14ac:dyDescent="0.25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 s="4">
        <f t="shared" si="0"/>
        <v>1.3430282400000002E-2</v>
      </c>
      <c r="O17" s="4">
        <f t="shared" si="1"/>
        <v>0.131482464696</v>
      </c>
      <c r="P17">
        <v>90</v>
      </c>
      <c r="Q17">
        <v>5</v>
      </c>
      <c r="R17">
        <v>4.5</v>
      </c>
      <c r="S17">
        <v>5</v>
      </c>
      <c r="T17">
        <v>4</v>
      </c>
      <c r="U17">
        <v>4</v>
      </c>
      <c r="V17" t="s">
        <v>27</v>
      </c>
    </row>
    <row r="18" spans="1:22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 s="4">
        <f t="shared" si="0"/>
        <v>8.1991994000000026E-3</v>
      </c>
      <c r="O18" s="4">
        <f t="shared" si="1"/>
        <v>6.8217339008000019E-2</v>
      </c>
      <c r="P18">
        <v>100</v>
      </c>
      <c r="Q18">
        <v>3</v>
      </c>
      <c r="R18">
        <v>1.8</v>
      </c>
      <c r="S18">
        <v>3</v>
      </c>
      <c r="T18">
        <v>3</v>
      </c>
      <c r="U18">
        <v>3</v>
      </c>
      <c r="V18" t="s">
        <v>38</v>
      </c>
    </row>
    <row r="19" spans="1:22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 s="4">
        <f t="shared" si="0"/>
        <v>2.7480031850000006E-2</v>
      </c>
      <c r="O19" s="4">
        <f t="shared" si="1"/>
        <v>0.2995323471650001</v>
      </c>
      <c r="P19">
        <v>100</v>
      </c>
      <c r="Q19">
        <v>4</v>
      </c>
      <c r="R19">
        <v>4</v>
      </c>
      <c r="S19">
        <v>3.3</v>
      </c>
      <c r="T19">
        <v>4</v>
      </c>
      <c r="U19">
        <v>3</v>
      </c>
      <c r="V19" t="s">
        <v>27</v>
      </c>
    </row>
    <row r="20" spans="1:22" x14ac:dyDescent="0.25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 s="4">
        <f t="shared" si="0"/>
        <v>5.3170326500000002E-3</v>
      </c>
      <c r="O20" s="4">
        <f t="shared" si="1"/>
        <v>3.4560712224999998E-2</v>
      </c>
      <c r="P20">
        <v>70</v>
      </c>
      <c r="Q20">
        <v>2</v>
      </c>
      <c r="R20">
        <v>2</v>
      </c>
      <c r="S20">
        <v>3.3</v>
      </c>
      <c r="T20">
        <v>4</v>
      </c>
      <c r="U20">
        <v>3.5</v>
      </c>
      <c r="V20" t="s">
        <v>30</v>
      </c>
    </row>
    <row r="21" spans="1:22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 s="4">
        <f t="shared" si="0"/>
        <v>2.40956064E-2</v>
      </c>
      <c r="O21" s="4">
        <f t="shared" si="1"/>
        <v>0.22216149100800001</v>
      </c>
      <c r="P21">
        <v>60</v>
      </c>
      <c r="Q21">
        <v>4</v>
      </c>
      <c r="R21">
        <v>3</v>
      </c>
      <c r="S21">
        <v>3</v>
      </c>
      <c r="T21">
        <v>3</v>
      </c>
      <c r="U21">
        <v>2</v>
      </c>
      <c r="V21" t="s">
        <v>25</v>
      </c>
    </row>
    <row r="22" spans="1:22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 s="4">
        <f t="shared" si="0"/>
        <v>9.071656249999999E-3</v>
      </c>
      <c r="O22" s="4">
        <f t="shared" si="1"/>
        <v>5.3613488437499995E-2</v>
      </c>
      <c r="P22">
        <v>50</v>
      </c>
      <c r="Q22">
        <v>2.7</v>
      </c>
      <c r="R22">
        <v>4</v>
      </c>
      <c r="S22">
        <v>3.3</v>
      </c>
      <c r="T22">
        <v>3.5</v>
      </c>
      <c r="U22">
        <v>3</v>
      </c>
      <c r="V22" t="s">
        <v>38</v>
      </c>
    </row>
    <row r="23" spans="1:22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 s="4">
        <f t="shared" si="0"/>
        <v>3.6354166399999999E-2</v>
      </c>
      <c r="O23" s="4">
        <f t="shared" si="1"/>
        <v>0.31882603932799997</v>
      </c>
      <c r="P23">
        <v>20</v>
      </c>
      <c r="Q23">
        <v>4</v>
      </c>
      <c r="R23">
        <v>3.5</v>
      </c>
      <c r="S23">
        <v>3</v>
      </c>
      <c r="T23">
        <v>3</v>
      </c>
      <c r="U23">
        <v>1</v>
      </c>
      <c r="V23" t="s">
        <v>38</v>
      </c>
    </row>
    <row r="24" spans="1:22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 s="4">
        <f t="shared" si="0"/>
        <v>1.8184399399999999E-2</v>
      </c>
      <c r="O24" s="4">
        <f t="shared" si="1"/>
        <v>0.1181985961</v>
      </c>
      <c r="P24">
        <v>30</v>
      </c>
      <c r="Q24">
        <v>3</v>
      </c>
      <c r="R24">
        <v>4</v>
      </c>
      <c r="S24">
        <v>3</v>
      </c>
      <c r="T24">
        <v>3</v>
      </c>
      <c r="U24">
        <v>3</v>
      </c>
      <c r="V24" t="s">
        <v>38</v>
      </c>
    </row>
    <row r="25" spans="1:22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 s="4">
        <f t="shared" si="0"/>
        <v>7.4318226500000003E-3</v>
      </c>
      <c r="O25" s="4">
        <f t="shared" si="1"/>
        <v>6.4433902375500007E-2</v>
      </c>
      <c r="P25">
        <v>70</v>
      </c>
      <c r="Q25">
        <v>2.7</v>
      </c>
      <c r="R25">
        <v>4</v>
      </c>
      <c r="S25">
        <v>3.5</v>
      </c>
      <c r="T25">
        <v>3.5</v>
      </c>
      <c r="U25">
        <v>3.5</v>
      </c>
      <c r="V25" t="s">
        <v>25</v>
      </c>
    </row>
    <row r="26" spans="1:22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 s="4">
        <f t="shared" si="0"/>
        <v>2.3088616249999996E-2</v>
      </c>
      <c r="O26" s="4">
        <f t="shared" si="1"/>
        <v>0.18978842557499997</v>
      </c>
      <c r="P26">
        <v>60</v>
      </c>
      <c r="Q26">
        <v>5</v>
      </c>
      <c r="R26">
        <v>2.7</v>
      </c>
      <c r="S26">
        <v>3.5</v>
      </c>
      <c r="T26">
        <v>3</v>
      </c>
      <c r="U26">
        <v>2</v>
      </c>
      <c r="V26" t="s">
        <v>25</v>
      </c>
    </row>
    <row r="27" spans="1:22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 s="4">
        <f t="shared" si="0"/>
        <v>2.042388665E-2</v>
      </c>
      <c r="O27" s="4">
        <f t="shared" si="1"/>
        <v>0.2032176721675</v>
      </c>
      <c r="P27">
        <v>50</v>
      </c>
      <c r="Q27">
        <v>4.3</v>
      </c>
      <c r="R27">
        <v>4.5</v>
      </c>
      <c r="S27">
        <v>3.3</v>
      </c>
      <c r="T27">
        <v>3.5</v>
      </c>
      <c r="U27">
        <v>3</v>
      </c>
      <c r="V27" t="s">
        <v>25</v>
      </c>
    </row>
    <row r="28" spans="1:22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 s="4">
        <f t="shared" si="0"/>
        <v>6.0514393999999989E-3</v>
      </c>
      <c r="O28" s="4">
        <f t="shared" si="1"/>
        <v>3.5037834125999992E-2</v>
      </c>
      <c r="P28">
        <v>50</v>
      </c>
      <c r="Q28">
        <v>2.5</v>
      </c>
      <c r="R28">
        <v>2</v>
      </c>
      <c r="S28">
        <v>3.2</v>
      </c>
      <c r="T28">
        <v>3.3</v>
      </c>
      <c r="U28">
        <v>3</v>
      </c>
      <c r="V28" t="s">
        <v>38</v>
      </c>
    </row>
    <row r="29" spans="1:22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 s="4">
        <f t="shared" si="0"/>
        <v>2.3169463400000003E-2</v>
      </c>
      <c r="O29" s="4">
        <f t="shared" si="1"/>
        <v>0.23146293936600004</v>
      </c>
      <c r="P29">
        <v>90</v>
      </c>
      <c r="Q29">
        <v>4.3</v>
      </c>
      <c r="R29">
        <v>4.5</v>
      </c>
      <c r="S29">
        <v>3.5</v>
      </c>
      <c r="T29">
        <v>4</v>
      </c>
      <c r="U29">
        <v>3.3</v>
      </c>
      <c r="V29" t="s">
        <v>25</v>
      </c>
    </row>
    <row r="30" spans="1:22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 s="4">
        <f t="shared" si="0"/>
        <v>1.2050699850000002E-2</v>
      </c>
      <c r="O30" s="4">
        <f t="shared" si="1"/>
        <v>6.6881384167500016E-2</v>
      </c>
      <c r="P30">
        <v>80</v>
      </c>
      <c r="Q30">
        <v>3</v>
      </c>
      <c r="R30">
        <v>2.5</v>
      </c>
      <c r="S30">
        <v>2</v>
      </c>
      <c r="T30">
        <v>2</v>
      </c>
      <c r="U30">
        <v>2</v>
      </c>
      <c r="V30" t="s">
        <v>38</v>
      </c>
    </row>
    <row r="31" spans="1:22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 s="4">
        <f t="shared" si="0"/>
        <v>1.7078656249999997E-2</v>
      </c>
      <c r="O31" s="4">
        <f t="shared" si="1"/>
        <v>0.13304273218749998</v>
      </c>
      <c r="P31">
        <v>30</v>
      </c>
      <c r="Q31">
        <v>4</v>
      </c>
      <c r="R31">
        <v>4</v>
      </c>
      <c r="S31">
        <v>4</v>
      </c>
      <c r="T31">
        <v>2.5</v>
      </c>
      <c r="U31">
        <v>2</v>
      </c>
      <c r="V31" t="s">
        <v>25</v>
      </c>
    </row>
    <row r="32" spans="1:22" x14ac:dyDescent="0.25">
      <c r="A32" t="s">
        <v>40</v>
      </c>
      <c r="B32">
        <v>1</v>
      </c>
      <c r="C32" t="s">
        <v>41</v>
      </c>
      <c r="D32" t="s">
        <v>42</v>
      </c>
      <c r="E32" t="s">
        <v>43</v>
      </c>
      <c r="F32">
        <v>200</v>
      </c>
      <c r="G32">
        <v>1400</v>
      </c>
      <c r="H32">
        <v>-2</v>
      </c>
      <c r="I32">
        <v>1980</v>
      </c>
      <c r="J32" t="s">
        <v>26</v>
      </c>
      <c r="K32">
        <v>1487</v>
      </c>
      <c r="L32">
        <v>27.98</v>
      </c>
      <c r="M32">
        <v>8.64</v>
      </c>
      <c r="N32" s="4">
        <f t="shared" si="0"/>
        <v>6.1456111399999992E-2</v>
      </c>
      <c r="O32" s="4">
        <f t="shared" si="1"/>
        <v>0.53098080249599999</v>
      </c>
      <c r="P32" t="s">
        <v>44</v>
      </c>
      <c r="Q32">
        <v>2.2999999999999998</v>
      </c>
      <c r="R32">
        <v>4</v>
      </c>
      <c r="S32">
        <v>2</v>
      </c>
      <c r="T32">
        <v>2</v>
      </c>
      <c r="U32">
        <v>2</v>
      </c>
      <c r="V32" t="s">
        <v>30</v>
      </c>
    </row>
    <row r="33" spans="1:22" x14ac:dyDescent="0.25">
      <c r="A33" t="s">
        <v>40</v>
      </c>
      <c r="B33">
        <v>1</v>
      </c>
      <c r="C33" t="s">
        <v>41</v>
      </c>
      <c r="D33" t="s">
        <v>42</v>
      </c>
      <c r="E33" t="s">
        <v>43</v>
      </c>
      <c r="F33">
        <v>200</v>
      </c>
      <c r="G33">
        <v>1400</v>
      </c>
      <c r="H33">
        <v>-2</v>
      </c>
      <c r="I33">
        <v>1980</v>
      </c>
      <c r="J33" t="s">
        <v>32</v>
      </c>
      <c r="K33">
        <v>1596</v>
      </c>
      <c r="L33">
        <v>25.99</v>
      </c>
      <c r="M33">
        <v>9.6</v>
      </c>
      <c r="N33" s="4">
        <f t="shared" si="0"/>
        <v>5.3025187849999982E-2</v>
      </c>
      <c r="O33" s="4">
        <f t="shared" si="1"/>
        <v>0.50904180335999982</v>
      </c>
      <c r="P33" t="s">
        <v>44</v>
      </c>
      <c r="Q33">
        <v>4</v>
      </c>
      <c r="R33">
        <v>4</v>
      </c>
      <c r="S33">
        <v>3</v>
      </c>
      <c r="T33">
        <v>4</v>
      </c>
      <c r="U33">
        <v>2.7</v>
      </c>
      <c r="V33" t="s">
        <v>27</v>
      </c>
    </row>
    <row r="34" spans="1:22" x14ac:dyDescent="0.25">
      <c r="A34" t="s">
        <v>40</v>
      </c>
      <c r="B34">
        <v>1</v>
      </c>
      <c r="C34" t="s">
        <v>41</v>
      </c>
      <c r="D34" t="s">
        <v>42</v>
      </c>
      <c r="E34" t="s">
        <v>43</v>
      </c>
      <c r="F34">
        <v>200</v>
      </c>
      <c r="G34">
        <v>1400</v>
      </c>
      <c r="H34">
        <v>-2</v>
      </c>
      <c r="I34">
        <v>1980</v>
      </c>
      <c r="J34" t="s">
        <v>33</v>
      </c>
      <c r="K34">
        <v>2088</v>
      </c>
      <c r="L34">
        <v>33.409999999999997</v>
      </c>
      <c r="M34">
        <v>8.35</v>
      </c>
      <c r="N34" s="4">
        <f t="shared" si="0"/>
        <v>8.7623905849999989E-2</v>
      </c>
      <c r="O34" s="4">
        <f t="shared" si="1"/>
        <v>0.73165961384749989</v>
      </c>
      <c r="P34" t="s">
        <v>44</v>
      </c>
      <c r="Q34">
        <v>4</v>
      </c>
      <c r="R34">
        <v>2.8</v>
      </c>
      <c r="S34">
        <v>2.5</v>
      </c>
      <c r="T34">
        <v>1.5</v>
      </c>
      <c r="U34">
        <v>1.5</v>
      </c>
      <c r="V34" t="s">
        <v>38</v>
      </c>
    </row>
    <row r="35" spans="1:22" x14ac:dyDescent="0.25">
      <c r="A35" t="s">
        <v>40</v>
      </c>
      <c r="B35">
        <v>1</v>
      </c>
      <c r="C35" t="s">
        <v>41</v>
      </c>
      <c r="D35" t="s">
        <v>42</v>
      </c>
      <c r="E35" t="s">
        <v>43</v>
      </c>
      <c r="F35">
        <v>200</v>
      </c>
      <c r="G35">
        <v>1400</v>
      </c>
      <c r="H35">
        <v>-2</v>
      </c>
      <c r="I35">
        <v>1980</v>
      </c>
      <c r="J35" t="s">
        <v>35</v>
      </c>
      <c r="K35">
        <v>1521</v>
      </c>
      <c r="L35">
        <v>33.299999999999997</v>
      </c>
      <c r="M35">
        <v>13.32</v>
      </c>
      <c r="N35" s="4">
        <f t="shared" si="0"/>
        <v>8.7047864999999988E-2</v>
      </c>
      <c r="O35" s="4">
        <f t="shared" si="1"/>
        <v>1.1594775617999999</v>
      </c>
      <c r="P35" t="s">
        <v>44</v>
      </c>
      <c r="Q35">
        <v>4</v>
      </c>
      <c r="R35">
        <v>2.2999999999999998</v>
      </c>
      <c r="S35">
        <v>3.3</v>
      </c>
      <c r="T35">
        <v>2</v>
      </c>
      <c r="U35">
        <v>1</v>
      </c>
      <c r="V35" t="s">
        <v>25</v>
      </c>
    </row>
    <row r="36" spans="1:22" x14ac:dyDescent="0.25">
      <c r="A36" t="s">
        <v>40</v>
      </c>
      <c r="B36">
        <v>1</v>
      </c>
      <c r="C36" t="s">
        <v>41</v>
      </c>
      <c r="D36" t="s">
        <v>42</v>
      </c>
      <c r="E36" t="s">
        <v>43</v>
      </c>
      <c r="F36">
        <v>200</v>
      </c>
      <c r="G36">
        <v>1400</v>
      </c>
      <c r="H36">
        <v>-2</v>
      </c>
      <c r="I36">
        <v>1980</v>
      </c>
      <c r="J36" t="s">
        <v>36</v>
      </c>
      <c r="K36">
        <v>1523</v>
      </c>
      <c r="L36">
        <v>33.130000000000003</v>
      </c>
      <c r="M36">
        <v>12.33</v>
      </c>
      <c r="N36" s="4">
        <f t="shared" si="0"/>
        <v>8.6161356650000021E-2</v>
      </c>
      <c r="O36" s="4">
        <f t="shared" si="1"/>
        <v>1.0623695274945002</v>
      </c>
      <c r="P36" t="s">
        <v>44</v>
      </c>
      <c r="Q36">
        <v>4</v>
      </c>
      <c r="R36">
        <v>4</v>
      </c>
      <c r="S36">
        <v>3.5</v>
      </c>
      <c r="T36">
        <v>4</v>
      </c>
      <c r="U36">
        <v>2.7</v>
      </c>
      <c r="V36" t="s">
        <v>25</v>
      </c>
    </row>
    <row r="37" spans="1:22" x14ac:dyDescent="0.25">
      <c r="A37" t="s">
        <v>40</v>
      </c>
      <c r="B37">
        <v>1</v>
      </c>
      <c r="C37" t="s">
        <v>41</v>
      </c>
      <c r="D37" t="s">
        <v>42</v>
      </c>
      <c r="E37" t="s">
        <v>43</v>
      </c>
      <c r="F37">
        <v>200</v>
      </c>
      <c r="G37">
        <v>1400</v>
      </c>
      <c r="H37">
        <v>-2</v>
      </c>
      <c r="I37">
        <v>1980</v>
      </c>
      <c r="J37" t="s">
        <v>37</v>
      </c>
      <c r="K37">
        <v>1524</v>
      </c>
      <c r="L37">
        <v>12.79</v>
      </c>
      <c r="M37">
        <v>8.82</v>
      </c>
      <c r="N37" s="4">
        <f t="shared" si="0"/>
        <v>1.2841351849999998E-2</v>
      </c>
      <c r="O37" s="4">
        <f t="shared" si="1"/>
        <v>0.11326072331699999</v>
      </c>
      <c r="P37" t="s">
        <v>44</v>
      </c>
      <c r="Q37">
        <v>2.5</v>
      </c>
      <c r="R37">
        <v>3</v>
      </c>
      <c r="S37">
        <v>3.3</v>
      </c>
      <c r="T37">
        <v>4</v>
      </c>
      <c r="U37">
        <v>4</v>
      </c>
      <c r="V37" t="s">
        <v>30</v>
      </c>
    </row>
    <row r="38" spans="1:22" x14ac:dyDescent="0.25">
      <c r="A38" t="s">
        <v>40</v>
      </c>
      <c r="B38">
        <v>2</v>
      </c>
      <c r="C38" t="s">
        <v>41</v>
      </c>
      <c r="D38" t="s">
        <v>42</v>
      </c>
      <c r="E38" t="s">
        <v>43</v>
      </c>
      <c r="F38">
        <v>200</v>
      </c>
      <c r="G38">
        <v>1400</v>
      </c>
      <c r="H38">
        <v>-2</v>
      </c>
      <c r="I38">
        <v>1980</v>
      </c>
      <c r="J38" t="s">
        <v>24</v>
      </c>
      <c r="K38">
        <v>1520</v>
      </c>
      <c r="L38">
        <v>25.92</v>
      </c>
      <c r="M38">
        <v>12.12</v>
      </c>
      <c r="N38" s="4">
        <f t="shared" si="0"/>
        <v>5.2739942400000017E-2</v>
      </c>
      <c r="O38" s="4">
        <f t="shared" si="1"/>
        <v>0.63920810188800015</v>
      </c>
      <c r="P38" t="s">
        <v>44</v>
      </c>
      <c r="Q38">
        <v>3.3</v>
      </c>
      <c r="R38">
        <v>3</v>
      </c>
      <c r="S38">
        <v>4</v>
      </c>
      <c r="T38">
        <v>3.5</v>
      </c>
      <c r="U38">
        <v>3.5</v>
      </c>
      <c r="V38" t="s">
        <v>25</v>
      </c>
    </row>
    <row r="39" spans="1:22" x14ac:dyDescent="0.25">
      <c r="A39" t="s">
        <v>40</v>
      </c>
      <c r="B39">
        <v>2</v>
      </c>
      <c r="C39" t="s">
        <v>41</v>
      </c>
      <c r="D39" t="s">
        <v>42</v>
      </c>
      <c r="E39" t="s">
        <v>43</v>
      </c>
      <c r="F39">
        <v>200</v>
      </c>
      <c r="G39">
        <v>1400</v>
      </c>
      <c r="H39">
        <v>-2</v>
      </c>
      <c r="I39">
        <v>1980</v>
      </c>
      <c r="J39" t="s">
        <v>26</v>
      </c>
      <c r="K39">
        <v>1487</v>
      </c>
      <c r="L39">
        <v>26.94</v>
      </c>
      <c r="M39">
        <v>9.93</v>
      </c>
      <c r="N39" s="4">
        <f t="shared" si="0"/>
        <v>5.697244260000002E-2</v>
      </c>
      <c r="O39" s="4">
        <f t="shared" si="1"/>
        <v>0.56573635501800024</v>
      </c>
      <c r="P39" t="s">
        <v>44</v>
      </c>
      <c r="Q39">
        <v>3.3</v>
      </c>
      <c r="R39">
        <v>4</v>
      </c>
      <c r="S39">
        <v>3</v>
      </c>
      <c r="T39">
        <v>3.5</v>
      </c>
      <c r="U39">
        <v>3</v>
      </c>
      <c r="V39" t="s">
        <v>25</v>
      </c>
    </row>
    <row r="40" spans="1:22" x14ac:dyDescent="0.25">
      <c r="A40" t="s">
        <v>40</v>
      </c>
      <c r="B40">
        <v>2</v>
      </c>
      <c r="C40" t="s">
        <v>41</v>
      </c>
      <c r="D40" t="s">
        <v>42</v>
      </c>
      <c r="E40" t="s">
        <v>43</v>
      </c>
      <c r="F40">
        <v>200</v>
      </c>
      <c r="G40">
        <v>1400</v>
      </c>
      <c r="H40">
        <v>-2</v>
      </c>
      <c r="I40">
        <v>1980</v>
      </c>
      <c r="J40" t="s">
        <v>45</v>
      </c>
      <c r="K40">
        <v>1362</v>
      </c>
      <c r="L40">
        <v>11.88</v>
      </c>
      <c r="M40">
        <v>8.23</v>
      </c>
      <c r="N40" s="4">
        <f t="shared" si="0"/>
        <v>1.1079050400000002E-2</v>
      </c>
      <c r="O40" s="4">
        <f t="shared" si="1"/>
        <v>9.1180584792000016E-2</v>
      </c>
      <c r="P40" t="s">
        <v>44</v>
      </c>
      <c r="Q40">
        <v>2</v>
      </c>
      <c r="R40">
        <v>4</v>
      </c>
      <c r="S40">
        <v>4</v>
      </c>
      <c r="T40">
        <v>4</v>
      </c>
      <c r="U40">
        <v>4</v>
      </c>
      <c r="V40" t="s">
        <v>30</v>
      </c>
    </row>
    <row r="41" spans="1:22" x14ac:dyDescent="0.25">
      <c r="A41" t="s">
        <v>40</v>
      </c>
      <c r="B41">
        <v>2</v>
      </c>
      <c r="C41" t="s">
        <v>41</v>
      </c>
      <c r="D41" t="s">
        <v>42</v>
      </c>
      <c r="E41" t="s">
        <v>43</v>
      </c>
      <c r="F41">
        <v>200</v>
      </c>
      <c r="G41">
        <v>1400</v>
      </c>
      <c r="H41">
        <v>-2</v>
      </c>
      <c r="I41">
        <v>1980</v>
      </c>
      <c r="J41" t="s">
        <v>32</v>
      </c>
      <c r="K41">
        <v>1596</v>
      </c>
      <c r="L41">
        <v>24.42</v>
      </c>
      <c r="M41">
        <v>10.47</v>
      </c>
      <c r="N41" s="4">
        <f t="shared" si="0"/>
        <v>4.6812407400000013E-2</v>
      </c>
      <c r="O41" s="4">
        <f t="shared" si="1"/>
        <v>0.49012590547800017</v>
      </c>
      <c r="P41" t="s">
        <v>44</v>
      </c>
      <c r="Q41">
        <v>4.5</v>
      </c>
      <c r="R41">
        <v>4</v>
      </c>
      <c r="S41">
        <v>4.3</v>
      </c>
      <c r="T41">
        <v>3.7</v>
      </c>
      <c r="U41">
        <v>3.3</v>
      </c>
      <c r="V41" t="s">
        <v>27</v>
      </c>
    </row>
    <row r="42" spans="1:22" x14ac:dyDescent="0.25">
      <c r="A42" t="s">
        <v>40</v>
      </c>
      <c r="B42">
        <v>2</v>
      </c>
      <c r="C42" t="s">
        <v>41</v>
      </c>
      <c r="D42" t="s">
        <v>42</v>
      </c>
      <c r="E42" t="s">
        <v>43</v>
      </c>
      <c r="F42">
        <v>200</v>
      </c>
      <c r="G42">
        <v>1400</v>
      </c>
      <c r="H42">
        <v>-2</v>
      </c>
      <c r="I42">
        <v>1980</v>
      </c>
      <c r="J42" t="s">
        <v>33</v>
      </c>
      <c r="K42">
        <v>2088</v>
      </c>
      <c r="L42">
        <v>31.74</v>
      </c>
      <c r="M42">
        <v>11.69</v>
      </c>
      <c r="N42" s="4">
        <f t="shared" si="0"/>
        <v>7.9083066599999988E-2</v>
      </c>
      <c r="O42" s="4">
        <f t="shared" si="1"/>
        <v>0.92448104855399982</v>
      </c>
      <c r="P42" t="s">
        <v>44</v>
      </c>
      <c r="Q42">
        <v>4</v>
      </c>
      <c r="R42">
        <v>2.5</v>
      </c>
      <c r="S42">
        <v>3</v>
      </c>
      <c r="T42">
        <v>3</v>
      </c>
      <c r="U42">
        <v>2</v>
      </c>
      <c r="V42" t="s">
        <v>25</v>
      </c>
    </row>
    <row r="43" spans="1:22" x14ac:dyDescent="0.25">
      <c r="A43" t="s">
        <v>40</v>
      </c>
      <c r="B43">
        <v>2</v>
      </c>
      <c r="C43" t="s">
        <v>41</v>
      </c>
      <c r="D43" t="s">
        <v>42</v>
      </c>
      <c r="E43" t="s">
        <v>43</v>
      </c>
      <c r="F43">
        <v>200</v>
      </c>
      <c r="G43">
        <v>1400</v>
      </c>
      <c r="H43">
        <v>-2</v>
      </c>
      <c r="I43">
        <v>1980</v>
      </c>
      <c r="J43" t="s">
        <v>34</v>
      </c>
      <c r="K43">
        <v>1522</v>
      </c>
      <c r="L43">
        <v>39.72</v>
      </c>
      <c r="M43">
        <v>13.82</v>
      </c>
      <c r="N43" s="4">
        <f t="shared" si="0"/>
        <v>0.1238477544</v>
      </c>
      <c r="O43" s="4">
        <f t="shared" si="1"/>
        <v>1.7115759658080001</v>
      </c>
      <c r="P43" t="s">
        <v>44</v>
      </c>
      <c r="Q43">
        <v>5</v>
      </c>
      <c r="R43">
        <v>4</v>
      </c>
      <c r="S43">
        <v>3.3</v>
      </c>
      <c r="T43">
        <v>3</v>
      </c>
      <c r="U43">
        <v>2</v>
      </c>
      <c r="V43" t="s">
        <v>27</v>
      </c>
    </row>
    <row r="44" spans="1:22" x14ac:dyDescent="0.25">
      <c r="A44" t="s">
        <v>40</v>
      </c>
      <c r="B44">
        <v>2</v>
      </c>
      <c r="C44" t="s">
        <v>41</v>
      </c>
      <c r="D44" t="s">
        <v>42</v>
      </c>
      <c r="E44" t="s">
        <v>43</v>
      </c>
      <c r="F44">
        <v>200</v>
      </c>
      <c r="G44">
        <v>1400</v>
      </c>
      <c r="H44">
        <v>-2</v>
      </c>
      <c r="I44">
        <v>1980</v>
      </c>
      <c r="J44" t="s">
        <v>35</v>
      </c>
      <c r="K44">
        <v>1521</v>
      </c>
      <c r="L44">
        <v>31.38</v>
      </c>
      <c r="M44">
        <v>13.32</v>
      </c>
      <c r="N44" s="4">
        <f t="shared" si="0"/>
        <v>7.7299295399999982E-2</v>
      </c>
      <c r="O44" s="4">
        <f t="shared" si="1"/>
        <v>1.0296266147279998</v>
      </c>
      <c r="P44" t="s">
        <v>44</v>
      </c>
      <c r="Q44">
        <v>4.3</v>
      </c>
      <c r="R44">
        <v>2.7</v>
      </c>
      <c r="S44">
        <v>4</v>
      </c>
      <c r="T44">
        <v>3.5</v>
      </c>
      <c r="U44">
        <v>3.3</v>
      </c>
      <c r="V44" t="s">
        <v>27</v>
      </c>
    </row>
    <row r="45" spans="1:22" x14ac:dyDescent="0.25">
      <c r="A45" t="s">
        <v>40</v>
      </c>
      <c r="B45">
        <v>2</v>
      </c>
      <c r="C45" t="s">
        <v>41</v>
      </c>
      <c r="D45" t="s">
        <v>42</v>
      </c>
      <c r="E45" t="s">
        <v>43</v>
      </c>
      <c r="F45">
        <v>200</v>
      </c>
      <c r="G45">
        <v>1400</v>
      </c>
      <c r="H45">
        <v>-2</v>
      </c>
      <c r="I45">
        <v>1980</v>
      </c>
      <c r="J45" t="s">
        <v>36</v>
      </c>
      <c r="K45">
        <v>1523</v>
      </c>
      <c r="L45">
        <v>31.72</v>
      </c>
      <c r="M45">
        <v>9.9600000000000009</v>
      </c>
      <c r="N45" s="4">
        <f t="shared" si="0"/>
        <v>7.8983434399999997E-2</v>
      </c>
      <c r="O45" s="4">
        <f t="shared" si="1"/>
        <v>0.78667500662400003</v>
      </c>
      <c r="P45" t="s">
        <v>44</v>
      </c>
      <c r="Q45">
        <v>4.5</v>
      </c>
      <c r="R45">
        <v>4</v>
      </c>
      <c r="S45">
        <v>3.5</v>
      </c>
      <c r="T45">
        <v>3.5</v>
      </c>
      <c r="U45">
        <v>3</v>
      </c>
      <c r="V45" t="s">
        <v>27</v>
      </c>
    </row>
    <row r="46" spans="1:22" x14ac:dyDescent="0.25">
      <c r="A46" t="s">
        <v>40</v>
      </c>
      <c r="B46">
        <v>2</v>
      </c>
      <c r="C46" t="s">
        <v>41</v>
      </c>
      <c r="D46" t="s">
        <v>42</v>
      </c>
      <c r="E46" t="s">
        <v>43</v>
      </c>
      <c r="F46">
        <v>200</v>
      </c>
      <c r="G46">
        <v>1400</v>
      </c>
      <c r="H46">
        <v>-2</v>
      </c>
      <c r="I46">
        <v>1980</v>
      </c>
      <c r="J46" t="s">
        <v>37</v>
      </c>
      <c r="K46">
        <v>1524</v>
      </c>
      <c r="L46">
        <v>23.36</v>
      </c>
      <c r="M46">
        <v>10.33</v>
      </c>
      <c r="N46" s="4">
        <f t="shared" si="0"/>
        <v>4.28366336E-2</v>
      </c>
      <c r="O46" s="4">
        <f t="shared" si="1"/>
        <v>0.44250242508800003</v>
      </c>
      <c r="P46" t="s">
        <v>44</v>
      </c>
      <c r="Q46">
        <v>3.3</v>
      </c>
      <c r="R46">
        <v>3</v>
      </c>
      <c r="S46">
        <v>3</v>
      </c>
      <c r="T46">
        <v>4</v>
      </c>
      <c r="U46">
        <v>4</v>
      </c>
      <c r="V46" t="s">
        <v>25</v>
      </c>
    </row>
    <row r="47" spans="1:22" x14ac:dyDescent="0.25">
      <c r="A47" t="s">
        <v>40</v>
      </c>
      <c r="B47">
        <v>3</v>
      </c>
      <c r="C47" t="s">
        <v>41</v>
      </c>
      <c r="D47" t="s">
        <v>42</v>
      </c>
      <c r="E47" t="s">
        <v>43</v>
      </c>
      <c r="F47">
        <v>200</v>
      </c>
      <c r="G47">
        <v>1400</v>
      </c>
      <c r="H47">
        <v>-2</v>
      </c>
      <c r="I47">
        <v>1980</v>
      </c>
      <c r="J47" t="s">
        <v>24</v>
      </c>
      <c r="K47">
        <v>1520</v>
      </c>
      <c r="L47">
        <v>13.99</v>
      </c>
      <c r="M47">
        <v>5.59</v>
      </c>
      <c r="N47" s="4">
        <f t="shared" si="0"/>
        <v>1.5364027849999998E-2</v>
      </c>
      <c r="O47" s="4">
        <f t="shared" si="1"/>
        <v>8.5884915681499988E-2</v>
      </c>
      <c r="P47" t="s">
        <v>44</v>
      </c>
      <c r="Q47">
        <v>2</v>
      </c>
      <c r="R47">
        <v>4</v>
      </c>
      <c r="S47">
        <v>3</v>
      </c>
      <c r="T47">
        <v>4</v>
      </c>
      <c r="U47">
        <v>3</v>
      </c>
      <c r="V47" t="s">
        <v>30</v>
      </c>
    </row>
    <row r="48" spans="1:22" x14ac:dyDescent="0.25">
      <c r="A48" t="s">
        <v>40</v>
      </c>
      <c r="B48">
        <v>3</v>
      </c>
      <c r="C48" t="s">
        <v>41</v>
      </c>
      <c r="D48" t="s">
        <v>42</v>
      </c>
      <c r="E48" t="s">
        <v>43</v>
      </c>
      <c r="F48">
        <v>200</v>
      </c>
      <c r="G48">
        <v>1400</v>
      </c>
      <c r="H48">
        <v>-2</v>
      </c>
      <c r="I48">
        <v>1980</v>
      </c>
      <c r="J48" t="s">
        <v>26</v>
      </c>
      <c r="K48">
        <v>1487</v>
      </c>
      <c r="L48">
        <v>3.0720000000000001</v>
      </c>
      <c r="M48">
        <v>9.93</v>
      </c>
      <c r="N48" s="4">
        <f t="shared" si="0"/>
        <v>7.4081894399999999E-4</v>
      </c>
      <c r="O48" s="4">
        <f t="shared" si="1"/>
        <v>7.3563321139199995E-3</v>
      </c>
      <c r="P48" t="s">
        <v>44</v>
      </c>
      <c r="Q48">
        <v>3</v>
      </c>
      <c r="R48">
        <v>4</v>
      </c>
      <c r="S48">
        <v>2</v>
      </c>
      <c r="T48">
        <v>2</v>
      </c>
      <c r="U48">
        <v>1</v>
      </c>
      <c r="V48" t="s">
        <v>25</v>
      </c>
    </row>
    <row r="49" spans="1:22" x14ac:dyDescent="0.25">
      <c r="A49" t="s">
        <v>40</v>
      </c>
      <c r="B49">
        <v>3</v>
      </c>
      <c r="C49" t="s">
        <v>41</v>
      </c>
      <c r="D49" t="s">
        <v>42</v>
      </c>
      <c r="E49" t="s">
        <v>43</v>
      </c>
      <c r="F49">
        <v>200</v>
      </c>
      <c r="G49">
        <v>1400</v>
      </c>
      <c r="H49">
        <v>-2</v>
      </c>
      <c r="I49">
        <v>1980</v>
      </c>
      <c r="J49" t="s">
        <v>45</v>
      </c>
      <c r="K49">
        <v>1362</v>
      </c>
      <c r="L49">
        <v>26.5</v>
      </c>
      <c r="M49">
        <v>10.97</v>
      </c>
      <c r="N49" s="4">
        <f t="shared" si="0"/>
        <v>5.5126625000000012E-2</v>
      </c>
      <c r="O49" s="4">
        <f t="shared" si="1"/>
        <v>0.60473907625000012</v>
      </c>
      <c r="P49" t="s">
        <v>44</v>
      </c>
      <c r="Q49">
        <v>3.5</v>
      </c>
      <c r="R49">
        <v>3.5</v>
      </c>
      <c r="S49">
        <v>3.7</v>
      </c>
      <c r="T49">
        <v>4</v>
      </c>
      <c r="U49">
        <v>3.7</v>
      </c>
      <c r="V49" t="s">
        <v>25</v>
      </c>
    </row>
    <row r="50" spans="1:22" x14ac:dyDescent="0.25">
      <c r="A50" t="s">
        <v>40</v>
      </c>
      <c r="B50">
        <v>3</v>
      </c>
      <c r="C50" t="s">
        <v>41</v>
      </c>
      <c r="D50" t="s">
        <v>42</v>
      </c>
      <c r="E50" t="s">
        <v>43</v>
      </c>
      <c r="F50">
        <v>200</v>
      </c>
      <c r="G50">
        <v>1400</v>
      </c>
      <c r="H50">
        <v>-2</v>
      </c>
      <c r="I50">
        <v>1980</v>
      </c>
      <c r="J50" t="s">
        <v>32</v>
      </c>
      <c r="K50">
        <v>1596</v>
      </c>
      <c r="L50">
        <v>24.42</v>
      </c>
      <c r="M50">
        <v>7.85</v>
      </c>
      <c r="N50" s="4">
        <f t="shared" si="0"/>
        <v>4.6812407400000013E-2</v>
      </c>
      <c r="O50" s="4">
        <f t="shared" si="1"/>
        <v>0.36747739809000007</v>
      </c>
      <c r="P50" t="s">
        <v>44</v>
      </c>
      <c r="Q50">
        <v>3</v>
      </c>
      <c r="R50">
        <v>3.5</v>
      </c>
      <c r="S50">
        <v>3.3</v>
      </c>
      <c r="T50">
        <v>3.3</v>
      </c>
      <c r="U50">
        <v>3.3</v>
      </c>
      <c r="V50" t="s">
        <v>25</v>
      </c>
    </row>
    <row r="51" spans="1:22" x14ac:dyDescent="0.25">
      <c r="A51" t="s">
        <v>40</v>
      </c>
      <c r="B51">
        <v>3</v>
      </c>
      <c r="C51" t="s">
        <v>41</v>
      </c>
      <c r="D51" t="s">
        <v>42</v>
      </c>
      <c r="E51" t="s">
        <v>43</v>
      </c>
      <c r="F51">
        <v>200</v>
      </c>
      <c r="G51">
        <v>1400</v>
      </c>
      <c r="H51">
        <v>-2</v>
      </c>
      <c r="I51">
        <v>1980</v>
      </c>
      <c r="J51" t="s">
        <v>33</v>
      </c>
      <c r="K51">
        <v>2088</v>
      </c>
      <c r="L51">
        <v>32.99</v>
      </c>
      <c r="M51">
        <v>12.53</v>
      </c>
      <c r="N51" s="4">
        <f t="shared" si="0"/>
        <v>8.5434697850000019E-2</v>
      </c>
      <c r="O51" s="4">
        <f t="shared" si="1"/>
        <v>1.0704967640605001</v>
      </c>
      <c r="P51" t="s">
        <v>44</v>
      </c>
      <c r="Q51">
        <v>5</v>
      </c>
      <c r="R51">
        <v>2.5</v>
      </c>
      <c r="S51">
        <v>4</v>
      </c>
      <c r="T51">
        <v>3</v>
      </c>
      <c r="U51">
        <v>2</v>
      </c>
      <c r="V51" t="s">
        <v>25</v>
      </c>
    </row>
    <row r="52" spans="1:22" x14ac:dyDescent="0.25">
      <c r="A52" t="s">
        <v>40</v>
      </c>
      <c r="B52">
        <v>3</v>
      </c>
      <c r="C52" t="s">
        <v>41</v>
      </c>
      <c r="D52" t="s">
        <v>42</v>
      </c>
      <c r="E52" t="s">
        <v>43</v>
      </c>
      <c r="F52">
        <v>200</v>
      </c>
      <c r="G52">
        <v>1400</v>
      </c>
      <c r="H52">
        <v>-2</v>
      </c>
      <c r="I52">
        <v>1980</v>
      </c>
      <c r="J52" t="s">
        <v>34</v>
      </c>
      <c r="K52">
        <v>1522</v>
      </c>
      <c r="L52">
        <v>30.48</v>
      </c>
      <c r="M52">
        <v>12.09</v>
      </c>
      <c r="N52" s="4">
        <f t="shared" si="0"/>
        <v>7.2928886400000004E-2</v>
      </c>
      <c r="O52" s="4">
        <f t="shared" si="1"/>
        <v>0.88171023657600001</v>
      </c>
      <c r="P52" t="s">
        <v>44</v>
      </c>
      <c r="Q52">
        <v>4.5</v>
      </c>
      <c r="R52">
        <v>4</v>
      </c>
      <c r="S52">
        <v>3.5</v>
      </c>
      <c r="T52">
        <v>3.5</v>
      </c>
      <c r="U52">
        <v>2.5</v>
      </c>
      <c r="V52" t="s">
        <v>27</v>
      </c>
    </row>
    <row r="53" spans="1:22" x14ac:dyDescent="0.25">
      <c r="A53" t="s">
        <v>40</v>
      </c>
      <c r="B53">
        <v>3</v>
      </c>
      <c r="C53" t="s">
        <v>41</v>
      </c>
      <c r="D53" t="s">
        <v>42</v>
      </c>
      <c r="E53" t="s">
        <v>43</v>
      </c>
      <c r="F53">
        <v>200</v>
      </c>
      <c r="G53">
        <v>1400</v>
      </c>
      <c r="H53">
        <v>-2</v>
      </c>
      <c r="I53">
        <v>1980</v>
      </c>
      <c r="J53" t="s">
        <v>35</v>
      </c>
      <c r="K53">
        <v>1521</v>
      </c>
      <c r="L53">
        <v>9.99</v>
      </c>
      <c r="M53">
        <v>7.49</v>
      </c>
      <c r="N53" s="4">
        <f t="shared" si="0"/>
        <v>7.8343078500000014E-3</v>
      </c>
      <c r="O53" s="4">
        <f t="shared" si="1"/>
        <v>5.8678965796500011E-2</v>
      </c>
      <c r="P53" t="s">
        <v>44</v>
      </c>
      <c r="Q53">
        <v>2</v>
      </c>
      <c r="R53">
        <v>2</v>
      </c>
      <c r="S53">
        <v>3</v>
      </c>
      <c r="T53">
        <v>4</v>
      </c>
      <c r="U53">
        <v>4</v>
      </c>
      <c r="V53" t="s">
        <v>30</v>
      </c>
    </row>
    <row r="54" spans="1:22" x14ac:dyDescent="0.25">
      <c r="A54" t="s">
        <v>40</v>
      </c>
      <c r="B54">
        <v>3</v>
      </c>
      <c r="C54" t="s">
        <v>41</v>
      </c>
      <c r="D54" t="s">
        <v>42</v>
      </c>
      <c r="E54" t="s">
        <v>43</v>
      </c>
      <c r="F54">
        <v>200</v>
      </c>
      <c r="G54">
        <v>1400</v>
      </c>
      <c r="H54">
        <v>-2</v>
      </c>
      <c r="I54">
        <v>1980</v>
      </c>
      <c r="J54" t="s">
        <v>36</v>
      </c>
      <c r="K54">
        <v>1523</v>
      </c>
      <c r="L54">
        <v>39.65</v>
      </c>
      <c r="M54">
        <v>10.56</v>
      </c>
      <c r="N54" s="4">
        <f t="shared" si="0"/>
        <v>0.12341161624999998</v>
      </c>
      <c r="O54" s="4">
        <f t="shared" si="1"/>
        <v>1.3032266675999999</v>
      </c>
      <c r="P54" t="s">
        <v>44</v>
      </c>
      <c r="Q54">
        <v>4</v>
      </c>
      <c r="R54">
        <v>4.5</v>
      </c>
      <c r="S54">
        <v>3</v>
      </c>
      <c r="T54">
        <v>3</v>
      </c>
      <c r="U54">
        <v>1</v>
      </c>
      <c r="V54" t="s">
        <v>27</v>
      </c>
    </row>
    <row r="55" spans="1:22" x14ac:dyDescent="0.25">
      <c r="A55" t="s">
        <v>40</v>
      </c>
      <c r="B55">
        <v>3</v>
      </c>
      <c r="C55" t="s">
        <v>41</v>
      </c>
      <c r="D55" t="s">
        <v>42</v>
      </c>
      <c r="E55" t="s">
        <v>43</v>
      </c>
      <c r="F55">
        <v>200</v>
      </c>
      <c r="G55">
        <v>1400</v>
      </c>
      <c r="H55">
        <v>-2</v>
      </c>
      <c r="I55">
        <v>1980</v>
      </c>
      <c r="J55" t="s">
        <v>37</v>
      </c>
      <c r="K55">
        <v>1524</v>
      </c>
      <c r="L55">
        <v>22.72</v>
      </c>
      <c r="M55">
        <v>11.52</v>
      </c>
      <c r="N55" s="4">
        <f t="shared" si="0"/>
        <v>4.0521574399999996E-2</v>
      </c>
      <c r="O55" s="4">
        <f t="shared" si="1"/>
        <v>0.46680853708799996</v>
      </c>
      <c r="P55" t="s">
        <v>44</v>
      </c>
      <c r="Q55">
        <v>3</v>
      </c>
      <c r="R55">
        <v>2.5</v>
      </c>
      <c r="S55">
        <v>3.5</v>
      </c>
      <c r="T55">
        <v>3.5</v>
      </c>
      <c r="U55">
        <v>2.8</v>
      </c>
      <c r="V55" t="s">
        <v>25</v>
      </c>
    </row>
    <row r="56" spans="1:22" x14ac:dyDescent="0.25">
      <c r="A56" t="s">
        <v>46</v>
      </c>
      <c r="B56">
        <v>1</v>
      </c>
      <c r="C56" t="s">
        <v>47</v>
      </c>
      <c r="D56" t="s">
        <v>48</v>
      </c>
      <c r="E56" t="s">
        <v>49</v>
      </c>
      <c r="F56">
        <v>130</v>
      </c>
      <c r="G56">
        <v>1000</v>
      </c>
      <c r="H56">
        <v>-3</v>
      </c>
      <c r="I56">
        <v>1980</v>
      </c>
      <c r="J56" t="s">
        <v>24</v>
      </c>
      <c r="K56">
        <v>1520</v>
      </c>
      <c r="L56">
        <v>10.1</v>
      </c>
      <c r="M56">
        <v>8.1999999999999993</v>
      </c>
      <c r="N56" s="4">
        <f t="shared" si="0"/>
        <v>8.0077849999999982E-3</v>
      </c>
      <c r="O56" s="4">
        <f t="shared" si="1"/>
        <v>6.5663836999999975E-2</v>
      </c>
      <c r="P56">
        <v>60</v>
      </c>
      <c r="Q56">
        <v>3</v>
      </c>
      <c r="R56">
        <v>4</v>
      </c>
      <c r="S56">
        <v>3.5</v>
      </c>
      <c r="T56">
        <v>3.5</v>
      </c>
      <c r="U56">
        <v>3.2</v>
      </c>
      <c r="V56" t="s">
        <v>38</v>
      </c>
    </row>
    <row r="57" spans="1:22" x14ac:dyDescent="0.25">
      <c r="A57" t="s">
        <v>46</v>
      </c>
      <c r="B57">
        <v>1</v>
      </c>
      <c r="C57" t="s">
        <v>47</v>
      </c>
      <c r="D57" t="s">
        <v>48</v>
      </c>
      <c r="E57" t="s">
        <v>49</v>
      </c>
      <c r="F57">
        <v>130</v>
      </c>
      <c r="G57">
        <v>1000</v>
      </c>
      <c r="H57">
        <v>-3</v>
      </c>
      <c r="I57">
        <v>1980</v>
      </c>
      <c r="J57" t="s">
        <v>45</v>
      </c>
      <c r="K57">
        <v>1362</v>
      </c>
      <c r="L57">
        <v>4.7</v>
      </c>
      <c r="M57">
        <v>5.5</v>
      </c>
      <c r="N57" s="4">
        <f t="shared" si="0"/>
        <v>1.7340650000000001E-3</v>
      </c>
      <c r="O57" s="4">
        <f t="shared" si="1"/>
        <v>9.5373575000000013E-3</v>
      </c>
      <c r="P57">
        <v>20</v>
      </c>
      <c r="Q57">
        <v>1</v>
      </c>
      <c r="R57">
        <v>1.5</v>
      </c>
      <c r="S57">
        <v>2</v>
      </c>
      <c r="T57">
        <v>3</v>
      </c>
      <c r="U57">
        <v>3</v>
      </c>
      <c r="V57" t="s">
        <v>50</v>
      </c>
    </row>
    <row r="58" spans="1:22" x14ac:dyDescent="0.25">
      <c r="A58" t="s">
        <v>46</v>
      </c>
      <c r="B58">
        <v>1</v>
      </c>
      <c r="C58" t="s">
        <v>47</v>
      </c>
      <c r="D58" t="s">
        <v>48</v>
      </c>
      <c r="E58" t="s">
        <v>49</v>
      </c>
      <c r="F58">
        <v>130</v>
      </c>
      <c r="G58">
        <v>1000</v>
      </c>
      <c r="H58">
        <v>-3</v>
      </c>
      <c r="I58">
        <v>1980</v>
      </c>
      <c r="J58" t="s">
        <v>32</v>
      </c>
      <c r="K58">
        <v>1596</v>
      </c>
      <c r="L58">
        <v>17</v>
      </c>
      <c r="M58">
        <v>12.6</v>
      </c>
      <c r="N58" s="4">
        <f t="shared" si="0"/>
        <v>2.2686500000000005E-2</v>
      </c>
      <c r="O58" s="4">
        <f t="shared" si="1"/>
        <v>0.28584990000000005</v>
      </c>
      <c r="P58">
        <v>50</v>
      </c>
      <c r="Q58">
        <v>4.3</v>
      </c>
      <c r="R58">
        <v>4</v>
      </c>
      <c r="S58">
        <v>3.2</v>
      </c>
      <c r="T58">
        <v>4</v>
      </c>
      <c r="U58">
        <v>3.5</v>
      </c>
      <c r="V58" t="s">
        <v>25</v>
      </c>
    </row>
    <row r="59" spans="1:22" x14ac:dyDescent="0.25">
      <c r="A59" t="s">
        <v>46</v>
      </c>
      <c r="B59">
        <v>1</v>
      </c>
      <c r="C59" t="s">
        <v>47</v>
      </c>
      <c r="D59" t="s">
        <v>48</v>
      </c>
      <c r="E59" t="s">
        <v>49</v>
      </c>
      <c r="F59">
        <v>130</v>
      </c>
      <c r="G59">
        <v>1000</v>
      </c>
      <c r="H59">
        <v>-3</v>
      </c>
      <c r="I59">
        <v>1980</v>
      </c>
      <c r="J59" t="s">
        <v>33</v>
      </c>
      <c r="K59">
        <v>2088</v>
      </c>
      <c r="L59">
        <v>10.3</v>
      </c>
      <c r="M59">
        <v>9.4</v>
      </c>
      <c r="N59" s="4">
        <f t="shared" si="0"/>
        <v>8.3280650000000025E-3</v>
      </c>
      <c r="O59" s="4">
        <f t="shared" si="1"/>
        <v>7.8283811000000023E-2</v>
      </c>
      <c r="P59">
        <v>80</v>
      </c>
      <c r="Q59">
        <v>3</v>
      </c>
      <c r="R59">
        <v>2.5</v>
      </c>
      <c r="S59">
        <v>3</v>
      </c>
      <c r="T59">
        <v>3</v>
      </c>
      <c r="U59">
        <v>3</v>
      </c>
      <c r="V59" t="s">
        <v>25</v>
      </c>
    </row>
    <row r="60" spans="1:22" x14ac:dyDescent="0.25">
      <c r="A60" t="s">
        <v>46</v>
      </c>
      <c r="B60">
        <v>1</v>
      </c>
      <c r="C60" t="s">
        <v>47</v>
      </c>
      <c r="D60" t="s">
        <v>48</v>
      </c>
      <c r="E60" t="s">
        <v>49</v>
      </c>
      <c r="F60">
        <v>130</v>
      </c>
      <c r="G60">
        <v>1000</v>
      </c>
      <c r="H60">
        <v>-3</v>
      </c>
      <c r="I60">
        <v>1980</v>
      </c>
      <c r="J60" t="s">
        <v>34</v>
      </c>
      <c r="K60">
        <v>1522</v>
      </c>
      <c r="L60">
        <v>21.6</v>
      </c>
      <c r="M60">
        <v>12</v>
      </c>
      <c r="N60" s="4">
        <f t="shared" si="0"/>
        <v>3.6624960000000012E-2</v>
      </c>
      <c r="O60" s="4">
        <f t="shared" si="1"/>
        <v>0.43949952000000014</v>
      </c>
      <c r="P60">
        <v>40</v>
      </c>
      <c r="Q60">
        <v>4</v>
      </c>
      <c r="R60">
        <v>3.7</v>
      </c>
      <c r="S60">
        <v>3.5</v>
      </c>
      <c r="T60">
        <v>3.5</v>
      </c>
      <c r="U60">
        <v>3</v>
      </c>
      <c r="V60" t="s">
        <v>25</v>
      </c>
    </row>
    <row r="61" spans="1:22" x14ac:dyDescent="0.25">
      <c r="A61" t="s">
        <v>46</v>
      </c>
      <c r="B61">
        <v>1</v>
      </c>
      <c r="C61" t="s">
        <v>47</v>
      </c>
      <c r="D61" t="s">
        <v>48</v>
      </c>
      <c r="E61" t="s">
        <v>49</v>
      </c>
      <c r="F61">
        <v>130</v>
      </c>
      <c r="G61">
        <v>1000</v>
      </c>
      <c r="H61">
        <v>-3</v>
      </c>
      <c r="I61">
        <v>1980</v>
      </c>
      <c r="J61" t="s">
        <v>35</v>
      </c>
      <c r="K61">
        <v>1521</v>
      </c>
      <c r="L61">
        <v>11.3</v>
      </c>
      <c r="M61">
        <v>10</v>
      </c>
      <c r="N61" s="4">
        <f t="shared" si="0"/>
        <v>1.0023665000000001E-2</v>
      </c>
      <c r="O61" s="4">
        <f t="shared" si="1"/>
        <v>0.10023665000000001</v>
      </c>
      <c r="P61">
        <v>40</v>
      </c>
      <c r="Q61">
        <v>2.7</v>
      </c>
      <c r="R61">
        <v>2</v>
      </c>
      <c r="S61">
        <v>3.2</v>
      </c>
      <c r="T61">
        <v>4</v>
      </c>
      <c r="U61">
        <v>3</v>
      </c>
      <c r="V61" t="s">
        <v>38</v>
      </c>
    </row>
    <row r="62" spans="1:22" x14ac:dyDescent="0.25">
      <c r="A62" t="s">
        <v>46</v>
      </c>
      <c r="B62">
        <v>1</v>
      </c>
      <c r="C62" t="s">
        <v>47</v>
      </c>
      <c r="D62" t="s">
        <v>48</v>
      </c>
      <c r="E62" t="s">
        <v>49</v>
      </c>
      <c r="F62">
        <v>130</v>
      </c>
      <c r="G62">
        <v>1000</v>
      </c>
      <c r="H62">
        <v>-3</v>
      </c>
      <c r="I62">
        <v>1980</v>
      </c>
      <c r="J62" t="s">
        <v>36</v>
      </c>
      <c r="K62">
        <v>1523</v>
      </c>
      <c r="L62">
        <v>12.7</v>
      </c>
      <c r="M62">
        <v>9.3000000000000007</v>
      </c>
      <c r="N62" s="4">
        <f t="shared" si="0"/>
        <v>1.2661265000000001E-2</v>
      </c>
      <c r="O62" s="4">
        <f t="shared" si="1"/>
        <v>0.11774976450000002</v>
      </c>
      <c r="P62">
        <v>80</v>
      </c>
      <c r="Q62">
        <v>2.9</v>
      </c>
      <c r="R62">
        <v>4</v>
      </c>
      <c r="S62">
        <v>3.2</v>
      </c>
      <c r="T62">
        <v>3.9</v>
      </c>
      <c r="U62">
        <v>3.4</v>
      </c>
      <c r="V62" t="s">
        <v>25</v>
      </c>
    </row>
    <row r="63" spans="1:22" x14ac:dyDescent="0.25">
      <c r="A63" t="s">
        <v>46</v>
      </c>
      <c r="B63">
        <v>1</v>
      </c>
      <c r="C63" t="s">
        <v>47</v>
      </c>
      <c r="D63" t="s">
        <v>48</v>
      </c>
      <c r="E63" t="s">
        <v>49</v>
      </c>
      <c r="F63">
        <v>130</v>
      </c>
      <c r="G63">
        <v>1000</v>
      </c>
      <c r="H63">
        <v>-3</v>
      </c>
      <c r="I63">
        <v>1980</v>
      </c>
      <c r="J63" t="s">
        <v>37</v>
      </c>
      <c r="K63">
        <v>1524</v>
      </c>
      <c r="L63">
        <v>5.4</v>
      </c>
      <c r="M63">
        <v>4.5</v>
      </c>
      <c r="N63" s="4">
        <f t="shared" si="0"/>
        <v>2.2890600000000007E-3</v>
      </c>
      <c r="O63" s="4">
        <f t="shared" si="1"/>
        <v>1.0300770000000004E-2</v>
      </c>
      <c r="P63">
        <v>20</v>
      </c>
      <c r="Q63">
        <v>1</v>
      </c>
      <c r="R63">
        <v>2</v>
      </c>
      <c r="S63">
        <v>3</v>
      </c>
      <c r="T63">
        <v>3</v>
      </c>
      <c r="U63">
        <v>3</v>
      </c>
      <c r="V63" t="s">
        <v>50</v>
      </c>
    </row>
    <row r="64" spans="1:22" x14ac:dyDescent="0.25">
      <c r="A64" t="s">
        <v>46</v>
      </c>
      <c r="B64">
        <v>2</v>
      </c>
      <c r="C64" t="s">
        <v>47</v>
      </c>
      <c r="D64" t="s">
        <v>48</v>
      </c>
      <c r="E64" t="s">
        <v>49</v>
      </c>
      <c r="F64">
        <v>130</v>
      </c>
      <c r="G64">
        <v>1000</v>
      </c>
      <c r="H64">
        <v>-3</v>
      </c>
      <c r="I64">
        <v>1980</v>
      </c>
      <c r="J64" t="s">
        <v>24</v>
      </c>
      <c r="K64">
        <v>1520</v>
      </c>
      <c r="L64">
        <v>6.8</v>
      </c>
      <c r="M64">
        <v>5.5</v>
      </c>
      <c r="N64" s="4">
        <f t="shared" si="0"/>
        <v>3.6298400000000005E-3</v>
      </c>
      <c r="O64" s="4">
        <f t="shared" si="1"/>
        <v>1.9964120000000002E-2</v>
      </c>
      <c r="P64">
        <v>60</v>
      </c>
      <c r="Q64">
        <v>2.5</v>
      </c>
      <c r="R64">
        <v>3.5</v>
      </c>
      <c r="S64">
        <v>3.5</v>
      </c>
      <c r="T64">
        <v>3.5</v>
      </c>
      <c r="U64">
        <v>3</v>
      </c>
      <c r="V64" t="s">
        <v>30</v>
      </c>
    </row>
    <row r="65" spans="1:22" x14ac:dyDescent="0.25">
      <c r="A65" t="s">
        <v>46</v>
      </c>
      <c r="B65">
        <v>2</v>
      </c>
      <c r="C65" t="s">
        <v>47</v>
      </c>
      <c r="D65" t="s">
        <v>48</v>
      </c>
      <c r="E65" t="s">
        <v>49</v>
      </c>
      <c r="F65">
        <v>130</v>
      </c>
      <c r="G65">
        <v>1000</v>
      </c>
      <c r="H65">
        <v>-3</v>
      </c>
      <c r="I65">
        <v>1980</v>
      </c>
      <c r="J65" t="s">
        <v>26</v>
      </c>
      <c r="K65">
        <v>1487</v>
      </c>
      <c r="L65">
        <v>17.8</v>
      </c>
      <c r="M65">
        <v>10</v>
      </c>
      <c r="N65" s="4">
        <f t="shared" si="0"/>
        <v>2.4871940000000006E-2</v>
      </c>
      <c r="O65" s="4">
        <f t="shared" si="1"/>
        <v>0.24871940000000006</v>
      </c>
      <c r="P65">
        <v>10</v>
      </c>
      <c r="Q65">
        <v>4</v>
      </c>
      <c r="R65">
        <v>4</v>
      </c>
      <c r="S65">
        <v>3.5</v>
      </c>
      <c r="T65">
        <v>4</v>
      </c>
      <c r="U65">
        <v>2</v>
      </c>
      <c r="V65" t="s">
        <v>25</v>
      </c>
    </row>
    <row r="66" spans="1:22" x14ac:dyDescent="0.25">
      <c r="A66" t="s">
        <v>46</v>
      </c>
      <c r="B66">
        <v>2</v>
      </c>
      <c r="C66" t="s">
        <v>47</v>
      </c>
      <c r="D66" t="s">
        <v>48</v>
      </c>
      <c r="E66" t="s">
        <v>49</v>
      </c>
      <c r="F66">
        <v>130</v>
      </c>
      <c r="G66">
        <v>1000</v>
      </c>
      <c r="H66">
        <v>-3</v>
      </c>
      <c r="I66">
        <v>1980</v>
      </c>
      <c r="J66" t="s">
        <v>32</v>
      </c>
      <c r="K66">
        <v>1596</v>
      </c>
      <c r="L66">
        <v>20.399999999999999</v>
      </c>
      <c r="M66">
        <v>10.199999999999999</v>
      </c>
      <c r="N66" s="4">
        <f t="shared" si="0"/>
        <v>3.2668559999999999E-2</v>
      </c>
      <c r="O66" s="4">
        <f t="shared" si="1"/>
        <v>0.33321931199999999</v>
      </c>
      <c r="P66">
        <v>60</v>
      </c>
      <c r="Q66">
        <v>4</v>
      </c>
      <c r="R66">
        <v>4</v>
      </c>
      <c r="S66">
        <v>3</v>
      </c>
      <c r="T66">
        <v>3</v>
      </c>
      <c r="U66">
        <v>2.5</v>
      </c>
      <c r="V66" t="s">
        <v>25</v>
      </c>
    </row>
    <row r="67" spans="1:22" x14ac:dyDescent="0.25">
      <c r="A67" t="s">
        <v>46</v>
      </c>
      <c r="B67">
        <v>2</v>
      </c>
      <c r="C67" t="s">
        <v>47</v>
      </c>
      <c r="D67" t="s">
        <v>48</v>
      </c>
      <c r="E67" t="s">
        <v>49</v>
      </c>
      <c r="F67">
        <v>130</v>
      </c>
      <c r="G67">
        <v>1000</v>
      </c>
      <c r="H67">
        <v>-3</v>
      </c>
      <c r="I67">
        <v>1980</v>
      </c>
      <c r="J67" t="s">
        <v>33</v>
      </c>
      <c r="K67">
        <v>2088</v>
      </c>
      <c r="L67">
        <v>19.100000000000001</v>
      </c>
      <c r="M67">
        <v>9.6999999999999993</v>
      </c>
      <c r="N67" s="4">
        <f t="shared" ref="N67:N130" si="2">3.14/4*((L67/100)^2)</f>
        <v>2.8637585E-2</v>
      </c>
      <c r="O67" s="4">
        <f t="shared" ref="O67:O130" si="3">3.14/4*((L67/100)^2)*M67</f>
        <v>0.27778457449999999</v>
      </c>
      <c r="P67">
        <v>60</v>
      </c>
      <c r="Q67">
        <v>3.7</v>
      </c>
      <c r="R67">
        <v>3</v>
      </c>
      <c r="S67">
        <v>2</v>
      </c>
      <c r="T67">
        <v>2</v>
      </c>
      <c r="U67">
        <v>1.5</v>
      </c>
      <c r="V67" t="s">
        <v>25</v>
      </c>
    </row>
    <row r="68" spans="1:22" x14ac:dyDescent="0.25">
      <c r="A68" t="s">
        <v>46</v>
      </c>
      <c r="B68">
        <v>2</v>
      </c>
      <c r="C68" t="s">
        <v>47</v>
      </c>
      <c r="D68" t="s">
        <v>48</v>
      </c>
      <c r="E68" t="s">
        <v>49</v>
      </c>
      <c r="F68">
        <v>130</v>
      </c>
      <c r="G68">
        <v>1000</v>
      </c>
      <c r="H68">
        <v>-3</v>
      </c>
      <c r="I68">
        <v>1980</v>
      </c>
      <c r="J68" t="s">
        <v>34</v>
      </c>
      <c r="K68">
        <v>1522</v>
      </c>
      <c r="L68">
        <v>15.5</v>
      </c>
      <c r="M68">
        <v>9.8000000000000007</v>
      </c>
      <c r="N68" s="4">
        <f t="shared" si="2"/>
        <v>1.8859625000000001E-2</v>
      </c>
      <c r="O68" s="4">
        <f t="shared" si="3"/>
        <v>0.18482432500000004</v>
      </c>
      <c r="P68">
        <v>40</v>
      </c>
      <c r="Q68">
        <v>4</v>
      </c>
      <c r="R68">
        <v>3.5</v>
      </c>
      <c r="S68">
        <v>3.5</v>
      </c>
      <c r="T68">
        <v>3.5</v>
      </c>
      <c r="U68">
        <v>3</v>
      </c>
      <c r="V68" t="s">
        <v>25</v>
      </c>
    </row>
    <row r="69" spans="1:22" x14ac:dyDescent="0.25">
      <c r="A69" t="s">
        <v>46</v>
      </c>
      <c r="B69">
        <v>2</v>
      </c>
      <c r="C69" t="s">
        <v>47</v>
      </c>
      <c r="D69" t="s">
        <v>48</v>
      </c>
      <c r="E69" t="s">
        <v>49</v>
      </c>
      <c r="F69">
        <v>130</v>
      </c>
      <c r="G69">
        <v>1000</v>
      </c>
      <c r="H69">
        <v>-3</v>
      </c>
      <c r="I69">
        <v>1980</v>
      </c>
      <c r="J69" t="s">
        <v>35</v>
      </c>
      <c r="K69">
        <v>1521</v>
      </c>
      <c r="L69">
        <v>13.5</v>
      </c>
      <c r="M69">
        <v>7.7</v>
      </c>
      <c r="N69" s="4">
        <f t="shared" si="2"/>
        <v>1.4306625000000002E-2</v>
      </c>
      <c r="O69" s="4">
        <f t="shared" si="3"/>
        <v>0.11016101250000002</v>
      </c>
      <c r="P69">
        <v>30</v>
      </c>
      <c r="Q69">
        <v>3</v>
      </c>
      <c r="R69">
        <v>2</v>
      </c>
      <c r="S69">
        <v>3.3</v>
      </c>
      <c r="T69">
        <v>4</v>
      </c>
      <c r="U69">
        <v>3.5</v>
      </c>
      <c r="V69" t="s">
        <v>25</v>
      </c>
    </row>
    <row r="70" spans="1:22" x14ac:dyDescent="0.25">
      <c r="A70" t="s">
        <v>46</v>
      </c>
      <c r="B70">
        <v>2</v>
      </c>
      <c r="C70" t="s">
        <v>47</v>
      </c>
      <c r="D70" t="s">
        <v>48</v>
      </c>
      <c r="E70" t="s">
        <v>49</v>
      </c>
      <c r="F70">
        <v>130</v>
      </c>
      <c r="G70">
        <v>1000</v>
      </c>
      <c r="H70">
        <v>-3</v>
      </c>
      <c r="I70">
        <v>1980</v>
      </c>
      <c r="J70" t="s">
        <v>36</v>
      </c>
      <c r="K70">
        <v>1523</v>
      </c>
      <c r="L70">
        <v>20.8</v>
      </c>
      <c r="M70">
        <v>12</v>
      </c>
      <c r="N70" s="4">
        <f t="shared" si="2"/>
        <v>3.3962240000000012E-2</v>
      </c>
      <c r="O70" s="4">
        <f t="shared" si="3"/>
        <v>0.40754688000000017</v>
      </c>
      <c r="P70">
        <v>20</v>
      </c>
      <c r="Q70">
        <v>3</v>
      </c>
      <c r="R70">
        <v>4</v>
      </c>
      <c r="S70">
        <v>3</v>
      </c>
      <c r="T70">
        <v>3.5</v>
      </c>
      <c r="U70">
        <v>3</v>
      </c>
      <c r="V70" t="s">
        <v>38</v>
      </c>
    </row>
    <row r="71" spans="1:22" x14ac:dyDescent="0.25">
      <c r="A71" t="s">
        <v>46</v>
      </c>
      <c r="B71">
        <v>2</v>
      </c>
      <c r="C71" t="s">
        <v>47</v>
      </c>
      <c r="D71" t="s">
        <v>48</v>
      </c>
      <c r="E71" t="s">
        <v>49</v>
      </c>
      <c r="F71">
        <v>130</v>
      </c>
      <c r="G71">
        <v>1000</v>
      </c>
      <c r="H71">
        <v>-3</v>
      </c>
      <c r="I71">
        <v>1980</v>
      </c>
      <c r="J71" t="s">
        <v>37</v>
      </c>
      <c r="K71">
        <v>1524</v>
      </c>
      <c r="L71">
        <v>11.5</v>
      </c>
      <c r="M71">
        <v>5.8</v>
      </c>
      <c r="N71" s="4">
        <f t="shared" si="2"/>
        <v>1.0381625E-2</v>
      </c>
      <c r="O71" s="4">
        <f t="shared" si="3"/>
        <v>6.0213425000000001E-2</v>
      </c>
      <c r="P71">
        <v>40</v>
      </c>
      <c r="Q71">
        <v>1.5</v>
      </c>
      <c r="R71">
        <v>2</v>
      </c>
      <c r="S71">
        <v>2.5</v>
      </c>
      <c r="T71">
        <v>3.5</v>
      </c>
      <c r="U71">
        <v>2.5</v>
      </c>
      <c r="V71" t="s">
        <v>50</v>
      </c>
    </row>
    <row r="72" spans="1:22" x14ac:dyDescent="0.25">
      <c r="A72" t="s">
        <v>46</v>
      </c>
      <c r="B72">
        <v>3</v>
      </c>
      <c r="C72" t="s">
        <v>47</v>
      </c>
      <c r="D72" t="s">
        <v>48</v>
      </c>
      <c r="E72" t="s">
        <v>49</v>
      </c>
      <c r="F72">
        <v>130</v>
      </c>
      <c r="G72">
        <v>1000</v>
      </c>
      <c r="H72">
        <v>-3</v>
      </c>
      <c r="I72">
        <v>1980</v>
      </c>
      <c r="J72" t="s">
        <v>26</v>
      </c>
      <c r="K72">
        <v>1487</v>
      </c>
      <c r="L72">
        <v>37.6</v>
      </c>
      <c r="M72">
        <v>13</v>
      </c>
      <c r="N72" s="4">
        <f t="shared" si="2"/>
        <v>0.11098016000000001</v>
      </c>
      <c r="O72" s="4">
        <f t="shared" si="3"/>
        <v>1.4427420800000001</v>
      </c>
      <c r="P72">
        <v>10</v>
      </c>
      <c r="Q72">
        <v>5</v>
      </c>
      <c r="R72">
        <v>4</v>
      </c>
      <c r="S72">
        <v>2</v>
      </c>
      <c r="T72">
        <v>2</v>
      </c>
      <c r="U72">
        <v>1</v>
      </c>
      <c r="V72" t="s">
        <v>25</v>
      </c>
    </row>
    <row r="73" spans="1:22" x14ac:dyDescent="0.25">
      <c r="A73" t="s">
        <v>46</v>
      </c>
      <c r="B73">
        <v>3</v>
      </c>
      <c r="C73" t="s">
        <v>47</v>
      </c>
      <c r="D73" t="s">
        <v>48</v>
      </c>
      <c r="E73" t="s">
        <v>49</v>
      </c>
      <c r="F73">
        <v>130</v>
      </c>
      <c r="G73">
        <v>1000</v>
      </c>
      <c r="H73">
        <v>-3</v>
      </c>
      <c r="I73">
        <v>1980</v>
      </c>
      <c r="J73" t="s">
        <v>32</v>
      </c>
      <c r="K73">
        <v>1596</v>
      </c>
      <c r="L73">
        <v>24.5</v>
      </c>
      <c r="M73">
        <v>12</v>
      </c>
      <c r="N73" s="4">
        <f t="shared" si="2"/>
        <v>4.7119624999999998E-2</v>
      </c>
      <c r="O73" s="4">
        <f t="shared" si="3"/>
        <v>0.56543549999999998</v>
      </c>
      <c r="P73">
        <v>20</v>
      </c>
      <c r="Q73">
        <v>4</v>
      </c>
      <c r="R73">
        <v>4</v>
      </c>
      <c r="S73">
        <v>4</v>
      </c>
      <c r="T73">
        <v>4</v>
      </c>
      <c r="U73">
        <v>2</v>
      </c>
      <c r="V73" t="s">
        <v>25</v>
      </c>
    </row>
    <row r="74" spans="1:22" x14ac:dyDescent="0.25">
      <c r="A74" t="s">
        <v>46</v>
      </c>
      <c r="B74">
        <v>3</v>
      </c>
      <c r="C74" t="s">
        <v>47</v>
      </c>
      <c r="D74" t="s">
        <v>48</v>
      </c>
      <c r="E74" t="s">
        <v>49</v>
      </c>
      <c r="F74">
        <v>130</v>
      </c>
      <c r="G74">
        <v>1000</v>
      </c>
      <c r="H74">
        <v>-3</v>
      </c>
      <c r="I74">
        <v>1980</v>
      </c>
      <c r="J74" t="s">
        <v>33</v>
      </c>
      <c r="K74">
        <v>2088</v>
      </c>
      <c r="L74">
        <v>17.600000000000001</v>
      </c>
      <c r="M74">
        <v>9</v>
      </c>
      <c r="N74" s="4">
        <f t="shared" si="2"/>
        <v>2.4316160000000007E-2</v>
      </c>
      <c r="O74" s="4">
        <f t="shared" si="3"/>
        <v>0.21884544000000006</v>
      </c>
      <c r="P74">
        <v>90</v>
      </c>
      <c r="Q74">
        <v>4.5</v>
      </c>
      <c r="R74">
        <v>2.5</v>
      </c>
      <c r="S74">
        <v>3</v>
      </c>
      <c r="T74">
        <v>2</v>
      </c>
      <c r="U74">
        <v>1.5</v>
      </c>
      <c r="V74" t="s">
        <v>25</v>
      </c>
    </row>
    <row r="75" spans="1:22" x14ac:dyDescent="0.25">
      <c r="A75" t="s">
        <v>46</v>
      </c>
      <c r="B75">
        <v>3</v>
      </c>
      <c r="C75" t="s">
        <v>47</v>
      </c>
      <c r="D75" t="s">
        <v>48</v>
      </c>
      <c r="E75" t="s">
        <v>49</v>
      </c>
      <c r="F75">
        <v>130</v>
      </c>
      <c r="G75">
        <v>1000</v>
      </c>
      <c r="H75">
        <v>-3</v>
      </c>
      <c r="I75">
        <v>1980</v>
      </c>
      <c r="J75" t="s">
        <v>35</v>
      </c>
      <c r="K75">
        <v>1521</v>
      </c>
      <c r="L75">
        <v>16.2</v>
      </c>
      <c r="M75">
        <v>10.199999999999999</v>
      </c>
      <c r="N75" s="4">
        <f t="shared" si="2"/>
        <v>2.0601540000000002E-2</v>
      </c>
      <c r="O75" s="4">
        <f t="shared" si="3"/>
        <v>0.210135708</v>
      </c>
      <c r="P75">
        <v>60</v>
      </c>
      <c r="Q75">
        <v>4</v>
      </c>
      <c r="R75">
        <v>2.2999999999999998</v>
      </c>
      <c r="S75">
        <v>3</v>
      </c>
      <c r="T75">
        <v>3.3</v>
      </c>
      <c r="U75">
        <v>3</v>
      </c>
      <c r="V75" t="s">
        <v>27</v>
      </c>
    </row>
    <row r="76" spans="1:22" x14ac:dyDescent="0.25">
      <c r="A76" t="s">
        <v>46</v>
      </c>
      <c r="B76">
        <v>3</v>
      </c>
      <c r="C76" t="s">
        <v>47</v>
      </c>
      <c r="D76" t="s">
        <v>48</v>
      </c>
      <c r="E76" t="s">
        <v>49</v>
      </c>
      <c r="F76">
        <v>130</v>
      </c>
      <c r="G76">
        <v>1000</v>
      </c>
      <c r="H76">
        <v>-3</v>
      </c>
      <c r="I76">
        <v>1980</v>
      </c>
      <c r="J76" t="s">
        <v>36</v>
      </c>
      <c r="K76">
        <v>1523</v>
      </c>
      <c r="L76">
        <v>11.5</v>
      </c>
      <c r="M76">
        <v>9</v>
      </c>
      <c r="N76" s="4">
        <f t="shared" si="2"/>
        <v>1.0381625E-2</v>
      </c>
      <c r="O76" s="4">
        <f t="shared" si="3"/>
        <v>9.3434625000000007E-2</v>
      </c>
      <c r="P76">
        <v>20</v>
      </c>
      <c r="Q76">
        <v>2.7</v>
      </c>
      <c r="R76">
        <v>3.7</v>
      </c>
      <c r="S76">
        <v>4</v>
      </c>
      <c r="T76">
        <v>4</v>
      </c>
      <c r="U76">
        <v>3</v>
      </c>
      <c r="V76" t="s">
        <v>25</v>
      </c>
    </row>
    <row r="77" spans="1:22" x14ac:dyDescent="0.25">
      <c r="A77" t="s">
        <v>46</v>
      </c>
      <c r="B77">
        <v>3</v>
      </c>
      <c r="C77" t="s">
        <v>47</v>
      </c>
      <c r="D77" t="s">
        <v>48</v>
      </c>
      <c r="E77" t="s">
        <v>49</v>
      </c>
      <c r="F77">
        <v>130</v>
      </c>
      <c r="G77">
        <v>1000</v>
      </c>
      <c r="H77">
        <v>-3</v>
      </c>
      <c r="I77">
        <v>1980</v>
      </c>
      <c r="J77" t="s">
        <v>37</v>
      </c>
      <c r="K77">
        <v>1524</v>
      </c>
      <c r="L77">
        <v>7.6</v>
      </c>
      <c r="M77">
        <v>5.5</v>
      </c>
      <c r="N77" s="4">
        <f t="shared" si="2"/>
        <v>4.5341599999999998E-3</v>
      </c>
      <c r="O77" s="4">
        <f t="shared" si="3"/>
        <v>2.4937879999999999E-2</v>
      </c>
      <c r="P77">
        <v>20</v>
      </c>
      <c r="Q77">
        <v>1</v>
      </c>
      <c r="R77">
        <v>2</v>
      </c>
      <c r="S77">
        <v>2</v>
      </c>
      <c r="T77">
        <v>3</v>
      </c>
      <c r="U77">
        <v>3</v>
      </c>
      <c r="V77" t="s">
        <v>50</v>
      </c>
    </row>
    <row r="78" spans="1:22" x14ac:dyDescent="0.25">
      <c r="A78" t="s">
        <v>51</v>
      </c>
      <c r="B78">
        <v>1</v>
      </c>
      <c r="C78" t="s">
        <v>52</v>
      </c>
      <c r="D78" t="s">
        <v>53</v>
      </c>
      <c r="E78" t="s">
        <v>54</v>
      </c>
      <c r="F78">
        <v>70</v>
      </c>
      <c r="G78">
        <v>1000</v>
      </c>
      <c r="H78">
        <v>-2</v>
      </c>
      <c r="I78">
        <v>1981</v>
      </c>
      <c r="J78" t="s">
        <v>55</v>
      </c>
      <c r="K78">
        <v>1094</v>
      </c>
      <c r="L78">
        <v>3.4</v>
      </c>
      <c r="M78">
        <v>5.5</v>
      </c>
      <c r="N78" s="4">
        <f t="shared" si="2"/>
        <v>9.0746000000000012E-4</v>
      </c>
      <c r="O78" s="4">
        <f t="shared" si="3"/>
        <v>4.9910300000000005E-3</v>
      </c>
      <c r="P78">
        <v>50</v>
      </c>
      <c r="Q78">
        <v>1</v>
      </c>
      <c r="R78">
        <v>1</v>
      </c>
      <c r="S78">
        <v>3</v>
      </c>
      <c r="T78">
        <v>3</v>
      </c>
      <c r="U78">
        <v>3</v>
      </c>
      <c r="V78" t="s">
        <v>50</v>
      </c>
    </row>
    <row r="79" spans="1:22" x14ac:dyDescent="0.25">
      <c r="A79" t="s">
        <v>51</v>
      </c>
      <c r="B79">
        <v>1</v>
      </c>
      <c r="C79" t="s">
        <v>52</v>
      </c>
      <c r="D79" t="s">
        <v>53</v>
      </c>
      <c r="E79" t="s">
        <v>54</v>
      </c>
      <c r="F79">
        <v>70</v>
      </c>
      <c r="G79">
        <v>1000</v>
      </c>
      <c r="H79">
        <v>-2</v>
      </c>
      <c r="I79">
        <v>1981</v>
      </c>
      <c r="J79" t="s">
        <v>56</v>
      </c>
      <c r="K79">
        <v>1111</v>
      </c>
      <c r="L79">
        <v>17.600000000000001</v>
      </c>
      <c r="M79">
        <v>12.6</v>
      </c>
      <c r="N79" s="4">
        <f t="shared" si="2"/>
        <v>2.4316160000000007E-2</v>
      </c>
      <c r="O79" s="4">
        <f t="shared" si="3"/>
        <v>0.30638361600000008</v>
      </c>
      <c r="P79">
        <v>71</v>
      </c>
      <c r="Q79">
        <v>3.5</v>
      </c>
      <c r="R79">
        <v>3</v>
      </c>
      <c r="S79">
        <v>3.3</v>
      </c>
      <c r="T79">
        <v>2.5</v>
      </c>
      <c r="U79">
        <v>2</v>
      </c>
      <c r="V79" t="s">
        <v>25</v>
      </c>
    </row>
    <row r="80" spans="1:22" x14ac:dyDescent="0.25">
      <c r="A80" t="s">
        <v>51</v>
      </c>
      <c r="B80">
        <v>1</v>
      </c>
      <c r="C80" t="s">
        <v>52</v>
      </c>
      <c r="D80" t="s">
        <v>53</v>
      </c>
      <c r="E80" t="s">
        <v>54</v>
      </c>
      <c r="F80">
        <v>70</v>
      </c>
      <c r="G80">
        <v>1000</v>
      </c>
      <c r="H80">
        <v>-2</v>
      </c>
      <c r="I80">
        <v>1981</v>
      </c>
      <c r="J80" t="s">
        <v>57</v>
      </c>
      <c r="K80">
        <v>1112</v>
      </c>
      <c r="L80">
        <v>14</v>
      </c>
      <c r="M80">
        <v>10</v>
      </c>
      <c r="N80" s="4">
        <f t="shared" si="2"/>
        <v>1.5386000000000002E-2</v>
      </c>
      <c r="O80" s="4">
        <f t="shared" si="3"/>
        <v>0.15386000000000002</v>
      </c>
      <c r="P80">
        <v>100</v>
      </c>
      <c r="Q80">
        <v>2.5</v>
      </c>
      <c r="R80">
        <v>1.5</v>
      </c>
      <c r="S80">
        <v>3</v>
      </c>
      <c r="T80">
        <v>4</v>
      </c>
      <c r="U80">
        <v>4</v>
      </c>
      <c r="V80" t="s">
        <v>30</v>
      </c>
    </row>
    <row r="81" spans="1:22" x14ac:dyDescent="0.25">
      <c r="A81" t="s">
        <v>51</v>
      </c>
      <c r="B81">
        <v>1</v>
      </c>
      <c r="C81" t="s">
        <v>52</v>
      </c>
      <c r="D81" t="s">
        <v>53</v>
      </c>
      <c r="E81" t="s">
        <v>54</v>
      </c>
      <c r="F81">
        <v>70</v>
      </c>
      <c r="G81">
        <v>1000</v>
      </c>
      <c r="H81">
        <v>-2</v>
      </c>
      <c r="I81">
        <v>1981</v>
      </c>
      <c r="J81" t="s">
        <v>57</v>
      </c>
      <c r="K81">
        <v>1113</v>
      </c>
      <c r="L81">
        <v>8.8000000000000007</v>
      </c>
      <c r="M81">
        <v>11.4</v>
      </c>
      <c r="N81" s="4">
        <f t="shared" si="2"/>
        <v>6.0790400000000017E-3</v>
      </c>
      <c r="O81" s="4">
        <f t="shared" si="3"/>
        <v>6.9301056000000028E-2</v>
      </c>
      <c r="P81">
        <v>100</v>
      </c>
      <c r="Q81">
        <v>2</v>
      </c>
      <c r="R81">
        <v>2</v>
      </c>
      <c r="S81">
        <v>4</v>
      </c>
      <c r="T81">
        <v>4</v>
      </c>
      <c r="U81">
        <v>4</v>
      </c>
      <c r="V81" t="s">
        <v>30</v>
      </c>
    </row>
    <row r="82" spans="1:22" x14ac:dyDescent="0.25">
      <c r="A82" t="s">
        <v>51</v>
      </c>
      <c r="B82">
        <v>1</v>
      </c>
      <c r="C82" t="s">
        <v>52</v>
      </c>
      <c r="D82" t="s">
        <v>53</v>
      </c>
      <c r="E82" t="s">
        <v>54</v>
      </c>
      <c r="F82">
        <v>70</v>
      </c>
      <c r="G82">
        <v>1000</v>
      </c>
      <c r="H82">
        <v>-2</v>
      </c>
      <c r="I82">
        <v>1981</v>
      </c>
      <c r="J82" t="s">
        <v>58</v>
      </c>
      <c r="K82">
        <v>1338</v>
      </c>
      <c r="L82">
        <v>15.8</v>
      </c>
      <c r="M82">
        <v>10</v>
      </c>
      <c r="N82" s="4">
        <f t="shared" si="2"/>
        <v>1.9596740000000001E-2</v>
      </c>
      <c r="O82" s="4">
        <f t="shared" si="3"/>
        <v>0.19596740000000001</v>
      </c>
      <c r="P82">
        <v>38</v>
      </c>
      <c r="Q82">
        <v>3.5</v>
      </c>
      <c r="R82">
        <v>3.5</v>
      </c>
      <c r="S82">
        <v>3.3</v>
      </c>
      <c r="T82">
        <v>3.5</v>
      </c>
      <c r="U82">
        <v>3</v>
      </c>
      <c r="V82" t="s">
        <v>38</v>
      </c>
    </row>
    <row r="83" spans="1:22" x14ac:dyDescent="0.25">
      <c r="A83" t="s">
        <v>51</v>
      </c>
      <c r="B83">
        <v>1</v>
      </c>
      <c r="C83" t="s">
        <v>52</v>
      </c>
      <c r="D83" t="s">
        <v>53</v>
      </c>
      <c r="E83" t="s">
        <v>54</v>
      </c>
      <c r="F83">
        <v>70</v>
      </c>
      <c r="G83">
        <v>1000</v>
      </c>
      <c r="H83">
        <v>-2</v>
      </c>
      <c r="I83">
        <v>1981</v>
      </c>
      <c r="J83" t="s">
        <v>59</v>
      </c>
      <c r="K83">
        <v>1482</v>
      </c>
      <c r="L83">
        <v>15.5</v>
      </c>
      <c r="M83">
        <v>10.5</v>
      </c>
      <c r="N83" s="4">
        <f t="shared" si="2"/>
        <v>1.8859625000000001E-2</v>
      </c>
      <c r="O83" s="4">
        <f t="shared" si="3"/>
        <v>0.19802606250000002</v>
      </c>
      <c r="P83">
        <v>50</v>
      </c>
      <c r="Q83">
        <v>3</v>
      </c>
      <c r="R83">
        <v>3.3</v>
      </c>
      <c r="S83">
        <v>3.3</v>
      </c>
      <c r="T83">
        <v>3</v>
      </c>
      <c r="U83">
        <v>3</v>
      </c>
      <c r="V83" t="s">
        <v>27</v>
      </c>
    </row>
    <row r="84" spans="1:22" x14ac:dyDescent="0.25">
      <c r="A84" t="s">
        <v>51</v>
      </c>
      <c r="B84">
        <v>1</v>
      </c>
      <c r="C84" t="s">
        <v>52</v>
      </c>
      <c r="D84" t="s">
        <v>53</v>
      </c>
      <c r="E84" t="s">
        <v>54</v>
      </c>
      <c r="F84">
        <v>70</v>
      </c>
      <c r="G84">
        <v>1000</v>
      </c>
      <c r="H84">
        <v>-2</v>
      </c>
      <c r="I84">
        <v>1981</v>
      </c>
      <c r="J84" t="s">
        <v>59</v>
      </c>
      <c r="K84">
        <v>1978</v>
      </c>
      <c r="L84">
        <v>14.6</v>
      </c>
      <c r="M84">
        <v>11.1</v>
      </c>
      <c r="N84" s="4">
        <f t="shared" si="2"/>
        <v>1.6733059999999998E-2</v>
      </c>
      <c r="O84" s="4">
        <f t="shared" si="3"/>
        <v>0.18573696599999998</v>
      </c>
      <c r="P84">
        <v>100</v>
      </c>
      <c r="Q84">
        <v>4</v>
      </c>
      <c r="R84">
        <v>3</v>
      </c>
      <c r="S84">
        <v>3.5</v>
      </c>
      <c r="T84">
        <v>3.5</v>
      </c>
      <c r="U84">
        <v>3.3</v>
      </c>
      <c r="V84" t="s">
        <v>25</v>
      </c>
    </row>
    <row r="85" spans="1:22" x14ac:dyDescent="0.25">
      <c r="A85" t="s">
        <v>51</v>
      </c>
      <c r="B85">
        <v>1</v>
      </c>
      <c r="C85" t="s">
        <v>52</v>
      </c>
      <c r="D85" t="s">
        <v>53</v>
      </c>
      <c r="E85" t="s">
        <v>54</v>
      </c>
      <c r="F85">
        <v>70</v>
      </c>
      <c r="G85">
        <v>1000</v>
      </c>
      <c r="H85">
        <v>-2</v>
      </c>
      <c r="I85">
        <v>1981</v>
      </c>
      <c r="J85" t="s">
        <v>26</v>
      </c>
      <c r="K85">
        <v>1339</v>
      </c>
      <c r="L85">
        <v>17.3</v>
      </c>
      <c r="M85">
        <v>13.2</v>
      </c>
      <c r="N85" s="4">
        <f t="shared" si="2"/>
        <v>2.3494265000000004E-2</v>
      </c>
      <c r="O85" s="4">
        <f t="shared" si="3"/>
        <v>0.31012429800000002</v>
      </c>
      <c r="P85">
        <v>71</v>
      </c>
      <c r="Q85">
        <v>3.3</v>
      </c>
      <c r="R85">
        <v>3</v>
      </c>
      <c r="S85">
        <v>3</v>
      </c>
      <c r="T85">
        <v>3</v>
      </c>
      <c r="U85">
        <v>3</v>
      </c>
      <c r="V85" t="s">
        <v>38</v>
      </c>
    </row>
    <row r="86" spans="1:22" x14ac:dyDescent="0.25">
      <c r="A86" t="s">
        <v>51</v>
      </c>
      <c r="B86">
        <v>1</v>
      </c>
      <c r="C86" t="s">
        <v>52</v>
      </c>
      <c r="D86" t="s">
        <v>53</v>
      </c>
      <c r="E86" t="s">
        <v>54</v>
      </c>
      <c r="F86">
        <v>70</v>
      </c>
      <c r="G86">
        <v>1000</v>
      </c>
      <c r="H86">
        <v>-2</v>
      </c>
      <c r="I86">
        <v>1981</v>
      </c>
      <c r="J86" t="s">
        <v>26</v>
      </c>
      <c r="K86">
        <v>1786</v>
      </c>
      <c r="L86">
        <v>13.3</v>
      </c>
      <c r="M86">
        <v>10.8</v>
      </c>
      <c r="N86" s="4">
        <f t="shared" si="2"/>
        <v>1.3885865000000002E-2</v>
      </c>
      <c r="O86" s="4">
        <f t="shared" si="3"/>
        <v>0.14996734200000003</v>
      </c>
      <c r="P86">
        <v>75</v>
      </c>
      <c r="Q86">
        <v>4</v>
      </c>
      <c r="R86">
        <v>3.8</v>
      </c>
      <c r="S86">
        <v>4</v>
      </c>
      <c r="T86">
        <v>4</v>
      </c>
      <c r="U86">
        <v>4</v>
      </c>
      <c r="V86" t="s">
        <v>27</v>
      </c>
    </row>
    <row r="87" spans="1:22" x14ac:dyDescent="0.25">
      <c r="A87" t="s">
        <v>51</v>
      </c>
      <c r="B87">
        <v>1</v>
      </c>
      <c r="C87" t="s">
        <v>52</v>
      </c>
      <c r="D87" t="s">
        <v>53</v>
      </c>
      <c r="E87" t="s">
        <v>54</v>
      </c>
      <c r="F87">
        <v>70</v>
      </c>
      <c r="G87">
        <v>1000</v>
      </c>
      <c r="H87">
        <v>-2</v>
      </c>
      <c r="I87">
        <v>1981</v>
      </c>
      <c r="J87" t="s">
        <v>26</v>
      </c>
      <c r="K87">
        <v>2447</v>
      </c>
      <c r="L87">
        <v>19.8</v>
      </c>
      <c r="M87">
        <v>10.7</v>
      </c>
      <c r="N87" s="4">
        <f t="shared" si="2"/>
        <v>3.0775140000000003E-2</v>
      </c>
      <c r="O87" s="4">
        <f t="shared" si="3"/>
        <v>0.32929399800000003</v>
      </c>
      <c r="P87">
        <v>75</v>
      </c>
      <c r="Q87">
        <v>4.5</v>
      </c>
      <c r="R87">
        <v>3</v>
      </c>
      <c r="S87">
        <v>3</v>
      </c>
      <c r="T87">
        <v>3</v>
      </c>
      <c r="U87">
        <v>2.5</v>
      </c>
      <c r="V87" t="s">
        <v>25</v>
      </c>
    </row>
    <row r="88" spans="1:22" x14ac:dyDescent="0.25">
      <c r="A88" t="s">
        <v>51</v>
      </c>
      <c r="B88">
        <v>1</v>
      </c>
      <c r="C88" t="s">
        <v>52</v>
      </c>
      <c r="D88" t="s">
        <v>53</v>
      </c>
      <c r="E88" t="s">
        <v>54</v>
      </c>
      <c r="F88">
        <v>70</v>
      </c>
      <c r="G88">
        <v>1000</v>
      </c>
      <c r="H88">
        <v>-2</v>
      </c>
      <c r="I88">
        <v>1981</v>
      </c>
      <c r="J88" t="s">
        <v>60</v>
      </c>
      <c r="K88">
        <v>1595</v>
      </c>
      <c r="L88">
        <v>5.2</v>
      </c>
      <c r="M88">
        <v>4.3</v>
      </c>
      <c r="N88" s="4">
        <f t="shared" si="2"/>
        <v>2.1226400000000007E-3</v>
      </c>
      <c r="O88" s="4">
        <f t="shared" si="3"/>
        <v>9.1273520000000035E-3</v>
      </c>
      <c r="P88">
        <v>75</v>
      </c>
      <c r="Q88">
        <v>0.5</v>
      </c>
      <c r="R88">
        <v>0.5</v>
      </c>
      <c r="S88">
        <v>4</v>
      </c>
      <c r="T88">
        <v>4</v>
      </c>
      <c r="U88">
        <v>4</v>
      </c>
      <c r="V88" t="s">
        <v>50</v>
      </c>
    </row>
    <row r="89" spans="1:22" x14ac:dyDescent="0.25">
      <c r="A89" t="s">
        <v>51</v>
      </c>
      <c r="B89">
        <v>1</v>
      </c>
      <c r="C89" t="s">
        <v>52</v>
      </c>
      <c r="D89" t="s">
        <v>53</v>
      </c>
      <c r="E89" t="s">
        <v>54</v>
      </c>
      <c r="F89">
        <v>70</v>
      </c>
      <c r="G89">
        <v>1000</v>
      </c>
      <c r="H89">
        <v>-2</v>
      </c>
      <c r="I89">
        <v>1981</v>
      </c>
      <c r="J89" t="s">
        <v>61</v>
      </c>
      <c r="K89">
        <v>1171</v>
      </c>
      <c r="L89">
        <v>15</v>
      </c>
      <c r="M89">
        <v>11.3</v>
      </c>
      <c r="N89" s="4">
        <f t="shared" si="2"/>
        <v>1.7662500000000001E-2</v>
      </c>
      <c r="O89" s="4">
        <f t="shared" si="3"/>
        <v>0.19958625000000002</v>
      </c>
      <c r="P89">
        <v>88</v>
      </c>
      <c r="Q89">
        <v>2.2999999999999998</v>
      </c>
      <c r="R89">
        <v>1.7</v>
      </c>
      <c r="S89">
        <v>3</v>
      </c>
      <c r="T89">
        <v>3</v>
      </c>
      <c r="U89">
        <v>2</v>
      </c>
      <c r="V89" t="s">
        <v>30</v>
      </c>
    </row>
    <row r="90" spans="1:22" x14ac:dyDescent="0.25">
      <c r="A90" t="s">
        <v>51</v>
      </c>
      <c r="B90">
        <v>1</v>
      </c>
      <c r="C90" t="s">
        <v>52</v>
      </c>
      <c r="D90" t="s">
        <v>53</v>
      </c>
      <c r="E90" t="s">
        <v>54</v>
      </c>
      <c r="F90">
        <v>70</v>
      </c>
      <c r="G90">
        <v>1000</v>
      </c>
      <c r="H90">
        <v>-2</v>
      </c>
      <c r="I90">
        <v>1981</v>
      </c>
      <c r="J90" t="s">
        <v>32</v>
      </c>
      <c r="K90">
        <v>1596</v>
      </c>
      <c r="L90">
        <v>15.3</v>
      </c>
      <c r="M90">
        <v>10.8</v>
      </c>
      <c r="N90" s="4">
        <f t="shared" si="2"/>
        <v>1.8376065E-2</v>
      </c>
      <c r="O90" s="4">
        <f t="shared" si="3"/>
        <v>0.19846150200000001</v>
      </c>
      <c r="P90">
        <v>75</v>
      </c>
      <c r="Q90">
        <v>3</v>
      </c>
      <c r="R90">
        <v>3</v>
      </c>
      <c r="S90">
        <v>3</v>
      </c>
      <c r="T90">
        <v>4</v>
      </c>
      <c r="U90">
        <v>3.5</v>
      </c>
      <c r="V90" t="s">
        <v>27</v>
      </c>
    </row>
    <row r="91" spans="1:22" x14ac:dyDescent="0.25">
      <c r="A91" t="s">
        <v>51</v>
      </c>
      <c r="B91">
        <v>1</v>
      </c>
      <c r="C91" t="s">
        <v>52</v>
      </c>
      <c r="D91" t="s">
        <v>53</v>
      </c>
      <c r="E91" t="s">
        <v>54</v>
      </c>
      <c r="F91">
        <v>70</v>
      </c>
      <c r="G91">
        <v>1000</v>
      </c>
      <c r="H91">
        <v>-2</v>
      </c>
      <c r="I91">
        <v>1981</v>
      </c>
      <c r="J91" t="s">
        <v>34</v>
      </c>
      <c r="K91">
        <v>2459</v>
      </c>
      <c r="L91">
        <v>19</v>
      </c>
      <c r="M91">
        <v>16</v>
      </c>
      <c r="N91" s="4">
        <f t="shared" si="2"/>
        <v>2.8338500000000003E-2</v>
      </c>
      <c r="O91" s="4">
        <f t="shared" si="3"/>
        <v>0.45341600000000004</v>
      </c>
      <c r="P91">
        <v>88</v>
      </c>
      <c r="Q91">
        <v>4.3</v>
      </c>
      <c r="R91">
        <v>3</v>
      </c>
      <c r="S91">
        <v>4.8</v>
      </c>
      <c r="T91">
        <v>4</v>
      </c>
      <c r="U91">
        <v>4</v>
      </c>
      <c r="V91" t="s">
        <v>27</v>
      </c>
    </row>
    <row r="92" spans="1:22" x14ac:dyDescent="0.25">
      <c r="A92" t="s">
        <v>51</v>
      </c>
      <c r="B92">
        <v>1</v>
      </c>
      <c r="C92" t="s">
        <v>52</v>
      </c>
      <c r="D92" t="s">
        <v>53</v>
      </c>
      <c r="E92" t="s">
        <v>54</v>
      </c>
      <c r="F92">
        <v>70</v>
      </c>
      <c r="G92">
        <v>1000</v>
      </c>
      <c r="H92">
        <v>-2</v>
      </c>
      <c r="I92">
        <v>1981</v>
      </c>
      <c r="J92" t="s">
        <v>35</v>
      </c>
      <c r="K92">
        <v>1785</v>
      </c>
      <c r="L92">
        <v>7.2</v>
      </c>
      <c r="M92">
        <v>6</v>
      </c>
      <c r="N92" s="4">
        <f t="shared" si="2"/>
        <v>4.0694400000000014E-3</v>
      </c>
      <c r="O92" s="4">
        <f t="shared" si="3"/>
        <v>2.441664000000001E-2</v>
      </c>
      <c r="P92">
        <v>50</v>
      </c>
      <c r="Q92">
        <v>1.3</v>
      </c>
      <c r="R92">
        <v>1.3</v>
      </c>
      <c r="S92">
        <v>4</v>
      </c>
      <c r="T92">
        <v>4</v>
      </c>
      <c r="U92">
        <v>4</v>
      </c>
      <c r="V92" t="s">
        <v>50</v>
      </c>
    </row>
    <row r="93" spans="1:22" x14ac:dyDescent="0.25">
      <c r="A93" t="s">
        <v>51</v>
      </c>
      <c r="B93">
        <v>1</v>
      </c>
      <c r="C93" t="s">
        <v>52</v>
      </c>
      <c r="D93" t="s">
        <v>53</v>
      </c>
      <c r="E93" t="s">
        <v>54</v>
      </c>
      <c r="F93">
        <v>70</v>
      </c>
      <c r="G93">
        <v>1000</v>
      </c>
      <c r="H93">
        <v>-2</v>
      </c>
      <c r="I93">
        <v>1981</v>
      </c>
      <c r="J93" t="s">
        <v>36</v>
      </c>
      <c r="K93">
        <v>1598</v>
      </c>
      <c r="L93">
        <v>15.9</v>
      </c>
      <c r="M93">
        <v>12.8</v>
      </c>
      <c r="N93" s="4">
        <f t="shared" si="2"/>
        <v>1.9845585000000002E-2</v>
      </c>
      <c r="O93" s="4">
        <f t="shared" si="3"/>
        <v>0.25402348800000002</v>
      </c>
      <c r="P93">
        <v>100</v>
      </c>
      <c r="Q93">
        <v>4</v>
      </c>
      <c r="R93">
        <v>4</v>
      </c>
      <c r="S93">
        <v>3.3</v>
      </c>
      <c r="T93">
        <v>4</v>
      </c>
      <c r="U93">
        <v>3</v>
      </c>
      <c r="V93" t="s">
        <v>27</v>
      </c>
    </row>
    <row r="94" spans="1:22" x14ac:dyDescent="0.25">
      <c r="A94" t="s">
        <v>51</v>
      </c>
      <c r="B94">
        <v>1</v>
      </c>
      <c r="C94" t="s">
        <v>52</v>
      </c>
      <c r="D94" t="s">
        <v>53</v>
      </c>
      <c r="E94" t="s">
        <v>54</v>
      </c>
      <c r="F94">
        <v>70</v>
      </c>
      <c r="G94">
        <v>1000</v>
      </c>
      <c r="H94">
        <v>-2</v>
      </c>
      <c r="I94">
        <v>1981</v>
      </c>
      <c r="J94" t="s">
        <v>62</v>
      </c>
      <c r="K94">
        <v>1787</v>
      </c>
      <c r="L94">
        <v>18.100000000000001</v>
      </c>
      <c r="M94">
        <v>14.8</v>
      </c>
      <c r="N94" s="4">
        <f t="shared" si="2"/>
        <v>2.5717385000000006E-2</v>
      </c>
      <c r="O94" s="4">
        <f t="shared" si="3"/>
        <v>0.3806172980000001</v>
      </c>
      <c r="P94">
        <v>100</v>
      </c>
      <c r="Q94">
        <v>4.5999999999999996</v>
      </c>
      <c r="R94">
        <v>4</v>
      </c>
      <c r="S94">
        <v>4.3</v>
      </c>
      <c r="T94">
        <v>4.3</v>
      </c>
      <c r="U94">
        <v>4</v>
      </c>
      <c r="V94" t="s">
        <v>27</v>
      </c>
    </row>
    <row r="95" spans="1:22" x14ac:dyDescent="0.25">
      <c r="A95" t="s">
        <v>51</v>
      </c>
      <c r="B95">
        <v>1</v>
      </c>
      <c r="C95" t="s">
        <v>52</v>
      </c>
      <c r="D95" t="s">
        <v>53</v>
      </c>
      <c r="E95" t="s">
        <v>54</v>
      </c>
      <c r="F95">
        <v>70</v>
      </c>
      <c r="G95">
        <v>1000</v>
      </c>
      <c r="H95">
        <v>-2</v>
      </c>
      <c r="I95">
        <v>1981</v>
      </c>
      <c r="J95" t="s">
        <v>62</v>
      </c>
      <c r="K95">
        <v>2482</v>
      </c>
      <c r="L95">
        <v>17</v>
      </c>
      <c r="M95">
        <v>14.1</v>
      </c>
      <c r="N95" s="4">
        <f t="shared" si="2"/>
        <v>2.2686500000000005E-2</v>
      </c>
      <c r="O95" s="4">
        <f t="shared" si="3"/>
        <v>0.31987965000000007</v>
      </c>
      <c r="P95">
        <v>88</v>
      </c>
      <c r="Q95">
        <v>4.5</v>
      </c>
      <c r="R95">
        <v>3</v>
      </c>
      <c r="S95">
        <v>3.7</v>
      </c>
      <c r="T95">
        <v>3.7</v>
      </c>
      <c r="U95">
        <v>3.7</v>
      </c>
      <c r="V95" t="s">
        <v>27</v>
      </c>
    </row>
    <row r="96" spans="1:22" x14ac:dyDescent="0.25">
      <c r="A96" t="s">
        <v>51</v>
      </c>
      <c r="B96">
        <v>1</v>
      </c>
      <c r="C96" t="s">
        <v>52</v>
      </c>
      <c r="D96" t="s">
        <v>53</v>
      </c>
      <c r="E96" t="s">
        <v>54</v>
      </c>
      <c r="F96">
        <v>70</v>
      </c>
      <c r="G96">
        <v>1000</v>
      </c>
      <c r="H96">
        <v>-2</v>
      </c>
      <c r="I96">
        <v>1981</v>
      </c>
      <c r="J96" t="s">
        <v>62</v>
      </c>
      <c r="K96">
        <v>2431</v>
      </c>
      <c r="L96">
        <v>26.1</v>
      </c>
      <c r="M96">
        <v>16</v>
      </c>
      <c r="N96" s="4">
        <f t="shared" si="2"/>
        <v>5.3474985000000003E-2</v>
      </c>
      <c r="O96" s="4">
        <f t="shared" si="3"/>
        <v>0.85559976000000004</v>
      </c>
      <c r="P96">
        <v>38</v>
      </c>
      <c r="Q96">
        <v>5</v>
      </c>
      <c r="R96">
        <v>3</v>
      </c>
      <c r="S96">
        <v>4</v>
      </c>
      <c r="T96">
        <v>4</v>
      </c>
      <c r="U96">
        <v>2.7</v>
      </c>
      <c r="V96" t="s">
        <v>27</v>
      </c>
    </row>
    <row r="97" spans="1:22" x14ac:dyDescent="0.25">
      <c r="A97" t="s">
        <v>51</v>
      </c>
      <c r="B97">
        <v>1</v>
      </c>
      <c r="C97" t="s">
        <v>52</v>
      </c>
      <c r="D97" t="s">
        <v>53</v>
      </c>
      <c r="E97" t="s">
        <v>54</v>
      </c>
      <c r="F97">
        <v>70</v>
      </c>
      <c r="G97">
        <v>1000</v>
      </c>
      <c r="H97">
        <v>-2</v>
      </c>
      <c r="I97">
        <v>1981</v>
      </c>
      <c r="J97" t="s">
        <v>37</v>
      </c>
      <c r="K97">
        <v>1524</v>
      </c>
      <c r="L97">
        <v>12.2</v>
      </c>
      <c r="M97">
        <v>13.8</v>
      </c>
      <c r="N97" s="4">
        <f t="shared" si="2"/>
        <v>1.168394E-2</v>
      </c>
      <c r="O97" s="4">
        <f t="shared" si="3"/>
        <v>0.16123837200000002</v>
      </c>
      <c r="P97">
        <v>50</v>
      </c>
      <c r="Q97">
        <v>2</v>
      </c>
      <c r="R97">
        <v>1.5</v>
      </c>
      <c r="S97">
        <v>3</v>
      </c>
      <c r="T97">
        <v>3</v>
      </c>
      <c r="U97">
        <v>3</v>
      </c>
      <c r="V97" t="s">
        <v>30</v>
      </c>
    </row>
    <row r="98" spans="1:22" x14ac:dyDescent="0.25">
      <c r="A98" t="s">
        <v>51</v>
      </c>
      <c r="B98">
        <v>1</v>
      </c>
      <c r="C98" t="s">
        <v>52</v>
      </c>
      <c r="D98" t="s">
        <v>53</v>
      </c>
      <c r="E98" t="s">
        <v>54</v>
      </c>
      <c r="F98">
        <v>70</v>
      </c>
      <c r="G98">
        <v>1000</v>
      </c>
      <c r="H98">
        <v>-2</v>
      </c>
      <c r="I98">
        <v>1981</v>
      </c>
      <c r="J98" t="s">
        <v>63</v>
      </c>
      <c r="K98">
        <v>1340</v>
      </c>
      <c r="L98">
        <v>9.3000000000000007</v>
      </c>
      <c r="M98">
        <v>4.3</v>
      </c>
      <c r="N98" s="4">
        <f t="shared" si="2"/>
        <v>6.7894650000000023E-3</v>
      </c>
      <c r="O98" s="4">
        <f t="shared" si="3"/>
        <v>2.9194699500000008E-2</v>
      </c>
      <c r="P98">
        <v>63</v>
      </c>
      <c r="Q98">
        <v>1</v>
      </c>
      <c r="R98">
        <v>1.2</v>
      </c>
      <c r="S98">
        <v>1</v>
      </c>
      <c r="T98">
        <v>1</v>
      </c>
      <c r="U98">
        <v>1</v>
      </c>
      <c r="V98" t="s">
        <v>50</v>
      </c>
    </row>
    <row r="99" spans="1:22" x14ac:dyDescent="0.25">
      <c r="A99" t="s">
        <v>51</v>
      </c>
      <c r="B99">
        <v>1</v>
      </c>
      <c r="C99" t="s">
        <v>52</v>
      </c>
      <c r="D99" t="s">
        <v>53</v>
      </c>
      <c r="E99" t="s">
        <v>54</v>
      </c>
      <c r="F99">
        <v>70</v>
      </c>
      <c r="G99">
        <v>1000</v>
      </c>
      <c r="H99">
        <v>-2</v>
      </c>
      <c r="I99">
        <v>1981</v>
      </c>
      <c r="J99" t="s">
        <v>62</v>
      </c>
      <c r="K99">
        <v>2428</v>
      </c>
      <c r="L99">
        <v>22.6</v>
      </c>
      <c r="M99">
        <v>13.4</v>
      </c>
      <c r="N99" s="4">
        <f t="shared" si="2"/>
        <v>4.0094660000000004E-2</v>
      </c>
      <c r="O99" s="4">
        <f t="shared" si="3"/>
        <v>0.53726844400000007</v>
      </c>
      <c r="P99">
        <v>100</v>
      </c>
      <c r="Q99">
        <v>5</v>
      </c>
      <c r="R99">
        <v>3</v>
      </c>
      <c r="S99">
        <v>2.2999999999999998</v>
      </c>
      <c r="T99">
        <v>2.7</v>
      </c>
      <c r="U99">
        <v>2</v>
      </c>
      <c r="V99" t="s">
        <v>27</v>
      </c>
    </row>
    <row r="100" spans="1:22" x14ac:dyDescent="0.25">
      <c r="A100" t="s">
        <v>51</v>
      </c>
      <c r="B100">
        <v>2</v>
      </c>
      <c r="C100" t="s">
        <v>52</v>
      </c>
      <c r="D100" t="s">
        <v>53</v>
      </c>
      <c r="E100" t="s">
        <v>54</v>
      </c>
      <c r="F100">
        <v>70</v>
      </c>
      <c r="G100">
        <v>1000</v>
      </c>
      <c r="H100">
        <v>-2</v>
      </c>
      <c r="I100">
        <v>1981</v>
      </c>
      <c r="J100" t="s">
        <v>55</v>
      </c>
      <c r="K100">
        <v>1094</v>
      </c>
      <c r="L100">
        <v>7.8</v>
      </c>
      <c r="M100">
        <v>7.4</v>
      </c>
      <c r="N100" s="4">
        <f t="shared" si="2"/>
        <v>4.7759400000000002E-3</v>
      </c>
      <c r="O100" s="4">
        <f t="shared" si="3"/>
        <v>3.5341956000000001E-2</v>
      </c>
      <c r="P100">
        <v>63</v>
      </c>
      <c r="Q100">
        <v>1</v>
      </c>
      <c r="R100">
        <v>1</v>
      </c>
      <c r="S100">
        <v>3</v>
      </c>
      <c r="T100">
        <v>3</v>
      </c>
      <c r="U100">
        <v>3</v>
      </c>
      <c r="V100" t="s">
        <v>50</v>
      </c>
    </row>
    <row r="101" spans="1:22" x14ac:dyDescent="0.25">
      <c r="A101" t="s">
        <v>51</v>
      </c>
      <c r="B101">
        <v>2</v>
      </c>
      <c r="C101" t="s">
        <v>52</v>
      </c>
      <c r="D101" t="s">
        <v>53</v>
      </c>
      <c r="E101" t="s">
        <v>54</v>
      </c>
      <c r="F101">
        <v>70</v>
      </c>
      <c r="G101">
        <v>1000</v>
      </c>
      <c r="H101">
        <v>-2</v>
      </c>
      <c r="I101">
        <v>1981</v>
      </c>
      <c r="J101" t="s">
        <v>56</v>
      </c>
      <c r="K101">
        <v>1111</v>
      </c>
      <c r="L101">
        <v>16.399999999999999</v>
      </c>
      <c r="M101">
        <v>13.3</v>
      </c>
      <c r="N101" s="4">
        <f t="shared" si="2"/>
        <v>2.1113359999999994E-2</v>
      </c>
      <c r="O101" s="4">
        <f t="shared" si="3"/>
        <v>0.28080768799999994</v>
      </c>
      <c r="P101">
        <v>100</v>
      </c>
      <c r="Q101">
        <v>4.5</v>
      </c>
      <c r="R101">
        <v>3</v>
      </c>
      <c r="S101">
        <v>3.3</v>
      </c>
      <c r="T101">
        <v>3.3</v>
      </c>
      <c r="U101">
        <v>2.7</v>
      </c>
      <c r="V101" t="s">
        <v>25</v>
      </c>
    </row>
    <row r="102" spans="1:22" x14ac:dyDescent="0.25">
      <c r="A102" t="s">
        <v>51</v>
      </c>
      <c r="B102">
        <v>2</v>
      </c>
      <c r="C102" t="s">
        <v>52</v>
      </c>
      <c r="D102" t="s">
        <v>53</v>
      </c>
      <c r="E102" t="s">
        <v>54</v>
      </c>
      <c r="F102">
        <v>70</v>
      </c>
      <c r="G102">
        <v>1000</v>
      </c>
      <c r="H102">
        <v>-2</v>
      </c>
      <c r="I102">
        <v>1981</v>
      </c>
      <c r="J102" t="s">
        <v>57</v>
      </c>
      <c r="K102">
        <v>1112</v>
      </c>
      <c r="L102">
        <v>11.9</v>
      </c>
      <c r="M102">
        <v>9.6999999999999993</v>
      </c>
      <c r="N102" s="4">
        <f t="shared" si="2"/>
        <v>1.1116385000000001E-2</v>
      </c>
      <c r="O102" s="4">
        <f t="shared" si="3"/>
        <v>0.1078289345</v>
      </c>
      <c r="P102">
        <v>100</v>
      </c>
      <c r="Q102">
        <v>2.2999999999999998</v>
      </c>
      <c r="R102">
        <v>1.8</v>
      </c>
      <c r="S102">
        <v>3</v>
      </c>
      <c r="T102">
        <v>3.5</v>
      </c>
      <c r="U102">
        <v>3.2</v>
      </c>
      <c r="V102" t="s">
        <v>30</v>
      </c>
    </row>
    <row r="103" spans="1:22" x14ac:dyDescent="0.25">
      <c r="A103" t="s">
        <v>51</v>
      </c>
      <c r="B103">
        <v>2</v>
      </c>
      <c r="C103" t="s">
        <v>52</v>
      </c>
      <c r="D103" t="s">
        <v>53</v>
      </c>
      <c r="E103" t="s">
        <v>54</v>
      </c>
      <c r="F103">
        <v>70</v>
      </c>
      <c r="G103">
        <v>1000</v>
      </c>
      <c r="H103">
        <v>-2</v>
      </c>
      <c r="I103">
        <v>1981</v>
      </c>
      <c r="J103" t="s">
        <v>57</v>
      </c>
      <c r="K103">
        <v>1113</v>
      </c>
      <c r="L103">
        <v>10.4</v>
      </c>
      <c r="M103">
        <v>9.4</v>
      </c>
      <c r="N103" s="4">
        <f t="shared" si="2"/>
        <v>8.4905600000000029E-3</v>
      </c>
      <c r="O103" s="4">
        <f t="shared" si="3"/>
        <v>7.9811264000000035E-2</v>
      </c>
      <c r="P103">
        <v>88</v>
      </c>
      <c r="Q103">
        <v>2</v>
      </c>
      <c r="R103">
        <v>1.7</v>
      </c>
      <c r="S103">
        <v>4</v>
      </c>
      <c r="T103">
        <v>4</v>
      </c>
      <c r="U103">
        <v>4</v>
      </c>
      <c r="V103" t="s">
        <v>30</v>
      </c>
    </row>
    <row r="104" spans="1:22" x14ac:dyDescent="0.25">
      <c r="A104" t="s">
        <v>51</v>
      </c>
      <c r="B104">
        <v>2</v>
      </c>
      <c r="C104" t="s">
        <v>52</v>
      </c>
      <c r="D104" t="s">
        <v>53</v>
      </c>
      <c r="E104" t="s">
        <v>54</v>
      </c>
      <c r="F104">
        <v>70</v>
      </c>
      <c r="G104">
        <v>1000</v>
      </c>
      <c r="H104">
        <v>-2</v>
      </c>
      <c r="I104">
        <v>1981</v>
      </c>
      <c r="J104" t="s">
        <v>58</v>
      </c>
      <c r="K104">
        <v>1338</v>
      </c>
      <c r="L104">
        <v>13.5</v>
      </c>
      <c r="M104">
        <v>10</v>
      </c>
      <c r="N104" s="4">
        <f t="shared" si="2"/>
        <v>1.4306625000000002E-2</v>
      </c>
      <c r="O104" s="4">
        <f t="shared" si="3"/>
        <v>0.14306625000000001</v>
      </c>
      <c r="P104">
        <v>13</v>
      </c>
      <c r="Q104">
        <v>3</v>
      </c>
      <c r="R104">
        <v>4</v>
      </c>
      <c r="S104">
        <v>3</v>
      </c>
      <c r="T104">
        <v>4</v>
      </c>
      <c r="U104">
        <v>3.3</v>
      </c>
      <c r="V104" t="s">
        <v>30</v>
      </c>
    </row>
    <row r="105" spans="1:22" x14ac:dyDescent="0.25">
      <c r="A105" t="s">
        <v>51</v>
      </c>
      <c r="B105">
        <v>2</v>
      </c>
      <c r="C105" t="s">
        <v>52</v>
      </c>
      <c r="D105" t="s">
        <v>53</v>
      </c>
      <c r="E105" t="s">
        <v>54</v>
      </c>
      <c r="F105">
        <v>70</v>
      </c>
      <c r="G105">
        <v>1000</v>
      </c>
      <c r="H105">
        <v>-2</v>
      </c>
      <c r="I105">
        <v>1981</v>
      </c>
      <c r="J105" t="s">
        <v>59</v>
      </c>
      <c r="K105">
        <v>1482</v>
      </c>
      <c r="L105">
        <v>23</v>
      </c>
      <c r="M105">
        <v>11</v>
      </c>
      <c r="N105" s="4">
        <f t="shared" si="2"/>
        <v>4.1526500000000001E-2</v>
      </c>
      <c r="O105" s="4">
        <f t="shared" si="3"/>
        <v>0.45679150000000002</v>
      </c>
      <c r="P105">
        <v>13</v>
      </c>
      <c r="Q105">
        <v>3</v>
      </c>
      <c r="R105">
        <v>3.5</v>
      </c>
      <c r="S105">
        <v>2</v>
      </c>
      <c r="T105">
        <v>1</v>
      </c>
      <c r="U105">
        <v>1</v>
      </c>
      <c r="V105" t="s">
        <v>38</v>
      </c>
    </row>
    <row r="106" spans="1:22" x14ac:dyDescent="0.25">
      <c r="A106" t="s">
        <v>51</v>
      </c>
      <c r="B106">
        <v>2</v>
      </c>
      <c r="C106" t="s">
        <v>52</v>
      </c>
      <c r="D106" t="s">
        <v>53</v>
      </c>
      <c r="E106" t="s">
        <v>54</v>
      </c>
      <c r="F106">
        <v>70</v>
      </c>
      <c r="G106">
        <v>1000</v>
      </c>
      <c r="H106">
        <v>-2</v>
      </c>
      <c r="I106">
        <v>1981</v>
      </c>
      <c r="J106" t="s">
        <v>59</v>
      </c>
      <c r="K106">
        <v>1978</v>
      </c>
      <c r="L106">
        <v>23.7</v>
      </c>
      <c r="M106">
        <v>12.6</v>
      </c>
      <c r="N106" s="4">
        <f t="shared" si="2"/>
        <v>4.4092664999999996E-2</v>
      </c>
      <c r="O106" s="4">
        <f t="shared" si="3"/>
        <v>0.55556757899999998</v>
      </c>
      <c r="P106">
        <v>88</v>
      </c>
      <c r="Q106">
        <v>5</v>
      </c>
      <c r="R106">
        <v>3.3</v>
      </c>
      <c r="S106">
        <v>3</v>
      </c>
      <c r="T106">
        <v>2</v>
      </c>
      <c r="U106">
        <v>2</v>
      </c>
      <c r="V106" t="s">
        <v>25</v>
      </c>
    </row>
    <row r="107" spans="1:22" x14ac:dyDescent="0.25">
      <c r="A107" t="s">
        <v>51</v>
      </c>
      <c r="B107">
        <v>2</v>
      </c>
      <c r="C107" t="s">
        <v>52</v>
      </c>
      <c r="D107" t="s">
        <v>53</v>
      </c>
      <c r="E107" t="s">
        <v>54</v>
      </c>
      <c r="F107">
        <v>70</v>
      </c>
      <c r="G107">
        <v>1000</v>
      </c>
      <c r="H107">
        <v>-2</v>
      </c>
      <c r="I107">
        <v>1981</v>
      </c>
      <c r="J107" t="s">
        <v>26</v>
      </c>
      <c r="K107">
        <v>1339</v>
      </c>
      <c r="L107">
        <v>33.799999999999997</v>
      </c>
      <c r="M107">
        <v>16</v>
      </c>
      <c r="N107" s="4">
        <f t="shared" si="2"/>
        <v>8.968153999999999E-2</v>
      </c>
      <c r="O107" s="4">
        <f t="shared" si="3"/>
        <v>1.4349046399999998</v>
      </c>
      <c r="P107">
        <v>50</v>
      </c>
      <c r="Q107">
        <v>5</v>
      </c>
      <c r="R107">
        <v>3</v>
      </c>
      <c r="S107">
        <v>2</v>
      </c>
      <c r="T107">
        <v>2</v>
      </c>
      <c r="U107">
        <v>0.5</v>
      </c>
      <c r="V107" t="s">
        <v>25</v>
      </c>
    </row>
    <row r="108" spans="1:22" x14ac:dyDescent="0.25">
      <c r="A108" t="s">
        <v>51</v>
      </c>
      <c r="B108">
        <v>2</v>
      </c>
      <c r="C108" t="s">
        <v>52</v>
      </c>
      <c r="D108" t="s">
        <v>53</v>
      </c>
      <c r="E108" t="s">
        <v>54</v>
      </c>
      <c r="F108">
        <v>70</v>
      </c>
      <c r="G108">
        <v>1000</v>
      </c>
      <c r="H108">
        <v>-2</v>
      </c>
      <c r="I108">
        <v>1981</v>
      </c>
      <c r="J108" t="s">
        <v>26</v>
      </c>
      <c r="K108">
        <v>1786</v>
      </c>
      <c r="L108">
        <v>17</v>
      </c>
      <c r="M108">
        <v>15.3</v>
      </c>
      <c r="N108" s="4">
        <f t="shared" si="2"/>
        <v>2.2686500000000005E-2</v>
      </c>
      <c r="O108" s="4">
        <f t="shared" si="3"/>
        <v>0.34710345000000009</v>
      </c>
      <c r="P108">
        <v>75</v>
      </c>
      <c r="Q108">
        <v>4.7</v>
      </c>
      <c r="R108">
        <v>4</v>
      </c>
      <c r="S108">
        <v>3.5</v>
      </c>
      <c r="T108">
        <v>4</v>
      </c>
      <c r="U108">
        <v>4</v>
      </c>
      <c r="V108" t="s">
        <v>27</v>
      </c>
    </row>
    <row r="109" spans="1:22" x14ac:dyDescent="0.25">
      <c r="A109" t="s">
        <v>51</v>
      </c>
      <c r="B109">
        <v>2</v>
      </c>
      <c r="C109" t="s">
        <v>52</v>
      </c>
      <c r="D109" t="s">
        <v>53</v>
      </c>
      <c r="E109" t="s">
        <v>54</v>
      </c>
      <c r="F109">
        <v>70</v>
      </c>
      <c r="G109">
        <v>1000</v>
      </c>
      <c r="H109">
        <v>-2</v>
      </c>
      <c r="I109">
        <v>1981</v>
      </c>
      <c r="J109" t="s">
        <v>26</v>
      </c>
      <c r="K109">
        <v>2447</v>
      </c>
      <c r="L109">
        <v>20.8</v>
      </c>
      <c r="M109">
        <v>12.6</v>
      </c>
      <c r="N109" s="4">
        <f t="shared" si="2"/>
        <v>3.3962240000000012E-2</v>
      </c>
      <c r="O109" s="4">
        <f t="shared" si="3"/>
        <v>0.42792422400000013</v>
      </c>
      <c r="P109">
        <v>63</v>
      </c>
      <c r="Q109">
        <v>4</v>
      </c>
      <c r="R109">
        <v>3</v>
      </c>
      <c r="S109">
        <v>3.3</v>
      </c>
      <c r="T109">
        <v>3.5</v>
      </c>
      <c r="U109">
        <v>3.5</v>
      </c>
      <c r="V109" t="s">
        <v>25</v>
      </c>
    </row>
    <row r="110" spans="1:22" x14ac:dyDescent="0.25">
      <c r="A110" t="s">
        <v>51</v>
      </c>
      <c r="B110">
        <v>2</v>
      </c>
      <c r="C110" t="s">
        <v>52</v>
      </c>
      <c r="D110" t="s">
        <v>53</v>
      </c>
      <c r="E110" t="s">
        <v>54</v>
      </c>
      <c r="F110">
        <v>70</v>
      </c>
      <c r="G110">
        <v>1000</v>
      </c>
      <c r="H110">
        <v>-2</v>
      </c>
      <c r="I110">
        <v>1981</v>
      </c>
      <c r="J110" t="s">
        <v>60</v>
      </c>
      <c r="K110">
        <v>1595</v>
      </c>
      <c r="L110">
        <v>6.5</v>
      </c>
      <c r="M110">
        <v>4.4000000000000004</v>
      </c>
      <c r="N110" s="4">
        <f t="shared" si="2"/>
        <v>3.3166250000000006E-3</v>
      </c>
      <c r="O110" s="4">
        <f t="shared" si="3"/>
        <v>1.4593150000000004E-2</v>
      </c>
      <c r="P110">
        <v>63</v>
      </c>
      <c r="Q110">
        <v>0.5</v>
      </c>
      <c r="R110">
        <v>0.5</v>
      </c>
      <c r="S110">
        <v>4</v>
      </c>
      <c r="T110">
        <v>4.5</v>
      </c>
      <c r="U110">
        <v>4</v>
      </c>
      <c r="V110" t="s">
        <v>50</v>
      </c>
    </row>
    <row r="111" spans="1:22" x14ac:dyDescent="0.25">
      <c r="A111" t="s">
        <v>51</v>
      </c>
      <c r="B111">
        <v>2</v>
      </c>
      <c r="C111" t="s">
        <v>52</v>
      </c>
      <c r="D111" t="s">
        <v>53</v>
      </c>
      <c r="E111" t="s">
        <v>54</v>
      </c>
      <c r="F111">
        <v>70</v>
      </c>
      <c r="G111">
        <v>1000</v>
      </c>
      <c r="H111">
        <v>-2</v>
      </c>
      <c r="I111">
        <v>1981</v>
      </c>
      <c r="J111" t="s">
        <v>61</v>
      </c>
      <c r="K111">
        <v>1171</v>
      </c>
      <c r="L111">
        <v>10.4</v>
      </c>
      <c r="M111">
        <v>6.4</v>
      </c>
      <c r="N111" s="4">
        <f t="shared" si="2"/>
        <v>8.4905600000000029E-3</v>
      </c>
      <c r="O111" s="4">
        <f t="shared" si="3"/>
        <v>5.4339584000000024E-2</v>
      </c>
      <c r="P111">
        <v>75</v>
      </c>
      <c r="Q111">
        <v>1.7</v>
      </c>
      <c r="R111">
        <v>1.5</v>
      </c>
      <c r="S111">
        <v>0</v>
      </c>
      <c r="T111">
        <v>0</v>
      </c>
      <c r="U111">
        <v>0</v>
      </c>
      <c r="V111" t="s">
        <v>50</v>
      </c>
    </row>
    <row r="112" spans="1:22" x14ac:dyDescent="0.25">
      <c r="A112" t="s">
        <v>51</v>
      </c>
      <c r="B112">
        <v>2</v>
      </c>
      <c r="C112" t="s">
        <v>52</v>
      </c>
      <c r="D112" t="s">
        <v>53</v>
      </c>
      <c r="E112" t="s">
        <v>54</v>
      </c>
      <c r="F112">
        <v>70</v>
      </c>
      <c r="G112">
        <v>1000</v>
      </c>
      <c r="H112">
        <v>-2</v>
      </c>
      <c r="I112">
        <v>1981</v>
      </c>
      <c r="J112" t="s">
        <v>32</v>
      </c>
      <c r="K112">
        <v>1596</v>
      </c>
      <c r="L112">
        <v>12.6</v>
      </c>
      <c r="M112">
        <v>8</v>
      </c>
      <c r="N112" s="4">
        <f t="shared" si="2"/>
        <v>1.2462660000000002E-2</v>
      </c>
      <c r="O112" s="4">
        <f t="shared" si="3"/>
        <v>9.9701280000000017E-2</v>
      </c>
      <c r="P112">
        <v>37</v>
      </c>
      <c r="Q112">
        <v>2.5</v>
      </c>
      <c r="R112">
        <v>3.5</v>
      </c>
      <c r="S112">
        <v>4</v>
      </c>
      <c r="T112">
        <v>4</v>
      </c>
      <c r="U112">
        <v>4</v>
      </c>
      <c r="V112" t="s">
        <v>38</v>
      </c>
    </row>
    <row r="113" spans="1:22" x14ac:dyDescent="0.25">
      <c r="A113" t="s">
        <v>51</v>
      </c>
      <c r="B113">
        <v>2</v>
      </c>
      <c r="C113" t="s">
        <v>52</v>
      </c>
      <c r="D113" t="s">
        <v>53</v>
      </c>
      <c r="E113" t="s">
        <v>54</v>
      </c>
      <c r="F113">
        <v>70</v>
      </c>
      <c r="G113">
        <v>1000</v>
      </c>
      <c r="H113">
        <v>-2</v>
      </c>
      <c r="I113">
        <v>1981</v>
      </c>
      <c r="J113" t="s">
        <v>34</v>
      </c>
      <c r="K113">
        <v>1337</v>
      </c>
      <c r="L113">
        <v>22.2</v>
      </c>
      <c r="M113">
        <v>14.6</v>
      </c>
      <c r="N113" s="4">
        <f t="shared" si="2"/>
        <v>3.8687940000000004E-2</v>
      </c>
      <c r="O113" s="4">
        <f t="shared" si="3"/>
        <v>0.56484392400000005</v>
      </c>
      <c r="P113">
        <v>63</v>
      </c>
      <c r="Q113">
        <v>5</v>
      </c>
      <c r="R113">
        <v>3</v>
      </c>
      <c r="S113">
        <v>4</v>
      </c>
      <c r="T113">
        <v>4</v>
      </c>
      <c r="U113">
        <v>3.2</v>
      </c>
      <c r="V113" t="s">
        <v>27</v>
      </c>
    </row>
    <row r="114" spans="1:22" x14ac:dyDescent="0.25">
      <c r="A114" t="s">
        <v>51</v>
      </c>
      <c r="B114">
        <v>2</v>
      </c>
      <c r="C114" t="s">
        <v>52</v>
      </c>
      <c r="D114" t="s">
        <v>53</v>
      </c>
      <c r="E114" t="s">
        <v>54</v>
      </c>
      <c r="F114">
        <v>70</v>
      </c>
      <c r="G114">
        <v>1000</v>
      </c>
      <c r="H114">
        <v>-2</v>
      </c>
      <c r="I114">
        <v>1981</v>
      </c>
      <c r="J114" t="s">
        <v>34</v>
      </c>
      <c r="K114">
        <v>2459</v>
      </c>
      <c r="L114">
        <v>19.600000000000001</v>
      </c>
      <c r="M114">
        <v>15.4</v>
      </c>
      <c r="N114" s="4">
        <f t="shared" si="2"/>
        <v>3.0156560000000006E-2</v>
      </c>
      <c r="O114" s="4">
        <f t="shared" si="3"/>
        <v>0.46441102400000012</v>
      </c>
      <c r="P114">
        <v>100</v>
      </c>
      <c r="Q114">
        <v>5</v>
      </c>
      <c r="R114">
        <v>3</v>
      </c>
      <c r="S114">
        <v>5</v>
      </c>
      <c r="T114">
        <v>4.3</v>
      </c>
      <c r="U114">
        <v>3</v>
      </c>
      <c r="V114" t="s">
        <v>27</v>
      </c>
    </row>
    <row r="115" spans="1:22" x14ac:dyDescent="0.25">
      <c r="A115" t="s">
        <v>51</v>
      </c>
      <c r="B115">
        <v>2</v>
      </c>
      <c r="C115" t="s">
        <v>52</v>
      </c>
      <c r="D115" t="s">
        <v>53</v>
      </c>
      <c r="E115" t="s">
        <v>54</v>
      </c>
      <c r="F115">
        <v>70</v>
      </c>
      <c r="G115">
        <v>1000</v>
      </c>
      <c r="H115">
        <v>-2</v>
      </c>
      <c r="I115">
        <v>1981</v>
      </c>
      <c r="J115" t="s">
        <v>35</v>
      </c>
      <c r="K115">
        <v>1785</v>
      </c>
      <c r="L115">
        <v>9.8000000000000007</v>
      </c>
      <c r="M115">
        <v>7.5</v>
      </c>
      <c r="N115" s="4">
        <f t="shared" si="2"/>
        <v>7.5391400000000015E-3</v>
      </c>
      <c r="O115" s="4">
        <f t="shared" si="3"/>
        <v>5.6543550000000012E-2</v>
      </c>
      <c r="P115">
        <v>75</v>
      </c>
      <c r="Q115">
        <v>1.7</v>
      </c>
      <c r="R115">
        <v>1.3</v>
      </c>
      <c r="S115">
        <v>3.3</v>
      </c>
      <c r="T115">
        <v>4</v>
      </c>
      <c r="U115">
        <v>3.5</v>
      </c>
      <c r="V115" t="s">
        <v>30</v>
      </c>
    </row>
    <row r="116" spans="1:22" x14ac:dyDescent="0.25">
      <c r="A116" t="s">
        <v>51</v>
      </c>
      <c r="B116">
        <v>2</v>
      </c>
      <c r="C116" t="s">
        <v>52</v>
      </c>
      <c r="D116" t="s">
        <v>53</v>
      </c>
      <c r="E116" t="s">
        <v>54</v>
      </c>
      <c r="F116">
        <v>70</v>
      </c>
      <c r="G116">
        <v>1000</v>
      </c>
      <c r="H116">
        <v>-2</v>
      </c>
      <c r="I116">
        <v>1981</v>
      </c>
      <c r="J116" t="s">
        <v>36</v>
      </c>
      <c r="K116">
        <v>1598</v>
      </c>
      <c r="L116">
        <v>15.2</v>
      </c>
      <c r="M116">
        <v>14.4</v>
      </c>
      <c r="N116" s="4">
        <f t="shared" si="2"/>
        <v>1.8136639999999999E-2</v>
      </c>
      <c r="O116" s="4">
        <f t="shared" si="3"/>
        <v>0.26116761599999999</v>
      </c>
      <c r="P116">
        <v>100</v>
      </c>
      <c r="Q116">
        <v>4.5</v>
      </c>
      <c r="R116">
        <v>4</v>
      </c>
      <c r="S116">
        <v>3</v>
      </c>
      <c r="T116">
        <v>4</v>
      </c>
      <c r="U116">
        <v>3</v>
      </c>
      <c r="V116" t="s">
        <v>25</v>
      </c>
    </row>
    <row r="117" spans="1:22" x14ac:dyDescent="0.25">
      <c r="A117" t="s">
        <v>51</v>
      </c>
      <c r="B117">
        <v>2</v>
      </c>
      <c r="C117" t="s">
        <v>52</v>
      </c>
      <c r="D117" t="s">
        <v>53</v>
      </c>
      <c r="E117" t="s">
        <v>54</v>
      </c>
      <c r="F117">
        <v>70</v>
      </c>
      <c r="G117">
        <v>1000</v>
      </c>
      <c r="H117">
        <v>-2</v>
      </c>
      <c r="I117">
        <v>1981</v>
      </c>
      <c r="J117" t="s">
        <v>62</v>
      </c>
      <c r="K117">
        <v>1787</v>
      </c>
      <c r="L117">
        <v>19.600000000000001</v>
      </c>
      <c r="M117">
        <v>16.600000000000001</v>
      </c>
      <c r="N117" s="4">
        <f t="shared" si="2"/>
        <v>3.0156560000000006E-2</v>
      </c>
      <c r="O117" s="4">
        <f t="shared" si="3"/>
        <v>0.50059889600000018</v>
      </c>
      <c r="P117">
        <v>100</v>
      </c>
      <c r="Q117">
        <v>5</v>
      </c>
      <c r="R117">
        <v>3</v>
      </c>
      <c r="S117">
        <v>4</v>
      </c>
      <c r="T117">
        <v>4</v>
      </c>
      <c r="U117">
        <v>3</v>
      </c>
      <c r="V117" t="s">
        <v>27</v>
      </c>
    </row>
    <row r="118" spans="1:22" x14ac:dyDescent="0.25">
      <c r="A118" t="s">
        <v>51</v>
      </c>
      <c r="B118">
        <v>2</v>
      </c>
      <c r="C118" t="s">
        <v>52</v>
      </c>
      <c r="D118" t="s">
        <v>53</v>
      </c>
      <c r="E118" t="s">
        <v>54</v>
      </c>
      <c r="F118">
        <v>70</v>
      </c>
      <c r="G118">
        <v>1000</v>
      </c>
      <c r="H118">
        <v>-2</v>
      </c>
      <c r="I118">
        <v>1981</v>
      </c>
      <c r="J118" t="s">
        <v>62</v>
      </c>
      <c r="K118">
        <v>2482</v>
      </c>
      <c r="L118">
        <v>17</v>
      </c>
      <c r="M118">
        <v>14.1</v>
      </c>
      <c r="N118" s="4">
        <f t="shared" si="2"/>
        <v>2.2686500000000005E-2</v>
      </c>
      <c r="O118" s="4">
        <f t="shared" si="3"/>
        <v>0.31987965000000007</v>
      </c>
      <c r="P118">
        <v>88</v>
      </c>
      <c r="Q118">
        <v>4.5</v>
      </c>
      <c r="R118">
        <v>3</v>
      </c>
      <c r="S118">
        <v>3.7</v>
      </c>
      <c r="T118">
        <v>3.7</v>
      </c>
      <c r="U118">
        <v>3.7</v>
      </c>
      <c r="V118" t="s">
        <v>27</v>
      </c>
    </row>
    <row r="119" spans="1:22" x14ac:dyDescent="0.25">
      <c r="A119" t="s">
        <v>51</v>
      </c>
      <c r="B119">
        <v>2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62</v>
      </c>
      <c r="K119">
        <v>2431</v>
      </c>
      <c r="L119">
        <v>26</v>
      </c>
      <c r="M119">
        <v>14</v>
      </c>
      <c r="N119" s="4">
        <f t="shared" si="2"/>
        <v>5.3066000000000009E-2</v>
      </c>
      <c r="O119" s="4">
        <f t="shared" si="3"/>
        <v>0.74292400000000014</v>
      </c>
      <c r="P119">
        <v>88</v>
      </c>
      <c r="Q119">
        <v>5</v>
      </c>
      <c r="R119">
        <v>3.5</v>
      </c>
      <c r="S119">
        <v>3.5</v>
      </c>
      <c r="T119">
        <v>4</v>
      </c>
      <c r="U119">
        <v>3.3</v>
      </c>
      <c r="V119" t="s">
        <v>27</v>
      </c>
    </row>
    <row r="120" spans="1:22" x14ac:dyDescent="0.25">
      <c r="A120" t="s">
        <v>51</v>
      </c>
      <c r="B120">
        <v>2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64</v>
      </c>
      <c r="K120">
        <v>1192</v>
      </c>
      <c r="L120">
        <v>8.9</v>
      </c>
      <c r="M120">
        <v>5.2</v>
      </c>
      <c r="N120" s="4">
        <f t="shared" si="2"/>
        <v>6.2179850000000014E-3</v>
      </c>
      <c r="O120" s="4">
        <f t="shared" si="3"/>
        <v>3.233352200000001E-2</v>
      </c>
      <c r="P120">
        <v>63</v>
      </c>
      <c r="Q120">
        <v>2.5</v>
      </c>
      <c r="R120">
        <v>1.8</v>
      </c>
      <c r="S120">
        <v>3</v>
      </c>
      <c r="T120">
        <v>3</v>
      </c>
      <c r="U120">
        <v>3</v>
      </c>
      <c r="V120" t="s">
        <v>50</v>
      </c>
    </row>
    <row r="121" spans="1:22" x14ac:dyDescent="0.25">
      <c r="A121" t="s">
        <v>51</v>
      </c>
      <c r="B121">
        <v>2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37</v>
      </c>
      <c r="K121">
        <v>1524</v>
      </c>
      <c r="L121">
        <v>10.3</v>
      </c>
      <c r="M121">
        <v>7.8</v>
      </c>
      <c r="N121" s="4">
        <f t="shared" si="2"/>
        <v>8.3280650000000025E-3</v>
      </c>
      <c r="O121" s="4">
        <f t="shared" si="3"/>
        <v>6.4958907000000024E-2</v>
      </c>
      <c r="P121">
        <v>100</v>
      </c>
      <c r="Q121">
        <v>2.2999999999999998</v>
      </c>
      <c r="R121">
        <v>2</v>
      </c>
      <c r="S121">
        <v>3</v>
      </c>
      <c r="T121">
        <v>3</v>
      </c>
      <c r="U121">
        <v>3</v>
      </c>
      <c r="V121" t="s">
        <v>30</v>
      </c>
    </row>
    <row r="122" spans="1:22" x14ac:dyDescent="0.25">
      <c r="A122" t="s">
        <v>51</v>
      </c>
      <c r="B122">
        <v>22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39</v>
      </c>
      <c r="K122">
        <v>2435</v>
      </c>
      <c r="L122">
        <v>19.600000000000001</v>
      </c>
      <c r="M122">
        <v>12.3</v>
      </c>
      <c r="N122" s="4">
        <f t="shared" si="2"/>
        <v>3.0156560000000006E-2</v>
      </c>
      <c r="O122" s="4">
        <f t="shared" si="3"/>
        <v>0.37092568800000009</v>
      </c>
      <c r="P122">
        <v>75</v>
      </c>
      <c r="Q122">
        <v>3.3</v>
      </c>
      <c r="R122">
        <v>3</v>
      </c>
      <c r="S122">
        <v>3.3</v>
      </c>
      <c r="T122">
        <v>3.5</v>
      </c>
      <c r="U122">
        <v>3.5</v>
      </c>
      <c r="V122" t="s">
        <v>27</v>
      </c>
    </row>
    <row r="123" spans="1:22" x14ac:dyDescent="0.25">
      <c r="A123" t="s">
        <v>51</v>
      </c>
      <c r="B123">
        <v>2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63</v>
      </c>
      <c r="K123">
        <v>1340</v>
      </c>
      <c r="L123">
        <v>20.100000000000001</v>
      </c>
      <c r="M123">
        <v>6.9</v>
      </c>
      <c r="N123" s="4">
        <f t="shared" si="2"/>
        <v>3.1714785000000009E-2</v>
      </c>
      <c r="O123" s="4">
        <f t="shared" si="3"/>
        <v>0.21883201650000009</v>
      </c>
      <c r="P123">
        <v>88</v>
      </c>
      <c r="Q123">
        <v>3</v>
      </c>
      <c r="R123">
        <v>2.5</v>
      </c>
      <c r="S123">
        <v>1</v>
      </c>
      <c r="T123">
        <v>0.5</v>
      </c>
      <c r="U123">
        <v>0</v>
      </c>
      <c r="V123" t="s">
        <v>30</v>
      </c>
    </row>
    <row r="124" spans="1:22" x14ac:dyDescent="0.25">
      <c r="A124" t="s">
        <v>51</v>
      </c>
      <c r="B124">
        <v>3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55</v>
      </c>
      <c r="K124">
        <v>1094</v>
      </c>
      <c r="L124">
        <v>13.5</v>
      </c>
      <c r="M124">
        <v>4</v>
      </c>
      <c r="N124" s="4">
        <f t="shared" si="2"/>
        <v>1.4306625000000002E-2</v>
      </c>
      <c r="O124" s="4">
        <f t="shared" si="3"/>
        <v>5.7226500000000007E-2</v>
      </c>
      <c r="P124">
        <v>13</v>
      </c>
      <c r="Q124">
        <v>0.5</v>
      </c>
      <c r="R124">
        <v>0</v>
      </c>
      <c r="S124">
        <v>1</v>
      </c>
      <c r="T124">
        <v>1</v>
      </c>
      <c r="U124">
        <v>1</v>
      </c>
      <c r="V124" t="s">
        <v>50</v>
      </c>
    </row>
    <row r="125" spans="1:22" x14ac:dyDescent="0.25">
      <c r="A125" t="s">
        <v>51</v>
      </c>
      <c r="B125">
        <v>3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56</v>
      </c>
      <c r="K125">
        <v>1111</v>
      </c>
      <c r="L125">
        <v>14.2</v>
      </c>
      <c r="M125">
        <v>10.8</v>
      </c>
      <c r="N125" s="4">
        <f t="shared" si="2"/>
        <v>1.5828739999999997E-2</v>
      </c>
      <c r="O125" s="4">
        <f t="shared" si="3"/>
        <v>0.17095039199999998</v>
      </c>
      <c r="P125">
        <v>100</v>
      </c>
      <c r="Q125">
        <v>3</v>
      </c>
      <c r="R125">
        <v>2.8</v>
      </c>
      <c r="S125">
        <v>3.3</v>
      </c>
      <c r="T125">
        <v>3.3</v>
      </c>
      <c r="U125">
        <v>3</v>
      </c>
      <c r="V125" t="s">
        <v>25</v>
      </c>
    </row>
    <row r="126" spans="1:22" x14ac:dyDescent="0.25">
      <c r="A126" t="s">
        <v>51</v>
      </c>
      <c r="B126">
        <v>3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57</v>
      </c>
      <c r="K126">
        <v>1112</v>
      </c>
      <c r="L126">
        <v>13.1</v>
      </c>
      <c r="M126">
        <v>10.6</v>
      </c>
      <c r="N126" s="4">
        <f t="shared" si="2"/>
        <v>1.3471385000000002E-2</v>
      </c>
      <c r="O126" s="4">
        <f t="shared" si="3"/>
        <v>0.14279668100000001</v>
      </c>
      <c r="P126">
        <v>88</v>
      </c>
      <c r="Q126">
        <v>2</v>
      </c>
      <c r="R126">
        <v>2</v>
      </c>
      <c r="S126">
        <v>3</v>
      </c>
      <c r="T126">
        <v>3</v>
      </c>
      <c r="U126">
        <v>3</v>
      </c>
      <c r="V126" t="s">
        <v>50</v>
      </c>
    </row>
    <row r="127" spans="1:22" x14ac:dyDescent="0.25">
      <c r="A127" t="s">
        <v>51</v>
      </c>
      <c r="B127">
        <v>3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57</v>
      </c>
      <c r="K127">
        <v>1113</v>
      </c>
      <c r="L127">
        <v>9.6</v>
      </c>
      <c r="M127">
        <v>7</v>
      </c>
      <c r="N127" s="4">
        <f t="shared" si="2"/>
        <v>7.2345600000000001E-3</v>
      </c>
      <c r="O127" s="4">
        <f t="shared" si="3"/>
        <v>5.064192E-2</v>
      </c>
      <c r="P127">
        <v>100</v>
      </c>
      <c r="Q127">
        <v>2.6</v>
      </c>
      <c r="R127">
        <v>2</v>
      </c>
      <c r="S127">
        <v>3</v>
      </c>
      <c r="T127">
        <v>3</v>
      </c>
      <c r="U127">
        <v>3</v>
      </c>
      <c r="V127" t="s">
        <v>30</v>
      </c>
    </row>
    <row r="128" spans="1:22" x14ac:dyDescent="0.25">
      <c r="A128" t="s">
        <v>51</v>
      </c>
      <c r="B128">
        <v>3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58</v>
      </c>
      <c r="K128">
        <v>1338</v>
      </c>
      <c r="L128">
        <v>18.899999999999999</v>
      </c>
      <c r="M128">
        <v>9</v>
      </c>
      <c r="N128" s="4">
        <f t="shared" si="2"/>
        <v>2.8040984999999994E-2</v>
      </c>
      <c r="O128" s="4">
        <f t="shared" si="3"/>
        <v>0.25236886499999994</v>
      </c>
      <c r="P128">
        <v>13</v>
      </c>
      <c r="Q128">
        <v>2</v>
      </c>
      <c r="R128">
        <v>3.5</v>
      </c>
      <c r="S128">
        <v>3</v>
      </c>
      <c r="T128">
        <v>3.5</v>
      </c>
      <c r="U128">
        <v>3</v>
      </c>
      <c r="V128" t="s">
        <v>50</v>
      </c>
    </row>
    <row r="129" spans="1:22" x14ac:dyDescent="0.25">
      <c r="A129" t="s">
        <v>51</v>
      </c>
      <c r="B129">
        <v>3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59</v>
      </c>
      <c r="K129">
        <v>1482</v>
      </c>
      <c r="L129">
        <v>20</v>
      </c>
      <c r="M129">
        <v>13.2</v>
      </c>
      <c r="N129" s="4">
        <f t="shared" si="2"/>
        <v>3.1400000000000004E-2</v>
      </c>
      <c r="O129" s="4">
        <f t="shared" si="3"/>
        <v>0.41448000000000002</v>
      </c>
      <c r="P129">
        <v>75</v>
      </c>
      <c r="Q129">
        <v>4.5</v>
      </c>
      <c r="R129">
        <v>3</v>
      </c>
      <c r="S129">
        <v>4</v>
      </c>
      <c r="T129">
        <v>4</v>
      </c>
      <c r="U129">
        <v>4</v>
      </c>
      <c r="V129" t="s">
        <v>27</v>
      </c>
    </row>
    <row r="130" spans="1:22" x14ac:dyDescent="0.25">
      <c r="A130" t="s">
        <v>51</v>
      </c>
      <c r="B130">
        <v>3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59</v>
      </c>
      <c r="K130">
        <v>1978</v>
      </c>
      <c r="L130">
        <v>26.6</v>
      </c>
      <c r="M130">
        <v>13.5</v>
      </c>
      <c r="N130" s="4">
        <f t="shared" si="2"/>
        <v>5.554346000000001E-2</v>
      </c>
      <c r="O130" s="4">
        <f t="shared" si="3"/>
        <v>0.74983671000000018</v>
      </c>
      <c r="P130">
        <v>75</v>
      </c>
      <c r="Q130">
        <v>5</v>
      </c>
      <c r="R130">
        <v>3</v>
      </c>
      <c r="S130">
        <v>2.5</v>
      </c>
      <c r="T130">
        <v>2</v>
      </c>
      <c r="U130">
        <v>1</v>
      </c>
      <c r="V130" t="s">
        <v>25</v>
      </c>
    </row>
    <row r="131" spans="1:22" x14ac:dyDescent="0.25">
      <c r="A131" t="s">
        <v>51</v>
      </c>
      <c r="B131">
        <v>3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26</v>
      </c>
      <c r="K131">
        <v>1339</v>
      </c>
      <c r="L131">
        <v>23.9</v>
      </c>
      <c r="M131">
        <v>12.7</v>
      </c>
      <c r="N131" s="4">
        <f t="shared" ref="N131:N194" si="4">3.14/4*((L131/100)^2)</f>
        <v>4.4839984999999999E-2</v>
      </c>
      <c r="O131" s="4">
        <f t="shared" ref="O131:O194" si="5">3.14/4*((L131/100)^2)*M131</f>
        <v>0.56946780949999998</v>
      </c>
      <c r="P131">
        <v>37</v>
      </c>
      <c r="Q131">
        <v>4</v>
      </c>
      <c r="R131">
        <v>3</v>
      </c>
      <c r="S131">
        <v>3</v>
      </c>
      <c r="T131">
        <v>3</v>
      </c>
      <c r="U131">
        <v>3</v>
      </c>
      <c r="V131" t="s">
        <v>25</v>
      </c>
    </row>
    <row r="132" spans="1:22" x14ac:dyDescent="0.25">
      <c r="A132" t="s">
        <v>51</v>
      </c>
      <c r="B132">
        <v>3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26</v>
      </c>
      <c r="K132">
        <v>1786</v>
      </c>
      <c r="L132">
        <v>17.8</v>
      </c>
      <c r="M132">
        <v>12.2</v>
      </c>
      <c r="N132" s="4">
        <f t="shared" si="4"/>
        <v>2.4871940000000006E-2</v>
      </c>
      <c r="O132" s="4">
        <f t="shared" si="5"/>
        <v>0.30343766800000005</v>
      </c>
      <c r="P132">
        <v>63</v>
      </c>
      <c r="Q132">
        <v>4.7</v>
      </c>
      <c r="R132">
        <v>3.1</v>
      </c>
      <c r="S132">
        <v>3</v>
      </c>
      <c r="T132">
        <v>3</v>
      </c>
      <c r="U132">
        <v>3</v>
      </c>
      <c r="V132" t="s">
        <v>25</v>
      </c>
    </row>
    <row r="133" spans="1:22" x14ac:dyDescent="0.25">
      <c r="A133" t="s">
        <v>51</v>
      </c>
      <c r="B133">
        <v>3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26</v>
      </c>
      <c r="K133">
        <v>2447</v>
      </c>
      <c r="L133">
        <v>21.4</v>
      </c>
      <c r="M133">
        <v>12.7</v>
      </c>
      <c r="N133" s="4">
        <f t="shared" si="4"/>
        <v>3.594986E-2</v>
      </c>
      <c r="O133" s="4">
        <f t="shared" si="5"/>
        <v>0.45656322199999999</v>
      </c>
      <c r="P133">
        <v>75</v>
      </c>
      <c r="Q133">
        <v>4.5999999999999996</v>
      </c>
      <c r="R133">
        <v>4</v>
      </c>
      <c r="S133">
        <v>3</v>
      </c>
      <c r="T133">
        <v>3</v>
      </c>
      <c r="U133">
        <v>3</v>
      </c>
      <c r="V133" t="s">
        <v>27</v>
      </c>
    </row>
    <row r="134" spans="1:22" x14ac:dyDescent="0.25">
      <c r="A134" t="s">
        <v>51</v>
      </c>
      <c r="B134">
        <v>3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60</v>
      </c>
      <c r="K134">
        <v>1595</v>
      </c>
      <c r="L134">
        <v>7.8</v>
      </c>
      <c r="M134">
        <v>5.3</v>
      </c>
      <c r="N134" s="4">
        <f t="shared" si="4"/>
        <v>4.7759400000000002E-3</v>
      </c>
      <c r="O134" s="4">
        <f t="shared" si="5"/>
        <v>2.5312482000000001E-2</v>
      </c>
      <c r="P134">
        <v>50</v>
      </c>
      <c r="Q134">
        <v>1</v>
      </c>
      <c r="R134">
        <v>1.5</v>
      </c>
      <c r="S134">
        <v>4</v>
      </c>
      <c r="T134">
        <v>4</v>
      </c>
      <c r="U134">
        <v>4</v>
      </c>
      <c r="V134" t="s">
        <v>50</v>
      </c>
    </row>
    <row r="135" spans="1:22" x14ac:dyDescent="0.25">
      <c r="A135" t="s">
        <v>51</v>
      </c>
      <c r="B135">
        <v>3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61</v>
      </c>
      <c r="K135">
        <v>1171</v>
      </c>
      <c r="L135">
        <v>13.1</v>
      </c>
      <c r="M135">
        <v>10.1</v>
      </c>
      <c r="N135" s="4">
        <f t="shared" si="4"/>
        <v>1.3471385000000002E-2</v>
      </c>
      <c r="O135" s="4">
        <f t="shared" si="5"/>
        <v>0.13606098850000001</v>
      </c>
      <c r="P135">
        <v>100</v>
      </c>
      <c r="Q135">
        <v>2</v>
      </c>
      <c r="R135">
        <v>2</v>
      </c>
      <c r="S135">
        <v>2</v>
      </c>
      <c r="T135">
        <v>2</v>
      </c>
      <c r="U135">
        <v>2</v>
      </c>
      <c r="V135" t="s">
        <v>30</v>
      </c>
    </row>
    <row r="136" spans="1:22" x14ac:dyDescent="0.25">
      <c r="A136" t="s">
        <v>51</v>
      </c>
      <c r="B136">
        <v>3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32</v>
      </c>
      <c r="K136">
        <v>1596</v>
      </c>
      <c r="L136">
        <v>15.1</v>
      </c>
      <c r="M136">
        <v>12.3</v>
      </c>
      <c r="N136" s="4">
        <f t="shared" si="4"/>
        <v>1.7898785E-2</v>
      </c>
      <c r="O136" s="4">
        <f t="shared" si="5"/>
        <v>0.22015505550000003</v>
      </c>
      <c r="P136">
        <v>88</v>
      </c>
      <c r="Q136">
        <v>3.5</v>
      </c>
      <c r="R136">
        <v>3</v>
      </c>
      <c r="S136">
        <v>3.3</v>
      </c>
      <c r="T136">
        <v>4</v>
      </c>
      <c r="U136">
        <v>4</v>
      </c>
      <c r="V136" t="s">
        <v>27</v>
      </c>
    </row>
    <row r="137" spans="1:22" x14ac:dyDescent="0.25">
      <c r="A137" t="s">
        <v>51</v>
      </c>
      <c r="B137">
        <v>3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34</v>
      </c>
      <c r="K137">
        <v>1337</v>
      </c>
      <c r="L137">
        <v>24.5</v>
      </c>
      <c r="M137">
        <v>13.5</v>
      </c>
      <c r="N137" s="4">
        <f t="shared" si="4"/>
        <v>4.7119624999999998E-2</v>
      </c>
      <c r="O137" s="4">
        <f t="shared" si="5"/>
        <v>0.63611493749999992</v>
      </c>
      <c r="P137">
        <v>75</v>
      </c>
      <c r="Q137">
        <v>5</v>
      </c>
      <c r="R137">
        <v>3</v>
      </c>
      <c r="S137">
        <v>4</v>
      </c>
      <c r="T137">
        <v>4</v>
      </c>
      <c r="U137">
        <v>2.5</v>
      </c>
      <c r="V137" t="s">
        <v>27</v>
      </c>
    </row>
    <row r="138" spans="1:22" x14ac:dyDescent="0.25">
      <c r="A138" t="s">
        <v>51</v>
      </c>
      <c r="B138">
        <v>3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34</v>
      </c>
      <c r="K138">
        <v>2459</v>
      </c>
      <c r="L138">
        <v>23.7</v>
      </c>
      <c r="M138">
        <v>13.3</v>
      </c>
      <c r="N138" s="4">
        <f t="shared" si="4"/>
        <v>4.4092664999999996E-2</v>
      </c>
      <c r="O138" s="4">
        <f t="shared" si="5"/>
        <v>0.58643244449999998</v>
      </c>
      <c r="P138">
        <v>88</v>
      </c>
      <c r="Q138">
        <v>5</v>
      </c>
      <c r="R138">
        <v>3</v>
      </c>
      <c r="S138">
        <v>3.5</v>
      </c>
      <c r="T138">
        <v>3.5</v>
      </c>
      <c r="U138">
        <v>2.5</v>
      </c>
      <c r="V138" t="s">
        <v>27</v>
      </c>
    </row>
    <row r="139" spans="1:22" x14ac:dyDescent="0.25">
      <c r="A139" t="s">
        <v>51</v>
      </c>
      <c r="B139">
        <v>3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35</v>
      </c>
      <c r="K139">
        <v>1785</v>
      </c>
      <c r="L139">
        <v>10.5</v>
      </c>
      <c r="M139">
        <v>7.6</v>
      </c>
      <c r="N139" s="4">
        <f t="shared" si="4"/>
        <v>8.6546249999999991E-3</v>
      </c>
      <c r="O139" s="4">
        <f t="shared" si="5"/>
        <v>6.5775149999999991E-2</v>
      </c>
      <c r="P139">
        <v>88</v>
      </c>
      <c r="Q139">
        <v>2.2999999999999998</v>
      </c>
      <c r="R139">
        <v>2</v>
      </c>
      <c r="S139">
        <v>3</v>
      </c>
      <c r="T139">
        <v>3.5</v>
      </c>
      <c r="U139">
        <v>3</v>
      </c>
      <c r="V139" t="s">
        <v>30</v>
      </c>
    </row>
    <row r="140" spans="1:22" x14ac:dyDescent="0.25">
      <c r="A140" t="s">
        <v>51</v>
      </c>
      <c r="B140">
        <v>3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36</v>
      </c>
      <c r="K140">
        <v>1598</v>
      </c>
      <c r="L140">
        <v>14</v>
      </c>
      <c r="M140">
        <v>10.3</v>
      </c>
      <c r="N140" s="4">
        <f t="shared" si="4"/>
        <v>1.5386000000000002E-2</v>
      </c>
      <c r="O140" s="4">
        <f t="shared" si="5"/>
        <v>0.15847580000000003</v>
      </c>
      <c r="P140">
        <v>100</v>
      </c>
      <c r="Q140">
        <v>3.5</v>
      </c>
      <c r="R140">
        <v>4</v>
      </c>
      <c r="S140">
        <v>2</v>
      </c>
      <c r="T140">
        <v>3</v>
      </c>
      <c r="U140">
        <v>2</v>
      </c>
      <c r="V140" t="s">
        <v>38</v>
      </c>
    </row>
    <row r="141" spans="1:22" x14ac:dyDescent="0.25">
      <c r="A141" t="s">
        <v>51</v>
      </c>
      <c r="B141">
        <v>3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62</v>
      </c>
      <c r="K141">
        <v>1787</v>
      </c>
      <c r="L141">
        <v>21.8</v>
      </c>
      <c r="M141">
        <v>13.8</v>
      </c>
      <c r="N141" s="4">
        <f t="shared" si="4"/>
        <v>3.730634E-2</v>
      </c>
      <c r="O141" s="4">
        <f t="shared" si="5"/>
        <v>0.514827492</v>
      </c>
      <c r="P141">
        <v>100</v>
      </c>
      <c r="Q141">
        <v>5</v>
      </c>
      <c r="R141">
        <v>3</v>
      </c>
      <c r="S141">
        <v>3</v>
      </c>
      <c r="T141">
        <v>3</v>
      </c>
      <c r="U141">
        <v>2</v>
      </c>
      <c r="V141" t="s">
        <v>27</v>
      </c>
    </row>
    <row r="142" spans="1:22" x14ac:dyDescent="0.25">
      <c r="A142" t="s">
        <v>51</v>
      </c>
      <c r="B142">
        <v>3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62</v>
      </c>
      <c r="K142">
        <v>2482</v>
      </c>
      <c r="L142">
        <v>16.399999999999999</v>
      </c>
      <c r="M142">
        <v>12.1</v>
      </c>
      <c r="N142" s="4">
        <f t="shared" si="4"/>
        <v>2.1113359999999994E-2</v>
      </c>
      <c r="O142" s="4">
        <f t="shared" si="5"/>
        <v>0.25547165599999994</v>
      </c>
      <c r="P142">
        <v>88</v>
      </c>
      <c r="Q142">
        <v>4.8</v>
      </c>
      <c r="R142">
        <v>3</v>
      </c>
      <c r="S142">
        <v>3.3</v>
      </c>
      <c r="T142">
        <v>3.5</v>
      </c>
      <c r="U142">
        <v>2</v>
      </c>
      <c r="V142" t="s">
        <v>27</v>
      </c>
    </row>
    <row r="143" spans="1:22" x14ac:dyDescent="0.25">
      <c r="A143" t="s">
        <v>51</v>
      </c>
      <c r="B143">
        <v>3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62</v>
      </c>
      <c r="K143">
        <v>2431</v>
      </c>
      <c r="L143">
        <v>17.600000000000001</v>
      </c>
      <c r="M143">
        <v>12.4</v>
      </c>
      <c r="N143" s="4">
        <f t="shared" si="4"/>
        <v>2.4316160000000007E-2</v>
      </c>
      <c r="O143" s="4">
        <f t="shared" si="5"/>
        <v>0.30152038400000009</v>
      </c>
      <c r="P143">
        <v>100</v>
      </c>
      <c r="Q143">
        <v>3.5</v>
      </c>
      <c r="R143">
        <v>3.3</v>
      </c>
      <c r="S143">
        <v>3</v>
      </c>
      <c r="T143">
        <v>3</v>
      </c>
      <c r="U143">
        <v>2</v>
      </c>
      <c r="V143" t="s">
        <v>25</v>
      </c>
    </row>
    <row r="144" spans="1:22" x14ac:dyDescent="0.25">
      <c r="A144" t="s">
        <v>51</v>
      </c>
      <c r="B144">
        <v>3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64</v>
      </c>
      <c r="K144">
        <v>1192</v>
      </c>
      <c r="L144">
        <v>12.2</v>
      </c>
      <c r="M144">
        <v>4.4000000000000004</v>
      </c>
      <c r="N144" s="4">
        <f t="shared" si="4"/>
        <v>1.168394E-2</v>
      </c>
      <c r="O144" s="4">
        <f t="shared" si="5"/>
        <v>5.1409336000000007E-2</v>
      </c>
      <c r="P144">
        <v>75</v>
      </c>
      <c r="Q144">
        <v>3</v>
      </c>
      <c r="R144">
        <v>2</v>
      </c>
      <c r="S144">
        <v>3</v>
      </c>
      <c r="T144">
        <v>2.5</v>
      </c>
      <c r="U144">
        <v>2.5</v>
      </c>
      <c r="V144" t="s">
        <v>30</v>
      </c>
    </row>
    <row r="145" spans="1:22" x14ac:dyDescent="0.25">
      <c r="A145" t="s">
        <v>51</v>
      </c>
      <c r="B145">
        <v>3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37</v>
      </c>
      <c r="K145">
        <v>1524</v>
      </c>
      <c r="L145">
        <v>9</v>
      </c>
      <c r="M145">
        <v>6.8</v>
      </c>
      <c r="N145" s="4">
        <f t="shared" si="4"/>
        <v>6.3584999999999996E-3</v>
      </c>
      <c r="O145" s="4">
        <f t="shared" si="5"/>
        <v>4.3237799999999993E-2</v>
      </c>
      <c r="P145">
        <v>100</v>
      </c>
      <c r="Q145">
        <v>2</v>
      </c>
      <c r="R145">
        <v>1.5</v>
      </c>
      <c r="S145">
        <v>2</v>
      </c>
      <c r="T145">
        <v>4</v>
      </c>
      <c r="U145">
        <v>3.5</v>
      </c>
      <c r="V145" t="s">
        <v>50</v>
      </c>
    </row>
    <row r="146" spans="1:22" x14ac:dyDescent="0.25">
      <c r="A146" t="s">
        <v>51</v>
      </c>
      <c r="B146">
        <v>3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39</v>
      </c>
      <c r="K146">
        <v>2435</v>
      </c>
      <c r="L146">
        <v>20.3</v>
      </c>
      <c r="M146">
        <v>13.6</v>
      </c>
      <c r="N146" s="4">
        <f t="shared" si="4"/>
        <v>3.2349065000000003E-2</v>
      </c>
      <c r="O146" s="4">
        <f t="shared" si="5"/>
        <v>0.43994728400000005</v>
      </c>
      <c r="P146">
        <v>63</v>
      </c>
      <c r="Q146">
        <v>4</v>
      </c>
      <c r="R146">
        <v>2.7</v>
      </c>
      <c r="S146">
        <v>3</v>
      </c>
      <c r="T146">
        <v>2.5</v>
      </c>
      <c r="U146">
        <v>2</v>
      </c>
      <c r="V146" t="s">
        <v>25</v>
      </c>
    </row>
    <row r="147" spans="1:22" x14ac:dyDescent="0.25">
      <c r="A147" t="s">
        <v>51</v>
      </c>
      <c r="B147">
        <v>3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63</v>
      </c>
      <c r="K147">
        <v>1340</v>
      </c>
      <c r="L147">
        <v>8.8000000000000007</v>
      </c>
      <c r="M147">
        <v>6.3</v>
      </c>
      <c r="N147" s="4">
        <f t="shared" si="4"/>
        <v>6.0790400000000017E-3</v>
      </c>
      <c r="O147" s="4">
        <f t="shared" si="5"/>
        <v>3.829795200000001E-2</v>
      </c>
      <c r="P147">
        <v>100</v>
      </c>
      <c r="Q147">
        <v>2</v>
      </c>
      <c r="R147">
        <v>2</v>
      </c>
      <c r="S147">
        <v>1</v>
      </c>
      <c r="T147">
        <v>2</v>
      </c>
      <c r="U147">
        <v>2</v>
      </c>
      <c r="V147" t="s">
        <v>50</v>
      </c>
    </row>
    <row r="148" spans="1:22" x14ac:dyDescent="0.25">
      <c r="A148" t="s">
        <v>65</v>
      </c>
      <c r="B148">
        <v>1</v>
      </c>
      <c r="C148" t="s">
        <v>66</v>
      </c>
      <c r="D148" t="s">
        <v>67</v>
      </c>
      <c r="E148" t="s">
        <v>68</v>
      </c>
      <c r="F148">
        <v>180</v>
      </c>
      <c r="G148">
        <v>1080</v>
      </c>
      <c r="H148">
        <v>-3</v>
      </c>
      <c r="I148">
        <v>1981</v>
      </c>
      <c r="J148" t="s">
        <v>55</v>
      </c>
      <c r="K148">
        <v>1094</v>
      </c>
      <c r="L148">
        <v>2.86</v>
      </c>
      <c r="M148">
        <v>3.2</v>
      </c>
      <c r="N148" s="4">
        <f t="shared" si="4"/>
        <v>6.4209860000000011E-4</v>
      </c>
      <c r="O148" s="4">
        <f t="shared" si="5"/>
        <v>2.0547155200000005E-3</v>
      </c>
      <c r="P148">
        <v>25</v>
      </c>
      <c r="Q148">
        <v>2</v>
      </c>
      <c r="R148">
        <v>2</v>
      </c>
      <c r="S148">
        <v>2</v>
      </c>
      <c r="T148">
        <v>2</v>
      </c>
      <c r="U148">
        <v>2</v>
      </c>
      <c r="V148" t="s">
        <v>50</v>
      </c>
    </row>
    <row r="149" spans="1:22" x14ac:dyDescent="0.25">
      <c r="A149" t="s">
        <v>65</v>
      </c>
      <c r="B149">
        <v>1</v>
      </c>
      <c r="C149" t="s">
        <v>66</v>
      </c>
      <c r="D149" t="s">
        <v>67</v>
      </c>
      <c r="E149" t="s">
        <v>68</v>
      </c>
      <c r="F149">
        <v>180</v>
      </c>
      <c r="G149">
        <v>1080</v>
      </c>
      <c r="H149">
        <v>-3</v>
      </c>
      <c r="I149">
        <v>1981</v>
      </c>
      <c r="J149" t="s">
        <v>56</v>
      </c>
      <c r="K149">
        <v>1111</v>
      </c>
      <c r="L149">
        <v>4.49</v>
      </c>
      <c r="M149">
        <v>4.1100000000000003</v>
      </c>
      <c r="N149" s="4">
        <f t="shared" si="4"/>
        <v>1.5825678500000003E-3</v>
      </c>
      <c r="O149" s="4">
        <f t="shared" si="5"/>
        <v>6.5043538635000016E-3</v>
      </c>
      <c r="P149">
        <v>44</v>
      </c>
      <c r="Q149">
        <v>2.5</v>
      </c>
      <c r="R149">
        <v>3</v>
      </c>
      <c r="S149">
        <v>3</v>
      </c>
      <c r="T149">
        <v>3</v>
      </c>
      <c r="U149">
        <v>3</v>
      </c>
      <c r="V149" t="s">
        <v>30</v>
      </c>
    </row>
    <row r="150" spans="1:22" x14ac:dyDescent="0.25">
      <c r="A150" t="s">
        <v>65</v>
      </c>
      <c r="B150">
        <v>1</v>
      </c>
      <c r="C150" t="s">
        <v>66</v>
      </c>
      <c r="D150" t="s">
        <v>67</v>
      </c>
      <c r="E150" t="s">
        <v>68</v>
      </c>
      <c r="F150">
        <v>180</v>
      </c>
      <c r="G150">
        <v>1080</v>
      </c>
      <c r="H150">
        <v>-3</v>
      </c>
      <c r="I150">
        <v>1981</v>
      </c>
      <c r="J150" t="s">
        <v>57</v>
      </c>
      <c r="K150">
        <v>1112</v>
      </c>
      <c r="L150">
        <v>9.89</v>
      </c>
      <c r="M150">
        <v>6.68</v>
      </c>
      <c r="N150" s="4">
        <f t="shared" si="4"/>
        <v>7.6782498500000008E-3</v>
      </c>
      <c r="O150" s="4">
        <f t="shared" si="5"/>
        <v>5.1290708998000006E-2</v>
      </c>
      <c r="P150">
        <v>100</v>
      </c>
      <c r="Q150">
        <v>3.5</v>
      </c>
      <c r="R150">
        <v>2</v>
      </c>
      <c r="S150">
        <v>3</v>
      </c>
      <c r="T150">
        <v>4</v>
      </c>
      <c r="U150">
        <v>3</v>
      </c>
      <c r="V150" t="s">
        <v>27</v>
      </c>
    </row>
    <row r="151" spans="1:22" x14ac:dyDescent="0.25">
      <c r="A151" t="s">
        <v>65</v>
      </c>
      <c r="B151">
        <v>1</v>
      </c>
      <c r="C151" t="s">
        <v>66</v>
      </c>
      <c r="D151" t="s">
        <v>67</v>
      </c>
      <c r="E151" t="s">
        <v>68</v>
      </c>
      <c r="F151">
        <v>180</v>
      </c>
      <c r="G151">
        <v>1080</v>
      </c>
      <c r="H151">
        <v>-3</v>
      </c>
      <c r="I151">
        <v>1981</v>
      </c>
      <c r="J151" t="s">
        <v>60</v>
      </c>
      <c r="K151">
        <v>1595</v>
      </c>
      <c r="L151">
        <v>5.34</v>
      </c>
      <c r="M151">
        <v>3.05</v>
      </c>
      <c r="N151" s="4">
        <f t="shared" si="4"/>
        <v>2.2384745999999996E-3</v>
      </c>
      <c r="O151" s="4">
        <f t="shared" si="5"/>
        <v>6.8273475299999989E-3</v>
      </c>
      <c r="P151">
        <v>75</v>
      </c>
      <c r="Q151">
        <v>2.7</v>
      </c>
      <c r="R151">
        <v>1</v>
      </c>
      <c r="S151">
        <v>3</v>
      </c>
      <c r="T151">
        <v>4</v>
      </c>
      <c r="U151">
        <v>4</v>
      </c>
      <c r="V151" t="s">
        <v>30</v>
      </c>
    </row>
    <row r="152" spans="1:22" x14ac:dyDescent="0.25">
      <c r="A152" t="s">
        <v>65</v>
      </c>
      <c r="B152">
        <v>1</v>
      </c>
      <c r="C152" t="s">
        <v>66</v>
      </c>
      <c r="D152" t="s">
        <v>67</v>
      </c>
      <c r="E152" t="s">
        <v>68</v>
      </c>
      <c r="F152">
        <v>180</v>
      </c>
      <c r="G152">
        <v>1080</v>
      </c>
      <c r="H152">
        <v>-3</v>
      </c>
      <c r="I152">
        <v>1981</v>
      </c>
      <c r="J152" t="s">
        <v>26</v>
      </c>
      <c r="K152">
        <v>1339</v>
      </c>
      <c r="L152">
        <v>3.28</v>
      </c>
      <c r="M152">
        <v>4.07</v>
      </c>
      <c r="N152" s="4">
        <f t="shared" si="4"/>
        <v>8.4453439999999989E-4</v>
      </c>
      <c r="O152" s="4">
        <f t="shared" si="5"/>
        <v>3.4372550079999997E-3</v>
      </c>
      <c r="P152">
        <v>75</v>
      </c>
      <c r="Q152">
        <v>2</v>
      </c>
      <c r="R152">
        <v>3</v>
      </c>
      <c r="S152">
        <v>3</v>
      </c>
      <c r="T152">
        <v>3</v>
      </c>
      <c r="U152">
        <v>3</v>
      </c>
      <c r="V152" t="s">
        <v>30</v>
      </c>
    </row>
    <row r="153" spans="1:22" x14ac:dyDescent="0.25">
      <c r="A153" t="s">
        <v>65</v>
      </c>
      <c r="B153">
        <v>1</v>
      </c>
      <c r="C153" t="s">
        <v>66</v>
      </c>
      <c r="D153" t="s">
        <v>67</v>
      </c>
      <c r="E153" t="s">
        <v>68</v>
      </c>
      <c r="F153">
        <v>180</v>
      </c>
      <c r="G153">
        <v>1080</v>
      </c>
      <c r="H153">
        <v>-3</v>
      </c>
      <c r="I153">
        <v>1981</v>
      </c>
      <c r="J153" t="s">
        <v>26</v>
      </c>
      <c r="K153">
        <v>2447</v>
      </c>
      <c r="L153">
        <v>7.62</v>
      </c>
      <c r="M153">
        <v>5.39</v>
      </c>
      <c r="N153" s="4">
        <f t="shared" si="4"/>
        <v>4.5580554000000002E-3</v>
      </c>
      <c r="O153" s="4">
        <f t="shared" si="5"/>
        <v>2.4567918606000001E-2</v>
      </c>
      <c r="P153">
        <v>100</v>
      </c>
      <c r="Q153">
        <v>3</v>
      </c>
      <c r="R153">
        <v>3</v>
      </c>
      <c r="S153">
        <v>3</v>
      </c>
      <c r="T153">
        <v>3.5</v>
      </c>
      <c r="U153">
        <v>3</v>
      </c>
      <c r="V153" t="s">
        <v>25</v>
      </c>
    </row>
    <row r="154" spans="1:22" x14ac:dyDescent="0.25">
      <c r="A154" t="s">
        <v>65</v>
      </c>
      <c r="B154">
        <v>1</v>
      </c>
      <c r="C154" t="s">
        <v>66</v>
      </c>
      <c r="D154" t="s">
        <v>67</v>
      </c>
      <c r="E154" t="s">
        <v>68</v>
      </c>
      <c r="F154">
        <v>180</v>
      </c>
      <c r="G154">
        <v>1080</v>
      </c>
      <c r="H154">
        <v>-3</v>
      </c>
      <c r="I154">
        <v>1981</v>
      </c>
      <c r="J154" t="s">
        <v>26</v>
      </c>
      <c r="K154">
        <v>1786</v>
      </c>
      <c r="L154">
        <v>6.05</v>
      </c>
      <c r="M154">
        <v>5.39</v>
      </c>
      <c r="N154" s="4">
        <f t="shared" si="4"/>
        <v>2.8732962499999999E-3</v>
      </c>
      <c r="O154" s="4">
        <f t="shared" si="5"/>
        <v>1.5487066787499998E-2</v>
      </c>
      <c r="P154">
        <v>88</v>
      </c>
      <c r="Q154">
        <v>4</v>
      </c>
      <c r="R154">
        <v>4</v>
      </c>
      <c r="S154">
        <v>3.5</v>
      </c>
      <c r="T154">
        <v>3.5</v>
      </c>
      <c r="U154">
        <v>3.5</v>
      </c>
      <c r="V154" t="s">
        <v>25</v>
      </c>
    </row>
    <row r="155" spans="1:22" x14ac:dyDescent="0.25">
      <c r="A155" t="s">
        <v>65</v>
      </c>
      <c r="B155">
        <v>1</v>
      </c>
      <c r="C155" t="s">
        <v>66</v>
      </c>
      <c r="D155" t="s">
        <v>67</v>
      </c>
      <c r="E155" t="s">
        <v>68</v>
      </c>
      <c r="F155">
        <v>180</v>
      </c>
      <c r="G155">
        <v>1080</v>
      </c>
      <c r="H155">
        <v>-3</v>
      </c>
      <c r="I155">
        <v>1981</v>
      </c>
      <c r="J155" t="s">
        <v>32</v>
      </c>
      <c r="K155">
        <v>1596</v>
      </c>
      <c r="L155">
        <v>6.38</v>
      </c>
      <c r="M155">
        <v>5.07</v>
      </c>
      <c r="N155" s="4">
        <f t="shared" si="4"/>
        <v>3.1952954E-3</v>
      </c>
      <c r="O155" s="4">
        <f t="shared" si="5"/>
        <v>1.6200147678000001E-2</v>
      </c>
      <c r="P155">
        <v>88</v>
      </c>
      <c r="Q155">
        <v>3</v>
      </c>
      <c r="R155">
        <v>4</v>
      </c>
      <c r="S155">
        <v>3.5</v>
      </c>
      <c r="T155">
        <v>4</v>
      </c>
      <c r="U155">
        <v>4</v>
      </c>
      <c r="V155" t="s">
        <v>27</v>
      </c>
    </row>
    <row r="156" spans="1:22" x14ac:dyDescent="0.25">
      <c r="A156" t="s">
        <v>65</v>
      </c>
      <c r="B156">
        <v>1</v>
      </c>
      <c r="C156" t="s">
        <v>66</v>
      </c>
      <c r="D156" t="s">
        <v>67</v>
      </c>
      <c r="E156" t="s">
        <v>68</v>
      </c>
      <c r="F156">
        <v>180</v>
      </c>
      <c r="G156">
        <v>1080</v>
      </c>
      <c r="H156">
        <v>-3</v>
      </c>
      <c r="I156">
        <v>1981</v>
      </c>
      <c r="J156" t="s">
        <v>61</v>
      </c>
      <c r="K156">
        <v>1171</v>
      </c>
      <c r="L156">
        <v>6.16</v>
      </c>
      <c r="M156">
        <v>4.3</v>
      </c>
      <c r="N156" s="4">
        <f t="shared" si="4"/>
        <v>2.9787296000000005E-3</v>
      </c>
      <c r="O156" s="4">
        <f t="shared" si="5"/>
        <v>1.2808537280000001E-2</v>
      </c>
      <c r="P156">
        <v>40</v>
      </c>
      <c r="Q156">
        <v>3</v>
      </c>
      <c r="R156">
        <v>2</v>
      </c>
      <c r="S156">
        <v>1</v>
      </c>
      <c r="T156">
        <v>1</v>
      </c>
      <c r="U156">
        <v>1</v>
      </c>
      <c r="V156" t="s">
        <v>30</v>
      </c>
    </row>
    <row r="157" spans="1:22" x14ac:dyDescent="0.25">
      <c r="A157" t="s">
        <v>65</v>
      </c>
      <c r="B157">
        <v>1</v>
      </c>
      <c r="C157" t="s">
        <v>66</v>
      </c>
      <c r="D157" t="s">
        <v>67</v>
      </c>
      <c r="E157" t="s">
        <v>68</v>
      </c>
      <c r="F157">
        <v>180</v>
      </c>
      <c r="G157">
        <v>1080</v>
      </c>
      <c r="H157">
        <v>-3</v>
      </c>
      <c r="I157">
        <v>1981</v>
      </c>
      <c r="J157" t="s">
        <v>34</v>
      </c>
      <c r="K157">
        <v>2469</v>
      </c>
      <c r="L157">
        <v>19.920000000000002</v>
      </c>
      <c r="M157">
        <v>7.37</v>
      </c>
      <c r="N157" s="4">
        <f t="shared" si="4"/>
        <v>3.1149302400000002E-2</v>
      </c>
      <c r="O157" s="4">
        <f t="shared" si="5"/>
        <v>0.22957035868800002</v>
      </c>
      <c r="P157">
        <v>13</v>
      </c>
      <c r="Q157">
        <v>2</v>
      </c>
      <c r="R157">
        <v>2.5</v>
      </c>
      <c r="S157">
        <v>3</v>
      </c>
      <c r="T157">
        <v>3</v>
      </c>
      <c r="U157">
        <v>3</v>
      </c>
      <c r="V157" t="s">
        <v>30</v>
      </c>
    </row>
    <row r="158" spans="1:22" x14ac:dyDescent="0.25">
      <c r="A158" t="s">
        <v>65</v>
      </c>
      <c r="B158">
        <v>1</v>
      </c>
      <c r="C158" t="s">
        <v>66</v>
      </c>
      <c r="D158" t="s">
        <v>67</v>
      </c>
      <c r="E158" t="s">
        <v>68</v>
      </c>
      <c r="F158">
        <v>180</v>
      </c>
      <c r="G158">
        <v>1080</v>
      </c>
      <c r="H158">
        <v>-3</v>
      </c>
      <c r="I158">
        <v>1981</v>
      </c>
      <c r="J158" t="s">
        <v>35</v>
      </c>
      <c r="K158">
        <v>1785</v>
      </c>
      <c r="L158">
        <v>3.91</v>
      </c>
      <c r="M158">
        <v>3.91</v>
      </c>
      <c r="N158" s="4">
        <f t="shared" si="4"/>
        <v>1.2001158500000002E-3</v>
      </c>
      <c r="O158" s="4">
        <f t="shared" si="5"/>
        <v>4.6924529735000008E-3</v>
      </c>
      <c r="P158">
        <v>63</v>
      </c>
      <c r="Q158">
        <v>2.5</v>
      </c>
      <c r="R158">
        <v>1.5</v>
      </c>
      <c r="S158">
        <v>3</v>
      </c>
      <c r="T158">
        <v>4</v>
      </c>
      <c r="U158">
        <v>3</v>
      </c>
      <c r="V158" t="s">
        <v>38</v>
      </c>
    </row>
    <row r="159" spans="1:22" x14ac:dyDescent="0.25">
      <c r="A159" t="s">
        <v>65</v>
      </c>
      <c r="B159">
        <v>1</v>
      </c>
      <c r="C159" t="s">
        <v>66</v>
      </c>
      <c r="D159" t="s">
        <v>67</v>
      </c>
      <c r="E159" t="s">
        <v>68</v>
      </c>
      <c r="F159">
        <v>180</v>
      </c>
      <c r="G159">
        <v>1080</v>
      </c>
      <c r="H159">
        <v>-3</v>
      </c>
      <c r="I159">
        <v>1981</v>
      </c>
      <c r="J159" t="s">
        <v>36</v>
      </c>
      <c r="K159">
        <v>1598</v>
      </c>
      <c r="L159">
        <v>10.75</v>
      </c>
      <c r="M159">
        <v>9.26</v>
      </c>
      <c r="N159" s="4">
        <f t="shared" si="4"/>
        <v>9.071656249999999E-3</v>
      </c>
      <c r="O159" s="4">
        <f t="shared" si="5"/>
        <v>8.4003536874999993E-2</v>
      </c>
      <c r="P159">
        <v>88</v>
      </c>
      <c r="Q159">
        <v>4</v>
      </c>
      <c r="R159">
        <v>4</v>
      </c>
      <c r="S159">
        <v>4</v>
      </c>
      <c r="T159">
        <v>4</v>
      </c>
      <c r="U159">
        <v>4</v>
      </c>
      <c r="V159" t="s">
        <v>27</v>
      </c>
    </row>
    <row r="160" spans="1:22" x14ac:dyDescent="0.25">
      <c r="A160" t="s">
        <v>65</v>
      </c>
      <c r="B160">
        <v>1</v>
      </c>
      <c r="C160" t="s">
        <v>66</v>
      </c>
      <c r="D160" t="s">
        <v>67</v>
      </c>
      <c r="E160" t="s">
        <v>68</v>
      </c>
      <c r="F160">
        <v>180</v>
      </c>
      <c r="G160">
        <v>1080</v>
      </c>
      <c r="H160">
        <v>-3</v>
      </c>
      <c r="I160">
        <v>1981</v>
      </c>
      <c r="J160" t="s">
        <v>62</v>
      </c>
      <c r="K160">
        <v>2428</v>
      </c>
      <c r="L160">
        <v>3.63</v>
      </c>
      <c r="M160">
        <v>5.0199999999999996</v>
      </c>
      <c r="N160" s="4">
        <f t="shared" si="4"/>
        <v>1.03438665E-3</v>
      </c>
      <c r="O160" s="4">
        <f t="shared" si="5"/>
        <v>5.1926209829999993E-3</v>
      </c>
      <c r="P160">
        <v>63</v>
      </c>
      <c r="Q160">
        <v>4</v>
      </c>
      <c r="R160">
        <v>3.5</v>
      </c>
      <c r="S160">
        <v>4</v>
      </c>
      <c r="T160">
        <v>4</v>
      </c>
      <c r="U160">
        <v>3.5</v>
      </c>
      <c r="V160" t="s">
        <v>25</v>
      </c>
    </row>
    <row r="161" spans="1:22" x14ac:dyDescent="0.25">
      <c r="A161" t="s">
        <v>65</v>
      </c>
      <c r="B161">
        <v>1</v>
      </c>
      <c r="C161" t="s">
        <v>66</v>
      </c>
      <c r="D161" t="s">
        <v>67</v>
      </c>
      <c r="E161" t="s">
        <v>68</v>
      </c>
      <c r="F161">
        <v>180</v>
      </c>
      <c r="G161">
        <v>1080</v>
      </c>
      <c r="H161">
        <v>-3</v>
      </c>
      <c r="I161">
        <v>1981</v>
      </c>
      <c r="J161" t="s">
        <v>62</v>
      </c>
      <c r="K161">
        <v>2431</v>
      </c>
      <c r="L161">
        <v>6.14</v>
      </c>
      <c r="M161">
        <v>5.86</v>
      </c>
      <c r="N161" s="4">
        <f t="shared" si="4"/>
        <v>2.9594185999999999E-3</v>
      </c>
      <c r="O161" s="4">
        <f t="shared" si="5"/>
        <v>1.7342192996000001E-2</v>
      </c>
      <c r="P161">
        <v>75</v>
      </c>
      <c r="Q161">
        <v>4</v>
      </c>
      <c r="R161">
        <v>3</v>
      </c>
      <c r="S161">
        <v>4</v>
      </c>
      <c r="T161">
        <v>4</v>
      </c>
      <c r="U161">
        <v>4</v>
      </c>
      <c r="V161" t="s">
        <v>27</v>
      </c>
    </row>
    <row r="162" spans="1:22" x14ac:dyDescent="0.25">
      <c r="A162" t="s">
        <v>65</v>
      </c>
      <c r="B162">
        <v>1</v>
      </c>
      <c r="C162" t="s">
        <v>66</v>
      </c>
      <c r="D162" t="s">
        <v>67</v>
      </c>
      <c r="E162" t="s">
        <v>68</v>
      </c>
      <c r="F162">
        <v>180</v>
      </c>
      <c r="G162">
        <v>1080</v>
      </c>
      <c r="H162">
        <v>-3</v>
      </c>
      <c r="I162">
        <v>1981</v>
      </c>
      <c r="J162" t="s">
        <v>62</v>
      </c>
      <c r="K162">
        <v>1787</v>
      </c>
      <c r="L162">
        <v>5.3</v>
      </c>
      <c r="M162">
        <v>4.88</v>
      </c>
      <c r="N162" s="4">
        <f t="shared" si="4"/>
        <v>2.205065E-3</v>
      </c>
      <c r="O162" s="4">
        <f t="shared" si="5"/>
        <v>1.07607172E-2</v>
      </c>
      <c r="P162">
        <v>38</v>
      </c>
      <c r="Q162">
        <v>3.5</v>
      </c>
      <c r="R162">
        <v>3</v>
      </c>
      <c r="S162">
        <v>4</v>
      </c>
      <c r="T162">
        <v>4</v>
      </c>
      <c r="U162">
        <v>4</v>
      </c>
      <c r="V162" t="s">
        <v>25</v>
      </c>
    </row>
    <row r="163" spans="1:22" x14ac:dyDescent="0.25">
      <c r="A163" t="s">
        <v>65</v>
      </c>
      <c r="B163">
        <v>1</v>
      </c>
      <c r="C163" t="s">
        <v>66</v>
      </c>
      <c r="D163" t="s">
        <v>67</v>
      </c>
      <c r="E163" t="s">
        <v>68</v>
      </c>
      <c r="F163">
        <v>180</v>
      </c>
      <c r="G163">
        <v>1080</v>
      </c>
      <c r="H163">
        <v>-3</v>
      </c>
      <c r="I163">
        <v>1981</v>
      </c>
      <c r="J163" t="s">
        <v>39</v>
      </c>
      <c r="K163">
        <v>2435</v>
      </c>
      <c r="L163">
        <v>14.93</v>
      </c>
      <c r="M163">
        <v>9.39</v>
      </c>
      <c r="N163" s="4">
        <f t="shared" si="4"/>
        <v>1.7498034649999997E-2</v>
      </c>
      <c r="O163" s="4">
        <f t="shared" si="5"/>
        <v>0.16430654536349998</v>
      </c>
      <c r="P163">
        <v>63</v>
      </c>
      <c r="Q163">
        <v>4</v>
      </c>
      <c r="R163">
        <v>3</v>
      </c>
      <c r="S163">
        <v>3</v>
      </c>
      <c r="T163">
        <v>2.5</v>
      </c>
      <c r="U163">
        <v>2.5</v>
      </c>
      <c r="V163" t="s">
        <v>25</v>
      </c>
    </row>
    <row r="164" spans="1:22" x14ac:dyDescent="0.25">
      <c r="A164" t="s">
        <v>65</v>
      </c>
      <c r="B164">
        <v>1</v>
      </c>
      <c r="C164" t="s">
        <v>66</v>
      </c>
      <c r="D164" t="s">
        <v>67</v>
      </c>
      <c r="E164" t="s">
        <v>68</v>
      </c>
      <c r="F164">
        <v>180</v>
      </c>
      <c r="G164">
        <v>1080</v>
      </c>
      <c r="H164">
        <v>-3</v>
      </c>
      <c r="I164">
        <v>1981</v>
      </c>
      <c r="J164" t="s">
        <v>37</v>
      </c>
      <c r="K164">
        <v>1524</v>
      </c>
      <c r="L164">
        <v>3.21</v>
      </c>
      <c r="M164">
        <v>3.72</v>
      </c>
      <c r="N164" s="4">
        <f t="shared" si="4"/>
        <v>8.0887184999999993E-4</v>
      </c>
      <c r="O164" s="4">
        <f t="shared" si="5"/>
        <v>3.0090032819999999E-3</v>
      </c>
      <c r="P164">
        <v>50</v>
      </c>
      <c r="Q164">
        <v>1.5</v>
      </c>
      <c r="R164">
        <v>2</v>
      </c>
      <c r="S164">
        <v>2</v>
      </c>
      <c r="T164">
        <v>4</v>
      </c>
      <c r="U164">
        <v>4</v>
      </c>
      <c r="V164" t="s">
        <v>30</v>
      </c>
    </row>
    <row r="165" spans="1:22" x14ac:dyDescent="0.25">
      <c r="A165" t="s">
        <v>65</v>
      </c>
      <c r="B165">
        <v>1</v>
      </c>
      <c r="C165" t="s">
        <v>66</v>
      </c>
      <c r="D165" t="s">
        <v>67</v>
      </c>
      <c r="E165" t="s">
        <v>68</v>
      </c>
      <c r="F165">
        <v>180</v>
      </c>
      <c r="G165">
        <v>1080</v>
      </c>
      <c r="H165">
        <v>-3</v>
      </c>
      <c r="I165">
        <v>1981</v>
      </c>
      <c r="J165" t="s">
        <v>63</v>
      </c>
      <c r="K165">
        <v>1340</v>
      </c>
      <c r="L165">
        <v>5.93</v>
      </c>
      <c r="M165">
        <v>6.48</v>
      </c>
      <c r="N165" s="4">
        <f t="shared" si="4"/>
        <v>2.7604446499999999E-3</v>
      </c>
      <c r="O165" s="4">
        <f t="shared" si="5"/>
        <v>1.7887681331999999E-2</v>
      </c>
      <c r="P165">
        <v>100</v>
      </c>
      <c r="Q165">
        <v>1.8</v>
      </c>
      <c r="R165">
        <v>1.8</v>
      </c>
      <c r="S165">
        <v>2</v>
      </c>
      <c r="T165">
        <v>2</v>
      </c>
      <c r="U165">
        <v>3</v>
      </c>
      <c r="V165" t="s">
        <v>30</v>
      </c>
    </row>
    <row r="166" spans="1:22" x14ac:dyDescent="0.25">
      <c r="A166" t="s">
        <v>65</v>
      </c>
      <c r="B166">
        <v>1</v>
      </c>
      <c r="C166" t="s">
        <v>66</v>
      </c>
      <c r="D166" t="s">
        <v>67</v>
      </c>
      <c r="E166" t="s">
        <v>68</v>
      </c>
      <c r="F166">
        <v>180</v>
      </c>
      <c r="G166">
        <v>1080</v>
      </c>
      <c r="H166">
        <v>-3</v>
      </c>
      <c r="I166">
        <v>1981</v>
      </c>
      <c r="J166" t="s">
        <v>69</v>
      </c>
      <c r="K166">
        <v>1780</v>
      </c>
      <c r="L166">
        <v>6.24</v>
      </c>
      <c r="M166">
        <v>4.8499999999999996</v>
      </c>
      <c r="N166" s="4">
        <f t="shared" si="4"/>
        <v>3.0566016000000006E-3</v>
      </c>
      <c r="O166" s="4">
        <f t="shared" si="5"/>
        <v>1.4824517760000001E-2</v>
      </c>
      <c r="P166">
        <v>25</v>
      </c>
      <c r="Q166">
        <v>2.5</v>
      </c>
      <c r="R166">
        <v>4</v>
      </c>
      <c r="S166">
        <v>3</v>
      </c>
      <c r="T166">
        <v>3</v>
      </c>
      <c r="U166">
        <v>3</v>
      </c>
      <c r="V166" t="s">
        <v>30</v>
      </c>
    </row>
    <row r="167" spans="1:22" x14ac:dyDescent="0.25">
      <c r="A167" t="s">
        <v>65</v>
      </c>
      <c r="B167">
        <v>2</v>
      </c>
      <c r="C167" t="s">
        <v>66</v>
      </c>
      <c r="D167" t="s">
        <v>67</v>
      </c>
      <c r="E167" t="s">
        <v>68</v>
      </c>
      <c r="F167">
        <v>180</v>
      </c>
      <c r="G167">
        <v>1080</v>
      </c>
      <c r="H167">
        <v>-3</v>
      </c>
      <c r="I167">
        <v>1981</v>
      </c>
      <c r="J167" t="s">
        <v>55</v>
      </c>
      <c r="K167">
        <v>1094</v>
      </c>
      <c r="L167">
        <v>1.03</v>
      </c>
      <c r="M167">
        <v>2.17</v>
      </c>
      <c r="N167" s="4">
        <f t="shared" si="4"/>
        <v>8.3280650000000007E-5</v>
      </c>
      <c r="O167" s="4">
        <f t="shared" si="5"/>
        <v>1.8071901050000001E-4</v>
      </c>
      <c r="P167">
        <v>13</v>
      </c>
      <c r="Q167">
        <v>2</v>
      </c>
      <c r="R167">
        <v>2</v>
      </c>
      <c r="S167">
        <v>2</v>
      </c>
      <c r="T167">
        <v>2</v>
      </c>
      <c r="U167">
        <v>2</v>
      </c>
      <c r="V167" t="s">
        <v>50</v>
      </c>
    </row>
    <row r="168" spans="1:22" x14ac:dyDescent="0.25">
      <c r="A168" t="s">
        <v>65</v>
      </c>
      <c r="B168">
        <v>2</v>
      </c>
      <c r="C168" t="s">
        <v>66</v>
      </c>
      <c r="D168" t="s">
        <v>67</v>
      </c>
      <c r="E168" t="s">
        <v>68</v>
      </c>
      <c r="F168">
        <v>180</v>
      </c>
      <c r="G168">
        <v>1080</v>
      </c>
      <c r="H168">
        <v>-3</v>
      </c>
      <c r="I168">
        <v>1981</v>
      </c>
      <c r="J168" t="s">
        <v>56</v>
      </c>
      <c r="K168">
        <v>1111</v>
      </c>
      <c r="L168">
        <v>6.29</v>
      </c>
      <c r="M168">
        <v>4.62</v>
      </c>
      <c r="N168" s="4">
        <f t="shared" si="4"/>
        <v>3.1057818499999998E-3</v>
      </c>
      <c r="O168" s="4">
        <f t="shared" si="5"/>
        <v>1.4348712147E-2</v>
      </c>
      <c r="P168">
        <v>100</v>
      </c>
      <c r="Q168">
        <v>3</v>
      </c>
      <c r="R168">
        <v>2.5</v>
      </c>
      <c r="S168">
        <v>2</v>
      </c>
      <c r="T168">
        <v>2</v>
      </c>
      <c r="U168">
        <v>2.5</v>
      </c>
      <c r="V168" t="s">
        <v>38</v>
      </c>
    </row>
    <row r="169" spans="1:22" x14ac:dyDescent="0.25">
      <c r="A169" t="s">
        <v>65</v>
      </c>
      <c r="B169">
        <v>2</v>
      </c>
      <c r="C169" t="s">
        <v>66</v>
      </c>
      <c r="D169" t="s">
        <v>67</v>
      </c>
      <c r="E169" t="s">
        <v>68</v>
      </c>
      <c r="F169">
        <v>180</v>
      </c>
      <c r="G169">
        <v>1080</v>
      </c>
      <c r="H169">
        <v>-3</v>
      </c>
      <c r="I169">
        <v>1981</v>
      </c>
      <c r="J169" t="s">
        <v>57</v>
      </c>
      <c r="K169">
        <v>1112</v>
      </c>
      <c r="L169">
        <v>11.43</v>
      </c>
      <c r="M169">
        <v>7.83</v>
      </c>
      <c r="N169" s="4">
        <f t="shared" si="4"/>
        <v>1.025562465E-2</v>
      </c>
      <c r="O169" s="4">
        <f t="shared" si="5"/>
        <v>8.0301541009500002E-2</v>
      </c>
      <c r="P169">
        <v>88</v>
      </c>
      <c r="Q169">
        <v>3</v>
      </c>
      <c r="R169">
        <v>2</v>
      </c>
      <c r="S169">
        <v>3.5</v>
      </c>
      <c r="T169">
        <v>4</v>
      </c>
      <c r="U169">
        <v>4</v>
      </c>
      <c r="V169" t="s">
        <v>27</v>
      </c>
    </row>
    <row r="170" spans="1:22" x14ac:dyDescent="0.25">
      <c r="A170" t="s">
        <v>65</v>
      </c>
      <c r="B170">
        <v>2</v>
      </c>
      <c r="C170" t="s">
        <v>66</v>
      </c>
      <c r="D170" t="s">
        <v>67</v>
      </c>
      <c r="E170" t="s">
        <v>68</v>
      </c>
      <c r="F170">
        <v>180</v>
      </c>
      <c r="G170">
        <v>1080</v>
      </c>
      <c r="H170">
        <v>-3</v>
      </c>
      <c r="I170">
        <v>1981</v>
      </c>
      <c r="J170" t="s">
        <v>57</v>
      </c>
      <c r="K170">
        <v>1113</v>
      </c>
      <c r="L170">
        <v>3.98</v>
      </c>
      <c r="M170">
        <v>3.98</v>
      </c>
      <c r="N170" s="4">
        <f t="shared" si="4"/>
        <v>1.2434714E-3</v>
      </c>
      <c r="O170" s="4">
        <f t="shared" si="5"/>
        <v>4.9490161719999998E-3</v>
      </c>
      <c r="P170">
        <v>75</v>
      </c>
      <c r="Q170">
        <v>3</v>
      </c>
      <c r="R170">
        <v>2</v>
      </c>
      <c r="S170">
        <v>3</v>
      </c>
      <c r="T170">
        <v>4</v>
      </c>
      <c r="U170">
        <v>3</v>
      </c>
      <c r="V170" t="s">
        <v>38</v>
      </c>
    </row>
    <row r="171" spans="1:22" x14ac:dyDescent="0.25">
      <c r="A171" t="s">
        <v>65</v>
      </c>
      <c r="B171">
        <v>2</v>
      </c>
      <c r="C171" t="s">
        <v>66</v>
      </c>
      <c r="D171" t="s">
        <v>67</v>
      </c>
      <c r="E171" t="s">
        <v>68</v>
      </c>
      <c r="F171">
        <v>180</v>
      </c>
      <c r="G171">
        <v>1080</v>
      </c>
      <c r="H171">
        <v>-3</v>
      </c>
      <c r="I171">
        <v>1981</v>
      </c>
      <c r="J171" t="s">
        <v>60</v>
      </c>
      <c r="K171">
        <v>1595</v>
      </c>
      <c r="L171">
        <v>2.8</v>
      </c>
      <c r="M171">
        <v>2.92</v>
      </c>
      <c r="N171" s="4">
        <f t="shared" si="4"/>
        <v>6.1543999999999987E-4</v>
      </c>
      <c r="O171" s="4">
        <f t="shared" si="5"/>
        <v>1.7970847999999996E-3</v>
      </c>
      <c r="P171">
        <v>75</v>
      </c>
      <c r="Q171">
        <v>2.5</v>
      </c>
      <c r="R171">
        <v>1.8</v>
      </c>
      <c r="S171">
        <v>3.2</v>
      </c>
      <c r="T171">
        <v>3.5</v>
      </c>
      <c r="U171">
        <v>3.5</v>
      </c>
      <c r="V171" t="s">
        <v>30</v>
      </c>
    </row>
    <row r="172" spans="1:22" x14ac:dyDescent="0.25">
      <c r="A172" t="s">
        <v>65</v>
      </c>
      <c r="B172">
        <v>2</v>
      </c>
      <c r="C172" t="s">
        <v>66</v>
      </c>
      <c r="D172" t="s">
        <v>67</v>
      </c>
      <c r="E172" t="s">
        <v>68</v>
      </c>
      <c r="F172">
        <v>180</v>
      </c>
      <c r="G172">
        <v>1080</v>
      </c>
      <c r="H172">
        <v>-3</v>
      </c>
      <c r="I172">
        <v>1981</v>
      </c>
      <c r="J172" t="s">
        <v>58</v>
      </c>
      <c r="K172">
        <v>1338</v>
      </c>
      <c r="L172">
        <v>6.07</v>
      </c>
      <c r="M172">
        <v>5.89</v>
      </c>
      <c r="N172" s="4">
        <f t="shared" si="4"/>
        <v>2.8923246500000004E-3</v>
      </c>
      <c r="O172" s="4">
        <f t="shared" si="5"/>
        <v>1.7035792188500001E-2</v>
      </c>
      <c r="P172">
        <v>63</v>
      </c>
      <c r="Q172">
        <v>3</v>
      </c>
      <c r="R172">
        <v>3</v>
      </c>
      <c r="S172">
        <v>2</v>
      </c>
      <c r="T172">
        <v>2</v>
      </c>
      <c r="U172">
        <v>2.5</v>
      </c>
      <c r="V172" t="s">
        <v>30</v>
      </c>
    </row>
    <row r="173" spans="1:22" x14ac:dyDescent="0.25">
      <c r="A173" t="s">
        <v>65</v>
      </c>
      <c r="B173">
        <v>2</v>
      </c>
      <c r="C173" t="s">
        <v>66</v>
      </c>
      <c r="D173" t="s">
        <v>67</v>
      </c>
      <c r="E173" t="s">
        <v>68</v>
      </c>
      <c r="F173">
        <v>180</v>
      </c>
      <c r="G173">
        <v>1080</v>
      </c>
      <c r="H173">
        <v>-3</v>
      </c>
      <c r="I173">
        <v>1981</v>
      </c>
      <c r="J173" t="s">
        <v>59</v>
      </c>
      <c r="K173">
        <v>1978</v>
      </c>
      <c r="L173">
        <v>4.04</v>
      </c>
      <c r="M173">
        <v>4.66</v>
      </c>
      <c r="N173" s="4">
        <f t="shared" si="4"/>
        <v>1.2812456000000001E-3</v>
      </c>
      <c r="O173" s="4">
        <f t="shared" si="5"/>
        <v>5.9706044960000006E-3</v>
      </c>
      <c r="P173">
        <v>50</v>
      </c>
      <c r="Q173">
        <v>2.5</v>
      </c>
      <c r="R173">
        <v>3</v>
      </c>
      <c r="S173">
        <v>3.5</v>
      </c>
      <c r="T173">
        <v>3.5</v>
      </c>
      <c r="U173">
        <v>3.5</v>
      </c>
      <c r="V173" t="s">
        <v>38</v>
      </c>
    </row>
    <row r="174" spans="1:22" x14ac:dyDescent="0.25">
      <c r="A174" t="s">
        <v>65</v>
      </c>
      <c r="B174">
        <v>2</v>
      </c>
      <c r="C174" t="s">
        <v>66</v>
      </c>
      <c r="D174" t="s">
        <v>67</v>
      </c>
      <c r="E174" t="s">
        <v>68</v>
      </c>
      <c r="F174">
        <v>180</v>
      </c>
      <c r="G174">
        <v>1080</v>
      </c>
      <c r="H174">
        <v>-3</v>
      </c>
      <c r="I174">
        <v>1981</v>
      </c>
      <c r="J174" t="s">
        <v>59</v>
      </c>
      <c r="K174">
        <v>1482</v>
      </c>
      <c r="L174">
        <v>11.03</v>
      </c>
      <c r="M174">
        <v>6.25</v>
      </c>
      <c r="N174" s="4">
        <f t="shared" si="4"/>
        <v>9.5503806499999989E-3</v>
      </c>
      <c r="O174" s="4">
        <f t="shared" si="5"/>
        <v>5.9689879062499993E-2</v>
      </c>
      <c r="P174">
        <v>38</v>
      </c>
      <c r="Q174">
        <v>3.5</v>
      </c>
      <c r="R174">
        <v>3.5</v>
      </c>
      <c r="S174">
        <v>3</v>
      </c>
      <c r="T174">
        <v>2.5</v>
      </c>
      <c r="U174">
        <v>2</v>
      </c>
      <c r="V174" t="s">
        <v>38</v>
      </c>
    </row>
    <row r="175" spans="1:22" x14ac:dyDescent="0.25">
      <c r="A175" t="s">
        <v>65</v>
      </c>
      <c r="B175">
        <v>2</v>
      </c>
      <c r="C175" t="s">
        <v>66</v>
      </c>
      <c r="D175" t="s">
        <v>67</v>
      </c>
      <c r="E175" t="s">
        <v>68</v>
      </c>
      <c r="F175">
        <v>180</v>
      </c>
      <c r="G175">
        <v>1080</v>
      </c>
      <c r="H175">
        <v>-3</v>
      </c>
      <c r="I175">
        <v>1981</v>
      </c>
      <c r="J175" t="s">
        <v>26</v>
      </c>
      <c r="K175">
        <v>1339</v>
      </c>
      <c r="L175">
        <v>12.49</v>
      </c>
      <c r="M175">
        <v>10.119999999999999</v>
      </c>
      <c r="N175" s="4">
        <f t="shared" si="4"/>
        <v>1.2246007850000001E-2</v>
      </c>
      <c r="O175" s="4">
        <f t="shared" si="5"/>
        <v>0.12392959944199999</v>
      </c>
      <c r="P175">
        <v>63</v>
      </c>
      <c r="Q175">
        <v>4.5</v>
      </c>
      <c r="R175">
        <v>3</v>
      </c>
      <c r="S175">
        <v>3.5</v>
      </c>
      <c r="T175">
        <v>3.5</v>
      </c>
      <c r="U175">
        <v>3.5</v>
      </c>
      <c r="V175" t="s">
        <v>27</v>
      </c>
    </row>
    <row r="176" spans="1:22" x14ac:dyDescent="0.25">
      <c r="A176" t="s">
        <v>65</v>
      </c>
      <c r="B176">
        <v>2</v>
      </c>
      <c r="C176" t="s">
        <v>66</v>
      </c>
      <c r="D176" t="s">
        <v>67</v>
      </c>
      <c r="E176" t="s">
        <v>68</v>
      </c>
      <c r="F176">
        <v>180</v>
      </c>
      <c r="G176">
        <v>1080</v>
      </c>
      <c r="H176">
        <v>-3</v>
      </c>
      <c r="I176">
        <v>1981</v>
      </c>
      <c r="J176" t="s">
        <v>26</v>
      </c>
      <c r="K176">
        <v>2447</v>
      </c>
      <c r="L176">
        <v>9.99</v>
      </c>
      <c r="M176">
        <v>6.83</v>
      </c>
      <c r="N176" s="4">
        <f t="shared" si="4"/>
        <v>7.8343078500000014E-3</v>
      </c>
      <c r="O176" s="4">
        <f t="shared" si="5"/>
        <v>5.3508322615500009E-2</v>
      </c>
      <c r="P176">
        <v>88</v>
      </c>
      <c r="Q176">
        <v>4</v>
      </c>
      <c r="R176">
        <v>3</v>
      </c>
      <c r="S176">
        <v>3.5</v>
      </c>
      <c r="T176">
        <v>3</v>
      </c>
      <c r="U176">
        <v>2.5</v>
      </c>
      <c r="V176" t="s">
        <v>25</v>
      </c>
    </row>
    <row r="177" spans="1:22" x14ac:dyDescent="0.25">
      <c r="A177" t="s">
        <v>65</v>
      </c>
      <c r="B177">
        <v>2</v>
      </c>
      <c r="C177" t="s">
        <v>66</v>
      </c>
      <c r="D177" t="s">
        <v>67</v>
      </c>
      <c r="E177" t="s">
        <v>68</v>
      </c>
      <c r="F177">
        <v>180</v>
      </c>
      <c r="G177">
        <v>1080</v>
      </c>
      <c r="H177">
        <v>-3</v>
      </c>
      <c r="I177">
        <v>1981</v>
      </c>
      <c r="J177" t="s">
        <v>26</v>
      </c>
      <c r="K177">
        <v>1786</v>
      </c>
      <c r="L177">
        <v>17.739999999999998</v>
      </c>
      <c r="M177">
        <v>9.99</v>
      </c>
      <c r="N177" s="4">
        <f t="shared" si="4"/>
        <v>2.4704546599999995E-2</v>
      </c>
      <c r="O177" s="4">
        <f t="shared" si="5"/>
        <v>0.24679842053399995</v>
      </c>
      <c r="P177">
        <v>100</v>
      </c>
      <c r="Q177">
        <v>5</v>
      </c>
      <c r="R177">
        <v>3</v>
      </c>
      <c r="S177">
        <v>3</v>
      </c>
      <c r="T177">
        <v>2.5</v>
      </c>
      <c r="U177">
        <v>2</v>
      </c>
      <c r="V177" t="s">
        <v>27</v>
      </c>
    </row>
    <row r="178" spans="1:22" x14ac:dyDescent="0.25">
      <c r="A178" t="s">
        <v>65</v>
      </c>
      <c r="B178">
        <v>2</v>
      </c>
      <c r="C178" t="s">
        <v>66</v>
      </c>
      <c r="D178" t="s">
        <v>67</v>
      </c>
      <c r="E178" t="s">
        <v>68</v>
      </c>
      <c r="F178">
        <v>180</v>
      </c>
      <c r="G178">
        <v>1080</v>
      </c>
      <c r="H178">
        <v>-3</v>
      </c>
      <c r="I178">
        <v>1981</v>
      </c>
      <c r="J178" t="s">
        <v>32</v>
      </c>
      <c r="K178">
        <v>1596</v>
      </c>
      <c r="L178">
        <v>2.73</v>
      </c>
      <c r="M178">
        <v>3.77</v>
      </c>
      <c r="N178" s="4">
        <f t="shared" si="4"/>
        <v>5.8505265000000008E-4</v>
      </c>
      <c r="O178" s="4">
        <f t="shared" si="5"/>
        <v>2.2056484905000001E-3</v>
      </c>
      <c r="P178">
        <v>100</v>
      </c>
      <c r="Q178">
        <v>2.5</v>
      </c>
      <c r="R178">
        <v>4</v>
      </c>
      <c r="S178">
        <v>3.5</v>
      </c>
      <c r="T178">
        <v>4.5</v>
      </c>
      <c r="U178">
        <v>4</v>
      </c>
      <c r="V178" t="s">
        <v>25</v>
      </c>
    </row>
    <row r="179" spans="1:22" x14ac:dyDescent="0.25">
      <c r="A179" t="s">
        <v>65</v>
      </c>
      <c r="B179">
        <v>2</v>
      </c>
      <c r="C179" t="s">
        <v>66</v>
      </c>
      <c r="D179" t="s">
        <v>67</v>
      </c>
      <c r="E179" t="s">
        <v>68</v>
      </c>
      <c r="F179">
        <v>180</v>
      </c>
      <c r="G179">
        <v>1080</v>
      </c>
      <c r="H179">
        <v>-3</v>
      </c>
      <c r="I179">
        <v>1981</v>
      </c>
      <c r="J179" t="s">
        <v>61</v>
      </c>
      <c r="K179">
        <v>1171</v>
      </c>
      <c r="L179">
        <v>2.79</v>
      </c>
      <c r="M179">
        <v>2.9</v>
      </c>
      <c r="N179" s="4">
        <f t="shared" si="4"/>
        <v>6.1105185000000012E-4</v>
      </c>
      <c r="O179" s="4">
        <f t="shared" si="5"/>
        <v>1.7720503650000003E-3</v>
      </c>
      <c r="P179">
        <v>75</v>
      </c>
      <c r="Q179">
        <v>2</v>
      </c>
      <c r="R179">
        <v>2</v>
      </c>
      <c r="S179">
        <v>2</v>
      </c>
      <c r="T179">
        <v>2</v>
      </c>
      <c r="U179">
        <v>3</v>
      </c>
      <c r="V179" t="s">
        <v>30</v>
      </c>
    </row>
    <row r="180" spans="1:22" x14ac:dyDescent="0.25">
      <c r="A180" t="s">
        <v>65</v>
      </c>
      <c r="B180">
        <v>2</v>
      </c>
      <c r="C180" t="s">
        <v>66</v>
      </c>
      <c r="D180" t="s">
        <v>67</v>
      </c>
      <c r="E180" t="s">
        <v>68</v>
      </c>
      <c r="F180">
        <v>180</v>
      </c>
      <c r="G180">
        <v>1080</v>
      </c>
      <c r="H180">
        <v>-3</v>
      </c>
      <c r="I180">
        <v>1981</v>
      </c>
      <c r="J180" t="s">
        <v>34</v>
      </c>
      <c r="K180">
        <v>2469</v>
      </c>
      <c r="L180">
        <v>9.8800000000000008</v>
      </c>
      <c r="M180">
        <v>8.94</v>
      </c>
      <c r="N180" s="4">
        <f t="shared" si="4"/>
        <v>7.6627304000000031E-3</v>
      </c>
      <c r="O180" s="4">
        <f t="shared" si="5"/>
        <v>6.8504809776000028E-2</v>
      </c>
      <c r="P180">
        <v>88</v>
      </c>
      <c r="Q180">
        <v>4</v>
      </c>
      <c r="R180">
        <v>3</v>
      </c>
      <c r="S180">
        <v>3.5</v>
      </c>
      <c r="T180">
        <v>3.5</v>
      </c>
      <c r="U180">
        <v>3.5</v>
      </c>
      <c r="V180" t="s">
        <v>25</v>
      </c>
    </row>
    <row r="181" spans="1:22" x14ac:dyDescent="0.25">
      <c r="A181" t="s">
        <v>65</v>
      </c>
      <c r="B181">
        <v>2</v>
      </c>
      <c r="C181" t="s">
        <v>66</v>
      </c>
      <c r="D181" t="s">
        <v>67</v>
      </c>
      <c r="E181" t="s">
        <v>68</v>
      </c>
      <c r="F181">
        <v>180</v>
      </c>
      <c r="G181">
        <v>1080</v>
      </c>
      <c r="H181">
        <v>-3</v>
      </c>
      <c r="I181">
        <v>1981</v>
      </c>
      <c r="J181" t="s">
        <v>34</v>
      </c>
      <c r="K181">
        <v>1337</v>
      </c>
      <c r="L181">
        <v>8.6300000000000008</v>
      </c>
      <c r="M181">
        <v>8.2100000000000009</v>
      </c>
      <c r="N181" s="4">
        <f t="shared" si="4"/>
        <v>5.84643665E-3</v>
      </c>
      <c r="O181" s="4">
        <f t="shared" si="5"/>
        <v>4.7999244896500003E-2</v>
      </c>
      <c r="P181">
        <v>100</v>
      </c>
      <c r="Q181">
        <v>4</v>
      </c>
      <c r="R181">
        <v>3</v>
      </c>
      <c r="S181">
        <v>3.5</v>
      </c>
      <c r="T181">
        <v>3.5</v>
      </c>
      <c r="U181">
        <v>3.5</v>
      </c>
      <c r="V181" t="s">
        <v>25</v>
      </c>
    </row>
    <row r="182" spans="1:22" x14ac:dyDescent="0.25">
      <c r="A182" t="s">
        <v>65</v>
      </c>
      <c r="B182">
        <v>2</v>
      </c>
      <c r="C182" t="s">
        <v>66</v>
      </c>
      <c r="D182" t="s">
        <v>67</v>
      </c>
      <c r="E182" t="s">
        <v>68</v>
      </c>
      <c r="F182">
        <v>180</v>
      </c>
      <c r="G182">
        <v>1080</v>
      </c>
      <c r="H182">
        <v>-3</v>
      </c>
      <c r="I182">
        <v>1981</v>
      </c>
      <c r="J182" t="s">
        <v>35</v>
      </c>
      <c r="K182">
        <v>1785</v>
      </c>
      <c r="L182">
        <v>4.3899999999999997</v>
      </c>
      <c r="M182">
        <v>4.03</v>
      </c>
      <c r="N182" s="4">
        <f t="shared" si="4"/>
        <v>1.5128598499999997E-3</v>
      </c>
      <c r="O182" s="4">
        <f t="shared" si="5"/>
        <v>6.0968251954999992E-3</v>
      </c>
      <c r="P182">
        <v>88</v>
      </c>
      <c r="Q182">
        <v>1.5</v>
      </c>
      <c r="R182">
        <v>1.5</v>
      </c>
      <c r="S182">
        <v>2</v>
      </c>
      <c r="T182">
        <v>2</v>
      </c>
      <c r="U182">
        <v>3</v>
      </c>
      <c r="V182" t="s">
        <v>50</v>
      </c>
    </row>
    <row r="183" spans="1:22" x14ac:dyDescent="0.25">
      <c r="A183" t="s">
        <v>65</v>
      </c>
      <c r="B183">
        <v>2</v>
      </c>
      <c r="C183" t="s">
        <v>66</v>
      </c>
      <c r="D183" t="s">
        <v>67</v>
      </c>
      <c r="E183" t="s">
        <v>68</v>
      </c>
      <c r="F183">
        <v>180</v>
      </c>
      <c r="G183">
        <v>1080</v>
      </c>
      <c r="H183">
        <v>-3</v>
      </c>
      <c r="I183">
        <v>1981</v>
      </c>
      <c r="J183" t="s">
        <v>36</v>
      </c>
      <c r="K183">
        <v>1598</v>
      </c>
      <c r="L183">
        <v>7.94</v>
      </c>
      <c r="M183">
        <v>7.77</v>
      </c>
      <c r="N183" s="4">
        <f t="shared" si="4"/>
        <v>4.9489225999999999E-3</v>
      </c>
      <c r="O183" s="4">
        <f t="shared" si="5"/>
        <v>3.8453128601999995E-2</v>
      </c>
      <c r="P183">
        <v>100</v>
      </c>
      <c r="Q183">
        <v>3.5</v>
      </c>
      <c r="R183">
        <v>4</v>
      </c>
      <c r="S183">
        <v>2.5</v>
      </c>
      <c r="T183">
        <v>4</v>
      </c>
      <c r="U183">
        <v>3.3</v>
      </c>
      <c r="V183" t="s">
        <v>27</v>
      </c>
    </row>
    <row r="184" spans="1:22" x14ac:dyDescent="0.25">
      <c r="A184" t="s">
        <v>65</v>
      </c>
      <c r="B184">
        <v>2</v>
      </c>
      <c r="C184" t="s">
        <v>66</v>
      </c>
      <c r="D184" t="s">
        <v>67</v>
      </c>
      <c r="E184" t="s">
        <v>68</v>
      </c>
      <c r="F184">
        <v>180</v>
      </c>
      <c r="G184">
        <v>1080</v>
      </c>
      <c r="H184">
        <v>-3</v>
      </c>
      <c r="I184">
        <v>1981</v>
      </c>
      <c r="J184" t="s">
        <v>62</v>
      </c>
      <c r="K184">
        <v>2428</v>
      </c>
      <c r="L184">
        <v>6.48</v>
      </c>
      <c r="M184">
        <v>6.42</v>
      </c>
      <c r="N184" s="4">
        <f t="shared" si="4"/>
        <v>3.2962464000000011E-3</v>
      </c>
      <c r="O184" s="4">
        <f t="shared" si="5"/>
        <v>2.1161901888000007E-2</v>
      </c>
      <c r="P184">
        <v>38</v>
      </c>
      <c r="Q184">
        <v>4</v>
      </c>
      <c r="R184">
        <v>3.5</v>
      </c>
      <c r="S184">
        <v>4</v>
      </c>
      <c r="T184">
        <v>4</v>
      </c>
      <c r="U184">
        <v>3.5</v>
      </c>
      <c r="V184" t="s">
        <v>25</v>
      </c>
    </row>
    <row r="185" spans="1:22" x14ac:dyDescent="0.25">
      <c r="A185" t="s">
        <v>65</v>
      </c>
      <c r="B185">
        <v>2</v>
      </c>
      <c r="C185" t="s">
        <v>66</v>
      </c>
      <c r="D185" t="s">
        <v>67</v>
      </c>
      <c r="E185" t="s">
        <v>68</v>
      </c>
      <c r="F185">
        <v>180</v>
      </c>
      <c r="G185">
        <v>1080</v>
      </c>
      <c r="H185">
        <v>-3</v>
      </c>
      <c r="I185">
        <v>1981</v>
      </c>
      <c r="J185" t="s">
        <v>62</v>
      </c>
      <c r="K185">
        <v>2431</v>
      </c>
      <c r="L185">
        <v>6.28</v>
      </c>
      <c r="M185">
        <v>6.7</v>
      </c>
      <c r="N185" s="4">
        <f t="shared" si="4"/>
        <v>3.0959144000000014E-3</v>
      </c>
      <c r="O185" s="4">
        <f t="shared" si="5"/>
        <v>2.0742626480000009E-2</v>
      </c>
      <c r="P185">
        <v>100</v>
      </c>
      <c r="Q185">
        <v>4</v>
      </c>
      <c r="R185">
        <v>3</v>
      </c>
      <c r="S185">
        <v>4</v>
      </c>
      <c r="T185">
        <v>4</v>
      </c>
      <c r="U185">
        <v>3.5</v>
      </c>
      <c r="V185" t="s">
        <v>25</v>
      </c>
    </row>
    <row r="186" spans="1:22" x14ac:dyDescent="0.25">
      <c r="A186" t="s">
        <v>65</v>
      </c>
      <c r="B186">
        <v>2</v>
      </c>
      <c r="C186" t="s">
        <v>66</v>
      </c>
      <c r="D186" t="s">
        <v>67</v>
      </c>
      <c r="E186" t="s">
        <v>68</v>
      </c>
      <c r="F186">
        <v>180</v>
      </c>
      <c r="G186">
        <v>1080</v>
      </c>
      <c r="H186">
        <v>-3</v>
      </c>
      <c r="I186">
        <v>1981</v>
      </c>
      <c r="J186" t="s">
        <v>62</v>
      </c>
      <c r="K186">
        <v>1787</v>
      </c>
      <c r="L186">
        <v>11.58</v>
      </c>
      <c r="M186">
        <v>8.3699999999999992</v>
      </c>
      <c r="N186" s="4">
        <f t="shared" si="4"/>
        <v>1.0526567400000001E-2</v>
      </c>
      <c r="O186" s="4">
        <f t="shared" si="5"/>
        <v>8.8107369137999991E-2</v>
      </c>
      <c r="P186">
        <v>63</v>
      </c>
      <c r="Q186">
        <v>4</v>
      </c>
      <c r="R186">
        <v>3.5</v>
      </c>
      <c r="S186">
        <v>4</v>
      </c>
      <c r="T186">
        <v>4</v>
      </c>
      <c r="U186">
        <v>3.5</v>
      </c>
      <c r="V186" t="s">
        <v>27</v>
      </c>
    </row>
    <row r="187" spans="1:22" x14ac:dyDescent="0.25">
      <c r="A187" t="s">
        <v>65</v>
      </c>
      <c r="B187">
        <v>2</v>
      </c>
      <c r="C187" t="s">
        <v>66</v>
      </c>
      <c r="D187" t="s">
        <v>67</v>
      </c>
      <c r="E187" t="s">
        <v>68</v>
      </c>
      <c r="F187">
        <v>180</v>
      </c>
      <c r="G187">
        <v>1080</v>
      </c>
      <c r="H187">
        <v>-3</v>
      </c>
      <c r="I187">
        <v>1981</v>
      </c>
      <c r="J187" t="s">
        <v>39</v>
      </c>
      <c r="K187">
        <v>2435</v>
      </c>
      <c r="L187">
        <v>3.56</v>
      </c>
      <c r="M187">
        <v>4.2699999999999996</v>
      </c>
      <c r="N187" s="4">
        <f t="shared" si="4"/>
        <v>9.948775999999999E-4</v>
      </c>
      <c r="O187" s="4">
        <f t="shared" si="5"/>
        <v>4.2481273519999994E-3</v>
      </c>
      <c r="P187">
        <v>25</v>
      </c>
      <c r="Q187">
        <v>3</v>
      </c>
      <c r="R187">
        <v>3</v>
      </c>
      <c r="S187">
        <v>3</v>
      </c>
      <c r="T187">
        <v>3</v>
      </c>
      <c r="U187">
        <v>3</v>
      </c>
      <c r="V187" t="s">
        <v>38</v>
      </c>
    </row>
    <row r="188" spans="1:22" x14ac:dyDescent="0.25">
      <c r="A188" t="s">
        <v>65</v>
      </c>
      <c r="B188">
        <v>2</v>
      </c>
      <c r="C188" t="s">
        <v>66</v>
      </c>
      <c r="D188" t="s">
        <v>67</v>
      </c>
      <c r="E188" t="s">
        <v>68</v>
      </c>
      <c r="F188">
        <v>180</v>
      </c>
      <c r="G188">
        <v>1080</v>
      </c>
      <c r="H188">
        <v>-3</v>
      </c>
      <c r="I188">
        <v>1981</v>
      </c>
      <c r="J188" t="s">
        <v>37</v>
      </c>
      <c r="K188">
        <v>1524</v>
      </c>
      <c r="L188">
        <v>2.57</v>
      </c>
      <c r="M188">
        <v>3.08</v>
      </c>
      <c r="N188" s="4">
        <f t="shared" si="4"/>
        <v>5.1848464999999994E-4</v>
      </c>
      <c r="O188" s="4">
        <f t="shared" si="5"/>
        <v>1.5969327219999998E-3</v>
      </c>
      <c r="P188">
        <v>75</v>
      </c>
      <c r="Q188">
        <v>2</v>
      </c>
      <c r="R188">
        <v>2</v>
      </c>
      <c r="S188">
        <v>2</v>
      </c>
      <c r="T188">
        <v>4</v>
      </c>
      <c r="U188">
        <v>3</v>
      </c>
      <c r="V188" t="s">
        <v>30</v>
      </c>
    </row>
    <row r="189" spans="1:22" x14ac:dyDescent="0.25">
      <c r="A189" t="s">
        <v>65</v>
      </c>
      <c r="B189">
        <v>2</v>
      </c>
      <c r="C189" t="s">
        <v>66</v>
      </c>
      <c r="D189" t="s">
        <v>67</v>
      </c>
      <c r="E189" t="s">
        <v>68</v>
      </c>
      <c r="F189">
        <v>180</v>
      </c>
      <c r="G189">
        <v>1080</v>
      </c>
      <c r="H189">
        <v>-3</v>
      </c>
      <c r="I189">
        <v>1981</v>
      </c>
      <c r="J189" t="s">
        <v>63</v>
      </c>
      <c r="K189">
        <v>1340</v>
      </c>
      <c r="L189">
        <v>5.37</v>
      </c>
      <c r="M189">
        <v>5.74</v>
      </c>
      <c r="N189" s="4">
        <f t="shared" si="4"/>
        <v>2.2636966499999999E-3</v>
      </c>
      <c r="O189" s="4">
        <f t="shared" si="5"/>
        <v>1.2993618771E-2</v>
      </c>
      <c r="P189">
        <v>100</v>
      </c>
      <c r="Q189">
        <v>1.5</v>
      </c>
      <c r="R189">
        <v>1</v>
      </c>
      <c r="S189">
        <v>1.5</v>
      </c>
      <c r="T189">
        <v>1.5</v>
      </c>
      <c r="U189">
        <v>2</v>
      </c>
      <c r="V189" t="s">
        <v>50</v>
      </c>
    </row>
    <row r="190" spans="1:22" x14ac:dyDescent="0.25">
      <c r="A190" t="s">
        <v>65</v>
      </c>
      <c r="B190">
        <v>2</v>
      </c>
      <c r="C190" t="s">
        <v>66</v>
      </c>
      <c r="D190" t="s">
        <v>67</v>
      </c>
      <c r="E190" t="s">
        <v>68</v>
      </c>
      <c r="F190">
        <v>180</v>
      </c>
      <c r="G190">
        <v>1080</v>
      </c>
      <c r="H190">
        <v>-3</v>
      </c>
      <c r="I190">
        <v>1981</v>
      </c>
      <c r="J190" t="s">
        <v>69</v>
      </c>
      <c r="K190">
        <v>1780</v>
      </c>
      <c r="L190">
        <v>2.6</v>
      </c>
      <c r="M190">
        <v>3.64</v>
      </c>
      <c r="N190" s="4">
        <f t="shared" si="4"/>
        <v>5.3066000000000018E-4</v>
      </c>
      <c r="O190" s="4">
        <f t="shared" si="5"/>
        <v>1.9316024000000007E-3</v>
      </c>
      <c r="P190">
        <v>38</v>
      </c>
      <c r="Q190">
        <v>1</v>
      </c>
      <c r="R190">
        <v>2</v>
      </c>
      <c r="S190">
        <v>2</v>
      </c>
      <c r="T190">
        <v>2</v>
      </c>
      <c r="U190">
        <v>3</v>
      </c>
      <c r="V190" t="s">
        <v>50</v>
      </c>
    </row>
    <row r="191" spans="1:22" x14ac:dyDescent="0.25">
      <c r="A191" t="s">
        <v>65</v>
      </c>
      <c r="B191">
        <v>3</v>
      </c>
      <c r="C191" t="s">
        <v>66</v>
      </c>
      <c r="D191" t="s">
        <v>67</v>
      </c>
      <c r="E191" t="s">
        <v>68</v>
      </c>
      <c r="F191">
        <v>180</v>
      </c>
      <c r="G191">
        <v>1080</v>
      </c>
      <c r="H191">
        <v>-3</v>
      </c>
      <c r="I191">
        <v>1981</v>
      </c>
      <c r="J191" t="s">
        <v>55</v>
      </c>
      <c r="K191">
        <v>1094</v>
      </c>
      <c r="L191">
        <v>5.26</v>
      </c>
      <c r="M191">
        <v>5.48</v>
      </c>
      <c r="N191" s="4">
        <f t="shared" si="4"/>
        <v>2.1719066000000001E-3</v>
      </c>
      <c r="O191" s="4">
        <f t="shared" si="5"/>
        <v>1.1902048168000001E-2</v>
      </c>
      <c r="P191">
        <v>63</v>
      </c>
      <c r="Q191">
        <v>2</v>
      </c>
      <c r="R191">
        <v>1.5</v>
      </c>
      <c r="S191">
        <v>2</v>
      </c>
      <c r="T191">
        <v>2</v>
      </c>
      <c r="U191">
        <v>2</v>
      </c>
      <c r="V191" t="s">
        <v>50</v>
      </c>
    </row>
    <row r="192" spans="1:22" x14ac:dyDescent="0.25">
      <c r="A192" t="s">
        <v>65</v>
      </c>
      <c r="B192">
        <v>3</v>
      </c>
      <c r="C192" t="s">
        <v>66</v>
      </c>
      <c r="D192" t="s">
        <v>67</v>
      </c>
      <c r="E192" t="s">
        <v>68</v>
      </c>
      <c r="F192">
        <v>180</v>
      </c>
      <c r="G192">
        <v>1080</v>
      </c>
      <c r="H192">
        <v>-3</v>
      </c>
      <c r="I192">
        <v>1981</v>
      </c>
      <c r="J192" t="s">
        <v>56</v>
      </c>
      <c r="K192">
        <v>1111</v>
      </c>
      <c r="L192">
        <v>4.88</v>
      </c>
      <c r="M192">
        <v>4.1100000000000003</v>
      </c>
      <c r="N192" s="4">
        <f t="shared" si="4"/>
        <v>1.8694303999999995E-3</v>
      </c>
      <c r="O192" s="4">
        <f t="shared" si="5"/>
        <v>7.6833589439999983E-3</v>
      </c>
      <c r="P192">
        <v>88</v>
      </c>
      <c r="Q192">
        <v>3.5</v>
      </c>
      <c r="R192">
        <v>2.5</v>
      </c>
      <c r="S192">
        <v>2</v>
      </c>
      <c r="T192">
        <v>2</v>
      </c>
      <c r="U192">
        <v>2</v>
      </c>
      <c r="V192" t="s">
        <v>38</v>
      </c>
    </row>
    <row r="193" spans="1:22" x14ac:dyDescent="0.25">
      <c r="A193" t="s">
        <v>65</v>
      </c>
      <c r="B193">
        <v>3</v>
      </c>
      <c r="C193" t="s">
        <v>66</v>
      </c>
      <c r="D193" t="s">
        <v>67</v>
      </c>
      <c r="E193" t="s">
        <v>68</v>
      </c>
      <c r="F193">
        <v>180</v>
      </c>
      <c r="G193">
        <v>1080</v>
      </c>
      <c r="H193">
        <v>-3</v>
      </c>
      <c r="I193">
        <v>1981</v>
      </c>
      <c r="J193" t="s">
        <v>57</v>
      </c>
      <c r="K193">
        <v>1112</v>
      </c>
      <c r="L193">
        <v>7.83</v>
      </c>
      <c r="M193">
        <v>6.68</v>
      </c>
      <c r="N193" s="4">
        <f t="shared" si="4"/>
        <v>4.8127486499999995E-3</v>
      </c>
      <c r="O193" s="4">
        <f t="shared" si="5"/>
        <v>3.2149160981999998E-2</v>
      </c>
      <c r="P193">
        <v>100</v>
      </c>
      <c r="Q193">
        <v>3</v>
      </c>
      <c r="R193">
        <v>1.8</v>
      </c>
      <c r="S193">
        <v>3.5</v>
      </c>
      <c r="T193">
        <v>4</v>
      </c>
      <c r="U193">
        <v>4</v>
      </c>
      <c r="V193" t="s">
        <v>25</v>
      </c>
    </row>
    <row r="194" spans="1:22" x14ac:dyDescent="0.25">
      <c r="A194" t="s">
        <v>65</v>
      </c>
      <c r="B194">
        <v>3</v>
      </c>
      <c r="C194" t="s">
        <v>66</v>
      </c>
      <c r="D194" t="s">
        <v>67</v>
      </c>
      <c r="E194" t="s">
        <v>68</v>
      </c>
      <c r="F194">
        <v>180</v>
      </c>
      <c r="G194">
        <v>1080</v>
      </c>
      <c r="H194">
        <v>-3</v>
      </c>
      <c r="I194">
        <v>1981</v>
      </c>
      <c r="J194" t="s">
        <v>57</v>
      </c>
      <c r="K194">
        <v>1113</v>
      </c>
      <c r="L194">
        <v>4.62</v>
      </c>
      <c r="M194">
        <v>4.1100000000000003</v>
      </c>
      <c r="N194" s="4">
        <f t="shared" si="4"/>
        <v>1.6755353999999998E-3</v>
      </c>
      <c r="O194" s="4">
        <f t="shared" si="5"/>
        <v>6.8864504939999995E-3</v>
      </c>
      <c r="P194">
        <v>88</v>
      </c>
      <c r="Q194">
        <v>3</v>
      </c>
      <c r="R194">
        <v>2</v>
      </c>
      <c r="S194">
        <v>2.5</v>
      </c>
      <c r="T194">
        <v>3.5</v>
      </c>
      <c r="U194">
        <v>3</v>
      </c>
      <c r="V194" t="s">
        <v>38</v>
      </c>
    </row>
    <row r="195" spans="1:22" x14ac:dyDescent="0.25">
      <c r="A195" t="s">
        <v>65</v>
      </c>
      <c r="B195">
        <v>3</v>
      </c>
      <c r="C195" t="s">
        <v>66</v>
      </c>
      <c r="D195" t="s">
        <v>67</v>
      </c>
      <c r="E195" t="s">
        <v>68</v>
      </c>
      <c r="F195">
        <v>180</v>
      </c>
      <c r="G195">
        <v>1080</v>
      </c>
      <c r="H195">
        <v>-3</v>
      </c>
      <c r="I195">
        <v>1981</v>
      </c>
      <c r="J195" t="s">
        <v>60</v>
      </c>
      <c r="K195">
        <v>1595</v>
      </c>
      <c r="L195">
        <v>2.29</v>
      </c>
      <c r="M195">
        <v>2.67</v>
      </c>
      <c r="N195" s="4">
        <f t="shared" ref="N195:N258" si="6">3.14/4*((L195/100)^2)</f>
        <v>4.1166185000000003E-4</v>
      </c>
      <c r="O195" s="4">
        <f t="shared" ref="O195:O258" si="7">3.14/4*((L195/100)^2)*M195</f>
        <v>1.0991371395000001E-3</v>
      </c>
      <c r="P195">
        <v>75</v>
      </c>
      <c r="Q195">
        <v>2.5</v>
      </c>
      <c r="R195">
        <v>1.5</v>
      </c>
      <c r="S195">
        <v>3</v>
      </c>
      <c r="T195">
        <v>4</v>
      </c>
      <c r="U195">
        <v>4</v>
      </c>
      <c r="V195" t="s">
        <v>30</v>
      </c>
    </row>
    <row r="196" spans="1:22" x14ac:dyDescent="0.25">
      <c r="A196" t="s">
        <v>65</v>
      </c>
      <c r="B196">
        <v>3</v>
      </c>
      <c r="C196" t="s">
        <v>66</v>
      </c>
      <c r="D196" t="s">
        <v>67</v>
      </c>
      <c r="E196" t="s">
        <v>68</v>
      </c>
      <c r="F196">
        <v>180</v>
      </c>
      <c r="G196">
        <v>1080</v>
      </c>
      <c r="H196">
        <v>-3</v>
      </c>
      <c r="I196">
        <v>1981</v>
      </c>
      <c r="J196" t="s">
        <v>58</v>
      </c>
      <c r="K196">
        <v>1338</v>
      </c>
      <c r="L196">
        <v>7.28</v>
      </c>
      <c r="M196">
        <v>7.45</v>
      </c>
      <c r="N196" s="4">
        <f t="shared" si="6"/>
        <v>4.1603744000000007E-3</v>
      </c>
      <c r="O196" s="4">
        <f t="shared" si="7"/>
        <v>3.0994789280000004E-2</v>
      </c>
      <c r="P196">
        <v>63</v>
      </c>
      <c r="Q196">
        <v>4</v>
      </c>
      <c r="R196">
        <v>3</v>
      </c>
      <c r="S196">
        <v>3.3</v>
      </c>
      <c r="T196">
        <v>3.3</v>
      </c>
      <c r="U196">
        <v>3</v>
      </c>
      <c r="V196" t="s">
        <v>25</v>
      </c>
    </row>
    <row r="197" spans="1:22" x14ac:dyDescent="0.25">
      <c r="A197" t="s">
        <v>65</v>
      </c>
      <c r="B197">
        <v>3</v>
      </c>
      <c r="C197" t="s">
        <v>66</v>
      </c>
      <c r="D197" t="s">
        <v>67</v>
      </c>
      <c r="E197" t="s">
        <v>68</v>
      </c>
      <c r="F197">
        <v>180</v>
      </c>
      <c r="G197">
        <v>1080</v>
      </c>
      <c r="H197">
        <v>-3</v>
      </c>
      <c r="I197">
        <v>1981</v>
      </c>
      <c r="J197" t="s">
        <v>59</v>
      </c>
      <c r="K197">
        <v>1978</v>
      </c>
      <c r="L197">
        <v>16.54</v>
      </c>
      <c r="M197">
        <v>9.93</v>
      </c>
      <c r="N197" s="4">
        <f t="shared" si="6"/>
        <v>2.1475370599999998E-2</v>
      </c>
      <c r="O197" s="4">
        <f t="shared" si="7"/>
        <v>0.21325043005799998</v>
      </c>
      <c r="P197">
        <v>100</v>
      </c>
      <c r="Q197">
        <v>5</v>
      </c>
      <c r="R197">
        <v>3.3</v>
      </c>
      <c r="S197">
        <v>3.3</v>
      </c>
      <c r="T197">
        <v>2.5</v>
      </c>
      <c r="U197">
        <v>2</v>
      </c>
      <c r="V197" t="s">
        <v>27</v>
      </c>
    </row>
    <row r="198" spans="1:22" x14ac:dyDescent="0.25">
      <c r="A198" t="s">
        <v>65</v>
      </c>
      <c r="B198">
        <v>3</v>
      </c>
      <c r="C198" t="s">
        <v>66</v>
      </c>
      <c r="D198" t="s">
        <v>67</v>
      </c>
      <c r="E198" t="s">
        <v>68</v>
      </c>
      <c r="F198">
        <v>180</v>
      </c>
      <c r="G198">
        <v>1080</v>
      </c>
      <c r="H198">
        <v>-3</v>
      </c>
      <c r="I198">
        <v>1981</v>
      </c>
      <c r="J198" t="s">
        <v>59</v>
      </c>
      <c r="K198">
        <v>1482</v>
      </c>
      <c r="L198">
        <v>10.54</v>
      </c>
      <c r="M198">
        <v>7.84</v>
      </c>
      <c r="N198" s="4">
        <f t="shared" si="6"/>
        <v>8.720690599999999E-3</v>
      </c>
      <c r="O198" s="4">
        <f t="shared" si="7"/>
        <v>6.837021430399999E-2</v>
      </c>
      <c r="P198">
        <v>88</v>
      </c>
      <c r="Q198">
        <v>4</v>
      </c>
      <c r="R198">
        <v>3.3</v>
      </c>
      <c r="S198">
        <v>3.3</v>
      </c>
      <c r="T198">
        <v>3.5</v>
      </c>
      <c r="U198">
        <v>3.5</v>
      </c>
      <c r="V198" t="s">
        <v>25</v>
      </c>
    </row>
    <row r="199" spans="1:22" x14ac:dyDescent="0.25">
      <c r="A199" t="s">
        <v>65</v>
      </c>
      <c r="B199">
        <v>3</v>
      </c>
      <c r="C199" t="s">
        <v>66</v>
      </c>
      <c r="D199" t="s">
        <v>67</v>
      </c>
      <c r="E199" t="s">
        <v>68</v>
      </c>
      <c r="F199">
        <v>180</v>
      </c>
      <c r="G199">
        <v>1080</v>
      </c>
      <c r="H199">
        <v>-3</v>
      </c>
      <c r="I199">
        <v>1981</v>
      </c>
      <c r="J199" t="s">
        <v>26</v>
      </c>
      <c r="K199">
        <v>1339</v>
      </c>
      <c r="L199">
        <v>3.81</v>
      </c>
      <c r="M199">
        <v>4.7300000000000004</v>
      </c>
      <c r="N199" s="4">
        <f t="shared" si="6"/>
        <v>1.1395138500000001E-3</v>
      </c>
      <c r="O199" s="4">
        <f t="shared" si="7"/>
        <v>5.3899005105000003E-3</v>
      </c>
      <c r="P199">
        <v>100</v>
      </c>
      <c r="Q199">
        <v>3</v>
      </c>
      <c r="R199">
        <v>2.7</v>
      </c>
      <c r="S199">
        <v>3</v>
      </c>
      <c r="T199">
        <v>3</v>
      </c>
      <c r="U199">
        <v>3.5</v>
      </c>
      <c r="V199" t="s">
        <v>25</v>
      </c>
    </row>
    <row r="200" spans="1:22" x14ac:dyDescent="0.25">
      <c r="A200" t="s">
        <v>65</v>
      </c>
      <c r="B200">
        <v>3</v>
      </c>
      <c r="C200" t="s">
        <v>66</v>
      </c>
      <c r="D200" t="s">
        <v>67</v>
      </c>
      <c r="E200" t="s">
        <v>68</v>
      </c>
      <c r="F200">
        <v>180</v>
      </c>
      <c r="G200">
        <v>1080</v>
      </c>
      <c r="H200">
        <v>-3</v>
      </c>
      <c r="I200">
        <v>1981</v>
      </c>
      <c r="J200" t="s">
        <v>26</v>
      </c>
      <c r="K200">
        <v>2447</v>
      </c>
      <c r="L200">
        <v>11.57</v>
      </c>
      <c r="M200">
        <v>8.41</v>
      </c>
      <c r="N200" s="4">
        <f t="shared" si="6"/>
        <v>1.0508394649999999E-2</v>
      </c>
      <c r="O200" s="4">
        <f t="shared" si="7"/>
        <v>8.8375599006499994E-2</v>
      </c>
      <c r="P200">
        <v>100</v>
      </c>
      <c r="Q200">
        <v>4</v>
      </c>
      <c r="R200">
        <v>3</v>
      </c>
      <c r="S200">
        <v>3.5</v>
      </c>
      <c r="T200">
        <v>3.5</v>
      </c>
      <c r="U200">
        <v>3.5</v>
      </c>
      <c r="V200" t="s">
        <v>27</v>
      </c>
    </row>
    <row r="201" spans="1:22" x14ac:dyDescent="0.25">
      <c r="A201" t="s">
        <v>65</v>
      </c>
      <c r="B201">
        <v>3</v>
      </c>
      <c r="C201" t="s">
        <v>66</v>
      </c>
      <c r="D201" t="s">
        <v>67</v>
      </c>
      <c r="E201" t="s">
        <v>68</v>
      </c>
      <c r="F201">
        <v>180</v>
      </c>
      <c r="G201">
        <v>1080</v>
      </c>
      <c r="H201">
        <v>-3</v>
      </c>
      <c r="I201">
        <v>1981</v>
      </c>
      <c r="J201" t="s">
        <v>26</v>
      </c>
      <c r="K201">
        <v>1786</v>
      </c>
      <c r="L201">
        <v>13.67</v>
      </c>
      <c r="M201">
        <v>8.81</v>
      </c>
      <c r="N201" s="4">
        <f t="shared" si="6"/>
        <v>1.466920865E-2</v>
      </c>
      <c r="O201" s="4">
        <f t="shared" si="7"/>
        <v>0.12923572820650001</v>
      </c>
      <c r="P201">
        <v>100</v>
      </c>
      <c r="Q201">
        <v>4.8</v>
      </c>
      <c r="R201">
        <v>3</v>
      </c>
      <c r="S201">
        <v>3.5</v>
      </c>
      <c r="T201">
        <v>3.5</v>
      </c>
      <c r="U201">
        <v>3</v>
      </c>
      <c r="V201" t="s">
        <v>27</v>
      </c>
    </row>
    <row r="202" spans="1:22" x14ac:dyDescent="0.25">
      <c r="A202" t="s">
        <v>65</v>
      </c>
      <c r="B202">
        <v>3</v>
      </c>
      <c r="C202" t="s">
        <v>66</v>
      </c>
      <c r="D202" t="s">
        <v>67</v>
      </c>
      <c r="E202" t="s">
        <v>68</v>
      </c>
      <c r="F202">
        <v>180</v>
      </c>
      <c r="G202">
        <v>1080</v>
      </c>
      <c r="H202">
        <v>-3</v>
      </c>
      <c r="I202">
        <v>1981</v>
      </c>
      <c r="J202" t="s">
        <v>32</v>
      </c>
      <c r="K202">
        <v>1596</v>
      </c>
      <c r="L202">
        <v>7.03</v>
      </c>
      <c r="M202">
        <v>5.99</v>
      </c>
      <c r="N202" s="4">
        <f t="shared" si="6"/>
        <v>3.8795406500000008E-3</v>
      </c>
      <c r="O202" s="4">
        <f t="shared" si="7"/>
        <v>2.3238448493500007E-2</v>
      </c>
      <c r="P202">
        <v>88</v>
      </c>
      <c r="Q202">
        <v>3.5</v>
      </c>
      <c r="R202">
        <v>2.7</v>
      </c>
      <c r="S202">
        <v>3.5</v>
      </c>
      <c r="T202">
        <v>4</v>
      </c>
      <c r="U202">
        <v>4</v>
      </c>
      <c r="V202" t="s">
        <v>27</v>
      </c>
    </row>
    <row r="203" spans="1:22" x14ac:dyDescent="0.25">
      <c r="A203" t="s">
        <v>65</v>
      </c>
      <c r="B203">
        <v>3</v>
      </c>
      <c r="C203" t="s">
        <v>66</v>
      </c>
      <c r="D203" t="s">
        <v>67</v>
      </c>
      <c r="E203" t="s">
        <v>68</v>
      </c>
      <c r="F203">
        <v>180</v>
      </c>
      <c r="G203">
        <v>1080</v>
      </c>
      <c r="H203">
        <v>-3</v>
      </c>
      <c r="I203">
        <v>1981</v>
      </c>
      <c r="J203" t="s">
        <v>61</v>
      </c>
      <c r="K203">
        <v>1171</v>
      </c>
      <c r="N203" s="4">
        <f t="shared" si="6"/>
        <v>0</v>
      </c>
      <c r="O203" s="4">
        <f t="shared" si="7"/>
        <v>0</v>
      </c>
      <c r="P203" t="s">
        <v>44</v>
      </c>
      <c r="Q203">
        <v>2.5</v>
      </c>
      <c r="R203">
        <v>2</v>
      </c>
      <c r="S203">
        <v>1</v>
      </c>
      <c r="T203">
        <v>1</v>
      </c>
      <c r="U203">
        <v>1</v>
      </c>
      <c r="V203" t="s">
        <v>50</v>
      </c>
    </row>
    <row r="204" spans="1:22" x14ac:dyDescent="0.25">
      <c r="A204" t="s">
        <v>65</v>
      </c>
      <c r="B204">
        <v>3</v>
      </c>
      <c r="C204" t="s">
        <v>66</v>
      </c>
      <c r="D204" t="s">
        <v>67</v>
      </c>
      <c r="E204" t="s">
        <v>68</v>
      </c>
      <c r="F204">
        <v>180</v>
      </c>
      <c r="G204">
        <v>1080</v>
      </c>
      <c r="H204">
        <v>-3</v>
      </c>
      <c r="I204">
        <v>1981</v>
      </c>
      <c r="J204" t="s">
        <v>34</v>
      </c>
      <c r="K204">
        <v>2469</v>
      </c>
      <c r="L204">
        <v>7.68</v>
      </c>
      <c r="M204">
        <v>8</v>
      </c>
      <c r="N204" s="4">
        <f t="shared" si="6"/>
        <v>4.6301183999999992E-3</v>
      </c>
      <c r="O204" s="4">
        <f t="shared" si="7"/>
        <v>3.7040947199999993E-2</v>
      </c>
      <c r="P204">
        <v>88</v>
      </c>
      <c r="Q204">
        <v>4.5</v>
      </c>
      <c r="R204">
        <v>3</v>
      </c>
      <c r="S204">
        <v>4</v>
      </c>
      <c r="T204">
        <v>4</v>
      </c>
      <c r="U204">
        <v>4</v>
      </c>
      <c r="V204" t="s">
        <v>27</v>
      </c>
    </row>
    <row r="205" spans="1:22" x14ac:dyDescent="0.25">
      <c r="A205" t="s">
        <v>65</v>
      </c>
      <c r="B205">
        <v>3</v>
      </c>
      <c r="C205" t="s">
        <v>66</v>
      </c>
      <c r="D205" t="s">
        <v>67</v>
      </c>
      <c r="E205" t="s">
        <v>68</v>
      </c>
      <c r="F205">
        <v>180</v>
      </c>
      <c r="G205">
        <v>1080</v>
      </c>
      <c r="H205">
        <v>-3</v>
      </c>
      <c r="I205">
        <v>1981</v>
      </c>
      <c r="J205" t="s">
        <v>35</v>
      </c>
      <c r="K205">
        <v>1785</v>
      </c>
      <c r="L205">
        <v>3.2</v>
      </c>
      <c r="M205">
        <v>3.56</v>
      </c>
      <c r="N205" s="4">
        <f t="shared" si="6"/>
        <v>8.0384E-4</v>
      </c>
      <c r="O205" s="4">
        <f t="shared" si="7"/>
        <v>2.8616703999999999E-3</v>
      </c>
      <c r="P205">
        <v>88</v>
      </c>
      <c r="Q205">
        <v>1.5</v>
      </c>
      <c r="R205">
        <v>1.8</v>
      </c>
      <c r="S205">
        <v>2.5</v>
      </c>
      <c r="T205">
        <v>3.3</v>
      </c>
      <c r="U205">
        <v>3.5</v>
      </c>
      <c r="V205" t="s">
        <v>30</v>
      </c>
    </row>
    <row r="206" spans="1:22" x14ac:dyDescent="0.25">
      <c r="A206" t="s">
        <v>65</v>
      </c>
      <c r="B206">
        <v>3</v>
      </c>
      <c r="C206" t="s">
        <v>66</v>
      </c>
      <c r="D206" t="s">
        <v>67</v>
      </c>
      <c r="E206" t="s">
        <v>68</v>
      </c>
      <c r="F206">
        <v>180</v>
      </c>
      <c r="G206">
        <v>1080</v>
      </c>
      <c r="H206">
        <v>-3</v>
      </c>
      <c r="I206">
        <v>1981</v>
      </c>
      <c r="J206" t="s">
        <v>36</v>
      </c>
      <c r="K206">
        <v>1598</v>
      </c>
      <c r="L206">
        <v>6.78</v>
      </c>
      <c r="M206">
        <v>5.62</v>
      </c>
      <c r="N206" s="4">
        <f t="shared" si="6"/>
        <v>3.6085193999999998E-3</v>
      </c>
      <c r="O206" s="4">
        <f t="shared" si="7"/>
        <v>2.0279879027999999E-2</v>
      </c>
      <c r="P206">
        <v>63</v>
      </c>
      <c r="Q206">
        <v>3</v>
      </c>
      <c r="R206">
        <v>4</v>
      </c>
      <c r="S206">
        <v>2.5</v>
      </c>
      <c r="T206">
        <v>3</v>
      </c>
      <c r="U206">
        <v>2</v>
      </c>
      <c r="V206" t="s">
        <v>38</v>
      </c>
    </row>
    <row r="207" spans="1:22" x14ac:dyDescent="0.25">
      <c r="A207" t="s">
        <v>65</v>
      </c>
      <c r="B207">
        <v>3</v>
      </c>
      <c r="C207" t="s">
        <v>66</v>
      </c>
      <c r="D207" t="s">
        <v>67</v>
      </c>
      <c r="E207" t="s">
        <v>68</v>
      </c>
      <c r="F207">
        <v>180</v>
      </c>
      <c r="G207">
        <v>1080</v>
      </c>
      <c r="H207">
        <v>-3</v>
      </c>
      <c r="I207">
        <v>1981</v>
      </c>
      <c r="J207" t="s">
        <v>62</v>
      </c>
      <c r="K207">
        <v>2428</v>
      </c>
      <c r="L207">
        <v>5.16</v>
      </c>
      <c r="M207">
        <v>5.86</v>
      </c>
      <c r="N207" s="4">
        <f t="shared" si="6"/>
        <v>2.0901095999999999E-3</v>
      </c>
      <c r="O207" s="4">
        <f t="shared" si="7"/>
        <v>1.2248042256E-2</v>
      </c>
      <c r="P207">
        <v>75</v>
      </c>
      <c r="Q207">
        <v>4</v>
      </c>
      <c r="R207">
        <v>3</v>
      </c>
      <c r="S207">
        <v>4</v>
      </c>
      <c r="T207">
        <v>4</v>
      </c>
      <c r="U207">
        <v>4</v>
      </c>
      <c r="V207" t="s">
        <v>27</v>
      </c>
    </row>
    <row r="208" spans="1:22" x14ac:dyDescent="0.25">
      <c r="A208" t="s">
        <v>65</v>
      </c>
      <c r="B208">
        <v>3</v>
      </c>
      <c r="C208" t="s">
        <v>66</v>
      </c>
      <c r="D208" t="s">
        <v>67</v>
      </c>
      <c r="E208" t="s">
        <v>68</v>
      </c>
      <c r="F208">
        <v>180</v>
      </c>
      <c r="G208">
        <v>1080</v>
      </c>
      <c r="H208">
        <v>-3</v>
      </c>
      <c r="I208">
        <v>1981</v>
      </c>
      <c r="J208" t="s">
        <v>62</v>
      </c>
      <c r="K208">
        <v>2431</v>
      </c>
      <c r="L208">
        <v>3.35</v>
      </c>
      <c r="M208">
        <v>5.16</v>
      </c>
      <c r="N208" s="4">
        <f t="shared" si="6"/>
        <v>8.8096625000000015E-4</v>
      </c>
      <c r="O208" s="4">
        <f t="shared" si="7"/>
        <v>4.545785850000001E-3</v>
      </c>
      <c r="P208">
        <v>100</v>
      </c>
      <c r="Q208">
        <v>3</v>
      </c>
      <c r="R208">
        <v>3</v>
      </c>
      <c r="S208">
        <v>4.5</v>
      </c>
      <c r="T208">
        <v>4</v>
      </c>
      <c r="U208">
        <v>4</v>
      </c>
      <c r="V208" t="s">
        <v>25</v>
      </c>
    </row>
    <row r="209" spans="1:22" x14ac:dyDescent="0.25">
      <c r="A209" t="s">
        <v>65</v>
      </c>
      <c r="B209">
        <v>3</v>
      </c>
      <c r="C209" t="s">
        <v>66</v>
      </c>
      <c r="D209" t="s">
        <v>67</v>
      </c>
      <c r="E209" t="s">
        <v>68</v>
      </c>
      <c r="F209">
        <v>180</v>
      </c>
      <c r="G209">
        <v>1080</v>
      </c>
      <c r="H209">
        <v>-3</v>
      </c>
      <c r="I209">
        <v>1981</v>
      </c>
      <c r="J209" t="s">
        <v>62</v>
      </c>
      <c r="K209">
        <v>1787</v>
      </c>
      <c r="L209">
        <v>3.77</v>
      </c>
      <c r="M209">
        <v>4.88</v>
      </c>
      <c r="N209" s="4">
        <f t="shared" si="6"/>
        <v>1.1157126499999998E-3</v>
      </c>
      <c r="O209" s="4">
        <f t="shared" si="7"/>
        <v>5.444677731999999E-3</v>
      </c>
      <c r="P209">
        <v>88</v>
      </c>
      <c r="Q209">
        <v>4</v>
      </c>
      <c r="R209">
        <v>3.5</v>
      </c>
      <c r="S209">
        <v>4</v>
      </c>
      <c r="T209">
        <v>4</v>
      </c>
      <c r="U209">
        <v>4</v>
      </c>
      <c r="V209" t="s">
        <v>27</v>
      </c>
    </row>
    <row r="210" spans="1:22" x14ac:dyDescent="0.25">
      <c r="A210" t="s">
        <v>65</v>
      </c>
      <c r="B210">
        <v>3</v>
      </c>
      <c r="C210" t="s">
        <v>66</v>
      </c>
      <c r="D210" t="s">
        <v>67</v>
      </c>
      <c r="E210" t="s">
        <v>68</v>
      </c>
      <c r="F210">
        <v>180</v>
      </c>
      <c r="G210">
        <v>1080</v>
      </c>
      <c r="H210">
        <v>-3</v>
      </c>
      <c r="I210">
        <v>1981</v>
      </c>
      <c r="J210" t="s">
        <v>37</v>
      </c>
      <c r="K210">
        <v>1524</v>
      </c>
      <c r="L210">
        <v>4.49</v>
      </c>
      <c r="M210">
        <v>4.49</v>
      </c>
      <c r="N210" s="4">
        <f t="shared" si="6"/>
        <v>1.5825678500000003E-3</v>
      </c>
      <c r="O210" s="4">
        <f t="shared" si="7"/>
        <v>7.1057296465000018E-3</v>
      </c>
      <c r="P210">
        <v>88</v>
      </c>
      <c r="Q210">
        <v>2.2999999999999998</v>
      </c>
      <c r="R210">
        <v>2</v>
      </c>
      <c r="S210">
        <v>2.5</v>
      </c>
      <c r="T210">
        <v>4</v>
      </c>
      <c r="U210">
        <v>3</v>
      </c>
      <c r="V210" t="s">
        <v>30</v>
      </c>
    </row>
    <row r="211" spans="1:22" x14ac:dyDescent="0.25">
      <c r="A211" t="s">
        <v>65</v>
      </c>
      <c r="B211">
        <v>3</v>
      </c>
      <c r="C211" t="s">
        <v>66</v>
      </c>
      <c r="D211" t="s">
        <v>67</v>
      </c>
      <c r="E211" t="s">
        <v>68</v>
      </c>
      <c r="F211">
        <v>180</v>
      </c>
      <c r="G211">
        <v>1080</v>
      </c>
      <c r="H211">
        <v>-3</v>
      </c>
      <c r="I211">
        <v>1981</v>
      </c>
      <c r="J211" t="s">
        <v>63</v>
      </c>
      <c r="K211">
        <v>1340</v>
      </c>
      <c r="L211">
        <v>6.11</v>
      </c>
      <c r="M211">
        <v>5.74</v>
      </c>
      <c r="N211" s="4">
        <f t="shared" si="6"/>
        <v>2.9305698500000001E-3</v>
      </c>
      <c r="O211" s="4">
        <f t="shared" si="7"/>
        <v>1.6821470939000001E-2</v>
      </c>
      <c r="P211">
        <v>100</v>
      </c>
      <c r="Q211">
        <v>2.5</v>
      </c>
      <c r="R211">
        <v>1.5</v>
      </c>
      <c r="S211">
        <v>1.5</v>
      </c>
      <c r="T211">
        <v>1</v>
      </c>
      <c r="U211">
        <v>1</v>
      </c>
      <c r="V211" t="s">
        <v>30</v>
      </c>
    </row>
    <row r="212" spans="1:22" x14ac:dyDescent="0.25">
      <c r="A212" t="s">
        <v>65</v>
      </c>
      <c r="B212">
        <v>3</v>
      </c>
      <c r="C212" t="s">
        <v>66</v>
      </c>
      <c r="D212" t="s">
        <v>67</v>
      </c>
      <c r="E212" t="s">
        <v>68</v>
      </c>
      <c r="F212">
        <v>180</v>
      </c>
      <c r="G212">
        <v>1080</v>
      </c>
      <c r="H212">
        <v>-3</v>
      </c>
      <c r="I212">
        <v>1981</v>
      </c>
      <c r="J212" t="s">
        <v>69</v>
      </c>
      <c r="K212">
        <v>1780</v>
      </c>
      <c r="L212">
        <v>3.51</v>
      </c>
      <c r="M212">
        <v>4.68</v>
      </c>
      <c r="N212" s="4">
        <f t="shared" si="6"/>
        <v>9.6712784999999999E-4</v>
      </c>
      <c r="O212" s="4">
        <f t="shared" si="7"/>
        <v>4.5261583379999993E-3</v>
      </c>
      <c r="P212">
        <v>25</v>
      </c>
      <c r="Q212">
        <v>1.5</v>
      </c>
      <c r="R212">
        <v>1.5</v>
      </c>
      <c r="S212">
        <v>2</v>
      </c>
      <c r="T212">
        <v>2</v>
      </c>
      <c r="U212">
        <v>3</v>
      </c>
      <c r="V212" t="s">
        <v>30</v>
      </c>
    </row>
    <row r="213" spans="1:22" x14ac:dyDescent="0.25">
      <c r="A213" t="s">
        <v>70</v>
      </c>
      <c r="B213">
        <v>1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12</v>
      </c>
      <c r="M213">
        <v>10.3</v>
      </c>
      <c r="N213" s="4">
        <f t="shared" si="6"/>
        <v>1.1304E-2</v>
      </c>
      <c r="O213" s="4">
        <f t="shared" si="7"/>
        <v>0.11643120000000001</v>
      </c>
      <c r="P213">
        <v>38</v>
      </c>
      <c r="Q213">
        <v>2.8</v>
      </c>
      <c r="R213">
        <v>3.2</v>
      </c>
      <c r="S213">
        <v>2.8</v>
      </c>
      <c r="T213">
        <v>3.2</v>
      </c>
      <c r="U213">
        <v>3</v>
      </c>
      <c r="V213" t="s">
        <v>30</v>
      </c>
    </row>
    <row r="214" spans="1:22" x14ac:dyDescent="0.25">
      <c r="A214" t="s">
        <v>70</v>
      </c>
      <c r="B214">
        <v>1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15</v>
      </c>
      <c r="M214">
        <v>8.4</v>
      </c>
      <c r="N214" s="4">
        <f t="shared" si="6"/>
        <v>1.7662500000000001E-2</v>
      </c>
      <c r="O214" s="4">
        <f t="shared" si="7"/>
        <v>0.14836500000000002</v>
      </c>
      <c r="P214">
        <v>88</v>
      </c>
      <c r="Q214">
        <v>3</v>
      </c>
      <c r="R214">
        <v>3</v>
      </c>
      <c r="S214">
        <v>3</v>
      </c>
      <c r="T214">
        <v>3</v>
      </c>
      <c r="U214">
        <v>2</v>
      </c>
      <c r="V214" t="s">
        <v>38</v>
      </c>
    </row>
    <row r="215" spans="1:22" x14ac:dyDescent="0.25">
      <c r="A215" t="s">
        <v>70</v>
      </c>
      <c r="B215">
        <v>1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13</v>
      </c>
      <c r="M215">
        <v>11.1</v>
      </c>
      <c r="N215" s="4">
        <f t="shared" si="6"/>
        <v>1.3266500000000002E-2</v>
      </c>
      <c r="O215" s="4">
        <f t="shared" si="7"/>
        <v>0.14725815000000003</v>
      </c>
      <c r="P215">
        <v>100</v>
      </c>
      <c r="Q215">
        <v>3</v>
      </c>
      <c r="R215">
        <v>2</v>
      </c>
      <c r="S215">
        <v>3.5</v>
      </c>
      <c r="T215">
        <v>3</v>
      </c>
      <c r="U215">
        <v>3</v>
      </c>
      <c r="V215" t="s">
        <v>38</v>
      </c>
    </row>
    <row r="216" spans="1:22" x14ac:dyDescent="0.25">
      <c r="A216" t="s">
        <v>70</v>
      </c>
      <c r="B216">
        <v>1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8.6</v>
      </c>
      <c r="M216">
        <v>9.5</v>
      </c>
      <c r="N216" s="4">
        <f t="shared" si="6"/>
        <v>5.8058599999999995E-3</v>
      </c>
      <c r="O216" s="4">
        <f t="shared" si="7"/>
        <v>5.5155669999999997E-2</v>
      </c>
      <c r="P216">
        <v>100</v>
      </c>
      <c r="Q216">
        <v>2</v>
      </c>
      <c r="R216">
        <v>1.5</v>
      </c>
      <c r="S216">
        <v>4</v>
      </c>
      <c r="T216">
        <v>4</v>
      </c>
      <c r="U216">
        <v>4</v>
      </c>
      <c r="V216" t="s">
        <v>30</v>
      </c>
    </row>
    <row r="217" spans="1:22" x14ac:dyDescent="0.25">
      <c r="A217" t="s">
        <v>70</v>
      </c>
      <c r="B217">
        <v>1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8.1999999999999993</v>
      </c>
      <c r="M217">
        <v>6.6</v>
      </c>
      <c r="N217" s="4">
        <f t="shared" si="6"/>
        <v>5.2783399999999986E-3</v>
      </c>
      <c r="O217" s="4">
        <f t="shared" si="7"/>
        <v>3.4837043999999991E-2</v>
      </c>
      <c r="P217">
        <v>63</v>
      </c>
      <c r="Q217">
        <v>4</v>
      </c>
      <c r="R217">
        <v>4</v>
      </c>
      <c r="S217">
        <v>3</v>
      </c>
      <c r="T217">
        <v>3</v>
      </c>
      <c r="U217">
        <v>3</v>
      </c>
      <c r="V217" t="s">
        <v>38</v>
      </c>
    </row>
    <row r="218" spans="1:22" x14ac:dyDescent="0.25">
      <c r="A218" t="s">
        <v>70</v>
      </c>
      <c r="B218">
        <v>1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15.7</v>
      </c>
      <c r="M218">
        <v>10</v>
      </c>
      <c r="N218" s="4">
        <f t="shared" si="6"/>
        <v>1.9349465E-2</v>
      </c>
      <c r="O218" s="4">
        <f t="shared" si="7"/>
        <v>0.19349464999999999</v>
      </c>
      <c r="P218">
        <v>100</v>
      </c>
      <c r="Q218">
        <v>4</v>
      </c>
      <c r="R218">
        <v>3</v>
      </c>
      <c r="S218">
        <v>2.5</v>
      </c>
      <c r="T218">
        <v>2.5</v>
      </c>
      <c r="U218">
        <v>2.5</v>
      </c>
      <c r="V218" t="s">
        <v>25</v>
      </c>
    </row>
    <row r="219" spans="1:22" x14ac:dyDescent="0.25">
      <c r="A219" t="s">
        <v>70</v>
      </c>
      <c r="B219">
        <v>1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15.9</v>
      </c>
      <c r="M219">
        <v>8.8000000000000007</v>
      </c>
      <c r="N219" s="4">
        <f t="shared" si="6"/>
        <v>1.9845585000000002E-2</v>
      </c>
      <c r="O219" s="4">
        <f t="shared" si="7"/>
        <v>0.17464114800000002</v>
      </c>
      <c r="P219">
        <v>75</v>
      </c>
      <c r="Q219">
        <v>4</v>
      </c>
      <c r="R219">
        <v>3</v>
      </c>
      <c r="S219">
        <v>3</v>
      </c>
      <c r="T219">
        <v>2</v>
      </c>
      <c r="U219">
        <v>2.5</v>
      </c>
      <c r="V219" t="s">
        <v>25</v>
      </c>
    </row>
    <row r="220" spans="1:22" x14ac:dyDescent="0.25">
      <c r="A220" t="s">
        <v>70</v>
      </c>
      <c r="B220">
        <v>1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13.7</v>
      </c>
      <c r="M220">
        <v>9.9</v>
      </c>
      <c r="N220" s="4">
        <f t="shared" si="6"/>
        <v>1.4733664999999996E-2</v>
      </c>
      <c r="O220" s="4">
        <f t="shared" si="7"/>
        <v>0.14586328349999997</v>
      </c>
      <c r="P220">
        <v>88</v>
      </c>
      <c r="Q220">
        <v>4</v>
      </c>
      <c r="R220">
        <v>3</v>
      </c>
      <c r="S220">
        <v>2.5</v>
      </c>
      <c r="T220">
        <v>2.5</v>
      </c>
      <c r="U220">
        <v>2.5</v>
      </c>
      <c r="V220" t="s">
        <v>38</v>
      </c>
    </row>
    <row r="221" spans="1:22" x14ac:dyDescent="0.25">
      <c r="A221" t="s">
        <v>70</v>
      </c>
      <c r="B221">
        <v>1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11.2</v>
      </c>
      <c r="M221">
        <v>9.1</v>
      </c>
      <c r="N221" s="4">
        <f t="shared" si="6"/>
        <v>9.8470399999999979E-3</v>
      </c>
      <c r="O221" s="4">
        <f t="shared" si="7"/>
        <v>8.9608063999999973E-2</v>
      </c>
      <c r="P221">
        <v>88</v>
      </c>
      <c r="Q221">
        <v>4</v>
      </c>
      <c r="R221">
        <v>3.5</v>
      </c>
      <c r="S221">
        <v>3</v>
      </c>
      <c r="T221">
        <v>3.5</v>
      </c>
      <c r="U221">
        <v>3</v>
      </c>
      <c r="V221" t="s">
        <v>25</v>
      </c>
    </row>
    <row r="222" spans="1:22" x14ac:dyDescent="0.25">
      <c r="A222" t="s">
        <v>70</v>
      </c>
      <c r="B222">
        <v>1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18.899999999999999</v>
      </c>
      <c r="M222">
        <v>11.8</v>
      </c>
      <c r="N222" s="4">
        <f t="shared" si="6"/>
        <v>2.8040984999999994E-2</v>
      </c>
      <c r="O222" s="4">
        <f t="shared" si="7"/>
        <v>0.33088362299999996</v>
      </c>
      <c r="P222">
        <v>75</v>
      </c>
      <c r="Q222">
        <v>5</v>
      </c>
      <c r="R222">
        <v>3</v>
      </c>
      <c r="S222">
        <v>2.5</v>
      </c>
      <c r="T222">
        <v>2.5</v>
      </c>
      <c r="U222">
        <v>2</v>
      </c>
      <c r="V222" t="s">
        <v>38</v>
      </c>
    </row>
    <row r="223" spans="1:22" x14ac:dyDescent="0.25">
      <c r="A223" t="s">
        <v>70</v>
      </c>
      <c r="B223">
        <v>1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11.6</v>
      </c>
      <c r="M223">
        <v>8.9</v>
      </c>
      <c r="N223" s="4">
        <f t="shared" si="6"/>
        <v>1.0562959999999998E-2</v>
      </c>
      <c r="O223" s="4">
        <f t="shared" si="7"/>
        <v>9.4010343999999982E-2</v>
      </c>
      <c r="P223">
        <v>100</v>
      </c>
      <c r="Q223">
        <v>4</v>
      </c>
      <c r="R223">
        <v>3</v>
      </c>
      <c r="S223">
        <v>4</v>
      </c>
      <c r="T223">
        <v>4</v>
      </c>
      <c r="U223">
        <v>4</v>
      </c>
      <c r="V223" t="s">
        <v>27</v>
      </c>
    </row>
    <row r="224" spans="1:22" x14ac:dyDescent="0.25">
      <c r="A224" t="s">
        <v>70</v>
      </c>
      <c r="B224">
        <v>1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8.6</v>
      </c>
      <c r="M224">
        <v>8.9</v>
      </c>
      <c r="N224" s="4">
        <f t="shared" si="6"/>
        <v>5.8058599999999995E-3</v>
      </c>
      <c r="O224" s="4">
        <f t="shared" si="7"/>
        <v>5.1672153999999998E-2</v>
      </c>
      <c r="P224">
        <v>100</v>
      </c>
      <c r="Q224">
        <v>3</v>
      </c>
      <c r="R224">
        <v>2.5</v>
      </c>
      <c r="S224">
        <v>2.8</v>
      </c>
      <c r="T224">
        <v>3</v>
      </c>
      <c r="U224">
        <v>2.8</v>
      </c>
      <c r="V224" t="s">
        <v>30</v>
      </c>
    </row>
    <row r="225" spans="1:22" x14ac:dyDescent="0.25">
      <c r="A225" t="s">
        <v>70</v>
      </c>
      <c r="B225">
        <v>1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13.4</v>
      </c>
      <c r="M225">
        <v>12.3</v>
      </c>
      <c r="N225" s="4">
        <f t="shared" si="6"/>
        <v>1.4095460000000002E-2</v>
      </c>
      <c r="O225" s="4">
        <f t="shared" si="7"/>
        <v>0.17337415800000003</v>
      </c>
      <c r="P225">
        <v>88</v>
      </c>
      <c r="Q225">
        <v>4</v>
      </c>
      <c r="R225">
        <v>3</v>
      </c>
      <c r="S225">
        <v>3.5</v>
      </c>
      <c r="T225">
        <v>3</v>
      </c>
      <c r="U225">
        <v>2.5</v>
      </c>
      <c r="V225" t="s">
        <v>27</v>
      </c>
    </row>
    <row r="226" spans="1:22" x14ac:dyDescent="0.25">
      <c r="A226" t="s">
        <v>70</v>
      </c>
      <c r="B226">
        <v>1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19.600000000000001</v>
      </c>
      <c r="M226">
        <v>11.8</v>
      </c>
      <c r="N226" s="4">
        <f t="shared" si="6"/>
        <v>3.0156560000000006E-2</v>
      </c>
      <c r="O226" s="4">
        <f t="shared" si="7"/>
        <v>0.35584740800000009</v>
      </c>
      <c r="P226">
        <v>63</v>
      </c>
      <c r="Q226">
        <v>5</v>
      </c>
      <c r="R226">
        <v>3</v>
      </c>
      <c r="S226">
        <v>3.5</v>
      </c>
      <c r="T226">
        <v>3</v>
      </c>
      <c r="U226">
        <v>2</v>
      </c>
      <c r="V226" t="s">
        <v>27</v>
      </c>
    </row>
    <row r="227" spans="1:22" x14ac:dyDescent="0.25">
      <c r="A227" t="s">
        <v>70</v>
      </c>
      <c r="B227">
        <v>1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11.1</v>
      </c>
      <c r="M227">
        <v>8.6999999999999993</v>
      </c>
      <c r="N227" s="4">
        <f t="shared" si="6"/>
        <v>9.671985000000001E-3</v>
      </c>
      <c r="O227" s="4">
        <f t="shared" si="7"/>
        <v>8.4146269499999996E-2</v>
      </c>
      <c r="P227">
        <v>88</v>
      </c>
      <c r="Q227">
        <v>3</v>
      </c>
      <c r="R227">
        <v>2</v>
      </c>
      <c r="S227">
        <v>3</v>
      </c>
      <c r="T227">
        <v>4</v>
      </c>
      <c r="U227">
        <v>4</v>
      </c>
      <c r="V227" t="s">
        <v>25</v>
      </c>
    </row>
    <row r="228" spans="1:22" x14ac:dyDescent="0.25">
      <c r="A228" t="s">
        <v>70</v>
      </c>
      <c r="B228">
        <v>1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10.8</v>
      </c>
      <c r="M228">
        <v>10</v>
      </c>
      <c r="N228" s="4">
        <f t="shared" si="6"/>
        <v>9.156240000000003E-3</v>
      </c>
      <c r="O228" s="4">
        <f t="shared" si="7"/>
        <v>9.156240000000003E-2</v>
      </c>
      <c r="P228">
        <v>75</v>
      </c>
      <c r="Q228">
        <v>3</v>
      </c>
      <c r="R228">
        <v>4</v>
      </c>
      <c r="S228">
        <v>3</v>
      </c>
      <c r="T228">
        <v>4</v>
      </c>
      <c r="U228">
        <v>3</v>
      </c>
      <c r="V228" t="s">
        <v>25</v>
      </c>
    </row>
    <row r="229" spans="1:22" x14ac:dyDescent="0.25">
      <c r="A229" t="s">
        <v>70</v>
      </c>
      <c r="B229">
        <v>1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11.2</v>
      </c>
      <c r="M229">
        <v>12.2</v>
      </c>
      <c r="N229" s="4">
        <f t="shared" si="6"/>
        <v>9.8470399999999979E-3</v>
      </c>
      <c r="O229" s="4">
        <f t="shared" si="7"/>
        <v>0.12013388799999997</v>
      </c>
      <c r="P229">
        <v>75</v>
      </c>
      <c r="Q229">
        <v>5</v>
      </c>
      <c r="R229">
        <v>3</v>
      </c>
      <c r="S229">
        <v>4</v>
      </c>
      <c r="T229">
        <v>3.5</v>
      </c>
      <c r="U229">
        <v>3.5</v>
      </c>
      <c r="V229" t="s">
        <v>25</v>
      </c>
    </row>
    <row r="230" spans="1:22" x14ac:dyDescent="0.25">
      <c r="A230" t="s">
        <v>70</v>
      </c>
      <c r="B230">
        <v>1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14</v>
      </c>
      <c r="M230">
        <v>13</v>
      </c>
      <c r="N230" s="4">
        <f t="shared" si="6"/>
        <v>1.5386000000000002E-2</v>
      </c>
      <c r="O230" s="4">
        <f t="shared" si="7"/>
        <v>0.20001800000000003</v>
      </c>
      <c r="P230">
        <v>63</v>
      </c>
      <c r="Q230">
        <v>5</v>
      </c>
      <c r="R230">
        <v>3</v>
      </c>
      <c r="S230">
        <v>3</v>
      </c>
      <c r="T230">
        <v>2</v>
      </c>
      <c r="U230">
        <v>2.5</v>
      </c>
      <c r="V230" t="s">
        <v>25</v>
      </c>
    </row>
    <row r="231" spans="1:22" x14ac:dyDescent="0.25">
      <c r="A231" t="s">
        <v>70</v>
      </c>
      <c r="B231">
        <v>1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9</v>
      </c>
      <c r="M231">
        <v>9.6</v>
      </c>
      <c r="N231" s="4">
        <f t="shared" si="6"/>
        <v>6.3584999999999996E-3</v>
      </c>
      <c r="O231" s="4">
        <f t="shared" si="7"/>
        <v>6.1041599999999994E-2</v>
      </c>
      <c r="P231">
        <v>75</v>
      </c>
      <c r="Q231">
        <v>4</v>
      </c>
      <c r="R231">
        <v>3</v>
      </c>
      <c r="S231">
        <v>4</v>
      </c>
      <c r="T231">
        <v>3</v>
      </c>
      <c r="U231">
        <v>2.5</v>
      </c>
      <c r="V231" t="s">
        <v>25</v>
      </c>
    </row>
    <row r="232" spans="1:22" x14ac:dyDescent="0.25">
      <c r="A232" t="s">
        <v>70</v>
      </c>
      <c r="B232">
        <v>1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14.4</v>
      </c>
      <c r="M232">
        <v>12.9</v>
      </c>
      <c r="N232" s="4">
        <f t="shared" si="6"/>
        <v>1.6277760000000006E-2</v>
      </c>
      <c r="O232" s="4">
        <f t="shared" si="7"/>
        <v>0.20998310400000009</v>
      </c>
      <c r="P232">
        <v>88</v>
      </c>
      <c r="Q232">
        <v>5</v>
      </c>
      <c r="R232">
        <v>3</v>
      </c>
      <c r="S232">
        <v>3</v>
      </c>
      <c r="T232">
        <v>3</v>
      </c>
      <c r="U232">
        <v>2.5</v>
      </c>
      <c r="V232" t="s">
        <v>25</v>
      </c>
    </row>
    <row r="233" spans="1:22" x14ac:dyDescent="0.25">
      <c r="A233" t="s">
        <v>70</v>
      </c>
      <c r="B233">
        <v>1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8.8000000000000007</v>
      </c>
      <c r="M233">
        <v>5.3</v>
      </c>
      <c r="N233" s="4">
        <f t="shared" si="6"/>
        <v>6.0790400000000017E-3</v>
      </c>
      <c r="O233" s="4">
        <f t="shared" si="7"/>
        <v>3.2218912000000009E-2</v>
      </c>
      <c r="P233">
        <v>63</v>
      </c>
      <c r="Q233">
        <v>3</v>
      </c>
      <c r="R233">
        <v>3</v>
      </c>
      <c r="S233">
        <v>3</v>
      </c>
      <c r="T233">
        <v>4</v>
      </c>
      <c r="U233">
        <v>4</v>
      </c>
      <c r="V233" t="s">
        <v>38</v>
      </c>
    </row>
    <row r="234" spans="1:22" x14ac:dyDescent="0.25">
      <c r="A234" t="s">
        <v>70</v>
      </c>
      <c r="B234">
        <v>1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37</v>
      </c>
      <c r="K234">
        <v>1524</v>
      </c>
      <c r="L234">
        <v>6.5</v>
      </c>
      <c r="M234">
        <v>7</v>
      </c>
      <c r="N234" s="4">
        <f t="shared" si="6"/>
        <v>3.3166250000000006E-3</v>
      </c>
      <c r="O234" s="4">
        <f t="shared" si="7"/>
        <v>2.3216375000000004E-2</v>
      </c>
      <c r="P234">
        <v>50</v>
      </c>
      <c r="Q234">
        <v>2.5</v>
      </c>
      <c r="R234">
        <v>2.5</v>
      </c>
      <c r="S234">
        <v>3</v>
      </c>
      <c r="T234">
        <v>3</v>
      </c>
      <c r="U234">
        <v>3</v>
      </c>
      <c r="V234" t="s">
        <v>30</v>
      </c>
    </row>
    <row r="235" spans="1:22" x14ac:dyDescent="0.25">
      <c r="A235" t="s">
        <v>70</v>
      </c>
      <c r="B235">
        <v>1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63</v>
      </c>
      <c r="K235">
        <v>1340</v>
      </c>
      <c r="L235">
        <v>5.7</v>
      </c>
      <c r="M235">
        <v>5.7</v>
      </c>
      <c r="N235" s="4">
        <f t="shared" si="6"/>
        <v>2.550465E-3</v>
      </c>
      <c r="O235" s="4">
        <f t="shared" si="7"/>
        <v>1.4537650500000001E-2</v>
      </c>
      <c r="P235">
        <v>100</v>
      </c>
      <c r="Q235">
        <v>3</v>
      </c>
      <c r="R235">
        <v>2</v>
      </c>
      <c r="S235">
        <v>3</v>
      </c>
      <c r="T235">
        <v>3</v>
      </c>
      <c r="U235">
        <v>3</v>
      </c>
      <c r="V235" t="s">
        <v>30</v>
      </c>
    </row>
    <row r="236" spans="1:22" x14ac:dyDescent="0.25">
      <c r="A236" t="s">
        <v>70</v>
      </c>
      <c r="B236">
        <v>1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60</v>
      </c>
      <c r="K236">
        <v>1595</v>
      </c>
      <c r="L236">
        <v>8</v>
      </c>
      <c r="M236">
        <v>4.9000000000000004</v>
      </c>
      <c r="N236" s="4">
        <f t="shared" si="6"/>
        <v>5.0240000000000007E-3</v>
      </c>
      <c r="O236" s="4">
        <f t="shared" si="7"/>
        <v>2.4617600000000007E-2</v>
      </c>
      <c r="P236">
        <v>88</v>
      </c>
      <c r="Q236">
        <v>3.5</v>
      </c>
      <c r="R236">
        <v>1.5</v>
      </c>
      <c r="S236">
        <v>4</v>
      </c>
      <c r="T236">
        <v>4</v>
      </c>
      <c r="U236">
        <v>4</v>
      </c>
      <c r="V236" t="s">
        <v>38</v>
      </c>
    </row>
    <row r="237" spans="1:22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55</v>
      </c>
      <c r="K237">
        <v>1094</v>
      </c>
      <c r="L237">
        <v>7.3</v>
      </c>
      <c r="M237">
        <v>6.8</v>
      </c>
      <c r="N237" s="4">
        <f t="shared" si="6"/>
        <v>4.1832649999999994E-3</v>
      </c>
      <c r="O237" s="4">
        <f t="shared" si="7"/>
        <v>2.8446201999999993E-2</v>
      </c>
      <c r="P237">
        <v>2.5</v>
      </c>
      <c r="Q237">
        <v>3.5</v>
      </c>
      <c r="R237">
        <v>3.5</v>
      </c>
      <c r="S237">
        <v>3.5</v>
      </c>
      <c r="T237">
        <v>3.5</v>
      </c>
      <c r="U237">
        <v>1.5</v>
      </c>
      <c r="V237" t="s">
        <v>50</v>
      </c>
    </row>
    <row r="238" spans="1:22" x14ac:dyDescent="0.25">
      <c r="A238" t="s">
        <v>70</v>
      </c>
      <c r="B238">
        <v>2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56</v>
      </c>
      <c r="K238">
        <v>1111</v>
      </c>
      <c r="L238">
        <v>6.9</v>
      </c>
      <c r="M238">
        <v>5.6</v>
      </c>
      <c r="N238" s="4">
        <f t="shared" si="6"/>
        <v>3.7373850000000006E-3</v>
      </c>
      <c r="O238" s="4">
        <f t="shared" si="7"/>
        <v>2.0929356000000003E-2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2</v>
      </c>
      <c r="V238" t="s">
        <v>50</v>
      </c>
    </row>
    <row r="239" spans="1:22" x14ac:dyDescent="0.25">
      <c r="A239" t="s">
        <v>70</v>
      </c>
      <c r="B239">
        <v>2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57</v>
      </c>
      <c r="K239">
        <v>1112</v>
      </c>
      <c r="L239">
        <v>7.4</v>
      </c>
      <c r="M239">
        <v>6.6</v>
      </c>
      <c r="N239" s="4">
        <f t="shared" si="6"/>
        <v>4.2986600000000019E-3</v>
      </c>
      <c r="O239" s="4">
        <f t="shared" si="7"/>
        <v>2.8371156000000012E-2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1</v>
      </c>
      <c r="V239" t="s">
        <v>50</v>
      </c>
    </row>
    <row r="240" spans="1:22" x14ac:dyDescent="0.25">
      <c r="A240" t="s">
        <v>70</v>
      </c>
      <c r="B240">
        <v>2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1113</v>
      </c>
      <c r="L240">
        <v>6.6</v>
      </c>
      <c r="M240">
        <v>5.4</v>
      </c>
      <c r="N240" s="4">
        <f t="shared" si="6"/>
        <v>3.4194600000000005E-3</v>
      </c>
      <c r="O240" s="4">
        <f t="shared" si="7"/>
        <v>1.8465084000000003E-2</v>
      </c>
      <c r="P240">
        <v>3</v>
      </c>
      <c r="Q240">
        <v>2</v>
      </c>
      <c r="R240">
        <v>3</v>
      </c>
      <c r="S240">
        <v>3</v>
      </c>
      <c r="T240">
        <v>3.5</v>
      </c>
      <c r="U240">
        <v>1.5</v>
      </c>
      <c r="V240" t="s">
        <v>50</v>
      </c>
    </row>
    <row r="241" spans="1:22" x14ac:dyDescent="0.25">
      <c r="A241" t="s">
        <v>70</v>
      </c>
      <c r="B241">
        <v>2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58</v>
      </c>
      <c r="K241">
        <v>1338</v>
      </c>
      <c r="L241">
        <v>7.3</v>
      </c>
      <c r="M241">
        <v>5.6</v>
      </c>
      <c r="N241" s="4">
        <f t="shared" si="6"/>
        <v>4.1832649999999994E-3</v>
      </c>
      <c r="O241" s="4">
        <f t="shared" si="7"/>
        <v>2.3426283999999995E-2</v>
      </c>
      <c r="P241">
        <v>3.5</v>
      </c>
      <c r="Q241">
        <v>3</v>
      </c>
      <c r="R241">
        <v>2.5</v>
      </c>
      <c r="S241">
        <v>2.5</v>
      </c>
      <c r="T241">
        <v>2.5</v>
      </c>
      <c r="U241">
        <v>1.5</v>
      </c>
      <c r="V241" t="s">
        <v>50</v>
      </c>
    </row>
    <row r="242" spans="1:22" x14ac:dyDescent="0.25">
      <c r="A242" t="s">
        <v>70</v>
      </c>
      <c r="B242">
        <v>2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59</v>
      </c>
      <c r="K242">
        <v>1978</v>
      </c>
      <c r="L242">
        <v>19.600000000000001</v>
      </c>
      <c r="M242">
        <v>10.3</v>
      </c>
      <c r="N242" s="4">
        <f t="shared" si="6"/>
        <v>3.0156560000000006E-2</v>
      </c>
      <c r="O242" s="4">
        <f t="shared" si="7"/>
        <v>0.31061256800000009</v>
      </c>
      <c r="P242">
        <v>3</v>
      </c>
      <c r="Q242">
        <v>3</v>
      </c>
      <c r="R242">
        <v>2.5</v>
      </c>
      <c r="S242">
        <v>2.5</v>
      </c>
      <c r="T242">
        <v>2</v>
      </c>
      <c r="U242">
        <v>2</v>
      </c>
      <c r="V242" t="s">
        <v>50</v>
      </c>
    </row>
    <row r="243" spans="1:22" x14ac:dyDescent="0.25">
      <c r="A243" t="s">
        <v>70</v>
      </c>
      <c r="B243">
        <v>2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1482</v>
      </c>
      <c r="L243">
        <v>15.4</v>
      </c>
      <c r="M243">
        <v>15.8</v>
      </c>
      <c r="N243" s="4">
        <f t="shared" si="6"/>
        <v>1.8617060000000001E-2</v>
      </c>
      <c r="O243" s="4">
        <f t="shared" si="7"/>
        <v>0.29414954800000004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3</v>
      </c>
      <c r="V243" t="s">
        <v>50</v>
      </c>
    </row>
    <row r="244" spans="1:22" x14ac:dyDescent="0.25">
      <c r="A244" t="s">
        <v>70</v>
      </c>
      <c r="B244">
        <v>2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26</v>
      </c>
      <c r="K244">
        <v>1339</v>
      </c>
      <c r="L244">
        <v>15</v>
      </c>
      <c r="M244">
        <v>11.6</v>
      </c>
      <c r="N244" s="4">
        <f t="shared" si="6"/>
        <v>1.7662500000000001E-2</v>
      </c>
      <c r="O244" s="4">
        <f t="shared" si="7"/>
        <v>0.20488500000000001</v>
      </c>
      <c r="P244">
        <v>4</v>
      </c>
      <c r="Q244">
        <v>3</v>
      </c>
      <c r="R244">
        <v>2</v>
      </c>
      <c r="S244">
        <v>2</v>
      </c>
      <c r="T244">
        <v>2</v>
      </c>
      <c r="U244">
        <v>3</v>
      </c>
      <c r="V244" t="s">
        <v>50</v>
      </c>
    </row>
    <row r="245" spans="1:22" x14ac:dyDescent="0.25">
      <c r="A245" t="s">
        <v>70</v>
      </c>
      <c r="B245">
        <v>2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2447</v>
      </c>
      <c r="L245">
        <v>13.9</v>
      </c>
      <c r="M245">
        <v>11.1</v>
      </c>
      <c r="N245" s="4">
        <f t="shared" si="6"/>
        <v>1.5166985000000004E-2</v>
      </c>
      <c r="O245" s="4">
        <f t="shared" si="7"/>
        <v>0.16835353350000004</v>
      </c>
      <c r="P245">
        <v>5</v>
      </c>
      <c r="Q245">
        <v>3</v>
      </c>
      <c r="R245">
        <v>3</v>
      </c>
      <c r="S245">
        <v>2.5</v>
      </c>
      <c r="T245">
        <v>2</v>
      </c>
      <c r="U245">
        <v>3</v>
      </c>
      <c r="V245" t="s">
        <v>50</v>
      </c>
    </row>
    <row r="246" spans="1:22" x14ac:dyDescent="0.25">
      <c r="A246" t="s">
        <v>70</v>
      </c>
      <c r="B246">
        <v>2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1786</v>
      </c>
      <c r="L246">
        <v>15.6</v>
      </c>
      <c r="M246">
        <v>12.1</v>
      </c>
      <c r="N246" s="4">
        <f t="shared" si="6"/>
        <v>1.9103760000000001E-2</v>
      </c>
      <c r="O246" s="4">
        <f t="shared" si="7"/>
        <v>0.23115549600000002</v>
      </c>
      <c r="P246">
        <v>4</v>
      </c>
      <c r="Q246">
        <v>3</v>
      </c>
      <c r="R246">
        <v>3.5</v>
      </c>
      <c r="S246">
        <v>3</v>
      </c>
      <c r="T246">
        <v>2</v>
      </c>
      <c r="U246">
        <v>3</v>
      </c>
      <c r="V246" t="s">
        <v>50</v>
      </c>
    </row>
    <row r="247" spans="1:22" x14ac:dyDescent="0.25">
      <c r="A247" t="s">
        <v>70</v>
      </c>
      <c r="B247">
        <v>2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32</v>
      </c>
      <c r="K247">
        <v>1596</v>
      </c>
      <c r="L247">
        <v>7.9</v>
      </c>
      <c r="M247">
        <v>8.6</v>
      </c>
      <c r="N247" s="4">
        <f t="shared" si="6"/>
        <v>4.8991850000000003E-3</v>
      </c>
      <c r="O247" s="4">
        <f t="shared" si="7"/>
        <v>4.2132991000000002E-2</v>
      </c>
      <c r="P247">
        <v>2.5</v>
      </c>
      <c r="Q247">
        <v>3</v>
      </c>
      <c r="R247">
        <v>2.5</v>
      </c>
      <c r="S247">
        <v>4</v>
      </c>
      <c r="T247">
        <v>3.5</v>
      </c>
      <c r="U247">
        <v>1</v>
      </c>
      <c r="V247" t="s">
        <v>50</v>
      </c>
    </row>
    <row r="248" spans="1:22" x14ac:dyDescent="0.25">
      <c r="A248" t="s">
        <v>70</v>
      </c>
      <c r="B248">
        <v>2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61</v>
      </c>
      <c r="K248">
        <v>1171</v>
      </c>
      <c r="L248">
        <v>6.6</v>
      </c>
      <c r="M248">
        <v>5.8</v>
      </c>
      <c r="N248" s="4">
        <f t="shared" si="6"/>
        <v>3.4194600000000005E-3</v>
      </c>
      <c r="O248" s="4">
        <f t="shared" si="7"/>
        <v>1.9832868000000003E-2</v>
      </c>
      <c r="P248">
        <v>2</v>
      </c>
      <c r="Q248">
        <v>3</v>
      </c>
      <c r="R248">
        <v>2.5</v>
      </c>
      <c r="S248">
        <v>2.5</v>
      </c>
      <c r="T248">
        <v>3</v>
      </c>
      <c r="U248">
        <v>0.5</v>
      </c>
      <c r="V248" t="s">
        <v>50</v>
      </c>
    </row>
    <row r="249" spans="1:22" x14ac:dyDescent="0.25">
      <c r="A249" t="s">
        <v>70</v>
      </c>
      <c r="B249">
        <v>2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34</v>
      </c>
      <c r="K249">
        <v>2469</v>
      </c>
      <c r="L249">
        <v>15.2</v>
      </c>
      <c r="M249">
        <v>12.3</v>
      </c>
      <c r="N249" s="4">
        <f t="shared" si="6"/>
        <v>1.8136639999999999E-2</v>
      </c>
      <c r="O249" s="4">
        <f t="shared" si="7"/>
        <v>0.22308067200000001</v>
      </c>
      <c r="P249">
        <v>5</v>
      </c>
      <c r="Q249">
        <v>3</v>
      </c>
      <c r="R249">
        <v>4</v>
      </c>
      <c r="S249">
        <v>3.5</v>
      </c>
      <c r="T249">
        <v>3</v>
      </c>
      <c r="U249">
        <v>4</v>
      </c>
      <c r="V249" t="s">
        <v>50</v>
      </c>
    </row>
    <row r="250" spans="1:22" x14ac:dyDescent="0.25">
      <c r="A250" t="s">
        <v>70</v>
      </c>
      <c r="B250">
        <v>2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1337</v>
      </c>
      <c r="L250">
        <v>17.100000000000001</v>
      </c>
      <c r="M250">
        <v>12.1</v>
      </c>
      <c r="N250" s="4">
        <f t="shared" si="6"/>
        <v>2.2954185000000002E-2</v>
      </c>
      <c r="O250" s="4">
        <f t="shared" si="7"/>
        <v>0.2777456385</v>
      </c>
      <c r="P250">
        <v>5</v>
      </c>
      <c r="Q250">
        <v>3</v>
      </c>
      <c r="R250">
        <v>3.5</v>
      </c>
      <c r="S250">
        <v>3</v>
      </c>
      <c r="T250">
        <v>3</v>
      </c>
      <c r="U250">
        <v>4</v>
      </c>
      <c r="V250" t="s">
        <v>50</v>
      </c>
    </row>
    <row r="251" spans="1:22" x14ac:dyDescent="0.25">
      <c r="A251" t="s">
        <v>70</v>
      </c>
      <c r="B251">
        <v>2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35</v>
      </c>
      <c r="K251">
        <v>1785</v>
      </c>
      <c r="L251">
        <v>5.5</v>
      </c>
      <c r="M251">
        <v>3.4</v>
      </c>
      <c r="N251" s="4">
        <f t="shared" si="6"/>
        <v>2.374625E-3</v>
      </c>
      <c r="O251" s="4">
        <f t="shared" si="7"/>
        <v>8.0737250000000003E-3</v>
      </c>
      <c r="P251">
        <v>2</v>
      </c>
      <c r="Q251">
        <v>1</v>
      </c>
      <c r="R251">
        <v>3</v>
      </c>
      <c r="S251">
        <v>2.5</v>
      </c>
      <c r="T251">
        <v>3</v>
      </c>
      <c r="U251">
        <v>1</v>
      </c>
      <c r="V251" t="s">
        <v>50</v>
      </c>
    </row>
    <row r="252" spans="1:22" x14ac:dyDescent="0.25">
      <c r="A252" t="s">
        <v>70</v>
      </c>
      <c r="B252">
        <v>2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36</v>
      </c>
      <c r="K252">
        <v>1598</v>
      </c>
      <c r="L252">
        <v>15.3</v>
      </c>
      <c r="M252">
        <v>12.7</v>
      </c>
      <c r="N252" s="4">
        <f t="shared" si="6"/>
        <v>1.8376065E-2</v>
      </c>
      <c r="O252" s="4">
        <f t="shared" si="7"/>
        <v>0.2333760255</v>
      </c>
      <c r="P252">
        <v>3</v>
      </c>
      <c r="Q252">
        <v>4</v>
      </c>
      <c r="R252">
        <v>2.5</v>
      </c>
      <c r="S252">
        <v>3</v>
      </c>
      <c r="T252">
        <v>2</v>
      </c>
      <c r="U252">
        <v>3</v>
      </c>
      <c r="V252" t="s">
        <v>50</v>
      </c>
    </row>
    <row r="253" spans="1:22" x14ac:dyDescent="0.25">
      <c r="A253" t="s">
        <v>70</v>
      </c>
      <c r="B253">
        <v>2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62</v>
      </c>
      <c r="K253">
        <v>2428</v>
      </c>
      <c r="L253">
        <v>10.9</v>
      </c>
      <c r="M253">
        <v>9.8000000000000007</v>
      </c>
      <c r="N253" s="4">
        <f t="shared" si="6"/>
        <v>9.3265850000000001E-3</v>
      </c>
      <c r="O253" s="4">
        <f t="shared" si="7"/>
        <v>9.1400533000000006E-2</v>
      </c>
      <c r="P253">
        <v>4</v>
      </c>
      <c r="Q253">
        <v>3</v>
      </c>
      <c r="R253">
        <v>2.5</v>
      </c>
      <c r="S253">
        <v>2</v>
      </c>
      <c r="T253">
        <v>3</v>
      </c>
      <c r="U253">
        <v>4</v>
      </c>
      <c r="V253" t="s">
        <v>50</v>
      </c>
    </row>
    <row r="254" spans="1:22" x14ac:dyDescent="0.25">
      <c r="A254" t="s">
        <v>70</v>
      </c>
      <c r="B254">
        <v>2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2430</v>
      </c>
      <c r="L254">
        <v>13</v>
      </c>
      <c r="M254">
        <v>10.4</v>
      </c>
      <c r="N254" s="4">
        <f t="shared" si="6"/>
        <v>1.3266500000000002E-2</v>
      </c>
      <c r="O254" s="4">
        <f t="shared" si="7"/>
        <v>0.13797160000000003</v>
      </c>
      <c r="P254">
        <v>4</v>
      </c>
      <c r="Q254">
        <v>3</v>
      </c>
      <c r="R254">
        <v>3.5</v>
      </c>
      <c r="S254">
        <v>2.5</v>
      </c>
      <c r="T254">
        <v>2</v>
      </c>
      <c r="U254">
        <v>4</v>
      </c>
      <c r="V254" t="s">
        <v>50</v>
      </c>
    </row>
    <row r="255" spans="1:22" x14ac:dyDescent="0.25">
      <c r="A255" t="s">
        <v>70</v>
      </c>
      <c r="B255">
        <v>2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2431</v>
      </c>
      <c r="L255">
        <v>10.6</v>
      </c>
      <c r="M255">
        <v>10.199999999999999</v>
      </c>
      <c r="N255" s="4">
        <f t="shared" si="6"/>
        <v>8.8202599999999999E-3</v>
      </c>
      <c r="O255" s="4">
        <f t="shared" si="7"/>
        <v>8.9966651999999994E-2</v>
      </c>
      <c r="P255">
        <v>4</v>
      </c>
      <c r="Q255">
        <v>3</v>
      </c>
      <c r="R255">
        <v>3.5</v>
      </c>
      <c r="S255">
        <v>2.5</v>
      </c>
      <c r="T255">
        <v>3</v>
      </c>
      <c r="U255">
        <v>3</v>
      </c>
      <c r="V255" t="s">
        <v>50</v>
      </c>
    </row>
    <row r="256" spans="1:22" x14ac:dyDescent="0.25">
      <c r="A256" t="s">
        <v>70</v>
      </c>
      <c r="B256">
        <v>2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10.3</v>
      </c>
      <c r="M256">
        <v>10</v>
      </c>
      <c r="N256" s="4">
        <f t="shared" si="6"/>
        <v>8.3280650000000025E-3</v>
      </c>
      <c r="O256" s="4">
        <f t="shared" si="7"/>
        <v>8.3280650000000025E-2</v>
      </c>
      <c r="P256">
        <v>4</v>
      </c>
      <c r="Q256">
        <v>3</v>
      </c>
      <c r="R256">
        <v>4</v>
      </c>
      <c r="S256">
        <v>3</v>
      </c>
      <c r="T256">
        <v>3</v>
      </c>
      <c r="U256">
        <v>3</v>
      </c>
      <c r="V256" t="s">
        <v>50</v>
      </c>
    </row>
    <row r="257" spans="1:22" x14ac:dyDescent="0.25">
      <c r="A257" t="s">
        <v>70</v>
      </c>
      <c r="B257">
        <v>2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3.2</v>
      </c>
      <c r="M257">
        <v>5.9</v>
      </c>
      <c r="N257" s="4">
        <f t="shared" si="6"/>
        <v>8.0384E-4</v>
      </c>
      <c r="O257" s="4">
        <f t="shared" si="7"/>
        <v>4.7426560000000005E-3</v>
      </c>
      <c r="P257">
        <v>1.5</v>
      </c>
      <c r="Q257">
        <v>3</v>
      </c>
      <c r="R257">
        <v>2</v>
      </c>
      <c r="S257">
        <v>2</v>
      </c>
      <c r="T257">
        <v>2</v>
      </c>
      <c r="U257">
        <v>0</v>
      </c>
      <c r="V257" t="s">
        <v>50</v>
      </c>
    </row>
    <row r="258" spans="1:22" x14ac:dyDescent="0.25">
      <c r="A258" t="s">
        <v>70</v>
      </c>
      <c r="B258">
        <v>2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15</v>
      </c>
      <c r="M258">
        <v>13</v>
      </c>
      <c r="N258" s="4">
        <f t="shared" si="6"/>
        <v>1.7662500000000001E-2</v>
      </c>
      <c r="O258" s="4">
        <f t="shared" si="7"/>
        <v>0.22961250000000002</v>
      </c>
      <c r="P258">
        <v>2.5</v>
      </c>
      <c r="Q258">
        <v>3</v>
      </c>
      <c r="R258">
        <v>4</v>
      </c>
      <c r="S258">
        <v>4</v>
      </c>
      <c r="T258">
        <v>4</v>
      </c>
      <c r="U258">
        <v>2</v>
      </c>
      <c r="V258" t="s">
        <v>50</v>
      </c>
    </row>
    <row r="259" spans="1:22" x14ac:dyDescent="0.25">
      <c r="A259" t="s">
        <v>70</v>
      </c>
      <c r="B259">
        <v>2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6.8</v>
      </c>
      <c r="M259">
        <v>5.6</v>
      </c>
      <c r="N259" s="4">
        <f t="shared" ref="N259:N322" si="8">3.14/4*((L259/100)^2)</f>
        <v>3.6298400000000005E-3</v>
      </c>
      <c r="O259" s="4">
        <f t="shared" ref="O259:O322" si="9">3.14/4*((L259/100)^2)*M259</f>
        <v>2.0327104000000002E-2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0</v>
      </c>
      <c r="V259" t="s">
        <v>50</v>
      </c>
    </row>
    <row r="260" spans="1:22" x14ac:dyDescent="0.25">
      <c r="A260" t="s">
        <v>70</v>
      </c>
      <c r="B260">
        <v>2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7.7</v>
      </c>
      <c r="M260">
        <v>6.1</v>
      </c>
      <c r="N260" s="4">
        <f t="shared" si="8"/>
        <v>4.6542650000000003E-3</v>
      </c>
      <c r="O260" s="4">
        <f t="shared" si="9"/>
        <v>2.8391016500000001E-2</v>
      </c>
      <c r="P260">
        <v>2</v>
      </c>
      <c r="Q260">
        <v>2</v>
      </c>
      <c r="R260">
        <v>2</v>
      </c>
      <c r="S260">
        <v>2</v>
      </c>
      <c r="T260">
        <v>3</v>
      </c>
      <c r="U260">
        <v>0.5</v>
      </c>
      <c r="V260" t="s">
        <v>50</v>
      </c>
    </row>
    <row r="261" spans="1:22" x14ac:dyDescent="0.25">
      <c r="A261" t="s">
        <v>70</v>
      </c>
      <c r="B261">
        <v>2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3.1</v>
      </c>
      <c r="M261">
        <v>2.9</v>
      </c>
      <c r="N261" s="4">
        <f t="shared" si="8"/>
        <v>7.5438499999999999E-4</v>
      </c>
      <c r="O261" s="4">
        <f t="shared" si="9"/>
        <v>2.1877164999999999E-3</v>
      </c>
      <c r="P261">
        <v>2</v>
      </c>
      <c r="Q261">
        <v>1.5</v>
      </c>
      <c r="R261">
        <v>3</v>
      </c>
      <c r="S261">
        <v>3</v>
      </c>
      <c r="T261">
        <v>3.5</v>
      </c>
      <c r="U261">
        <v>1</v>
      </c>
      <c r="V261" t="s">
        <v>50</v>
      </c>
    </row>
    <row r="262" spans="1:22" x14ac:dyDescent="0.25">
      <c r="A262" t="s">
        <v>70</v>
      </c>
      <c r="B262">
        <v>3</v>
      </c>
      <c r="C262" t="s">
        <v>71</v>
      </c>
      <c r="D262" t="s">
        <v>72</v>
      </c>
      <c r="E262" t="s">
        <v>73</v>
      </c>
      <c r="F262">
        <v>160</v>
      </c>
      <c r="G262">
        <v>1000</v>
      </c>
      <c r="H262">
        <v>-3</v>
      </c>
      <c r="I262">
        <v>1981</v>
      </c>
      <c r="J262" t="s">
        <v>55</v>
      </c>
      <c r="K262">
        <v>1094</v>
      </c>
      <c r="L262">
        <v>10.5</v>
      </c>
      <c r="M262">
        <v>6</v>
      </c>
      <c r="N262" s="4">
        <f t="shared" si="8"/>
        <v>8.6546249999999991E-3</v>
      </c>
      <c r="O262" s="4">
        <f t="shared" si="9"/>
        <v>5.1927749999999995E-2</v>
      </c>
      <c r="P262">
        <v>25</v>
      </c>
      <c r="Q262">
        <v>3</v>
      </c>
      <c r="R262">
        <v>3</v>
      </c>
      <c r="S262">
        <v>2</v>
      </c>
      <c r="T262">
        <v>3</v>
      </c>
      <c r="U262">
        <v>2.5</v>
      </c>
      <c r="V262" t="s">
        <v>30</v>
      </c>
    </row>
    <row r="263" spans="1:22" x14ac:dyDescent="0.25">
      <c r="A263" t="s">
        <v>70</v>
      </c>
      <c r="B263">
        <v>3</v>
      </c>
      <c r="C263" t="s">
        <v>71</v>
      </c>
      <c r="D263" t="s">
        <v>72</v>
      </c>
      <c r="E263" t="s">
        <v>73</v>
      </c>
      <c r="F263">
        <v>160</v>
      </c>
      <c r="G263">
        <v>1000</v>
      </c>
      <c r="H263">
        <v>-3</v>
      </c>
      <c r="I263">
        <v>1981</v>
      </c>
      <c r="J263" t="s">
        <v>56</v>
      </c>
      <c r="K263">
        <v>1111</v>
      </c>
      <c r="L263">
        <v>1.6</v>
      </c>
      <c r="M263">
        <v>1.8</v>
      </c>
      <c r="N263" s="4">
        <f t="shared" si="8"/>
        <v>2.0096E-4</v>
      </c>
      <c r="O263" s="4">
        <f t="shared" si="9"/>
        <v>3.6172800000000002E-4</v>
      </c>
      <c r="P263">
        <v>88</v>
      </c>
      <c r="Q263">
        <v>1</v>
      </c>
      <c r="R263">
        <v>2</v>
      </c>
      <c r="S263">
        <v>3</v>
      </c>
      <c r="T263">
        <v>3</v>
      </c>
      <c r="U263">
        <v>3</v>
      </c>
      <c r="V263" t="s">
        <v>50</v>
      </c>
    </row>
    <row r="264" spans="1:22" x14ac:dyDescent="0.25">
      <c r="A264" t="s">
        <v>70</v>
      </c>
      <c r="B264">
        <v>3</v>
      </c>
      <c r="C264" t="s">
        <v>71</v>
      </c>
      <c r="D264" t="s">
        <v>72</v>
      </c>
      <c r="E264" t="s">
        <v>73</v>
      </c>
      <c r="F264">
        <v>160</v>
      </c>
      <c r="G264">
        <v>1000</v>
      </c>
      <c r="H264">
        <v>-3</v>
      </c>
      <c r="I264">
        <v>1981</v>
      </c>
      <c r="J264" t="s">
        <v>57</v>
      </c>
      <c r="K264">
        <v>1112</v>
      </c>
      <c r="L264">
        <v>4</v>
      </c>
      <c r="M264">
        <v>3.2</v>
      </c>
      <c r="N264" s="4">
        <f t="shared" si="8"/>
        <v>1.2560000000000002E-3</v>
      </c>
      <c r="O264" s="4">
        <f t="shared" si="9"/>
        <v>4.0192000000000005E-3</v>
      </c>
      <c r="P264">
        <v>63</v>
      </c>
      <c r="Q264">
        <v>2</v>
      </c>
      <c r="R264">
        <v>1.5</v>
      </c>
      <c r="S264">
        <v>3</v>
      </c>
      <c r="T264">
        <v>3</v>
      </c>
      <c r="U264">
        <v>3</v>
      </c>
      <c r="V264" t="s">
        <v>30</v>
      </c>
    </row>
    <row r="265" spans="1:22" x14ac:dyDescent="0.25">
      <c r="A265" t="s">
        <v>70</v>
      </c>
      <c r="B265">
        <v>3</v>
      </c>
      <c r="C265" t="s">
        <v>71</v>
      </c>
      <c r="D265" t="s">
        <v>72</v>
      </c>
      <c r="E265" t="s">
        <v>73</v>
      </c>
      <c r="F265">
        <v>160</v>
      </c>
      <c r="G265">
        <v>1000</v>
      </c>
      <c r="H265">
        <v>-3</v>
      </c>
      <c r="I265">
        <v>1981</v>
      </c>
      <c r="J265" t="s">
        <v>57</v>
      </c>
      <c r="K265">
        <v>1113</v>
      </c>
      <c r="L265">
        <v>3.3</v>
      </c>
      <c r="M265">
        <v>2.7</v>
      </c>
      <c r="N265" s="4">
        <f t="shared" si="8"/>
        <v>8.5486500000000012E-4</v>
      </c>
      <c r="O265" s="4">
        <f t="shared" si="9"/>
        <v>2.3081355000000004E-3</v>
      </c>
      <c r="P265">
        <v>100</v>
      </c>
      <c r="Q265">
        <v>1.5</v>
      </c>
      <c r="R265">
        <v>1</v>
      </c>
      <c r="S265">
        <v>2</v>
      </c>
      <c r="T265">
        <v>3</v>
      </c>
      <c r="U265">
        <v>3</v>
      </c>
      <c r="V265" t="s">
        <v>50</v>
      </c>
    </row>
    <row r="266" spans="1:22" x14ac:dyDescent="0.25">
      <c r="A266" t="s">
        <v>70</v>
      </c>
      <c r="B266">
        <v>3</v>
      </c>
      <c r="C266" t="s">
        <v>71</v>
      </c>
      <c r="D266" t="s">
        <v>72</v>
      </c>
      <c r="E266" t="s">
        <v>73</v>
      </c>
      <c r="F266">
        <v>160</v>
      </c>
      <c r="G266">
        <v>1000</v>
      </c>
      <c r="H266">
        <v>-3</v>
      </c>
      <c r="I266">
        <v>1981</v>
      </c>
      <c r="J266" t="s">
        <v>58</v>
      </c>
      <c r="K266">
        <v>1338</v>
      </c>
      <c r="L266">
        <v>9.4</v>
      </c>
      <c r="M266">
        <v>8.5</v>
      </c>
      <c r="N266" s="4">
        <f t="shared" si="8"/>
        <v>6.9362600000000005E-3</v>
      </c>
      <c r="O266" s="4">
        <f t="shared" si="9"/>
        <v>5.8958210000000004E-2</v>
      </c>
      <c r="P266">
        <v>38</v>
      </c>
      <c r="Q266">
        <v>3</v>
      </c>
      <c r="R266">
        <v>3</v>
      </c>
      <c r="S266">
        <v>2</v>
      </c>
      <c r="T266">
        <v>1.5</v>
      </c>
      <c r="U266">
        <v>1</v>
      </c>
      <c r="V266" t="s">
        <v>30</v>
      </c>
    </row>
    <row r="267" spans="1:22" x14ac:dyDescent="0.25">
      <c r="A267" t="s">
        <v>70</v>
      </c>
      <c r="B267">
        <v>3</v>
      </c>
      <c r="C267" t="s">
        <v>71</v>
      </c>
      <c r="D267" t="s">
        <v>72</v>
      </c>
      <c r="E267" t="s">
        <v>73</v>
      </c>
      <c r="F267">
        <v>160</v>
      </c>
      <c r="G267">
        <v>1000</v>
      </c>
      <c r="H267">
        <v>-3</v>
      </c>
      <c r="I267">
        <v>1981</v>
      </c>
      <c r="J267" t="s">
        <v>59</v>
      </c>
      <c r="K267">
        <v>1978</v>
      </c>
      <c r="L267">
        <v>11</v>
      </c>
      <c r="M267">
        <v>8.1</v>
      </c>
      <c r="N267" s="4">
        <f t="shared" si="8"/>
        <v>9.4985E-3</v>
      </c>
      <c r="O267" s="4">
        <f t="shared" si="9"/>
        <v>7.6937850000000002E-2</v>
      </c>
      <c r="P267">
        <v>100</v>
      </c>
      <c r="Q267">
        <v>4</v>
      </c>
      <c r="R267">
        <v>3</v>
      </c>
      <c r="S267">
        <v>2</v>
      </c>
      <c r="T267">
        <v>2</v>
      </c>
      <c r="U267">
        <v>2</v>
      </c>
      <c r="V267" t="s">
        <v>27</v>
      </c>
    </row>
    <row r="268" spans="1:22" x14ac:dyDescent="0.25">
      <c r="A268" t="s">
        <v>70</v>
      </c>
      <c r="B268">
        <v>3</v>
      </c>
      <c r="C268" t="s">
        <v>71</v>
      </c>
      <c r="D268" t="s">
        <v>72</v>
      </c>
      <c r="E268" t="s">
        <v>73</v>
      </c>
      <c r="F268">
        <v>160</v>
      </c>
      <c r="G268">
        <v>1000</v>
      </c>
      <c r="H268">
        <v>-3</v>
      </c>
      <c r="I268">
        <v>1981</v>
      </c>
      <c r="J268" t="s">
        <v>59</v>
      </c>
      <c r="K268">
        <v>1482</v>
      </c>
      <c r="L268">
        <v>7.8</v>
      </c>
      <c r="M268">
        <v>5.6</v>
      </c>
      <c r="N268" s="4">
        <f t="shared" si="8"/>
        <v>4.7759400000000002E-3</v>
      </c>
      <c r="O268" s="4">
        <f t="shared" si="9"/>
        <v>2.6745264000000001E-2</v>
      </c>
      <c r="P268">
        <v>88</v>
      </c>
      <c r="Q268">
        <v>3</v>
      </c>
      <c r="R268">
        <v>3</v>
      </c>
      <c r="S268">
        <v>2</v>
      </c>
      <c r="T268">
        <v>2</v>
      </c>
      <c r="U268">
        <v>2</v>
      </c>
      <c r="V268" t="s">
        <v>25</v>
      </c>
    </row>
    <row r="269" spans="1:22" x14ac:dyDescent="0.25">
      <c r="A269" t="s">
        <v>70</v>
      </c>
      <c r="B269">
        <v>3</v>
      </c>
      <c r="C269" t="s">
        <v>71</v>
      </c>
      <c r="D269" t="s">
        <v>72</v>
      </c>
      <c r="E269" t="s">
        <v>73</v>
      </c>
      <c r="F269">
        <v>160</v>
      </c>
      <c r="G269">
        <v>1000</v>
      </c>
      <c r="H269">
        <v>-3</v>
      </c>
      <c r="I269">
        <v>1981</v>
      </c>
      <c r="J269" t="s">
        <v>26</v>
      </c>
      <c r="K269">
        <v>1339</v>
      </c>
      <c r="L269">
        <v>10.1</v>
      </c>
      <c r="M269">
        <v>9.5</v>
      </c>
      <c r="N269" s="4">
        <f t="shared" si="8"/>
        <v>8.0077849999999982E-3</v>
      </c>
      <c r="O269" s="4">
        <f t="shared" si="9"/>
        <v>7.6073957499999983E-2</v>
      </c>
      <c r="P269">
        <v>75</v>
      </c>
      <c r="Q269">
        <v>3</v>
      </c>
      <c r="R269">
        <v>3</v>
      </c>
      <c r="S269">
        <v>2</v>
      </c>
      <c r="T269">
        <v>2</v>
      </c>
      <c r="U269">
        <v>2</v>
      </c>
      <c r="V269" t="s">
        <v>38</v>
      </c>
    </row>
    <row r="270" spans="1:22" x14ac:dyDescent="0.25">
      <c r="A270" t="s">
        <v>70</v>
      </c>
      <c r="B270">
        <v>3</v>
      </c>
      <c r="C270" t="s">
        <v>71</v>
      </c>
      <c r="D270" t="s">
        <v>72</v>
      </c>
      <c r="E270" t="s">
        <v>73</v>
      </c>
      <c r="F270">
        <v>160</v>
      </c>
      <c r="G270">
        <v>1000</v>
      </c>
      <c r="H270">
        <v>-3</v>
      </c>
      <c r="I270">
        <v>1981</v>
      </c>
      <c r="J270" t="s">
        <v>26</v>
      </c>
      <c r="K270">
        <v>2447</v>
      </c>
      <c r="L270">
        <v>6.9</v>
      </c>
      <c r="M270">
        <v>7.3</v>
      </c>
      <c r="N270" s="4">
        <f t="shared" si="8"/>
        <v>3.7373850000000006E-3</v>
      </c>
      <c r="O270" s="4">
        <f t="shared" si="9"/>
        <v>2.7282910500000004E-2</v>
      </c>
      <c r="P270">
        <v>88</v>
      </c>
      <c r="Q270">
        <v>3.5</v>
      </c>
      <c r="R270">
        <v>3</v>
      </c>
      <c r="S270">
        <v>3</v>
      </c>
      <c r="T270">
        <v>3.5</v>
      </c>
      <c r="U270">
        <v>3</v>
      </c>
      <c r="V270" t="s">
        <v>25</v>
      </c>
    </row>
    <row r="271" spans="1:22" x14ac:dyDescent="0.25">
      <c r="A271" t="s">
        <v>70</v>
      </c>
      <c r="B271">
        <v>3</v>
      </c>
      <c r="C271" t="s">
        <v>71</v>
      </c>
      <c r="D271" t="s">
        <v>72</v>
      </c>
      <c r="E271" t="s">
        <v>73</v>
      </c>
      <c r="F271">
        <v>160</v>
      </c>
      <c r="G271">
        <v>1000</v>
      </c>
      <c r="H271">
        <v>-3</v>
      </c>
      <c r="I271">
        <v>1981</v>
      </c>
      <c r="J271" t="s">
        <v>26</v>
      </c>
      <c r="K271">
        <v>1786</v>
      </c>
      <c r="L271">
        <v>11.9</v>
      </c>
      <c r="M271">
        <v>9.6</v>
      </c>
      <c r="N271" s="4">
        <f t="shared" si="8"/>
        <v>1.1116385000000001E-2</v>
      </c>
      <c r="O271" s="4">
        <f t="shared" si="9"/>
        <v>0.106717296</v>
      </c>
      <c r="P271">
        <v>88</v>
      </c>
      <c r="Q271">
        <v>4</v>
      </c>
      <c r="R271">
        <v>3</v>
      </c>
      <c r="S271">
        <v>2.5</v>
      </c>
      <c r="T271">
        <v>2.5</v>
      </c>
      <c r="U271">
        <v>2.5</v>
      </c>
      <c r="V271" t="s">
        <v>25</v>
      </c>
    </row>
    <row r="272" spans="1:22" x14ac:dyDescent="0.25">
      <c r="A272" t="s">
        <v>70</v>
      </c>
      <c r="B272">
        <v>3</v>
      </c>
      <c r="C272" t="s">
        <v>71</v>
      </c>
      <c r="D272" t="s">
        <v>72</v>
      </c>
      <c r="E272" t="s">
        <v>73</v>
      </c>
      <c r="F272">
        <v>160</v>
      </c>
      <c r="G272">
        <v>1000</v>
      </c>
      <c r="H272">
        <v>-3</v>
      </c>
      <c r="I272">
        <v>1981</v>
      </c>
      <c r="J272" t="s">
        <v>32</v>
      </c>
      <c r="K272">
        <v>1596</v>
      </c>
      <c r="L272">
        <v>10.4</v>
      </c>
      <c r="M272">
        <v>9.4</v>
      </c>
      <c r="N272" s="4">
        <f t="shared" si="8"/>
        <v>8.4905600000000029E-3</v>
      </c>
      <c r="O272" s="4">
        <f t="shared" si="9"/>
        <v>7.9811264000000035E-2</v>
      </c>
      <c r="P272">
        <v>100</v>
      </c>
      <c r="Q272">
        <v>4</v>
      </c>
      <c r="R272">
        <v>3</v>
      </c>
      <c r="S272">
        <v>2</v>
      </c>
      <c r="T272">
        <v>3.5</v>
      </c>
      <c r="U272">
        <v>3</v>
      </c>
      <c r="V272" t="s">
        <v>27</v>
      </c>
    </row>
    <row r="273" spans="1:22" x14ac:dyDescent="0.25">
      <c r="A273" t="s">
        <v>70</v>
      </c>
      <c r="B273">
        <v>3</v>
      </c>
      <c r="C273" t="s">
        <v>71</v>
      </c>
      <c r="D273" t="s">
        <v>72</v>
      </c>
      <c r="E273" t="s">
        <v>73</v>
      </c>
      <c r="F273">
        <v>160</v>
      </c>
      <c r="G273">
        <v>1000</v>
      </c>
      <c r="H273">
        <v>-3</v>
      </c>
      <c r="I273">
        <v>1981</v>
      </c>
      <c r="J273" t="s">
        <v>61</v>
      </c>
      <c r="K273">
        <v>1171</v>
      </c>
      <c r="L273">
        <v>3.5</v>
      </c>
      <c r="M273">
        <v>2.9</v>
      </c>
      <c r="N273" s="4">
        <f t="shared" si="8"/>
        <v>9.6162500000000013E-4</v>
      </c>
      <c r="O273" s="4">
        <f t="shared" si="9"/>
        <v>2.7887125000000002E-3</v>
      </c>
      <c r="P273">
        <v>75</v>
      </c>
      <c r="Q273">
        <v>1</v>
      </c>
      <c r="R273">
        <v>1</v>
      </c>
      <c r="S273">
        <v>3</v>
      </c>
      <c r="T273">
        <v>3</v>
      </c>
      <c r="U273">
        <v>3</v>
      </c>
      <c r="V273" t="s">
        <v>50</v>
      </c>
    </row>
    <row r="274" spans="1:22" x14ac:dyDescent="0.25">
      <c r="A274" t="s">
        <v>70</v>
      </c>
      <c r="B274">
        <v>3</v>
      </c>
      <c r="C274" t="s">
        <v>71</v>
      </c>
      <c r="D274" t="s">
        <v>72</v>
      </c>
      <c r="E274" t="s">
        <v>73</v>
      </c>
      <c r="F274">
        <v>160</v>
      </c>
      <c r="G274">
        <v>1000</v>
      </c>
      <c r="H274">
        <v>-3</v>
      </c>
      <c r="I274">
        <v>1981</v>
      </c>
      <c r="J274" t="s">
        <v>34</v>
      </c>
      <c r="K274">
        <v>2469</v>
      </c>
      <c r="L274">
        <v>5.7</v>
      </c>
      <c r="M274">
        <v>5.6</v>
      </c>
      <c r="N274" s="4">
        <f t="shared" si="8"/>
        <v>2.550465E-3</v>
      </c>
      <c r="O274" s="4">
        <f t="shared" si="9"/>
        <v>1.4282603999999999E-2</v>
      </c>
      <c r="P274">
        <v>100</v>
      </c>
      <c r="Q274">
        <v>3</v>
      </c>
      <c r="R274">
        <v>2.5</v>
      </c>
      <c r="S274">
        <v>4</v>
      </c>
      <c r="T274">
        <v>5</v>
      </c>
      <c r="U274">
        <v>4</v>
      </c>
      <c r="V274" t="s">
        <v>25</v>
      </c>
    </row>
    <row r="275" spans="1:22" x14ac:dyDescent="0.25">
      <c r="A275" t="s">
        <v>70</v>
      </c>
      <c r="B275">
        <v>3</v>
      </c>
      <c r="C275" t="s">
        <v>71</v>
      </c>
      <c r="D275" t="s">
        <v>72</v>
      </c>
      <c r="E275" t="s">
        <v>73</v>
      </c>
      <c r="F275">
        <v>160</v>
      </c>
      <c r="G275">
        <v>1000</v>
      </c>
      <c r="H275">
        <v>-3</v>
      </c>
      <c r="I275">
        <v>1981</v>
      </c>
      <c r="J275" t="s">
        <v>34</v>
      </c>
      <c r="K275">
        <v>1337</v>
      </c>
      <c r="L275">
        <v>10.5</v>
      </c>
      <c r="M275">
        <v>7.5</v>
      </c>
      <c r="N275" s="4">
        <f t="shared" si="8"/>
        <v>8.6546249999999991E-3</v>
      </c>
      <c r="O275" s="4">
        <f t="shared" si="9"/>
        <v>6.4909687499999993E-2</v>
      </c>
      <c r="P275">
        <v>63</v>
      </c>
      <c r="Q275">
        <v>3.5</v>
      </c>
      <c r="R275">
        <v>2.5</v>
      </c>
      <c r="S275">
        <v>2.5</v>
      </c>
      <c r="T275">
        <v>2</v>
      </c>
      <c r="U275">
        <v>2.5</v>
      </c>
      <c r="V275" t="s">
        <v>25</v>
      </c>
    </row>
    <row r="276" spans="1:22" x14ac:dyDescent="0.25">
      <c r="A276" t="s">
        <v>70</v>
      </c>
      <c r="B276">
        <v>3</v>
      </c>
      <c r="C276" t="s">
        <v>71</v>
      </c>
      <c r="D276" t="s">
        <v>72</v>
      </c>
      <c r="E276" t="s">
        <v>73</v>
      </c>
      <c r="F276">
        <v>160</v>
      </c>
      <c r="G276">
        <v>1000</v>
      </c>
      <c r="H276">
        <v>-3</v>
      </c>
      <c r="I276">
        <v>1981</v>
      </c>
      <c r="J276" t="s">
        <v>35</v>
      </c>
      <c r="K276">
        <v>1785</v>
      </c>
      <c r="L276">
        <v>4.3</v>
      </c>
      <c r="M276">
        <v>3.2</v>
      </c>
      <c r="N276" s="4">
        <f t="shared" si="8"/>
        <v>1.4514649999999999E-3</v>
      </c>
      <c r="O276" s="4">
        <f t="shared" si="9"/>
        <v>4.6446880000000001E-3</v>
      </c>
      <c r="P276">
        <v>100</v>
      </c>
      <c r="Q276">
        <v>1.5</v>
      </c>
      <c r="R276">
        <v>1</v>
      </c>
      <c r="S276">
        <v>2.5</v>
      </c>
      <c r="T276">
        <v>3.5</v>
      </c>
      <c r="U276">
        <v>3</v>
      </c>
      <c r="V276" t="s">
        <v>50</v>
      </c>
    </row>
    <row r="277" spans="1:22" x14ac:dyDescent="0.25">
      <c r="A277" t="s">
        <v>70</v>
      </c>
      <c r="B277">
        <v>3</v>
      </c>
      <c r="C277" t="s">
        <v>71</v>
      </c>
      <c r="D277" t="s">
        <v>72</v>
      </c>
      <c r="E277" t="s">
        <v>73</v>
      </c>
      <c r="F277">
        <v>160</v>
      </c>
      <c r="G277">
        <v>1000</v>
      </c>
      <c r="H277">
        <v>-3</v>
      </c>
      <c r="I277">
        <v>1981</v>
      </c>
      <c r="J277" t="s">
        <v>36</v>
      </c>
      <c r="K277">
        <v>1598</v>
      </c>
      <c r="L277">
        <v>13.6</v>
      </c>
      <c r="M277">
        <v>7.3</v>
      </c>
      <c r="N277" s="4">
        <f t="shared" si="8"/>
        <v>1.4519360000000002E-2</v>
      </c>
      <c r="O277" s="4">
        <f t="shared" si="9"/>
        <v>0.10599132800000001</v>
      </c>
      <c r="P277">
        <v>38</v>
      </c>
      <c r="Q277">
        <v>3</v>
      </c>
      <c r="R277">
        <v>3</v>
      </c>
      <c r="S277">
        <v>2</v>
      </c>
      <c r="T277">
        <v>2.5</v>
      </c>
      <c r="U277">
        <v>2</v>
      </c>
      <c r="V277" t="s">
        <v>38</v>
      </c>
    </row>
    <row r="278" spans="1:22" x14ac:dyDescent="0.25">
      <c r="A278" t="s">
        <v>70</v>
      </c>
      <c r="B278">
        <v>3</v>
      </c>
      <c r="C278" t="s">
        <v>71</v>
      </c>
      <c r="D278" t="s">
        <v>72</v>
      </c>
      <c r="E278" t="s">
        <v>73</v>
      </c>
      <c r="F278">
        <v>160</v>
      </c>
      <c r="G278">
        <v>1000</v>
      </c>
      <c r="H278">
        <v>-3</v>
      </c>
      <c r="I278">
        <v>1981</v>
      </c>
      <c r="J278" t="s">
        <v>62</v>
      </c>
      <c r="K278">
        <v>2428</v>
      </c>
      <c r="L278">
        <v>12.3</v>
      </c>
      <c r="M278">
        <v>8.1999999999999993</v>
      </c>
      <c r="N278" s="4">
        <f t="shared" si="8"/>
        <v>1.1876265000000004E-2</v>
      </c>
      <c r="O278" s="4">
        <f t="shared" si="9"/>
        <v>9.7385373000000025E-2</v>
      </c>
      <c r="P278">
        <v>75</v>
      </c>
      <c r="Q278">
        <v>4</v>
      </c>
      <c r="R278">
        <v>3</v>
      </c>
      <c r="S278">
        <v>3</v>
      </c>
      <c r="T278">
        <v>2</v>
      </c>
      <c r="U278">
        <v>2</v>
      </c>
      <c r="V278" t="s">
        <v>27</v>
      </c>
    </row>
    <row r="279" spans="1:22" x14ac:dyDescent="0.25">
      <c r="A279" t="s">
        <v>70</v>
      </c>
      <c r="B279">
        <v>3</v>
      </c>
      <c r="C279" t="s">
        <v>71</v>
      </c>
      <c r="D279" t="s">
        <v>72</v>
      </c>
      <c r="E279" t="s">
        <v>73</v>
      </c>
      <c r="F279">
        <v>160</v>
      </c>
      <c r="G279">
        <v>1000</v>
      </c>
      <c r="H279">
        <v>-3</v>
      </c>
      <c r="I279">
        <v>1981</v>
      </c>
      <c r="J279" t="s">
        <v>62</v>
      </c>
      <c r="K279">
        <v>2430</v>
      </c>
      <c r="L279">
        <v>9.6999999999999993</v>
      </c>
      <c r="M279">
        <v>7.1</v>
      </c>
      <c r="N279" s="4">
        <f t="shared" si="8"/>
        <v>7.3860649999999981E-3</v>
      </c>
      <c r="O279" s="4">
        <f t="shared" si="9"/>
        <v>5.2441061499999983E-2</v>
      </c>
      <c r="P279">
        <v>100</v>
      </c>
      <c r="Q279">
        <v>4</v>
      </c>
      <c r="R279">
        <v>3</v>
      </c>
      <c r="S279">
        <v>2</v>
      </c>
      <c r="T279">
        <v>2.5</v>
      </c>
      <c r="U279">
        <v>2.5</v>
      </c>
      <c r="V279" t="s">
        <v>27</v>
      </c>
    </row>
    <row r="280" spans="1:22" x14ac:dyDescent="0.25">
      <c r="A280" t="s">
        <v>70</v>
      </c>
      <c r="B280">
        <v>3</v>
      </c>
      <c r="C280" t="s">
        <v>71</v>
      </c>
      <c r="D280" t="s">
        <v>72</v>
      </c>
      <c r="E280" t="s">
        <v>73</v>
      </c>
      <c r="F280">
        <v>160</v>
      </c>
      <c r="G280">
        <v>1000</v>
      </c>
      <c r="H280">
        <v>-3</v>
      </c>
      <c r="I280">
        <v>1981</v>
      </c>
      <c r="J280" t="s">
        <v>62</v>
      </c>
      <c r="K280">
        <v>1787</v>
      </c>
      <c r="L280">
        <v>13</v>
      </c>
      <c r="M280">
        <v>9</v>
      </c>
      <c r="N280" s="4">
        <f t="shared" si="8"/>
        <v>1.3266500000000002E-2</v>
      </c>
      <c r="O280" s="4">
        <f t="shared" si="9"/>
        <v>0.11939850000000002</v>
      </c>
      <c r="P280">
        <v>88</v>
      </c>
      <c r="Q280">
        <v>4</v>
      </c>
      <c r="R280">
        <v>3</v>
      </c>
      <c r="S280">
        <v>3.5</v>
      </c>
      <c r="T280">
        <v>3</v>
      </c>
      <c r="U280">
        <v>3</v>
      </c>
      <c r="V280" t="s">
        <v>27</v>
      </c>
    </row>
    <row r="281" spans="1:22" x14ac:dyDescent="0.25">
      <c r="A281" t="s">
        <v>70</v>
      </c>
      <c r="B281">
        <v>3</v>
      </c>
      <c r="C281" t="s">
        <v>71</v>
      </c>
      <c r="D281" t="s">
        <v>72</v>
      </c>
      <c r="E281" t="s">
        <v>73</v>
      </c>
      <c r="F281">
        <v>160</v>
      </c>
      <c r="G281">
        <v>1000</v>
      </c>
      <c r="H281">
        <v>-3</v>
      </c>
      <c r="I281">
        <v>1981</v>
      </c>
      <c r="J281" t="s">
        <v>69</v>
      </c>
      <c r="K281">
        <v>1780</v>
      </c>
      <c r="L281">
        <v>4.9000000000000004</v>
      </c>
      <c r="M281">
        <v>2.8</v>
      </c>
      <c r="N281" s="4">
        <f t="shared" si="8"/>
        <v>1.8847850000000004E-3</v>
      </c>
      <c r="O281" s="4">
        <f t="shared" si="9"/>
        <v>5.2773980000000009E-3</v>
      </c>
      <c r="P281">
        <v>63</v>
      </c>
      <c r="Q281">
        <v>2</v>
      </c>
      <c r="R281">
        <v>3</v>
      </c>
      <c r="S281">
        <v>3</v>
      </c>
      <c r="T281">
        <v>3.5</v>
      </c>
      <c r="U281">
        <v>3.5</v>
      </c>
      <c r="V281" t="s">
        <v>30</v>
      </c>
    </row>
    <row r="282" spans="1:22" x14ac:dyDescent="0.25">
      <c r="A282" t="s">
        <v>70</v>
      </c>
      <c r="B282">
        <v>3</v>
      </c>
      <c r="C282" t="s">
        <v>71</v>
      </c>
      <c r="D282" t="s">
        <v>72</v>
      </c>
      <c r="E282" t="s">
        <v>73</v>
      </c>
      <c r="F282">
        <v>160</v>
      </c>
      <c r="G282">
        <v>1000</v>
      </c>
      <c r="H282">
        <v>-3</v>
      </c>
      <c r="I282">
        <v>1981</v>
      </c>
      <c r="J282" t="s">
        <v>39</v>
      </c>
      <c r="K282">
        <v>2435</v>
      </c>
      <c r="L282">
        <v>6</v>
      </c>
      <c r="M282">
        <v>7</v>
      </c>
      <c r="N282" s="4">
        <f t="shared" si="8"/>
        <v>2.826E-3</v>
      </c>
      <c r="O282" s="4">
        <f t="shared" si="9"/>
        <v>1.9782000000000001E-2</v>
      </c>
      <c r="P282">
        <v>13</v>
      </c>
      <c r="Q282">
        <v>3</v>
      </c>
      <c r="R282">
        <v>3</v>
      </c>
      <c r="S282">
        <v>4</v>
      </c>
      <c r="T282">
        <v>4</v>
      </c>
      <c r="U282">
        <v>4</v>
      </c>
      <c r="V282" t="s">
        <v>30</v>
      </c>
    </row>
    <row r="283" spans="1:22" x14ac:dyDescent="0.25">
      <c r="A283" t="s">
        <v>70</v>
      </c>
      <c r="B283">
        <v>3</v>
      </c>
      <c r="C283" t="s">
        <v>71</v>
      </c>
      <c r="D283" t="s">
        <v>72</v>
      </c>
      <c r="E283" t="s">
        <v>73</v>
      </c>
      <c r="F283">
        <v>160</v>
      </c>
      <c r="G283">
        <v>1000</v>
      </c>
      <c r="H283">
        <v>-3</v>
      </c>
      <c r="I283">
        <v>1981</v>
      </c>
      <c r="J283" t="s">
        <v>37</v>
      </c>
      <c r="K283">
        <v>1524</v>
      </c>
      <c r="L283">
        <v>11.8</v>
      </c>
      <c r="M283">
        <v>7.4</v>
      </c>
      <c r="N283" s="4">
        <f t="shared" si="8"/>
        <v>1.0930340000000002E-2</v>
      </c>
      <c r="O283" s="4">
        <f t="shared" si="9"/>
        <v>8.0884516000000017E-2</v>
      </c>
      <c r="P283">
        <v>88</v>
      </c>
      <c r="Q283">
        <v>2.5</v>
      </c>
      <c r="R283">
        <v>2</v>
      </c>
      <c r="S283">
        <v>2.5</v>
      </c>
      <c r="T283">
        <v>3</v>
      </c>
      <c r="U283">
        <v>3</v>
      </c>
      <c r="V283" t="s">
        <v>38</v>
      </c>
    </row>
    <row r="284" spans="1:22" x14ac:dyDescent="0.25">
      <c r="A284" t="s">
        <v>70</v>
      </c>
      <c r="B284">
        <v>3</v>
      </c>
      <c r="C284" t="s">
        <v>71</v>
      </c>
      <c r="D284" t="s">
        <v>72</v>
      </c>
      <c r="E284" t="s">
        <v>73</v>
      </c>
      <c r="F284">
        <v>160</v>
      </c>
      <c r="G284">
        <v>1000</v>
      </c>
      <c r="H284">
        <v>-3</v>
      </c>
      <c r="I284">
        <v>1981</v>
      </c>
      <c r="J284" t="s">
        <v>63</v>
      </c>
      <c r="K284">
        <v>1340</v>
      </c>
      <c r="L284">
        <v>6.2</v>
      </c>
      <c r="M284">
        <v>5.3</v>
      </c>
      <c r="N284" s="4">
        <f t="shared" si="8"/>
        <v>3.01754E-3</v>
      </c>
      <c r="O284" s="4">
        <f t="shared" si="9"/>
        <v>1.5992961999999999E-2</v>
      </c>
      <c r="P284">
        <v>100</v>
      </c>
      <c r="Q284">
        <v>2</v>
      </c>
      <c r="R284">
        <v>2</v>
      </c>
      <c r="S284">
        <v>2.5</v>
      </c>
      <c r="T284">
        <v>2.5</v>
      </c>
      <c r="U284">
        <v>3</v>
      </c>
      <c r="V284" t="s">
        <v>30</v>
      </c>
    </row>
    <row r="285" spans="1:22" x14ac:dyDescent="0.25">
      <c r="A285" t="s">
        <v>70</v>
      </c>
      <c r="B285">
        <v>3</v>
      </c>
      <c r="C285" t="s">
        <v>71</v>
      </c>
      <c r="D285" t="s">
        <v>72</v>
      </c>
      <c r="E285" t="s">
        <v>73</v>
      </c>
      <c r="F285">
        <v>160</v>
      </c>
      <c r="G285">
        <v>1000</v>
      </c>
      <c r="H285">
        <v>-3</v>
      </c>
      <c r="I285">
        <v>1981</v>
      </c>
      <c r="J285" t="s">
        <v>60</v>
      </c>
      <c r="K285">
        <v>1595</v>
      </c>
      <c r="L285">
        <v>1.5</v>
      </c>
      <c r="M285">
        <v>1.8</v>
      </c>
      <c r="N285" s="4">
        <f t="shared" si="8"/>
        <v>1.76625E-4</v>
      </c>
      <c r="O285" s="4">
        <f t="shared" si="9"/>
        <v>3.1792499999999999E-4</v>
      </c>
      <c r="P285">
        <v>88</v>
      </c>
      <c r="Q285">
        <v>1.5</v>
      </c>
      <c r="R285">
        <v>1</v>
      </c>
      <c r="S285">
        <v>3</v>
      </c>
      <c r="T285">
        <v>4</v>
      </c>
      <c r="U285">
        <v>3</v>
      </c>
      <c r="V285" t="s">
        <v>30</v>
      </c>
    </row>
    <row r="286" spans="1:22" x14ac:dyDescent="0.25">
      <c r="A286" t="s">
        <v>74</v>
      </c>
      <c r="B286">
        <v>1</v>
      </c>
      <c r="C286" t="s">
        <v>66</v>
      </c>
      <c r="D286" t="s">
        <v>75</v>
      </c>
      <c r="E286" t="s">
        <v>68</v>
      </c>
      <c r="F286">
        <v>180</v>
      </c>
      <c r="G286">
        <v>1080</v>
      </c>
      <c r="H286">
        <v>-3</v>
      </c>
      <c r="I286">
        <v>1982</v>
      </c>
      <c r="J286" t="s">
        <v>56</v>
      </c>
      <c r="K286">
        <v>1111</v>
      </c>
      <c r="L286">
        <v>6.02</v>
      </c>
      <c r="M286">
        <v>3.63</v>
      </c>
      <c r="N286" s="4">
        <f t="shared" si="8"/>
        <v>2.8448713999999998E-3</v>
      </c>
      <c r="O286" s="4">
        <f t="shared" si="9"/>
        <v>1.0326883181999999E-2</v>
      </c>
      <c r="P286">
        <v>38</v>
      </c>
      <c r="Q286">
        <v>2.5</v>
      </c>
      <c r="R286">
        <v>3</v>
      </c>
      <c r="S286">
        <v>3</v>
      </c>
      <c r="T286">
        <v>3</v>
      </c>
      <c r="U286">
        <v>3</v>
      </c>
      <c r="V286" t="s">
        <v>30</v>
      </c>
    </row>
    <row r="287" spans="1:22" x14ac:dyDescent="0.25">
      <c r="A287" t="s">
        <v>74</v>
      </c>
      <c r="B287">
        <v>1</v>
      </c>
      <c r="C287" t="s">
        <v>66</v>
      </c>
      <c r="D287" t="s">
        <v>75</v>
      </c>
      <c r="E287" t="s">
        <v>68</v>
      </c>
      <c r="F287">
        <v>180</v>
      </c>
      <c r="G287">
        <v>1080</v>
      </c>
      <c r="H287">
        <v>-3</v>
      </c>
      <c r="I287">
        <v>1982</v>
      </c>
      <c r="J287" t="s">
        <v>57</v>
      </c>
      <c r="K287">
        <v>2620</v>
      </c>
      <c r="L287">
        <v>2.29</v>
      </c>
      <c r="M287">
        <v>3.2</v>
      </c>
      <c r="N287" s="4">
        <f t="shared" si="8"/>
        <v>4.1166185000000003E-4</v>
      </c>
      <c r="O287" s="4">
        <f t="shared" si="9"/>
        <v>1.3173179200000002E-3</v>
      </c>
      <c r="P287">
        <v>50</v>
      </c>
      <c r="Q287">
        <v>1</v>
      </c>
      <c r="R287">
        <v>1</v>
      </c>
      <c r="S287">
        <v>3</v>
      </c>
      <c r="T287">
        <v>3</v>
      </c>
      <c r="U287">
        <v>3</v>
      </c>
      <c r="V287" t="s">
        <v>50</v>
      </c>
    </row>
    <row r="288" spans="1:22" x14ac:dyDescent="0.25">
      <c r="A288" t="s">
        <v>74</v>
      </c>
      <c r="B288">
        <v>1</v>
      </c>
      <c r="C288" t="s">
        <v>66</v>
      </c>
      <c r="D288" t="s">
        <v>75</v>
      </c>
      <c r="E288" t="s">
        <v>68</v>
      </c>
      <c r="F288">
        <v>180</v>
      </c>
      <c r="G288">
        <v>1080</v>
      </c>
      <c r="H288">
        <v>-3</v>
      </c>
      <c r="I288">
        <v>1982</v>
      </c>
      <c r="J288" t="s">
        <v>57</v>
      </c>
      <c r="K288">
        <v>2621</v>
      </c>
      <c r="L288">
        <v>3.31</v>
      </c>
      <c r="M288">
        <v>4.34</v>
      </c>
      <c r="N288" s="4">
        <f t="shared" si="8"/>
        <v>8.6005384999999991E-4</v>
      </c>
      <c r="O288" s="4">
        <f t="shared" si="9"/>
        <v>3.7326337089999993E-3</v>
      </c>
      <c r="P288">
        <v>50</v>
      </c>
      <c r="Q288">
        <v>3</v>
      </c>
      <c r="R288">
        <v>2.5</v>
      </c>
      <c r="S288">
        <v>3</v>
      </c>
      <c r="T288">
        <v>3</v>
      </c>
      <c r="U288">
        <v>3</v>
      </c>
      <c r="V288" t="s">
        <v>30</v>
      </c>
    </row>
    <row r="289" spans="1:22" x14ac:dyDescent="0.25">
      <c r="A289" t="s">
        <v>74</v>
      </c>
      <c r="B289">
        <v>1</v>
      </c>
      <c r="C289" t="s">
        <v>66</v>
      </c>
      <c r="D289" t="s">
        <v>75</v>
      </c>
      <c r="E289" t="s">
        <v>68</v>
      </c>
      <c r="F289">
        <v>180</v>
      </c>
      <c r="G289">
        <v>1080</v>
      </c>
      <c r="H289">
        <v>-3</v>
      </c>
      <c r="I289">
        <v>1982</v>
      </c>
      <c r="J289" t="s">
        <v>59</v>
      </c>
      <c r="K289">
        <v>2426</v>
      </c>
      <c r="L289">
        <v>53.86</v>
      </c>
      <c r="M289">
        <v>5.01</v>
      </c>
      <c r="N289" s="4">
        <f t="shared" si="8"/>
        <v>0.22772061859999998</v>
      </c>
      <c r="O289" s="4">
        <f t="shared" si="9"/>
        <v>1.1408802991859999</v>
      </c>
      <c r="P289">
        <v>100</v>
      </c>
      <c r="Q289">
        <v>2.5</v>
      </c>
      <c r="R289">
        <v>3.5</v>
      </c>
      <c r="S289">
        <v>3</v>
      </c>
      <c r="T289">
        <v>3</v>
      </c>
      <c r="U289">
        <v>3</v>
      </c>
      <c r="V289" t="s">
        <v>30</v>
      </c>
    </row>
    <row r="290" spans="1:22" x14ac:dyDescent="0.25">
      <c r="A290" t="s">
        <v>74</v>
      </c>
      <c r="B290">
        <v>1</v>
      </c>
      <c r="C290" t="s">
        <v>66</v>
      </c>
      <c r="D290" t="s">
        <v>75</v>
      </c>
      <c r="E290" t="s">
        <v>68</v>
      </c>
      <c r="F290">
        <v>180</v>
      </c>
      <c r="G290">
        <v>1080</v>
      </c>
      <c r="H290">
        <v>-3</v>
      </c>
      <c r="I290">
        <v>1982</v>
      </c>
      <c r="J290" t="s">
        <v>59</v>
      </c>
      <c r="K290">
        <v>1482</v>
      </c>
      <c r="L290">
        <v>19.66</v>
      </c>
      <c r="M290">
        <v>12.21</v>
      </c>
      <c r="N290" s="4">
        <f t="shared" si="8"/>
        <v>3.0341474600000001E-2</v>
      </c>
      <c r="O290" s="4">
        <f t="shared" si="9"/>
        <v>0.37046940486600005</v>
      </c>
      <c r="P290">
        <v>100</v>
      </c>
      <c r="Q290">
        <v>4.5</v>
      </c>
      <c r="R290">
        <v>4</v>
      </c>
      <c r="S290">
        <v>4</v>
      </c>
      <c r="T290">
        <v>3</v>
      </c>
      <c r="U290">
        <v>2.7</v>
      </c>
      <c r="V290" t="s">
        <v>25</v>
      </c>
    </row>
    <row r="291" spans="1:22" x14ac:dyDescent="0.25">
      <c r="A291" t="s">
        <v>74</v>
      </c>
      <c r="B291">
        <v>1</v>
      </c>
      <c r="C291" t="s">
        <v>66</v>
      </c>
      <c r="D291" t="s">
        <v>75</v>
      </c>
      <c r="E291" t="s">
        <v>68</v>
      </c>
      <c r="F291">
        <v>180</v>
      </c>
      <c r="G291">
        <v>1080</v>
      </c>
      <c r="H291">
        <v>-3</v>
      </c>
      <c r="I291">
        <v>1982</v>
      </c>
      <c r="J291" t="s">
        <v>59</v>
      </c>
      <c r="K291">
        <v>2548</v>
      </c>
      <c r="L291">
        <v>22.23</v>
      </c>
      <c r="M291">
        <v>12.82</v>
      </c>
      <c r="N291" s="4">
        <f t="shared" si="8"/>
        <v>3.8792572649999996E-2</v>
      </c>
      <c r="O291" s="4">
        <f t="shared" si="9"/>
        <v>0.49732078137299995</v>
      </c>
      <c r="P291">
        <v>100</v>
      </c>
      <c r="Q291">
        <v>5</v>
      </c>
      <c r="R291">
        <v>4</v>
      </c>
      <c r="S291">
        <v>3</v>
      </c>
      <c r="T291">
        <v>3</v>
      </c>
      <c r="U291">
        <v>2</v>
      </c>
      <c r="V291" t="s">
        <v>25</v>
      </c>
    </row>
    <row r="292" spans="1:22" x14ac:dyDescent="0.25">
      <c r="A292" t="s">
        <v>74</v>
      </c>
      <c r="B292">
        <v>1</v>
      </c>
      <c r="C292" t="s">
        <v>66</v>
      </c>
      <c r="D292" t="s">
        <v>75</v>
      </c>
      <c r="E292" t="s">
        <v>68</v>
      </c>
      <c r="F292">
        <v>180</v>
      </c>
      <c r="G292">
        <v>1080</v>
      </c>
      <c r="H292">
        <v>-3</v>
      </c>
      <c r="I292">
        <v>1982</v>
      </c>
      <c r="J292" t="s">
        <v>26</v>
      </c>
      <c r="K292">
        <v>2552</v>
      </c>
      <c r="L292">
        <v>1.82</v>
      </c>
      <c r="M292">
        <v>2.4300000000000002</v>
      </c>
      <c r="N292" s="4">
        <f t="shared" si="8"/>
        <v>2.6002340000000004E-4</v>
      </c>
      <c r="O292" s="4">
        <f t="shared" si="9"/>
        <v>6.3185686200000011E-4</v>
      </c>
      <c r="P292">
        <v>13</v>
      </c>
      <c r="Q292">
        <v>1</v>
      </c>
      <c r="R292">
        <v>2.5</v>
      </c>
      <c r="S292">
        <v>3</v>
      </c>
      <c r="T292">
        <v>3</v>
      </c>
      <c r="U292">
        <v>3</v>
      </c>
      <c r="V292" t="s">
        <v>50</v>
      </c>
    </row>
    <row r="293" spans="1:22" x14ac:dyDescent="0.25">
      <c r="A293" t="s">
        <v>74</v>
      </c>
      <c r="B293">
        <v>1</v>
      </c>
      <c r="C293" t="s">
        <v>66</v>
      </c>
      <c r="D293" t="s">
        <v>75</v>
      </c>
      <c r="E293" t="s">
        <v>68</v>
      </c>
      <c r="F293">
        <v>180</v>
      </c>
      <c r="G293">
        <v>1080</v>
      </c>
      <c r="H293">
        <v>-3</v>
      </c>
      <c r="I293">
        <v>1982</v>
      </c>
      <c r="J293" t="s">
        <v>61</v>
      </c>
      <c r="K293">
        <v>2631</v>
      </c>
      <c r="L293">
        <v>6.97</v>
      </c>
      <c r="M293">
        <v>5.23</v>
      </c>
      <c r="N293" s="4">
        <f t="shared" si="8"/>
        <v>3.8136006499999999E-3</v>
      </c>
      <c r="O293" s="4">
        <f t="shared" si="9"/>
        <v>1.99451313995E-2</v>
      </c>
      <c r="P293">
        <v>25</v>
      </c>
      <c r="Q293">
        <v>2</v>
      </c>
      <c r="R293">
        <v>3</v>
      </c>
      <c r="S293">
        <v>2.5</v>
      </c>
      <c r="T293">
        <v>2</v>
      </c>
      <c r="U293">
        <v>3</v>
      </c>
      <c r="V293" t="s">
        <v>50</v>
      </c>
    </row>
    <row r="294" spans="1:22" x14ac:dyDescent="0.25">
      <c r="A294" t="s">
        <v>74</v>
      </c>
      <c r="B294">
        <v>1</v>
      </c>
      <c r="C294" t="s">
        <v>66</v>
      </c>
      <c r="D294" t="s">
        <v>75</v>
      </c>
      <c r="E294" t="s">
        <v>68</v>
      </c>
      <c r="F294">
        <v>180</v>
      </c>
      <c r="G294">
        <v>1080</v>
      </c>
      <c r="H294">
        <v>-3</v>
      </c>
      <c r="I294">
        <v>1982</v>
      </c>
      <c r="J294" t="s">
        <v>32</v>
      </c>
      <c r="K294">
        <v>1596</v>
      </c>
      <c r="L294">
        <v>12.21</v>
      </c>
      <c r="M294">
        <v>8.7200000000000006</v>
      </c>
      <c r="N294" s="4">
        <f t="shared" si="8"/>
        <v>1.1703101850000003E-2</v>
      </c>
      <c r="O294" s="4">
        <f t="shared" si="9"/>
        <v>0.10205104813200004</v>
      </c>
      <c r="P294">
        <v>75</v>
      </c>
      <c r="Q294">
        <v>3.3</v>
      </c>
      <c r="R294">
        <v>3.5</v>
      </c>
      <c r="S294">
        <v>3</v>
      </c>
      <c r="T294">
        <v>4</v>
      </c>
      <c r="U294">
        <v>3.5</v>
      </c>
      <c r="V294" t="s">
        <v>25</v>
      </c>
    </row>
    <row r="295" spans="1:22" x14ac:dyDescent="0.25">
      <c r="A295" t="s">
        <v>74</v>
      </c>
      <c r="B295">
        <v>1</v>
      </c>
      <c r="C295" t="s">
        <v>66</v>
      </c>
      <c r="D295" t="s">
        <v>75</v>
      </c>
      <c r="E295" t="s">
        <v>68</v>
      </c>
      <c r="F295">
        <v>180</v>
      </c>
      <c r="G295">
        <v>1080</v>
      </c>
      <c r="H295">
        <v>-3</v>
      </c>
      <c r="I295">
        <v>1982</v>
      </c>
      <c r="J295" t="s">
        <v>32</v>
      </c>
      <c r="K295">
        <v>2634</v>
      </c>
      <c r="L295">
        <v>6.6</v>
      </c>
      <c r="M295">
        <v>8.1</v>
      </c>
      <c r="N295" s="4">
        <f t="shared" si="8"/>
        <v>3.4194600000000005E-3</v>
      </c>
      <c r="O295" s="4">
        <f t="shared" si="9"/>
        <v>2.7697626000000003E-2</v>
      </c>
      <c r="P295">
        <v>50</v>
      </c>
      <c r="Q295">
        <v>2.8</v>
      </c>
      <c r="R295">
        <v>4</v>
      </c>
      <c r="S295">
        <v>3</v>
      </c>
      <c r="T295">
        <v>4</v>
      </c>
      <c r="U295">
        <v>3.5</v>
      </c>
      <c r="V295" t="s">
        <v>38</v>
      </c>
    </row>
    <row r="296" spans="1:22" x14ac:dyDescent="0.25">
      <c r="A296" t="s">
        <v>74</v>
      </c>
      <c r="B296">
        <v>1</v>
      </c>
      <c r="C296" t="s">
        <v>66</v>
      </c>
      <c r="D296" t="s">
        <v>75</v>
      </c>
      <c r="E296" t="s">
        <v>68</v>
      </c>
      <c r="F296">
        <v>180</v>
      </c>
      <c r="G296">
        <v>1080</v>
      </c>
      <c r="H296">
        <v>-3</v>
      </c>
      <c r="I296">
        <v>1982</v>
      </c>
      <c r="J296" t="s">
        <v>32</v>
      </c>
      <c r="K296">
        <v>2635</v>
      </c>
      <c r="L296">
        <v>7.48</v>
      </c>
      <c r="M296">
        <v>3.74</v>
      </c>
      <c r="N296" s="4">
        <f t="shared" si="8"/>
        <v>4.3921064000000008E-3</v>
      </c>
      <c r="O296" s="4">
        <f t="shared" si="9"/>
        <v>1.6426477936000005E-2</v>
      </c>
      <c r="P296">
        <v>25</v>
      </c>
      <c r="Q296">
        <v>3</v>
      </c>
      <c r="R296">
        <v>3.5</v>
      </c>
      <c r="S296">
        <v>3</v>
      </c>
      <c r="T296">
        <v>4</v>
      </c>
      <c r="U296">
        <v>3.5</v>
      </c>
      <c r="V296" t="s">
        <v>30</v>
      </c>
    </row>
    <row r="297" spans="1:22" x14ac:dyDescent="0.25">
      <c r="A297" t="s">
        <v>74</v>
      </c>
      <c r="B297">
        <v>1</v>
      </c>
      <c r="C297" t="s">
        <v>66</v>
      </c>
      <c r="D297" t="s">
        <v>75</v>
      </c>
      <c r="E297" t="s">
        <v>68</v>
      </c>
      <c r="F297">
        <v>180</v>
      </c>
      <c r="G297">
        <v>1080</v>
      </c>
      <c r="H297">
        <v>-3</v>
      </c>
      <c r="I297">
        <v>1982</v>
      </c>
      <c r="J297" t="s">
        <v>35</v>
      </c>
      <c r="K297">
        <v>1259</v>
      </c>
      <c r="L297">
        <v>9.65</v>
      </c>
      <c r="M297">
        <v>8.01</v>
      </c>
      <c r="N297" s="4">
        <f t="shared" si="8"/>
        <v>7.3101162500000009E-3</v>
      </c>
      <c r="O297" s="4">
        <f t="shared" si="9"/>
        <v>5.8554031162500006E-2</v>
      </c>
      <c r="P297">
        <v>100</v>
      </c>
      <c r="Q297">
        <v>3</v>
      </c>
      <c r="R297">
        <v>2</v>
      </c>
      <c r="S297">
        <v>3</v>
      </c>
      <c r="T297">
        <v>3.5</v>
      </c>
      <c r="U297">
        <v>3</v>
      </c>
      <c r="V297" t="s">
        <v>38</v>
      </c>
    </row>
    <row r="298" spans="1:22" x14ac:dyDescent="0.25">
      <c r="A298" t="s">
        <v>74</v>
      </c>
      <c r="B298">
        <v>1</v>
      </c>
      <c r="C298" t="s">
        <v>66</v>
      </c>
      <c r="D298" t="s">
        <v>75</v>
      </c>
      <c r="E298" t="s">
        <v>68</v>
      </c>
      <c r="F298">
        <v>180</v>
      </c>
      <c r="G298">
        <v>1080</v>
      </c>
      <c r="H298">
        <v>-3</v>
      </c>
      <c r="I298">
        <v>1982</v>
      </c>
      <c r="J298" t="s">
        <v>35</v>
      </c>
      <c r="K298">
        <v>1785</v>
      </c>
      <c r="L298">
        <v>3.53</v>
      </c>
      <c r="M298">
        <v>3.3</v>
      </c>
      <c r="N298" s="4">
        <f t="shared" si="8"/>
        <v>9.7818064999999994E-4</v>
      </c>
      <c r="O298" s="4">
        <f t="shared" si="9"/>
        <v>3.2279961449999998E-3</v>
      </c>
      <c r="P298">
        <v>75</v>
      </c>
      <c r="Q298">
        <v>1.8</v>
      </c>
      <c r="R298">
        <v>2</v>
      </c>
      <c r="S298">
        <v>2.5</v>
      </c>
      <c r="T298">
        <v>3</v>
      </c>
      <c r="U298">
        <v>3</v>
      </c>
      <c r="V298" t="s">
        <v>30</v>
      </c>
    </row>
    <row r="299" spans="1:22" x14ac:dyDescent="0.25">
      <c r="A299" t="s">
        <v>74</v>
      </c>
      <c r="B299">
        <v>1</v>
      </c>
      <c r="C299" t="s">
        <v>66</v>
      </c>
      <c r="D299" t="s">
        <v>75</v>
      </c>
      <c r="E299" t="s">
        <v>68</v>
      </c>
      <c r="F299">
        <v>180</v>
      </c>
      <c r="G299">
        <v>1080</v>
      </c>
      <c r="H299">
        <v>-3</v>
      </c>
      <c r="I299">
        <v>1982</v>
      </c>
      <c r="J299" t="s">
        <v>36</v>
      </c>
      <c r="K299">
        <v>2573</v>
      </c>
      <c r="L299">
        <v>15.02</v>
      </c>
      <c r="M299">
        <v>8.0399999999999991</v>
      </c>
      <c r="N299" s="4">
        <f t="shared" si="8"/>
        <v>1.7709631400000002E-2</v>
      </c>
      <c r="O299" s="4">
        <f t="shared" si="9"/>
        <v>0.14238543645599999</v>
      </c>
      <c r="P299">
        <v>75</v>
      </c>
      <c r="Q299">
        <v>3</v>
      </c>
      <c r="R299">
        <v>4</v>
      </c>
      <c r="S299">
        <v>3</v>
      </c>
      <c r="T299">
        <v>3.2</v>
      </c>
      <c r="U299">
        <v>2.5</v>
      </c>
      <c r="V299" t="s">
        <v>38</v>
      </c>
    </row>
    <row r="300" spans="1:22" x14ac:dyDescent="0.25">
      <c r="A300" t="s">
        <v>74</v>
      </c>
      <c r="B300">
        <v>1</v>
      </c>
      <c r="C300" t="s">
        <v>66</v>
      </c>
      <c r="D300" t="s">
        <v>75</v>
      </c>
      <c r="E300" t="s">
        <v>68</v>
      </c>
      <c r="F300">
        <v>180</v>
      </c>
      <c r="G300">
        <v>1080</v>
      </c>
      <c r="H300">
        <v>-3</v>
      </c>
      <c r="I300">
        <v>1982</v>
      </c>
      <c r="J300" t="s">
        <v>62</v>
      </c>
      <c r="K300">
        <v>2550</v>
      </c>
      <c r="L300">
        <v>11.27</v>
      </c>
      <c r="M300">
        <v>7.14</v>
      </c>
      <c r="N300" s="4">
        <f t="shared" si="8"/>
        <v>9.9705126499999991E-3</v>
      </c>
      <c r="O300" s="4">
        <f t="shared" si="9"/>
        <v>7.1189460320999987E-2</v>
      </c>
      <c r="P300">
        <v>75</v>
      </c>
      <c r="Q300">
        <v>2.5</v>
      </c>
      <c r="R300">
        <v>3</v>
      </c>
      <c r="S300">
        <v>3</v>
      </c>
      <c r="T300">
        <v>4</v>
      </c>
      <c r="U300">
        <v>3</v>
      </c>
      <c r="V300" t="s">
        <v>38</v>
      </c>
    </row>
    <row r="301" spans="1:22" x14ac:dyDescent="0.25">
      <c r="A301" t="s">
        <v>74</v>
      </c>
      <c r="B301">
        <v>1</v>
      </c>
      <c r="C301" t="s">
        <v>66</v>
      </c>
      <c r="D301" t="s">
        <v>75</v>
      </c>
      <c r="E301" t="s">
        <v>68</v>
      </c>
      <c r="F301">
        <v>180</v>
      </c>
      <c r="G301">
        <v>1080</v>
      </c>
      <c r="H301">
        <v>-3</v>
      </c>
      <c r="I301">
        <v>1982</v>
      </c>
      <c r="J301" t="s">
        <v>37</v>
      </c>
      <c r="K301">
        <v>2575</v>
      </c>
      <c r="L301">
        <v>2.72</v>
      </c>
      <c r="M301">
        <v>3.43</v>
      </c>
      <c r="N301" s="4">
        <f t="shared" si="8"/>
        <v>5.8077440000000008E-4</v>
      </c>
      <c r="O301" s="4">
        <f t="shared" si="9"/>
        <v>1.9920561920000004E-3</v>
      </c>
      <c r="P301">
        <v>50</v>
      </c>
      <c r="Q301">
        <v>1</v>
      </c>
      <c r="R301">
        <v>1</v>
      </c>
      <c r="S301">
        <v>2</v>
      </c>
      <c r="T301">
        <v>2</v>
      </c>
      <c r="U301">
        <v>3</v>
      </c>
      <c r="V301" t="s">
        <v>50</v>
      </c>
    </row>
    <row r="302" spans="1:22" x14ac:dyDescent="0.25">
      <c r="A302" t="s">
        <v>74</v>
      </c>
      <c r="B302">
        <v>1</v>
      </c>
      <c r="C302" t="s">
        <v>66</v>
      </c>
      <c r="D302" t="s">
        <v>75</v>
      </c>
      <c r="E302" t="s">
        <v>68</v>
      </c>
      <c r="F302">
        <v>180</v>
      </c>
      <c r="G302">
        <v>1080</v>
      </c>
      <c r="H302">
        <v>-3</v>
      </c>
      <c r="I302">
        <v>1982</v>
      </c>
      <c r="J302" t="s">
        <v>63</v>
      </c>
      <c r="K302">
        <v>1340</v>
      </c>
      <c r="L302">
        <v>2.1</v>
      </c>
      <c r="M302">
        <v>3.38</v>
      </c>
      <c r="N302" s="4">
        <f t="shared" si="8"/>
        <v>3.4618500000000005E-4</v>
      </c>
      <c r="O302" s="4">
        <f t="shared" si="9"/>
        <v>1.1701053000000002E-3</v>
      </c>
      <c r="P302">
        <v>50</v>
      </c>
      <c r="Q302">
        <v>1</v>
      </c>
      <c r="R302">
        <v>1</v>
      </c>
      <c r="S302">
        <v>3</v>
      </c>
      <c r="T302">
        <v>3</v>
      </c>
      <c r="U302">
        <v>3</v>
      </c>
      <c r="V302" t="s">
        <v>50</v>
      </c>
    </row>
    <row r="303" spans="1:22" x14ac:dyDescent="0.25">
      <c r="A303" t="s">
        <v>74</v>
      </c>
      <c r="B303">
        <v>2</v>
      </c>
      <c r="C303" t="s">
        <v>66</v>
      </c>
      <c r="D303" t="s">
        <v>75</v>
      </c>
      <c r="E303" t="s">
        <v>68</v>
      </c>
      <c r="F303">
        <v>180</v>
      </c>
      <c r="G303">
        <v>1080</v>
      </c>
      <c r="H303">
        <v>-3</v>
      </c>
      <c r="I303">
        <v>1982</v>
      </c>
      <c r="J303" t="s">
        <v>76</v>
      </c>
      <c r="K303">
        <v>1592</v>
      </c>
      <c r="L303">
        <v>7.5</v>
      </c>
      <c r="M303">
        <v>8.08</v>
      </c>
      <c r="N303" s="4">
        <f t="shared" si="8"/>
        <v>4.4156250000000003E-3</v>
      </c>
      <c r="O303" s="4">
        <f t="shared" si="9"/>
        <v>3.5678250000000002E-2</v>
      </c>
      <c r="P303">
        <v>25</v>
      </c>
      <c r="Q303">
        <v>2</v>
      </c>
      <c r="R303">
        <v>3</v>
      </c>
      <c r="S303">
        <v>3</v>
      </c>
      <c r="T303">
        <v>4</v>
      </c>
      <c r="U303">
        <v>4</v>
      </c>
      <c r="V303" t="s">
        <v>38</v>
      </c>
    </row>
    <row r="304" spans="1:22" x14ac:dyDescent="0.25">
      <c r="A304" t="s">
        <v>74</v>
      </c>
      <c r="B304">
        <v>2</v>
      </c>
      <c r="C304" t="s">
        <v>66</v>
      </c>
      <c r="D304" t="s">
        <v>75</v>
      </c>
      <c r="E304" t="s">
        <v>68</v>
      </c>
      <c r="F304">
        <v>180</v>
      </c>
      <c r="G304">
        <v>1080</v>
      </c>
      <c r="H304">
        <v>-3</v>
      </c>
      <c r="I304">
        <v>1982</v>
      </c>
      <c r="J304" t="s">
        <v>76</v>
      </c>
      <c r="K304">
        <v>2560</v>
      </c>
      <c r="L304">
        <v>4.3899999999999997</v>
      </c>
      <c r="M304">
        <v>5.19</v>
      </c>
      <c r="N304" s="4">
        <f t="shared" si="8"/>
        <v>1.5128598499999997E-3</v>
      </c>
      <c r="O304" s="4">
        <f t="shared" si="9"/>
        <v>7.8517426214999991E-3</v>
      </c>
      <c r="P304">
        <v>50</v>
      </c>
      <c r="Q304">
        <v>2.5</v>
      </c>
      <c r="R304">
        <v>3.5</v>
      </c>
      <c r="S304">
        <v>3</v>
      </c>
      <c r="T304">
        <v>4.5</v>
      </c>
      <c r="U304">
        <v>4</v>
      </c>
      <c r="V304" t="s">
        <v>38</v>
      </c>
    </row>
    <row r="305" spans="1:22" x14ac:dyDescent="0.25">
      <c r="A305" t="s">
        <v>74</v>
      </c>
      <c r="B305">
        <v>2</v>
      </c>
      <c r="C305" t="s">
        <v>66</v>
      </c>
      <c r="D305" t="s">
        <v>75</v>
      </c>
      <c r="E305" t="s">
        <v>68</v>
      </c>
      <c r="F305">
        <v>180</v>
      </c>
      <c r="G305">
        <v>1080</v>
      </c>
      <c r="H305">
        <v>-3</v>
      </c>
      <c r="I305">
        <v>1982</v>
      </c>
      <c r="J305" t="s">
        <v>56</v>
      </c>
      <c r="K305">
        <v>1111</v>
      </c>
      <c r="L305">
        <v>12.26</v>
      </c>
      <c r="M305">
        <v>6.81</v>
      </c>
      <c r="N305" s="4">
        <f t="shared" si="8"/>
        <v>1.1799146600000001E-2</v>
      </c>
      <c r="O305" s="4">
        <f t="shared" si="9"/>
        <v>8.0352188345999997E-2</v>
      </c>
      <c r="P305">
        <v>71</v>
      </c>
      <c r="Q305">
        <v>4.2</v>
      </c>
      <c r="R305">
        <v>3</v>
      </c>
      <c r="S305">
        <v>3</v>
      </c>
      <c r="T305">
        <v>2</v>
      </c>
      <c r="U305">
        <v>2</v>
      </c>
      <c r="V305" t="s">
        <v>38</v>
      </c>
    </row>
    <row r="306" spans="1:22" x14ac:dyDescent="0.25">
      <c r="A306" t="s">
        <v>74</v>
      </c>
      <c r="B306">
        <v>2</v>
      </c>
      <c r="C306" t="s">
        <v>66</v>
      </c>
      <c r="D306" t="s">
        <v>75</v>
      </c>
      <c r="E306" t="s">
        <v>68</v>
      </c>
      <c r="F306">
        <v>180</v>
      </c>
      <c r="G306">
        <v>1080</v>
      </c>
      <c r="H306">
        <v>-3</v>
      </c>
      <c r="I306">
        <v>1982</v>
      </c>
      <c r="J306" t="s">
        <v>57</v>
      </c>
      <c r="K306">
        <v>2620</v>
      </c>
      <c r="L306">
        <v>3.54</v>
      </c>
      <c r="M306">
        <v>3.43</v>
      </c>
      <c r="N306" s="4">
        <f t="shared" si="8"/>
        <v>9.8373060000000014E-4</v>
      </c>
      <c r="O306" s="4">
        <f t="shared" si="9"/>
        <v>3.3741959580000005E-3</v>
      </c>
      <c r="P306">
        <v>100</v>
      </c>
      <c r="Q306">
        <v>2.5</v>
      </c>
      <c r="R306">
        <v>2</v>
      </c>
      <c r="S306">
        <v>3.3</v>
      </c>
      <c r="T306">
        <v>3.3</v>
      </c>
      <c r="U306">
        <v>3.3</v>
      </c>
      <c r="V306" t="s">
        <v>30</v>
      </c>
    </row>
    <row r="307" spans="1:22" x14ac:dyDescent="0.25">
      <c r="A307" t="s">
        <v>74</v>
      </c>
      <c r="B307">
        <v>2</v>
      </c>
      <c r="C307" t="s">
        <v>66</v>
      </c>
      <c r="D307" t="s">
        <v>75</v>
      </c>
      <c r="E307" t="s">
        <v>68</v>
      </c>
      <c r="F307">
        <v>180</v>
      </c>
      <c r="G307">
        <v>1080</v>
      </c>
      <c r="H307">
        <v>-3</v>
      </c>
      <c r="I307">
        <v>1982</v>
      </c>
      <c r="J307" t="s">
        <v>57</v>
      </c>
      <c r="K307">
        <v>2621</v>
      </c>
      <c r="L307">
        <v>3.09</v>
      </c>
      <c r="M307">
        <v>2.63</v>
      </c>
      <c r="N307" s="4">
        <f t="shared" si="8"/>
        <v>7.4952584999999987E-4</v>
      </c>
      <c r="O307" s="4">
        <f t="shared" si="9"/>
        <v>1.9712529854999995E-3</v>
      </c>
      <c r="P307">
        <v>75</v>
      </c>
      <c r="Q307">
        <v>2.5</v>
      </c>
      <c r="R307">
        <v>2</v>
      </c>
      <c r="S307">
        <v>3.3</v>
      </c>
      <c r="T307">
        <v>3.3</v>
      </c>
      <c r="U307">
        <v>3.3</v>
      </c>
      <c r="V307" t="s">
        <v>30</v>
      </c>
    </row>
    <row r="308" spans="1:22" x14ac:dyDescent="0.25">
      <c r="A308" t="s">
        <v>74</v>
      </c>
      <c r="B308">
        <v>2</v>
      </c>
      <c r="C308" t="s">
        <v>66</v>
      </c>
      <c r="D308" t="s">
        <v>75</v>
      </c>
      <c r="E308" t="s">
        <v>68</v>
      </c>
      <c r="F308">
        <v>180</v>
      </c>
      <c r="G308">
        <v>1080</v>
      </c>
      <c r="H308">
        <v>-3</v>
      </c>
      <c r="I308">
        <v>1982</v>
      </c>
      <c r="J308" t="s">
        <v>59</v>
      </c>
      <c r="K308">
        <v>2548</v>
      </c>
      <c r="L308">
        <v>5.5</v>
      </c>
      <c r="M308">
        <v>4.8899999999999997</v>
      </c>
      <c r="N308" s="4">
        <f t="shared" si="8"/>
        <v>2.374625E-3</v>
      </c>
      <c r="O308" s="4">
        <f t="shared" si="9"/>
        <v>1.161191625E-2</v>
      </c>
      <c r="P308">
        <v>25</v>
      </c>
      <c r="Q308">
        <v>1.5</v>
      </c>
      <c r="R308">
        <v>3</v>
      </c>
      <c r="S308">
        <v>3</v>
      </c>
      <c r="T308">
        <v>3</v>
      </c>
      <c r="U308">
        <v>3</v>
      </c>
      <c r="V308" t="s">
        <v>30</v>
      </c>
    </row>
    <row r="309" spans="1:22" x14ac:dyDescent="0.25">
      <c r="A309" t="s">
        <v>74</v>
      </c>
      <c r="B309">
        <v>2</v>
      </c>
      <c r="C309" t="s">
        <v>66</v>
      </c>
      <c r="D309" t="s">
        <v>75</v>
      </c>
      <c r="E309" t="s">
        <v>68</v>
      </c>
      <c r="F309">
        <v>180</v>
      </c>
      <c r="G309">
        <v>1080</v>
      </c>
      <c r="H309">
        <v>-3</v>
      </c>
      <c r="I309">
        <v>1982</v>
      </c>
      <c r="J309" t="s">
        <v>61</v>
      </c>
      <c r="K309">
        <v>1171</v>
      </c>
      <c r="L309">
        <v>6.97</v>
      </c>
      <c r="M309">
        <v>8.9499999999999993</v>
      </c>
      <c r="N309" s="4">
        <f t="shared" si="8"/>
        <v>3.8136006499999999E-3</v>
      </c>
      <c r="O309" s="4">
        <f t="shared" si="9"/>
        <v>3.4131725817499993E-2</v>
      </c>
      <c r="P309">
        <v>75</v>
      </c>
      <c r="Q309">
        <v>2</v>
      </c>
      <c r="R309">
        <v>2</v>
      </c>
      <c r="S309">
        <v>3</v>
      </c>
      <c r="T309">
        <v>3</v>
      </c>
      <c r="U309">
        <v>3</v>
      </c>
      <c r="V309" t="s">
        <v>30</v>
      </c>
    </row>
    <row r="310" spans="1:22" x14ac:dyDescent="0.25">
      <c r="A310" t="s">
        <v>74</v>
      </c>
      <c r="B310">
        <v>2</v>
      </c>
      <c r="C310" t="s">
        <v>66</v>
      </c>
      <c r="D310" t="s">
        <v>75</v>
      </c>
      <c r="E310" t="s">
        <v>68</v>
      </c>
      <c r="F310">
        <v>180</v>
      </c>
      <c r="G310">
        <v>1080</v>
      </c>
      <c r="H310">
        <v>-3</v>
      </c>
      <c r="I310">
        <v>1982</v>
      </c>
      <c r="J310" t="s">
        <v>32</v>
      </c>
      <c r="K310">
        <v>1596</v>
      </c>
      <c r="L310">
        <v>5.73</v>
      </c>
      <c r="M310">
        <v>4.9800000000000004</v>
      </c>
      <c r="N310" s="4">
        <f t="shared" si="8"/>
        <v>2.5773826500000005E-3</v>
      </c>
      <c r="O310" s="4">
        <f t="shared" si="9"/>
        <v>1.2835365597000003E-2</v>
      </c>
      <c r="P310">
        <v>75</v>
      </c>
      <c r="Q310">
        <v>2.7</v>
      </c>
      <c r="R310">
        <v>3</v>
      </c>
      <c r="S310">
        <v>3</v>
      </c>
      <c r="T310">
        <v>4</v>
      </c>
      <c r="U310">
        <v>3</v>
      </c>
      <c r="V310" t="s">
        <v>30</v>
      </c>
    </row>
    <row r="311" spans="1:22" x14ac:dyDescent="0.25">
      <c r="A311" t="s">
        <v>74</v>
      </c>
      <c r="B311">
        <v>2</v>
      </c>
      <c r="C311" t="s">
        <v>66</v>
      </c>
      <c r="D311" t="s">
        <v>75</v>
      </c>
      <c r="E311" t="s">
        <v>68</v>
      </c>
      <c r="F311">
        <v>180</v>
      </c>
      <c r="G311">
        <v>1080</v>
      </c>
      <c r="H311">
        <v>-3</v>
      </c>
      <c r="I311">
        <v>1982</v>
      </c>
      <c r="J311" t="s">
        <v>32</v>
      </c>
      <c r="K311">
        <v>2569</v>
      </c>
      <c r="L311">
        <v>19.440000000000001</v>
      </c>
      <c r="M311">
        <v>15.38</v>
      </c>
      <c r="N311" s="4">
        <f t="shared" si="8"/>
        <v>2.966621760000001E-2</v>
      </c>
      <c r="O311" s="4">
        <f t="shared" si="9"/>
        <v>0.45626642668800016</v>
      </c>
      <c r="P311">
        <v>75</v>
      </c>
      <c r="Q311">
        <v>4.5</v>
      </c>
      <c r="R311">
        <v>3.5</v>
      </c>
      <c r="S311">
        <v>3.5</v>
      </c>
      <c r="T311">
        <v>4</v>
      </c>
      <c r="U311">
        <v>3</v>
      </c>
      <c r="V311" t="s">
        <v>27</v>
      </c>
    </row>
    <row r="312" spans="1:22" x14ac:dyDescent="0.25">
      <c r="A312" t="s">
        <v>74</v>
      </c>
      <c r="B312">
        <v>2</v>
      </c>
      <c r="C312" t="s">
        <v>66</v>
      </c>
      <c r="D312" t="s">
        <v>75</v>
      </c>
      <c r="E312" t="s">
        <v>68</v>
      </c>
      <c r="F312">
        <v>180</v>
      </c>
      <c r="G312">
        <v>1080</v>
      </c>
      <c r="H312">
        <v>-3</v>
      </c>
      <c r="I312">
        <v>1982</v>
      </c>
      <c r="J312" t="s">
        <v>32</v>
      </c>
      <c r="K312">
        <v>2634</v>
      </c>
      <c r="L312">
        <v>10.97</v>
      </c>
      <c r="M312">
        <v>9.9700000000000006</v>
      </c>
      <c r="N312" s="4">
        <f t="shared" si="8"/>
        <v>9.4467606500000002E-3</v>
      </c>
      <c r="O312" s="4">
        <f t="shared" si="9"/>
        <v>9.4184203680500012E-2</v>
      </c>
      <c r="P312">
        <v>75</v>
      </c>
      <c r="Q312">
        <v>3.5</v>
      </c>
      <c r="R312">
        <v>3</v>
      </c>
      <c r="S312">
        <v>3.2</v>
      </c>
      <c r="T312">
        <v>4</v>
      </c>
      <c r="U312">
        <v>3</v>
      </c>
      <c r="V312" t="s">
        <v>25</v>
      </c>
    </row>
    <row r="313" spans="1:22" x14ac:dyDescent="0.25">
      <c r="A313" t="s">
        <v>74</v>
      </c>
      <c r="B313">
        <v>2</v>
      </c>
      <c r="C313" t="s">
        <v>66</v>
      </c>
      <c r="D313" t="s">
        <v>75</v>
      </c>
      <c r="E313" t="s">
        <v>68</v>
      </c>
      <c r="F313">
        <v>180</v>
      </c>
      <c r="G313">
        <v>1080</v>
      </c>
      <c r="H313">
        <v>-3</v>
      </c>
      <c r="I313">
        <v>1982</v>
      </c>
      <c r="J313" t="s">
        <v>32</v>
      </c>
      <c r="K313">
        <v>2635</v>
      </c>
      <c r="L313">
        <v>5.86</v>
      </c>
      <c r="M313">
        <v>4.3600000000000003</v>
      </c>
      <c r="N313" s="4">
        <f t="shared" si="8"/>
        <v>2.6956586000000007E-3</v>
      </c>
      <c r="O313" s="4">
        <f t="shared" si="9"/>
        <v>1.1753071496000004E-2</v>
      </c>
      <c r="P313">
        <v>75</v>
      </c>
      <c r="Q313">
        <v>3</v>
      </c>
      <c r="R313">
        <v>3</v>
      </c>
      <c r="S313">
        <v>3</v>
      </c>
      <c r="T313">
        <v>4</v>
      </c>
      <c r="U313">
        <v>3</v>
      </c>
      <c r="V313" t="s">
        <v>38</v>
      </c>
    </row>
    <row r="314" spans="1:22" x14ac:dyDescent="0.25">
      <c r="A314" t="s">
        <v>74</v>
      </c>
      <c r="B314">
        <v>2</v>
      </c>
      <c r="C314" t="s">
        <v>66</v>
      </c>
      <c r="D314" t="s">
        <v>75</v>
      </c>
      <c r="E314" t="s">
        <v>68</v>
      </c>
      <c r="F314">
        <v>180</v>
      </c>
      <c r="G314">
        <v>1080</v>
      </c>
      <c r="H314">
        <v>-3</v>
      </c>
      <c r="I314">
        <v>1982</v>
      </c>
      <c r="J314" t="s">
        <v>62</v>
      </c>
      <c r="K314">
        <v>2550</v>
      </c>
      <c r="L314">
        <v>17.600000000000001</v>
      </c>
      <c r="M314">
        <v>14.08</v>
      </c>
      <c r="N314" s="4">
        <f t="shared" si="8"/>
        <v>2.4316160000000007E-2</v>
      </c>
      <c r="O314" s="4">
        <f t="shared" si="9"/>
        <v>0.3423715328000001</v>
      </c>
      <c r="P314">
        <v>50</v>
      </c>
      <c r="Q314">
        <v>5</v>
      </c>
      <c r="R314">
        <v>3.5</v>
      </c>
      <c r="S314">
        <v>4</v>
      </c>
      <c r="T314">
        <v>4</v>
      </c>
      <c r="U314">
        <v>3.5</v>
      </c>
      <c r="V314" t="s">
        <v>27</v>
      </c>
    </row>
    <row r="315" spans="1:22" x14ac:dyDescent="0.25">
      <c r="A315" t="s">
        <v>74</v>
      </c>
      <c r="B315">
        <v>2</v>
      </c>
      <c r="C315" t="s">
        <v>66</v>
      </c>
      <c r="D315" t="s">
        <v>75</v>
      </c>
      <c r="E315" t="s">
        <v>68</v>
      </c>
      <c r="F315">
        <v>180</v>
      </c>
      <c r="G315">
        <v>1080</v>
      </c>
      <c r="H315">
        <v>-3</v>
      </c>
      <c r="I315">
        <v>1982</v>
      </c>
      <c r="J315" t="s">
        <v>62</v>
      </c>
      <c r="K315">
        <v>2553</v>
      </c>
      <c r="L315">
        <v>6.34</v>
      </c>
      <c r="M315">
        <v>6.45</v>
      </c>
      <c r="N315" s="4">
        <f t="shared" si="8"/>
        <v>3.1553546000000002E-3</v>
      </c>
      <c r="O315" s="4">
        <f t="shared" si="9"/>
        <v>2.035203717E-2</v>
      </c>
      <c r="P315">
        <v>50</v>
      </c>
      <c r="Q315">
        <v>3</v>
      </c>
      <c r="R315">
        <v>3</v>
      </c>
      <c r="S315">
        <v>4</v>
      </c>
      <c r="T315">
        <v>4</v>
      </c>
      <c r="U315">
        <v>4</v>
      </c>
      <c r="V315" t="s">
        <v>38</v>
      </c>
    </row>
    <row r="316" spans="1:22" x14ac:dyDescent="0.25">
      <c r="A316" t="s">
        <v>74</v>
      </c>
      <c r="B316">
        <v>2</v>
      </c>
      <c r="C316" t="s">
        <v>66</v>
      </c>
      <c r="D316" t="s">
        <v>75</v>
      </c>
      <c r="E316" t="s">
        <v>68</v>
      </c>
      <c r="F316">
        <v>180</v>
      </c>
      <c r="G316">
        <v>1080</v>
      </c>
      <c r="H316">
        <v>-3</v>
      </c>
      <c r="I316">
        <v>1982</v>
      </c>
      <c r="J316" t="s">
        <v>62</v>
      </c>
      <c r="K316">
        <v>2574</v>
      </c>
      <c r="L316">
        <v>1.17</v>
      </c>
      <c r="M316">
        <v>2.34</v>
      </c>
      <c r="N316" s="4">
        <f t="shared" si="8"/>
        <v>1.0745864999999998E-4</v>
      </c>
      <c r="O316" s="4">
        <f t="shared" si="9"/>
        <v>2.5145324099999991E-4</v>
      </c>
      <c r="P316">
        <v>25</v>
      </c>
      <c r="Q316">
        <v>1</v>
      </c>
      <c r="R316">
        <v>3</v>
      </c>
      <c r="S316">
        <v>3</v>
      </c>
      <c r="T316">
        <v>3</v>
      </c>
      <c r="U316">
        <v>3</v>
      </c>
      <c r="V316" t="s">
        <v>50</v>
      </c>
    </row>
    <row r="317" spans="1:22" x14ac:dyDescent="0.25">
      <c r="A317" t="s">
        <v>74</v>
      </c>
      <c r="B317">
        <v>2</v>
      </c>
      <c r="C317" t="s">
        <v>66</v>
      </c>
      <c r="D317" t="s">
        <v>75</v>
      </c>
      <c r="E317" t="s">
        <v>68</v>
      </c>
      <c r="F317">
        <v>180</v>
      </c>
      <c r="G317">
        <v>1080</v>
      </c>
      <c r="H317">
        <v>-3</v>
      </c>
      <c r="I317">
        <v>1982</v>
      </c>
      <c r="J317" t="s">
        <v>37</v>
      </c>
      <c r="K317">
        <v>2575</v>
      </c>
      <c r="L317">
        <v>6.97</v>
      </c>
      <c r="M317">
        <v>5.32</v>
      </c>
      <c r="N317" s="4">
        <f t="shared" si="8"/>
        <v>3.8136006499999999E-3</v>
      </c>
      <c r="O317" s="4">
        <f t="shared" si="9"/>
        <v>2.0288355458E-2</v>
      </c>
      <c r="P317">
        <v>50</v>
      </c>
      <c r="Q317">
        <v>2</v>
      </c>
      <c r="R317">
        <v>3.5</v>
      </c>
      <c r="S317">
        <v>2</v>
      </c>
      <c r="T317">
        <v>3</v>
      </c>
      <c r="U317">
        <v>3</v>
      </c>
      <c r="V317" t="s">
        <v>50</v>
      </c>
    </row>
    <row r="318" spans="1:22" x14ac:dyDescent="0.25">
      <c r="A318" t="s">
        <v>74</v>
      </c>
      <c r="B318">
        <v>2</v>
      </c>
      <c r="C318" t="s">
        <v>66</v>
      </c>
      <c r="D318" t="s">
        <v>75</v>
      </c>
      <c r="E318" t="s">
        <v>68</v>
      </c>
      <c r="F318">
        <v>180</v>
      </c>
      <c r="G318">
        <v>1080</v>
      </c>
      <c r="H318">
        <v>-3</v>
      </c>
      <c r="I318">
        <v>1982</v>
      </c>
      <c r="J318" t="s">
        <v>63</v>
      </c>
      <c r="K318">
        <v>1340</v>
      </c>
      <c r="L318">
        <v>2.1</v>
      </c>
      <c r="M318">
        <v>3.85</v>
      </c>
      <c r="N318" s="4">
        <f t="shared" si="8"/>
        <v>3.4618500000000005E-4</v>
      </c>
      <c r="O318" s="4">
        <f t="shared" si="9"/>
        <v>1.3328122500000001E-3</v>
      </c>
      <c r="P318">
        <v>25</v>
      </c>
      <c r="Q318">
        <v>1</v>
      </c>
      <c r="R318">
        <v>2</v>
      </c>
      <c r="S318">
        <v>3</v>
      </c>
      <c r="T318">
        <v>3</v>
      </c>
      <c r="U318">
        <v>3</v>
      </c>
      <c r="V318" t="s">
        <v>50</v>
      </c>
    </row>
    <row r="319" spans="1:22" x14ac:dyDescent="0.25">
      <c r="A319" t="s">
        <v>74</v>
      </c>
      <c r="B319">
        <v>3</v>
      </c>
      <c r="C319" t="s">
        <v>66</v>
      </c>
      <c r="D319" t="s">
        <v>75</v>
      </c>
      <c r="E319" t="s">
        <v>68</v>
      </c>
      <c r="F319">
        <v>180</v>
      </c>
      <c r="G319">
        <v>1080</v>
      </c>
      <c r="H319">
        <v>-3</v>
      </c>
      <c r="I319">
        <v>1982</v>
      </c>
      <c r="J319" t="s">
        <v>76</v>
      </c>
      <c r="K319">
        <v>1592</v>
      </c>
      <c r="L319">
        <v>11.77</v>
      </c>
      <c r="M319">
        <v>8.08</v>
      </c>
      <c r="N319" s="4">
        <f t="shared" si="8"/>
        <v>1.0874832649999999E-2</v>
      </c>
      <c r="O319" s="4">
        <f t="shared" si="9"/>
        <v>8.7868647811999989E-2</v>
      </c>
      <c r="P319">
        <v>75</v>
      </c>
      <c r="Q319">
        <v>3</v>
      </c>
      <c r="R319">
        <v>4</v>
      </c>
      <c r="S319">
        <v>3</v>
      </c>
      <c r="T319">
        <v>4</v>
      </c>
      <c r="U319">
        <v>3</v>
      </c>
      <c r="V319" t="s">
        <v>27</v>
      </c>
    </row>
    <row r="320" spans="1:22" x14ac:dyDescent="0.25">
      <c r="A320" t="s">
        <v>74</v>
      </c>
      <c r="B320">
        <v>3</v>
      </c>
      <c r="C320" t="s">
        <v>66</v>
      </c>
      <c r="D320" t="s">
        <v>75</v>
      </c>
      <c r="E320" t="s">
        <v>68</v>
      </c>
      <c r="F320">
        <v>180</v>
      </c>
      <c r="G320">
        <v>1080</v>
      </c>
      <c r="H320">
        <v>-3</v>
      </c>
      <c r="I320">
        <v>1982</v>
      </c>
      <c r="J320" t="s">
        <v>56</v>
      </c>
      <c r="K320">
        <v>1111</v>
      </c>
      <c r="L320">
        <v>9.65</v>
      </c>
      <c r="M320">
        <v>6.24</v>
      </c>
      <c r="N320" s="4">
        <f t="shared" si="8"/>
        <v>7.3101162500000009E-3</v>
      </c>
      <c r="O320" s="4">
        <f t="shared" si="9"/>
        <v>4.5615125400000005E-2</v>
      </c>
      <c r="P320">
        <v>25</v>
      </c>
      <c r="Q320">
        <v>2.8</v>
      </c>
      <c r="R320">
        <v>3</v>
      </c>
      <c r="S320">
        <v>3</v>
      </c>
      <c r="T320">
        <v>3</v>
      </c>
      <c r="U320">
        <v>2.5</v>
      </c>
      <c r="V320" t="s">
        <v>30</v>
      </c>
    </row>
    <row r="321" spans="1:22" x14ac:dyDescent="0.25">
      <c r="A321" t="s">
        <v>74</v>
      </c>
      <c r="B321">
        <v>3</v>
      </c>
      <c r="C321" t="s">
        <v>66</v>
      </c>
      <c r="D321" t="s">
        <v>75</v>
      </c>
      <c r="E321" t="s">
        <v>68</v>
      </c>
      <c r="F321">
        <v>180</v>
      </c>
      <c r="G321">
        <v>1080</v>
      </c>
      <c r="H321">
        <v>-3</v>
      </c>
      <c r="I321">
        <v>1982</v>
      </c>
      <c r="J321" t="s">
        <v>58</v>
      </c>
      <c r="K321">
        <v>2638</v>
      </c>
      <c r="L321">
        <v>0.57999999999999996</v>
      </c>
      <c r="M321">
        <v>1.75</v>
      </c>
      <c r="N321" s="4">
        <f t="shared" si="8"/>
        <v>2.6407399999999997E-5</v>
      </c>
      <c r="O321" s="4">
        <f t="shared" si="9"/>
        <v>4.6212949999999996E-5</v>
      </c>
      <c r="P321">
        <v>25</v>
      </c>
      <c r="Q321">
        <v>1.5</v>
      </c>
      <c r="R321">
        <v>3</v>
      </c>
      <c r="S321">
        <v>3</v>
      </c>
      <c r="T321">
        <v>3</v>
      </c>
      <c r="U321">
        <v>3</v>
      </c>
      <c r="V321" t="s">
        <v>50</v>
      </c>
    </row>
    <row r="322" spans="1:22" x14ac:dyDescent="0.25">
      <c r="A322" t="s">
        <v>74</v>
      </c>
      <c r="B322">
        <v>3</v>
      </c>
      <c r="C322" t="s">
        <v>66</v>
      </c>
      <c r="D322" t="s">
        <v>75</v>
      </c>
      <c r="E322" t="s">
        <v>68</v>
      </c>
      <c r="F322">
        <v>180</v>
      </c>
      <c r="G322">
        <v>1080</v>
      </c>
      <c r="H322">
        <v>-3</v>
      </c>
      <c r="I322">
        <v>1982</v>
      </c>
      <c r="J322" t="s">
        <v>61</v>
      </c>
      <c r="K322">
        <v>1171</v>
      </c>
      <c r="L322">
        <v>11.62</v>
      </c>
      <c r="M322">
        <v>11.62</v>
      </c>
      <c r="N322" s="4">
        <f t="shared" si="8"/>
        <v>1.0599415399999999E-2</v>
      </c>
      <c r="O322" s="4">
        <f t="shared" si="9"/>
        <v>0.12316520694799998</v>
      </c>
      <c r="P322">
        <v>2</v>
      </c>
      <c r="Q322">
        <v>2</v>
      </c>
      <c r="R322">
        <v>2</v>
      </c>
      <c r="S322">
        <v>4</v>
      </c>
      <c r="T322">
        <v>3</v>
      </c>
      <c r="U322">
        <v>3</v>
      </c>
      <c r="V322" t="s">
        <v>30</v>
      </c>
    </row>
    <row r="323" spans="1:22" x14ac:dyDescent="0.25">
      <c r="A323" t="s">
        <v>74</v>
      </c>
      <c r="B323">
        <v>3</v>
      </c>
      <c r="C323" t="s">
        <v>66</v>
      </c>
      <c r="D323" t="s">
        <v>75</v>
      </c>
      <c r="E323" t="s">
        <v>68</v>
      </c>
      <c r="F323">
        <v>180</v>
      </c>
      <c r="G323">
        <v>1080</v>
      </c>
      <c r="H323">
        <v>-3</v>
      </c>
      <c r="I323">
        <v>1982</v>
      </c>
      <c r="J323" t="s">
        <v>61</v>
      </c>
      <c r="K323">
        <v>2631</v>
      </c>
      <c r="L323">
        <v>9.06</v>
      </c>
      <c r="M323">
        <v>6.97</v>
      </c>
      <c r="N323" s="4">
        <f t="shared" ref="N323:N386" si="10">3.14/4*((L323/100)^2)</f>
        <v>6.4435626000000001E-3</v>
      </c>
      <c r="O323" s="4">
        <f t="shared" ref="O323:O386" si="11">3.14/4*((L323/100)^2)*M323</f>
        <v>4.4911631321999997E-2</v>
      </c>
      <c r="P323">
        <v>25</v>
      </c>
      <c r="Q323">
        <v>1.3</v>
      </c>
      <c r="R323">
        <v>1</v>
      </c>
      <c r="S323">
        <v>2</v>
      </c>
      <c r="T323">
        <v>2</v>
      </c>
      <c r="U323">
        <v>3</v>
      </c>
      <c r="V323" t="s">
        <v>50</v>
      </c>
    </row>
    <row r="324" spans="1:22" x14ac:dyDescent="0.25">
      <c r="A324" t="s">
        <v>74</v>
      </c>
      <c r="B324">
        <v>3</v>
      </c>
      <c r="C324" t="s">
        <v>66</v>
      </c>
      <c r="D324" t="s">
        <v>75</v>
      </c>
      <c r="E324" t="s">
        <v>68</v>
      </c>
      <c r="F324">
        <v>180</v>
      </c>
      <c r="G324">
        <v>1080</v>
      </c>
      <c r="H324">
        <v>-3</v>
      </c>
      <c r="I324">
        <v>1982</v>
      </c>
      <c r="J324" t="s">
        <v>35</v>
      </c>
      <c r="K324">
        <v>1788</v>
      </c>
      <c r="L324">
        <v>15.31</v>
      </c>
      <c r="M324">
        <v>11.77</v>
      </c>
      <c r="N324" s="4">
        <f t="shared" si="10"/>
        <v>1.8400093850000004E-2</v>
      </c>
      <c r="O324" s="4">
        <f t="shared" si="11"/>
        <v>0.21656910461450005</v>
      </c>
      <c r="P324">
        <v>75</v>
      </c>
      <c r="Q324">
        <v>3</v>
      </c>
      <c r="R324">
        <v>2</v>
      </c>
      <c r="S324">
        <v>4</v>
      </c>
      <c r="T324">
        <v>4</v>
      </c>
      <c r="U324">
        <v>4</v>
      </c>
      <c r="V324" t="s">
        <v>27</v>
      </c>
    </row>
    <row r="325" spans="1:22" x14ac:dyDescent="0.25">
      <c r="A325" t="s">
        <v>74</v>
      </c>
      <c r="B325">
        <v>3</v>
      </c>
      <c r="C325" t="s">
        <v>66</v>
      </c>
      <c r="D325" t="s">
        <v>75</v>
      </c>
      <c r="E325" t="s">
        <v>68</v>
      </c>
      <c r="F325">
        <v>180</v>
      </c>
      <c r="G325">
        <v>1080</v>
      </c>
      <c r="H325">
        <v>-3</v>
      </c>
      <c r="I325">
        <v>1982</v>
      </c>
      <c r="J325" t="s">
        <v>35</v>
      </c>
      <c r="K325">
        <v>1259</v>
      </c>
      <c r="L325">
        <v>7.65</v>
      </c>
      <c r="M325">
        <v>8.24</v>
      </c>
      <c r="N325" s="4">
        <f t="shared" si="10"/>
        <v>4.5940162500000001E-3</v>
      </c>
      <c r="O325" s="4">
        <f t="shared" si="11"/>
        <v>3.78546939E-2</v>
      </c>
      <c r="P325">
        <v>25</v>
      </c>
      <c r="Q325">
        <v>2</v>
      </c>
      <c r="R325">
        <v>2</v>
      </c>
      <c r="S325">
        <v>4</v>
      </c>
      <c r="T325">
        <v>4</v>
      </c>
      <c r="U325">
        <v>4</v>
      </c>
      <c r="V325" t="s">
        <v>38</v>
      </c>
    </row>
    <row r="326" spans="1:22" x14ac:dyDescent="0.25">
      <c r="A326" t="s">
        <v>74</v>
      </c>
      <c r="B326">
        <v>3</v>
      </c>
      <c r="C326" t="s">
        <v>66</v>
      </c>
      <c r="D326" t="s">
        <v>75</v>
      </c>
      <c r="E326" t="s">
        <v>68</v>
      </c>
      <c r="F326">
        <v>180</v>
      </c>
      <c r="G326">
        <v>1080</v>
      </c>
      <c r="H326">
        <v>-3</v>
      </c>
      <c r="I326">
        <v>1982</v>
      </c>
      <c r="J326" t="s">
        <v>35</v>
      </c>
      <c r="K326">
        <v>2571</v>
      </c>
      <c r="L326">
        <v>6.42</v>
      </c>
      <c r="M326">
        <v>8.24</v>
      </c>
      <c r="N326" s="4">
        <f t="shared" si="10"/>
        <v>3.2354873999999997E-3</v>
      </c>
      <c r="O326" s="4">
        <f t="shared" si="11"/>
        <v>2.6660416175999999E-2</v>
      </c>
      <c r="P326">
        <v>25</v>
      </c>
      <c r="Q326">
        <v>3</v>
      </c>
      <c r="R326">
        <v>2</v>
      </c>
      <c r="S326">
        <v>4</v>
      </c>
      <c r="T326">
        <v>4</v>
      </c>
      <c r="U326">
        <v>4</v>
      </c>
      <c r="V326" t="s">
        <v>38</v>
      </c>
    </row>
    <row r="327" spans="1:22" x14ac:dyDescent="0.25">
      <c r="A327" t="s">
        <v>74</v>
      </c>
      <c r="B327">
        <v>3</v>
      </c>
      <c r="C327" t="s">
        <v>66</v>
      </c>
      <c r="D327" t="s">
        <v>75</v>
      </c>
      <c r="E327" t="s">
        <v>68</v>
      </c>
      <c r="F327">
        <v>180</v>
      </c>
      <c r="G327">
        <v>1080</v>
      </c>
      <c r="H327">
        <v>-3</v>
      </c>
      <c r="I327">
        <v>1982</v>
      </c>
      <c r="J327" t="s">
        <v>62</v>
      </c>
      <c r="K327">
        <v>2553</v>
      </c>
      <c r="L327">
        <v>19.13</v>
      </c>
      <c r="M327">
        <v>13.5</v>
      </c>
      <c r="N327" s="4">
        <f t="shared" si="10"/>
        <v>2.8727616650000003E-2</v>
      </c>
      <c r="O327" s="4">
        <f t="shared" si="11"/>
        <v>0.38782282477500002</v>
      </c>
      <c r="P327">
        <v>50</v>
      </c>
      <c r="Q327">
        <v>5</v>
      </c>
      <c r="R327">
        <v>4</v>
      </c>
      <c r="S327">
        <v>4</v>
      </c>
      <c r="T327">
        <v>4</v>
      </c>
      <c r="U327">
        <v>3</v>
      </c>
      <c r="V327" t="s">
        <v>27</v>
      </c>
    </row>
    <row r="328" spans="1:22" x14ac:dyDescent="0.25">
      <c r="A328" t="s">
        <v>74</v>
      </c>
      <c r="B328">
        <v>3</v>
      </c>
      <c r="C328" t="s">
        <v>66</v>
      </c>
      <c r="D328" t="s">
        <v>75</v>
      </c>
      <c r="E328" t="s">
        <v>68</v>
      </c>
      <c r="F328">
        <v>180</v>
      </c>
      <c r="G328">
        <v>1080</v>
      </c>
      <c r="H328">
        <v>-3</v>
      </c>
      <c r="I328">
        <v>1982</v>
      </c>
      <c r="J328" t="s">
        <v>62</v>
      </c>
      <c r="K328">
        <v>2574</v>
      </c>
      <c r="L328">
        <v>15.26</v>
      </c>
      <c r="M328">
        <v>14.08</v>
      </c>
      <c r="N328" s="4">
        <f t="shared" si="10"/>
        <v>1.8280106599999998E-2</v>
      </c>
      <c r="O328" s="4">
        <f t="shared" si="11"/>
        <v>0.25738390092799995</v>
      </c>
      <c r="P328">
        <v>25</v>
      </c>
      <c r="Q328">
        <v>3</v>
      </c>
      <c r="R328">
        <v>4</v>
      </c>
      <c r="S328">
        <v>4</v>
      </c>
      <c r="T328">
        <v>4</v>
      </c>
      <c r="U328">
        <v>3</v>
      </c>
      <c r="V328" t="s">
        <v>27</v>
      </c>
    </row>
    <row r="329" spans="1:22" x14ac:dyDescent="0.25">
      <c r="A329" t="s">
        <v>74</v>
      </c>
      <c r="B329">
        <v>3</v>
      </c>
      <c r="C329" t="s">
        <v>66</v>
      </c>
      <c r="D329" t="s">
        <v>75</v>
      </c>
      <c r="E329" t="s">
        <v>68</v>
      </c>
      <c r="F329">
        <v>180</v>
      </c>
      <c r="G329">
        <v>1080</v>
      </c>
      <c r="H329">
        <v>-3</v>
      </c>
      <c r="I329">
        <v>1982</v>
      </c>
      <c r="J329" t="s">
        <v>37</v>
      </c>
      <c r="K329">
        <v>2575</v>
      </c>
      <c r="L329">
        <v>4.84</v>
      </c>
      <c r="M329">
        <v>4.13</v>
      </c>
      <c r="N329" s="4">
        <f t="shared" si="10"/>
        <v>1.8389096000000001E-3</v>
      </c>
      <c r="O329" s="4">
        <f t="shared" si="11"/>
        <v>7.5946966480000006E-3</v>
      </c>
      <c r="P329">
        <v>50</v>
      </c>
      <c r="Q329">
        <v>2</v>
      </c>
      <c r="R329">
        <v>1.5</v>
      </c>
      <c r="S329">
        <v>3</v>
      </c>
      <c r="T329">
        <v>3</v>
      </c>
      <c r="U329">
        <v>3</v>
      </c>
      <c r="V329" t="s">
        <v>30</v>
      </c>
    </row>
    <row r="330" spans="1:22" x14ac:dyDescent="0.25">
      <c r="A330" t="s">
        <v>74</v>
      </c>
      <c r="B330">
        <v>3</v>
      </c>
      <c r="C330" t="s">
        <v>66</v>
      </c>
      <c r="D330" t="s">
        <v>75</v>
      </c>
      <c r="E330" t="s">
        <v>68</v>
      </c>
      <c r="F330">
        <v>180</v>
      </c>
      <c r="G330">
        <v>1080</v>
      </c>
      <c r="H330">
        <v>-3</v>
      </c>
      <c r="I330">
        <v>1982</v>
      </c>
      <c r="J330" t="s">
        <v>63</v>
      </c>
      <c r="K330">
        <v>1340</v>
      </c>
      <c r="L330">
        <v>7.58</v>
      </c>
      <c r="M330">
        <v>6.06</v>
      </c>
      <c r="N330" s="4">
        <f t="shared" si="10"/>
        <v>4.5103274000000007E-3</v>
      </c>
      <c r="O330" s="4">
        <f t="shared" si="11"/>
        <v>2.7332584044000002E-2</v>
      </c>
      <c r="P330">
        <v>38</v>
      </c>
      <c r="Q330">
        <v>2</v>
      </c>
      <c r="R330">
        <v>2</v>
      </c>
      <c r="S330">
        <v>3</v>
      </c>
      <c r="T330">
        <v>3</v>
      </c>
      <c r="U330">
        <v>3</v>
      </c>
      <c r="V330" t="s">
        <v>30</v>
      </c>
    </row>
    <row r="331" spans="1:22" x14ac:dyDescent="0.25">
      <c r="A331" t="s">
        <v>77</v>
      </c>
      <c r="B331">
        <v>1</v>
      </c>
      <c r="C331" t="s">
        <v>47</v>
      </c>
      <c r="D331" t="s">
        <v>78</v>
      </c>
      <c r="E331" t="s">
        <v>79</v>
      </c>
      <c r="F331">
        <v>150</v>
      </c>
      <c r="G331">
        <v>1250</v>
      </c>
      <c r="H331">
        <v>-3</v>
      </c>
      <c r="I331">
        <v>1983</v>
      </c>
      <c r="J331" t="s">
        <v>76</v>
      </c>
      <c r="K331">
        <v>1592</v>
      </c>
      <c r="L331">
        <v>24.24</v>
      </c>
      <c r="M331">
        <v>17.899999999999999</v>
      </c>
      <c r="N331" s="4">
        <f t="shared" si="10"/>
        <v>4.6124841599999987E-2</v>
      </c>
      <c r="O331" s="4">
        <f t="shared" si="11"/>
        <v>0.82563466463999968</v>
      </c>
      <c r="P331">
        <v>38</v>
      </c>
      <c r="Q331">
        <v>3.5</v>
      </c>
      <c r="R331">
        <v>3.5</v>
      </c>
      <c r="S331">
        <v>3</v>
      </c>
      <c r="T331">
        <v>3.3</v>
      </c>
      <c r="U331">
        <v>2.5</v>
      </c>
      <c r="V331" t="s">
        <v>25</v>
      </c>
    </row>
    <row r="332" spans="1:22" x14ac:dyDescent="0.25">
      <c r="A332" t="s">
        <v>77</v>
      </c>
      <c r="B332">
        <v>1</v>
      </c>
      <c r="C332" t="s">
        <v>47</v>
      </c>
      <c r="D332" t="s">
        <v>78</v>
      </c>
      <c r="E332" t="s">
        <v>79</v>
      </c>
      <c r="F332">
        <v>150</v>
      </c>
      <c r="G332">
        <v>1250</v>
      </c>
      <c r="H332">
        <v>-3</v>
      </c>
      <c r="I332">
        <v>1983</v>
      </c>
      <c r="J332" t="s">
        <v>76</v>
      </c>
      <c r="K332">
        <v>2560</v>
      </c>
      <c r="L332">
        <v>20.239999999999998</v>
      </c>
      <c r="M332">
        <v>14.6</v>
      </c>
      <c r="N332" s="4">
        <f t="shared" si="10"/>
        <v>3.2158121599999999E-2</v>
      </c>
      <c r="O332" s="4">
        <f t="shared" si="11"/>
        <v>0.46950857535999996</v>
      </c>
      <c r="P332">
        <v>63</v>
      </c>
      <c r="Q332">
        <v>3</v>
      </c>
      <c r="R332">
        <v>3.5</v>
      </c>
      <c r="S332">
        <v>3</v>
      </c>
      <c r="T332">
        <v>3.7</v>
      </c>
      <c r="U332">
        <v>2.5</v>
      </c>
      <c r="V332" t="s">
        <v>25</v>
      </c>
    </row>
    <row r="333" spans="1:22" x14ac:dyDescent="0.25">
      <c r="A333" t="s">
        <v>77</v>
      </c>
      <c r="B333">
        <v>1</v>
      </c>
      <c r="C333" t="s">
        <v>47</v>
      </c>
      <c r="D333" t="s">
        <v>78</v>
      </c>
      <c r="E333" t="s">
        <v>79</v>
      </c>
      <c r="F333">
        <v>150</v>
      </c>
      <c r="G333">
        <v>1250</v>
      </c>
      <c r="H333">
        <v>-3</v>
      </c>
      <c r="I333">
        <v>1983</v>
      </c>
      <c r="J333" t="s">
        <v>24</v>
      </c>
      <c r="K333">
        <v>2562</v>
      </c>
      <c r="L333">
        <v>17.399999999999999</v>
      </c>
      <c r="M333">
        <v>14.14</v>
      </c>
      <c r="N333" s="4">
        <f t="shared" si="10"/>
        <v>2.3766659999999998E-2</v>
      </c>
      <c r="O333" s="4">
        <f t="shared" si="11"/>
        <v>0.33606057239999998</v>
      </c>
      <c r="P333">
        <v>63</v>
      </c>
      <c r="Q333">
        <v>3.5</v>
      </c>
      <c r="R333">
        <v>4</v>
      </c>
      <c r="S333">
        <v>3.7</v>
      </c>
      <c r="T333">
        <v>4</v>
      </c>
      <c r="U333">
        <v>3.5</v>
      </c>
      <c r="V333" t="s">
        <v>25</v>
      </c>
    </row>
    <row r="334" spans="1:22" x14ac:dyDescent="0.25">
      <c r="A334" t="s">
        <v>77</v>
      </c>
      <c r="B334">
        <v>1</v>
      </c>
      <c r="C334" t="s">
        <v>47</v>
      </c>
      <c r="D334" t="s">
        <v>78</v>
      </c>
      <c r="E334" t="s">
        <v>79</v>
      </c>
      <c r="F334">
        <v>150</v>
      </c>
      <c r="G334">
        <v>1250</v>
      </c>
      <c r="H334">
        <v>-3</v>
      </c>
      <c r="I334">
        <v>1983</v>
      </c>
      <c r="J334" t="s">
        <v>80</v>
      </c>
      <c r="K334">
        <v>1252</v>
      </c>
      <c r="L334">
        <v>17.36</v>
      </c>
      <c r="M334">
        <v>15.64</v>
      </c>
      <c r="N334" s="4">
        <f t="shared" si="10"/>
        <v>2.3657513600000003E-2</v>
      </c>
      <c r="O334" s="4">
        <f t="shared" si="11"/>
        <v>0.37000351270400006</v>
      </c>
      <c r="P334">
        <v>50</v>
      </c>
      <c r="Q334">
        <v>3.5</v>
      </c>
      <c r="R334">
        <v>3.5</v>
      </c>
      <c r="S334">
        <v>2.5</v>
      </c>
      <c r="T334">
        <v>2.5</v>
      </c>
      <c r="U334">
        <v>2.5</v>
      </c>
      <c r="V334" t="s">
        <v>38</v>
      </c>
    </row>
    <row r="335" spans="1:22" x14ac:dyDescent="0.25">
      <c r="A335" t="s">
        <v>77</v>
      </c>
      <c r="B335">
        <v>1</v>
      </c>
      <c r="C335" t="s">
        <v>47</v>
      </c>
      <c r="D335" t="s">
        <v>78</v>
      </c>
      <c r="E335" t="s">
        <v>79</v>
      </c>
      <c r="F335">
        <v>150</v>
      </c>
      <c r="G335">
        <v>1250</v>
      </c>
      <c r="H335">
        <v>-3</v>
      </c>
      <c r="I335">
        <v>1983</v>
      </c>
      <c r="J335" t="s">
        <v>59</v>
      </c>
      <c r="K335">
        <v>2548</v>
      </c>
      <c r="L335">
        <v>41.04</v>
      </c>
      <c r="M335">
        <v>16.600000000000001</v>
      </c>
      <c r="N335" s="4">
        <f t="shared" si="10"/>
        <v>0.13221610559999999</v>
      </c>
      <c r="O335" s="4">
        <f t="shared" si="11"/>
        <v>2.1947873529600002</v>
      </c>
      <c r="P335">
        <v>50</v>
      </c>
      <c r="Q335">
        <v>3.3</v>
      </c>
      <c r="R335">
        <v>3</v>
      </c>
      <c r="S335">
        <v>2</v>
      </c>
      <c r="T335">
        <v>1.5</v>
      </c>
      <c r="U335">
        <v>1.5</v>
      </c>
      <c r="V335" t="s">
        <v>25</v>
      </c>
    </row>
    <row r="336" spans="1:22" x14ac:dyDescent="0.25">
      <c r="A336" t="s">
        <v>77</v>
      </c>
      <c r="B336">
        <v>1</v>
      </c>
      <c r="C336" t="s">
        <v>47</v>
      </c>
      <c r="D336" t="s">
        <v>78</v>
      </c>
      <c r="E336" t="s">
        <v>79</v>
      </c>
      <c r="F336">
        <v>150</v>
      </c>
      <c r="G336">
        <v>1250</v>
      </c>
      <c r="H336">
        <v>-3</v>
      </c>
      <c r="I336">
        <v>1983</v>
      </c>
      <c r="J336" t="s">
        <v>32</v>
      </c>
      <c r="K336">
        <v>1596</v>
      </c>
      <c r="L336">
        <v>15.02</v>
      </c>
      <c r="M336">
        <v>9.92</v>
      </c>
      <c r="N336" s="4">
        <f t="shared" si="10"/>
        <v>1.7709631400000002E-2</v>
      </c>
      <c r="O336" s="4">
        <f t="shared" si="11"/>
        <v>0.17567954348800002</v>
      </c>
      <c r="P336">
        <v>100</v>
      </c>
      <c r="Q336">
        <v>3.5</v>
      </c>
      <c r="R336">
        <v>4</v>
      </c>
      <c r="S336">
        <v>2.7</v>
      </c>
      <c r="T336">
        <v>4</v>
      </c>
      <c r="U336">
        <v>2.5</v>
      </c>
      <c r="V336" t="s">
        <v>25</v>
      </c>
    </row>
    <row r="337" spans="1:22" x14ac:dyDescent="0.25">
      <c r="A337" t="s">
        <v>77</v>
      </c>
      <c r="B337">
        <v>1</v>
      </c>
      <c r="C337" t="s">
        <v>47</v>
      </c>
      <c r="D337" t="s">
        <v>78</v>
      </c>
      <c r="E337" t="s">
        <v>79</v>
      </c>
      <c r="F337">
        <v>150</v>
      </c>
      <c r="G337">
        <v>1250</v>
      </c>
      <c r="H337">
        <v>-3</v>
      </c>
      <c r="I337">
        <v>1983</v>
      </c>
      <c r="J337" t="s">
        <v>32</v>
      </c>
      <c r="K337">
        <v>2569</v>
      </c>
      <c r="L337">
        <v>17.829999999999998</v>
      </c>
      <c r="M337">
        <v>11.8</v>
      </c>
      <c r="N337" s="4">
        <f t="shared" si="10"/>
        <v>2.4955848649999997E-2</v>
      </c>
      <c r="O337" s="4">
        <f t="shared" si="11"/>
        <v>0.29447901406999999</v>
      </c>
      <c r="P337">
        <v>50</v>
      </c>
      <c r="Q337">
        <v>3</v>
      </c>
      <c r="R337">
        <v>3</v>
      </c>
      <c r="S337">
        <v>3</v>
      </c>
      <c r="T337">
        <v>4</v>
      </c>
      <c r="U337">
        <v>2.5</v>
      </c>
      <c r="V337" t="s">
        <v>25</v>
      </c>
    </row>
    <row r="338" spans="1:22" x14ac:dyDescent="0.25">
      <c r="A338" t="s">
        <v>77</v>
      </c>
      <c r="B338">
        <v>1</v>
      </c>
      <c r="C338" t="s">
        <v>47</v>
      </c>
      <c r="D338" t="s">
        <v>78</v>
      </c>
      <c r="E338" t="s">
        <v>79</v>
      </c>
      <c r="F338">
        <v>150</v>
      </c>
      <c r="G338">
        <v>1250</v>
      </c>
      <c r="H338">
        <v>-3</v>
      </c>
      <c r="I338">
        <v>1983</v>
      </c>
      <c r="J338" t="s">
        <v>33</v>
      </c>
      <c r="K338">
        <v>2547</v>
      </c>
      <c r="L338">
        <v>20.8</v>
      </c>
      <c r="M338">
        <v>10.23</v>
      </c>
      <c r="N338" s="4">
        <f t="shared" si="10"/>
        <v>3.3962240000000012E-2</v>
      </c>
      <c r="O338" s="4">
        <f t="shared" si="11"/>
        <v>0.34743371520000016</v>
      </c>
      <c r="P338">
        <v>13</v>
      </c>
      <c r="Q338">
        <v>3</v>
      </c>
      <c r="R338">
        <v>3</v>
      </c>
      <c r="S338">
        <v>3</v>
      </c>
      <c r="T338">
        <v>2.5</v>
      </c>
      <c r="U338">
        <v>3</v>
      </c>
      <c r="V338" t="s">
        <v>38</v>
      </c>
    </row>
    <row r="339" spans="1:22" x14ac:dyDescent="0.25">
      <c r="A339" t="s">
        <v>77</v>
      </c>
      <c r="B339">
        <v>1</v>
      </c>
      <c r="C339" t="s">
        <v>47</v>
      </c>
      <c r="D339" t="s">
        <v>78</v>
      </c>
      <c r="E339" t="s">
        <v>79</v>
      </c>
      <c r="F339">
        <v>150</v>
      </c>
      <c r="G339">
        <v>1250</v>
      </c>
      <c r="H339">
        <v>-3</v>
      </c>
      <c r="I339">
        <v>1983</v>
      </c>
      <c r="J339" t="s">
        <v>33</v>
      </c>
      <c r="K339">
        <v>2568</v>
      </c>
      <c r="L339">
        <v>24.89</v>
      </c>
      <c r="M339">
        <v>16.71</v>
      </c>
      <c r="N339" s="4">
        <f t="shared" si="10"/>
        <v>4.8631699850000008E-2</v>
      </c>
      <c r="O339" s="4">
        <f t="shared" si="11"/>
        <v>0.8126357044935002</v>
      </c>
      <c r="P339">
        <v>63</v>
      </c>
      <c r="Q339">
        <v>3</v>
      </c>
      <c r="R339">
        <v>2.5</v>
      </c>
      <c r="S339">
        <v>2.7</v>
      </c>
      <c r="T339">
        <v>3</v>
      </c>
      <c r="U339">
        <v>2</v>
      </c>
      <c r="V339" t="s">
        <v>38</v>
      </c>
    </row>
    <row r="340" spans="1:22" x14ac:dyDescent="0.25">
      <c r="A340" t="s">
        <v>77</v>
      </c>
      <c r="B340">
        <v>1</v>
      </c>
      <c r="C340" t="s">
        <v>47</v>
      </c>
      <c r="D340" t="s">
        <v>78</v>
      </c>
      <c r="E340" t="s">
        <v>79</v>
      </c>
      <c r="F340">
        <v>150</v>
      </c>
      <c r="G340">
        <v>1250</v>
      </c>
      <c r="H340">
        <v>-3</v>
      </c>
      <c r="I340">
        <v>1983</v>
      </c>
      <c r="J340" t="s">
        <v>34</v>
      </c>
      <c r="K340">
        <v>1522</v>
      </c>
      <c r="L340">
        <v>19.13</v>
      </c>
      <c r="M340">
        <v>10.66</v>
      </c>
      <c r="N340" s="4">
        <f t="shared" si="10"/>
        <v>2.8727616650000003E-2</v>
      </c>
      <c r="O340" s="4">
        <f t="shared" si="11"/>
        <v>0.30623639348900006</v>
      </c>
      <c r="P340">
        <v>38</v>
      </c>
      <c r="Q340">
        <v>3.5</v>
      </c>
      <c r="R340">
        <v>3</v>
      </c>
      <c r="S340">
        <v>2.5</v>
      </c>
      <c r="T340">
        <v>2.5</v>
      </c>
      <c r="U340">
        <v>2</v>
      </c>
      <c r="V340" t="s">
        <v>25</v>
      </c>
    </row>
    <row r="341" spans="1:22" x14ac:dyDescent="0.25">
      <c r="A341" t="s">
        <v>77</v>
      </c>
      <c r="B341">
        <v>1</v>
      </c>
      <c r="C341" t="s">
        <v>47</v>
      </c>
      <c r="D341" t="s">
        <v>78</v>
      </c>
      <c r="E341" t="s">
        <v>79</v>
      </c>
      <c r="F341">
        <v>150</v>
      </c>
      <c r="G341">
        <v>1250</v>
      </c>
      <c r="H341">
        <v>-3</v>
      </c>
      <c r="I341">
        <v>1983</v>
      </c>
      <c r="J341" t="s">
        <v>34</v>
      </c>
      <c r="K341">
        <v>2570</v>
      </c>
      <c r="L341">
        <v>17.59</v>
      </c>
      <c r="M341">
        <v>12.2</v>
      </c>
      <c r="N341" s="4">
        <f t="shared" si="10"/>
        <v>2.4288535850000001E-2</v>
      </c>
      <c r="O341" s="4">
        <f t="shared" si="11"/>
        <v>0.29632013737000001</v>
      </c>
      <c r="P341">
        <v>50</v>
      </c>
      <c r="Q341">
        <v>3</v>
      </c>
      <c r="R341">
        <v>2.7</v>
      </c>
      <c r="S341">
        <v>3</v>
      </c>
      <c r="T341">
        <v>3.5</v>
      </c>
      <c r="U341">
        <v>2.7</v>
      </c>
      <c r="V341" t="s">
        <v>38</v>
      </c>
    </row>
    <row r="342" spans="1:22" x14ac:dyDescent="0.25">
      <c r="A342" t="s">
        <v>77</v>
      </c>
      <c r="B342">
        <v>1</v>
      </c>
      <c r="C342" t="s">
        <v>47</v>
      </c>
      <c r="D342" t="s">
        <v>78</v>
      </c>
      <c r="E342" t="s">
        <v>79</v>
      </c>
      <c r="F342">
        <v>150</v>
      </c>
      <c r="G342">
        <v>1250</v>
      </c>
      <c r="H342">
        <v>-3</v>
      </c>
      <c r="I342">
        <v>1983</v>
      </c>
      <c r="J342" t="s">
        <v>35</v>
      </c>
      <c r="K342">
        <v>2571</v>
      </c>
      <c r="L342">
        <v>19.350000000000001</v>
      </c>
      <c r="M342">
        <v>17.3</v>
      </c>
      <c r="N342" s="4">
        <f t="shared" si="10"/>
        <v>2.9392166250000004E-2</v>
      </c>
      <c r="O342" s="4">
        <f t="shared" si="11"/>
        <v>0.50848447612500014</v>
      </c>
      <c r="P342">
        <v>50</v>
      </c>
      <c r="Q342">
        <v>2.5</v>
      </c>
      <c r="R342">
        <v>2</v>
      </c>
      <c r="S342">
        <v>3.2</v>
      </c>
      <c r="T342">
        <v>4</v>
      </c>
      <c r="U342">
        <v>4</v>
      </c>
      <c r="V342" t="s">
        <v>38</v>
      </c>
    </row>
    <row r="343" spans="1:22" x14ac:dyDescent="0.25">
      <c r="A343" t="s">
        <v>77</v>
      </c>
      <c r="B343">
        <v>1</v>
      </c>
      <c r="C343" t="s">
        <v>47</v>
      </c>
      <c r="D343" t="s">
        <v>78</v>
      </c>
      <c r="E343" t="s">
        <v>79</v>
      </c>
      <c r="F343">
        <v>150</v>
      </c>
      <c r="G343">
        <v>1250</v>
      </c>
      <c r="H343">
        <v>-3</v>
      </c>
      <c r="I343">
        <v>1983</v>
      </c>
      <c r="J343" t="s">
        <v>36</v>
      </c>
      <c r="K343">
        <v>2573</v>
      </c>
      <c r="L343">
        <v>21.7</v>
      </c>
      <c r="M343">
        <v>17.420000000000002</v>
      </c>
      <c r="N343" s="4">
        <f t="shared" si="10"/>
        <v>3.6964865E-2</v>
      </c>
      <c r="O343" s="4">
        <f t="shared" si="11"/>
        <v>0.64392794830000011</v>
      </c>
      <c r="P343">
        <v>88</v>
      </c>
      <c r="Q343">
        <v>3</v>
      </c>
      <c r="R343">
        <v>3.5</v>
      </c>
      <c r="S343">
        <v>3</v>
      </c>
      <c r="T343">
        <v>3.3</v>
      </c>
      <c r="U343">
        <v>2.2999999999999998</v>
      </c>
      <c r="V343" t="s">
        <v>25</v>
      </c>
    </row>
    <row r="344" spans="1:22" x14ac:dyDescent="0.25">
      <c r="A344" t="s">
        <v>77</v>
      </c>
      <c r="B344">
        <v>1</v>
      </c>
      <c r="C344" t="s">
        <v>47</v>
      </c>
      <c r="D344" t="s">
        <v>78</v>
      </c>
      <c r="E344" t="s">
        <v>79</v>
      </c>
      <c r="F344">
        <v>150</v>
      </c>
      <c r="G344">
        <v>1250</v>
      </c>
      <c r="H344">
        <v>-3</v>
      </c>
      <c r="I344">
        <v>1983</v>
      </c>
      <c r="J344" t="s">
        <v>62</v>
      </c>
      <c r="K344">
        <v>2550</v>
      </c>
      <c r="L344">
        <v>7.84</v>
      </c>
      <c r="M344">
        <v>3.34</v>
      </c>
      <c r="N344" s="4">
        <f t="shared" si="10"/>
        <v>4.8250495999999999E-3</v>
      </c>
      <c r="O344" s="4">
        <f t="shared" si="11"/>
        <v>1.6115665663999999E-2</v>
      </c>
      <c r="P344">
        <v>38</v>
      </c>
      <c r="Q344">
        <v>2</v>
      </c>
      <c r="R344">
        <v>2.2999999999999998</v>
      </c>
      <c r="S344">
        <v>1.5</v>
      </c>
      <c r="T344">
        <v>2</v>
      </c>
      <c r="U344">
        <v>2</v>
      </c>
      <c r="V344" t="s">
        <v>30</v>
      </c>
    </row>
    <row r="345" spans="1:22" x14ac:dyDescent="0.25">
      <c r="A345" t="s">
        <v>77</v>
      </c>
      <c r="B345">
        <v>1</v>
      </c>
      <c r="C345" t="s">
        <v>47</v>
      </c>
      <c r="D345" t="s">
        <v>78</v>
      </c>
      <c r="E345" t="s">
        <v>79</v>
      </c>
      <c r="F345">
        <v>150</v>
      </c>
      <c r="G345">
        <v>1250</v>
      </c>
      <c r="H345">
        <v>-3</v>
      </c>
      <c r="I345">
        <v>1983</v>
      </c>
      <c r="J345" t="s">
        <v>62</v>
      </c>
      <c r="K345">
        <v>2553</v>
      </c>
      <c r="L345">
        <v>25.57</v>
      </c>
      <c r="M345">
        <v>17.43</v>
      </c>
      <c r="N345" s="4">
        <f t="shared" si="10"/>
        <v>5.1325254649999992E-2</v>
      </c>
      <c r="O345" s="4">
        <f t="shared" si="11"/>
        <v>0.89459918854949982</v>
      </c>
      <c r="P345">
        <v>50</v>
      </c>
      <c r="Q345">
        <v>3.7</v>
      </c>
      <c r="R345">
        <v>3</v>
      </c>
      <c r="S345">
        <v>2.7</v>
      </c>
      <c r="T345">
        <v>3</v>
      </c>
      <c r="U345">
        <v>2</v>
      </c>
      <c r="V345" t="s">
        <v>38</v>
      </c>
    </row>
    <row r="346" spans="1:22" x14ac:dyDescent="0.25">
      <c r="A346" t="s">
        <v>77</v>
      </c>
      <c r="B346">
        <v>1</v>
      </c>
      <c r="C346" t="s">
        <v>47</v>
      </c>
      <c r="D346" t="s">
        <v>78</v>
      </c>
      <c r="E346" t="s">
        <v>79</v>
      </c>
      <c r="F346">
        <v>150</v>
      </c>
      <c r="G346">
        <v>1250</v>
      </c>
      <c r="H346">
        <v>-3</v>
      </c>
      <c r="I346">
        <v>1983</v>
      </c>
      <c r="J346" t="s">
        <v>37</v>
      </c>
      <c r="K346">
        <v>2575</v>
      </c>
      <c r="L346">
        <v>6.87</v>
      </c>
      <c r="M346">
        <v>9.4</v>
      </c>
      <c r="N346" s="4">
        <f t="shared" si="10"/>
        <v>3.7049566499999997E-3</v>
      </c>
      <c r="O346" s="4">
        <f t="shared" si="11"/>
        <v>3.4826592509999997E-2</v>
      </c>
      <c r="P346">
        <v>50</v>
      </c>
      <c r="Q346">
        <v>1.5</v>
      </c>
      <c r="R346">
        <v>3</v>
      </c>
      <c r="S346">
        <v>2</v>
      </c>
      <c r="T346">
        <v>2</v>
      </c>
      <c r="U346">
        <v>2</v>
      </c>
      <c r="V346" t="s">
        <v>50</v>
      </c>
    </row>
    <row r="347" spans="1:22" x14ac:dyDescent="0.25">
      <c r="A347" t="s">
        <v>77</v>
      </c>
      <c r="B347">
        <v>1</v>
      </c>
      <c r="C347" t="s">
        <v>47</v>
      </c>
      <c r="D347" t="s">
        <v>78</v>
      </c>
      <c r="E347" t="s">
        <v>79</v>
      </c>
      <c r="F347">
        <v>150</v>
      </c>
      <c r="G347">
        <v>1250</v>
      </c>
      <c r="H347">
        <v>-3</v>
      </c>
      <c r="I347">
        <v>1983</v>
      </c>
      <c r="J347" t="s">
        <v>26</v>
      </c>
      <c r="K347">
        <v>2552</v>
      </c>
      <c r="L347">
        <v>31.87</v>
      </c>
      <c r="M347">
        <v>20.52</v>
      </c>
      <c r="N347" s="4">
        <f t="shared" si="10"/>
        <v>7.9732206649999998E-2</v>
      </c>
      <c r="O347" s="4">
        <f t="shared" si="11"/>
        <v>1.6361048804579998</v>
      </c>
      <c r="P347">
        <v>25</v>
      </c>
      <c r="Q347">
        <v>3.7</v>
      </c>
      <c r="R347">
        <v>3.5</v>
      </c>
      <c r="S347">
        <v>2.5</v>
      </c>
      <c r="T347">
        <v>2.5</v>
      </c>
      <c r="U347">
        <v>1.5</v>
      </c>
      <c r="V347" t="s">
        <v>38</v>
      </c>
    </row>
    <row r="348" spans="1:22" x14ac:dyDescent="0.25">
      <c r="A348" t="s">
        <v>77</v>
      </c>
      <c r="B348">
        <v>1</v>
      </c>
      <c r="C348" t="s">
        <v>47</v>
      </c>
      <c r="D348" t="s">
        <v>78</v>
      </c>
      <c r="E348" t="s">
        <v>79</v>
      </c>
      <c r="F348">
        <v>150</v>
      </c>
      <c r="G348">
        <v>1250</v>
      </c>
      <c r="H348">
        <v>-3</v>
      </c>
      <c r="I348">
        <v>1983</v>
      </c>
      <c r="J348" t="s">
        <v>62</v>
      </c>
      <c r="K348">
        <v>2574</v>
      </c>
      <c r="L348">
        <v>15.11</v>
      </c>
      <c r="M348">
        <v>15.54</v>
      </c>
      <c r="N348" s="4">
        <f t="shared" si="10"/>
        <v>1.7922499849999995E-2</v>
      </c>
      <c r="O348" s="4">
        <f t="shared" si="11"/>
        <v>0.27851564766899989</v>
      </c>
      <c r="P348">
        <v>75</v>
      </c>
      <c r="Q348">
        <v>3.7</v>
      </c>
      <c r="R348">
        <v>3</v>
      </c>
      <c r="S348">
        <v>3.3</v>
      </c>
      <c r="T348">
        <v>3.5</v>
      </c>
      <c r="U348">
        <v>3.5</v>
      </c>
      <c r="V348" t="s">
        <v>25</v>
      </c>
    </row>
    <row r="349" spans="1:22" x14ac:dyDescent="0.25">
      <c r="A349" t="s">
        <v>77</v>
      </c>
      <c r="B349">
        <v>1</v>
      </c>
      <c r="C349" t="s">
        <v>47</v>
      </c>
      <c r="D349" t="s">
        <v>78</v>
      </c>
      <c r="E349" t="s">
        <v>79</v>
      </c>
      <c r="F349">
        <v>150</v>
      </c>
      <c r="G349">
        <v>1250</v>
      </c>
      <c r="H349">
        <v>-3</v>
      </c>
      <c r="I349">
        <v>1983</v>
      </c>
      <c r="J349" t="s">
        <v>32</v>
      </c>
      <c r="K349">
        <v>2634</v>
      </c>
      <c r="L349">
        <v>21.72</v>
      </c>
      <c r="M349">
        <v>14.75</v>
      </c>
      <c r="N349" s="4">
        <f t="shared" si="10"/>
        <v>3.7033034399999991E-2</v>
      </c>
      <c r="O349" s="4">
        <f t="shared" si="11"/>
        <v>0.54623725739999984</v>
      </c>
      <c r="P349">
        <v>38</v>
      </c>
      <c r="Q349">
        <v>3</v>
      </c>
      <c r="R349">
        <v>3</v>
      </c>
      <c r="S349">
        <v>3</v>
      </c>
      <c r="T349">
        <v>4</v>
      </c>
      <c r="U349">
        <v>2.2999999999999998</v>
      </c>
      <c r="V349" t="s">
        <v>25</v>
      </c>
    </row>
    <row r="350" spans="1:22" x14ac:dyDescent="0.25">
      <c r="A350" t="s">
        <v>77</v>
      </c>
      <c r="B350">
        <v>2</v>
      </c>
      <c r="C350" t="s">
        <v>47</v>
      </c>
      <c r="D350" t="s">
        <v>78</v>
      </c>
      <c r="E350" t="s">
        <v>79</v>
      </c>
      <c r="F350">
        <v>150</v>
      </c>
      <c r="G350">
        <v>1250</v>
      </c>
      <c r="H350">
        <v>-3</v>
      </c>
      <c r="I350">
        <v>1983</v>
      </c>
      <c r="J350" t="s">
        <v>76</v>
      </c>
      <c r="K350">
        <v>1592</v>
      </c>
      <c r="L350">
        <v>24.95</v>
      </c>
      <c r="M350">
        <v>19.690000000000001</v>
      </c>
      <c r="N350" s="4">
        <f t="shared" si="10"/>
        <v>4.8866446250000001E-2</v>
      </c>
      <c r="O350" s="4">
        <f t="shared" si="11"/>
        <v>0.96218032666250008</v>
      </c>
      <c r="P350">
        <v>50</v>
      </c>
      <c r="Q350">
        <v>3.5</v>
      </c>
      <c r="R350">
        <v>3</v>
      </c>
      <c r="S350">
        <v>2.7</v>
      </c>
      <c r="T350">
        <v>3</v>
      </c>
      <c r="U350">
        <v>2.7</v>
      </c>
      <c r="V350" t="s">
        <v>25</v>
      </c>
    </row>
    <row r="351" spans="1:22" x14ac:dyDescent="0.25">
      <c r="A351" t="s">
        <v>77</v>
      </c>
      <c r="B351">
        <v>2</v>
      </c>
      <c r="C351" t="s">
        <v>47</v>
      </c>
      <c r="D351" t="s">
        <v>78</v>
      </c>
      <c r="E351" t="s">
        <v>79</v>
      </c>
      <c r="F351">
        <v>150</v>
      </c>
      <c r="G351">
        <v>1250</v>
      </c>
      <c r="H351">
        <v>-3</v>
      </c>
      <c r="I351">
        <v>1983</v>
      </c>
      <c r="J351" t="s">
        <v>76</v>
      </c>
      <c r="K351">
        <v>2560</v>
      </c>
      <c r="L351">
        <v>17.350000000000001</v>
      </c>
      <c r="M351">
        <v>16.11</v>
      </c>
      <c r="N351" s="4">
        <f t="shared" si="10"/>
        <v>2.3630266250000004E-2</v>
      </c>
      <c r="O351" s="4">
        <f t="shared" si="11"/>
        <v>0.38068358928750007</v>
      </c>
      <c r="P351">
        <v>38</v>
      </c>
      <c r="Q351">
        <v>3</v>
      </c>
      <c r="R351">
        <v>3</v>
      </c>
      <c r="S351">
        <v>2.5</v>
      </c>
      <c r="T351">
        <v>3.5</v>
      </c>
      <c r="U351">
        <v>2.5</v>
      </c>
      <c r="V351" t="s">
        <v>25</v>
      </c>
    </row>
    <row r="352" spans="1:22" x14ac:dyDescent="0.25">
      <c r="A352" t="s">
        <v>77</v>
      </c>
      <c r="B352">
        <v>2</v>
      </c>
      <c r="C352" t="s">
        <v>47</v>
      </c>
      <c r="D352" t="s">
        <v>78</v>
      </c>
      <c r="E352" t="s">
        <v>79</v>
      </c>
      <c r="F352">
        <v>150</v>
      </c>
      <c r="G352">
        <v>1250</v>
      </c>
      <c r="H352">
        <v>-3</v>
      </c>
      <c r="I352">
        <v>1983</v>
      </c>
      <c r="J352" t="s">
        <v>24</v>
      </c>
      <c r="K352">
        <v>2562</v>
      </c>
      <c r="L352">
        <v>18.809999999999999</v>
      </c>
      <c r="M352">
        <v>19.09</v>
      </c>
      <c r="N352" s="4">
        <f t="shared" si="10"/>
        <v>2.7774563849999996E-2</v>
      </c>
      <c r="O352" s="4">
        <f t="shared" si="11"/>
        <v>0.53021642389649992</v>
      </c>
      <c r="P352">
        <v>75</v>
      </c>
      <c r="Q352">
        <v>3</v>
      </c>
      <c r="R352">
        <v>3</v>
      </c>
      <c r="S352">
        <v>3.5</v>
      </c>
      <c r="T352">
        <v>4</v>
      </c>
      <c r="U352">
        <v>3</v>
      </c>
      <c r="V352" t="s">
        <v>27</v>
      </c>
    </row>
    <row r="353" spans="1:22" x14ac:dyDescent="0.25">
      <c r="A353" t="s">
        <v>77</v>
      </c>
      <c r="B353">
        <v>2</v>
      </c>
      <c r="C353" t="s">
        <v>47</v>
      </c>
      <c r="D353" t="s">
        <v>78</v>
      </c>
      <c r="E353" t="s">
        <v>79</v>
      </c>
      <c r="F353">
        <v>150</v>
      </c>
      <c r="G353">
        <v>1250</v>
      </c>
      <c r="H353">
        <v>-3</v>
      </c>
      <c r="I353">
        <v>1983</v>
      </c>
      <c r="J353" t="s">
        <v>80</v>
      </c>
      <c r="K353">
        <v>1252</v>
      </c>
      <c r="L353">
        <v>15.35</v>
      </c>
      <c r="M353">
        <v>11.87</v>
      </c>
      <c r="N353" s="4">
        <f t="shared" si="10"/>
        <v>1.849636625E-2</v>
      </c>
      <c r="O353" s="4">
        <f t="shared" si="11"/>
        <v>0.21955186738749999</v>
      </c>
      <c r="P353">
        <v>75</v>
      </c>
      <c r="Q353">
        <v>2.9</v>
      </c>
      <c r="R353">
        <v>2.7</v>
      </c>
      <c r="S353">
        <v>2.5</v>
      </c>
      <c r="T353">
        <v>3</v>
      </c>
      <c r="U353">
        <v>2.5</v>
      </c>
      <c r="V353" t="s">
        <v>38</v>
      </c>
    </row>
    <row r="354" spans="1:22" x14ac:dyDescent="0.25">
      <c r="A354" t="s">
        <v>77</v>
      </c>
      <c r="B354">
        <v>2</v>
      </c>
      <c r="C354" t="s">
        <v>47</v>
      </c>
      <c r="D354" t="s">
        <v>78</v>
      </c>
      <c r="E354" t="s">
        <v>79</v>
      </c>
      <c r="F354">
        <v>150</v>
      </c>
      <c r="G354">
        <v>1250</v>
      </c>
      <c r="H354">
        <v>-3</v>
      </c>
      <c r="I354">
        <v>1983</v>
      </c>
      <c r="J354" t="s">
        <v>59</v>
      </c>
      <c r="K354">
        <v>2548</v>
      </c>
      <c r="L354">
        <v>22.6</v>
      </c>
      <c r="M354">
        <v>12.61</v>
      </c>
      <c r="N354" s="4">
        <f t="shared" si="10"/>
        <v>4.0094660000000004E-2</v>
      </c>
      <c r="O354" s="4">
        <f t="shared" si="11"/>
        <v>0.50559366260000005</v>
      </c>
      <c r="P354">
        <v>63</v>
      </c>
      <c r="Q354">
        <v>3.5</v>
      </c>
      <c r="R354">
        <v>3</v>
      </c>
      <c r="S354">
        <v>2</v>
      </c>
      <c r="T354">
        <v>2</v>
      </c>
      <c r="U354">
        <v>1.5</v>
      </c>
      <c r="V354" t="s">
        <v>38</v>
      </c>
    </row>
    <row r="355" spans="1:22" x14ac:dyDescent="0.25">
      <c r="A355" t="s">
        <v>77</v>
      </c>
      <c r="B355">
        <v>2</v>
      </c>
      <c r="C355" t="s">
        <v>47</v>
      </c>
      <c r="D355" t="s">
        <v>78</v>
      </c>
      <c r="E355" t="s">
        <v>79</v>
      </c>
      <c r="F355">
        <v>150</v>
      </c>
      <c r="G355">
        <v>1250</v>
      </c>
      <c r="H355">
        <v>-3</v>
      </c>
      <c r="I355">
        <v>1983</v>
      </c>
      <c r="J355" t="s">
        <v>32</v>
      </c>
      <c r="K355">
        <v>1596</v>
      </c>
      <c r="L355">
        <v>21.45</v>
      </c>
      <c r="M355">
        <v>16.760000000000002</v>
      </c>
      <c r="N355" s="4">
        <f t="shared" si="10"/>
        <v>3.6118046250000001E-2</v>
      </c>
      <c r="O355" s="4">
        <f t="shared" si="11"/>
        <v>0.60533845515000007</v>
      </c>
      <c r="P355">
        <v>75</v>
      </c>
      <c r="Q355">
        <v>3</v>
      </c>
      <c r="R355">
        <v>3.2</v>
      </c>
      <c r="S355">
        <v>3.3</v>
      </c>
      <c r="T355">
        <v>3.5</v>
      </c>
      <c r="U355">
        <v>3</v>
      </c>
      <c r="V355" t="s">
        <v>25</v>
      </c>
    </row>
    <row r="356" spans="1:22" x14ac:dyDescent="0.25">
      <c r="A356" t="s">
        <v>77</v>
      </c>
      <c r="B356">
        <v>2</v>
      </c>
      <c r="C356" t="s">
        <v>47</v>
      </c>
      <c r="D356" t="s">
        <v>78</v>
      </c>
      <c r="E356" t="s">
        <v>79</v>
      </c>
      <c r="F356">
        <v>150</v>
      </c>
      <c r="G356">
        <v>1250</v>
      </c>
      <c r="H356">
        <v>-3</v>
      </c>
      <c r="I356">
        <v>1983</v>
      </c>
      <c r="J356" t="s">
        <v>32</v>
      </c>
      <c r="K356">
        <v>2569</v>
      </c>
      <c r="L356">
        <v>15.15</v>
      </c>
      <c r="M356">
        <v>15.82</v>
      </c>
      <c r="N356" s="4">
        <f t="shared" si="10"/>
        <v>1.8017516250000001E-2</v>
      </c>
      <c r="O356" s="4">
        <f t="shared" si="11"/>
        <v>0.28503710707500002</v>
      </c>
      <c r="P356">
        <v>75</v>
      </c>
      <c r="Q356">
        <v>3</v>
      </c>
      <c r="R356">
        <v>3</v>
      </c>
      <c r="S356">
        <v>3.1</v>
      </c>
      <c r="T356">
        <v>3.4</v>
      </c>
      <c r="U356">
        <v>3</v>
      </c>
      <c r="V356" t="s">
        <v>25</v>
      </c>
    </row>
    <row r="357" spans="1:22" x14ac:dyDescent="0.25">
      <c r="A357" t="s">
        <v>77</v>
      </c>
      <c r="B357">
        <v>2</v>
      </c>
      <c r="C357" t="s">
        <v>47</v>
      </c>
      <c r="D357" t="s">
        <v>78</v>
      </c>
      <c r="E357" t="s">
        <v>79</v>
      </c>
      <c r="F357">
        <v>150</v>
      </c>
      <c r="G357">
        <v>1250</v>
      </c>
      <c r="H357">
        <v>-3</v>
      </c>
      <c r="I357">
        <v>1983</v>
      </c>
      <c r="J357" t="s">
        <v>33</v>
      </c>
      <c r="K357">
        <v>2568</v>
      </c>
      <c r="L357">
        <v>20.46</v>
      </c>
      <c r="M357">
        <v>19.260000000000002</v>
      </c>
      <c r="N357" s="4">
        <f t="shared" si="10"/>
        <v>3.2861010600000004E-2</v>
      </c>
      <c r="O357" s="4">
        <f t="shared" si="11"/>
        <v>0.63290306415600017</v>
      </c>
      <c r="P357">
        <v>50</v>
      </c>
      <c r="Q357">
        <v>3</v>
      </c>
      <c r="R357">
        <v>2.2000000000000002</v>
      </c>
      <c r="S357">
        <v>3.3</v>
      </c>
      <c r="T357">
        <v>3.3</v>
      </c>
      <c r="U357">
        <v>3</v>
      </c>
      <c r="V357" t="s">
        <v>25</v>
      </c>
    </row>
    <row r="358" spans="1:22" x14ac:dyDescent="0.25">
      <c r="A358" t="s">
        <v>77</v>
      </c>
      <c r="B358">
        <v>2</v>
      </c>
      <c r="C358" t="s">
        <v>47</v>
      </c>
      <c r="D358" t="s">
        <v>78</v>
      </c>
      <c r="E358" t="s">
        <v>79</v>
      </c>
      <c r="F358">
        <v>150</v>
      </c>
      <c r="G358">
        <v>1250</v>
      </c>
      <c r="H358">
        <v>-3</v>
      </c>
      <c r="I358">
        <v>1983</v>
      </c>
      <c r="J358" t="s">
        <v>34</v>
      </c>
      <c r="K358">
        <v>1522</v>
      </c>
      <c r="L358">
        <v>20.8</v>
      </c>
      <c r="M358">
        <v>15.41</v>
      </c>
      <c r="N358" s="4">
        <f t="shared" si="10"/>
        <v>3.3962240000000012E-2</v>
      </c>
      <c r="O358" s="4">
        <f t="shared" si="11"/>
        <v>0.52335811840000024</v>
      </c>
      <c r="P358">
        <v>25</v>
      </c>
      <c r="Q358">
        <v>3.5</v>
      </c>
      <c r="R358">
        <v>2.8</v>
      </c>
      <c r="S358">
        <v>3.3</v>
      </c>
      <c r="T358">
        <v>3.2</v>
      </c>
      <c r="U358">
        <v>3.5</v>
      </c>
      <c r="V358" t="s">
        <v>25</v>
      </c>
    </row>
    <row r="359" spans="1:22" x14ac:dyDescent="0.25">
      <c r="A359" t="s">
        <v>77</v>
      </c>
      <c r="B359">
        <v>2</v>
      </c>
      <c r="C359" t="s">
        <v>47</v>
      </c>
      <c r="D359" t="s">
        <v>78</v>
      </c>
      <c r="E359" t="s">
        <v>79</v>
      </c>
      <c r="F359">
        <v>150</v>
      </c>
      <c r="G359">
        <v>1250</v>
      </c>
      <c r="H359">
        <v>-3</v>
      </c>
      <c r="I359">
        <v>1983</v>
      </c>
      <c r="J359" t="s">
        <v>34</v>
      </c>
      <c r="K359">
        <v>2570</v>
      </c>
      <c r="L359">
        <v>22.98</v>
      </c>
      <c r="M359">
        <v>19.899999999999999</v>
      </c>
      <c r="N359" s="4">
        <f t="shared" si="10"/>
        <v>4.1454311399999999E-2</v>
      </c>
      <c r="O359" s="4">
        <f t="shared" si="11"/>
        <v>0.82494079685999988</v>
      </c>
      <c r="P359">
        <v>50</v>
      </c>
      <c r="Q359">
        <v>4</v>
      </c>
      <c r="R359">
        <v>2.7</v>
      </c>
      <c r="S359">
        <v>3.5</v>
      </c>
      <c r="T359">
        <v>3.3</v>
      </c>
      <c r="U359">
        <v>3.5</v>
      </c>
      <c r="V359" t="s">
        <v>27</v>
      </c>
    </row>
    <row r="360" spans="1:22" x14ac:dyDescent="0.25">
      <c r="A360" t="s">
        <v>77</v>
      </c>
      <c r="B360">
        <v>2</v>
      </c>
      <c r="C360" t="s">
        <v>47</v>
      </c>
      <c r="D360" t="s">
        <v>78</v>
      </c>
      <c r="E360" t="s">
        <v>79</v>
      </c>
      <c r="F360">
        <v>150</v>
      </c>
      <c r="G360">
        <v>1250</v>
      </c>
      <c r="H360">
        <v>-3</v>
      </c>
      <c r="I360">
        <v>1983</v>
      </c>
      <c r="J360" t="s">
        <v>35</v>
      </c>
      <c r="K360">
        <v>1788</v>
      </c>
      <c r="L360">
        <v>16.989999999999998</v>
      </c>
      <c r="M360">
        <v>16.52</v>
      </c>
      <c r="N360" s="4">
        <f t="shared" si="10"/>
        <v>2.265981785E-2</v>
      </c>
      <c r="O360" s="4">
        <f t="shared" si="11"/>
        <v>0.37434019088199999</v>
      </c>
      <c r="P360">
        <v>25</v>
      </c>
      <c r="Q360">
        <v>3</v>
      </c>
      <c r="R360">
        <v>2.7</v>
      </c>
      <c r="S360">
        <v>3.2</v>
      </c>
      <c r="T360">
        <v>3.7</v>
      </c>
      <c r="U360">
        <v>3.2</v>
      </c>
      <c r="V360" t="s">
        <v>38</v>
      </c>
    </row>
    <row r="361" spans="1:22" x14ac:dyDescent="0.25">
      <c r="A361" t="s">
        <v>77</v>
      </c>
      <c r="B361">
        <v>2</v>
      </c>
      <c r="C361" t="s">
        <v>47</v>
      </c>
      <c r="D361" t="s">
        <v>78</v>
      </c>
      <c r="E361" t="s">
        <v>79</v>
      </c>
      <c r="F361">
        <v>150</v>
      </c>
      <c r="G361">
        <v>1250</v>
      </c>
      <c r="H361">
        <v>-3</v>
      </c>
      <c r="I361">
        <v>1983</v>
      </c>
      <c r="J361" t="s">
        <v>35</v>
      </c>
      <c r="K361">
        <v>2571</v>
      </c>
      <c r="L361">
        <v>19.670000000000002</v>
      </c>
      <c r="M361">
        <v>20.14</v>
      </c>
      <c r="N361" s="4">
        <f t="shared" si="10"/>
        <v>3.0372348650000006E-2</v>
      </c>
      <c r="O361" s="4">
        <f t="shared" si="11"/>
        <v>0.61169910181100018</v>
      </c>
      <c r="P361">
        <v>50</v>
      </c>
      <c r="Q361">
        <v>3</v>
      </c>
      <c r="R361">
        <v>2</v>
      </c>
      <c r="S361">
        <v>3.3</v>
      </c>
      <c r="T361">
        <v>3.7</v>
      </c>
      <c r="U361">
        <v>4</v>
      </c>
      <c r="V361" t="s">
        <v>25</v>
      </c>
    </row>
    <row r="362" spans="1:22" x14ac:dyDescent="0.25">
      <c r="A362" t="s">
        <v>77</v>
      </c>
      <c r="B362">
        <v>2</v>
      </c>
      <c r="C362" t="s">
        <v>47</v>
      </c>
      <c r="D362" t="s">
        <v>78</v>
      </c>
      <c r="E362" t="s">
        <v>79</v>
      </c>
      <c r="F362">
        <v>150</v>
      </c>
      <c r="G362">
        <v>1250</v>
      </c>
      <c r="H362">
        <v>-3</v>
      </c>
      <c r="I362">
        <v>1983</v>
      </c>
      <c r="J362" t="s">
        <v>81</v>
      </c>
      <c r="K362">
        <v>2750</v>
      </c>
      <c r="L362">
        <v>29.47</v>
      </c>
      <c r="M362">
        <v>14.67</v>
      </c>
      <c r="N362" s="4">
        <f t="shared" si="10"/>
        <v>6.8175750649999978E-2</v>
      </c>
      <c r="O362" s="4">
        <f t="shared" si="11"/>
        <v>1.0001382620354997</v>
      </c>
      <c r="P362">
        <v>88</v>
      </c>
      <c r="Q362">
        <v>4</v>
      </c>
      <c r="R362">
        <v>4</v>
      </c>
      <c r="S362">
        <v>3</v>
      </c>
      <c r="T362">
        <v>3</v>
      </c>
      <c r="U362">
        <v>1.7</v>
      </c>
      <c r="V362" t="s">
        <v>27</v>
      </c>
    </row>
    <row r="363" spans="1:22" x14ac:dyDescent="0.25">
      <c r="A363" t="s">
        <v>77</v>
      </c>
      <c r="B363">
        <v>2</v>
      </c>
      <c r="C363" t="s">
        <v>47</v>
      </c>
      <c r="D363" t="s">
        <v>78</v>
      </c>
      <c r="E363" t="s">
        <v>79</v>
      </c>
      <c r="F363">
        <v>150</v>
      </c>
      <c r="G363">
        <v>1250</v>
      </c>
      <c r="H363">
        <v>-3</v>
      </c>
      <c r="I363">
        <v>1983</v>
      </c>
      <c r="J363" t="s">
        <v>36</v>
      </c>
      <c r="K363">
        <v>2573</v>
      </c>
      <c r="L363">
        <v>23.29</v>
      </c>
      <c r="M363">
        <v>17.739999999999998</v>
      </c>
      <c r="N363" s="4">
        <f t="shared" si="10"/>
        <v>4.258029185E-2</v>
      </c>
      <c r="O363" s="4">
        <f t="shared" si="11"/>
        <v>0.75537437741899993</v>
      </c>
      <c r="P363">
        <v>75</v>
      </c>
      <c r="Q363">
        <v>3</v>
      </c>
      <c r="R363">
        <v>3</v>
      </c>
      <c r="S363">
        <v>3</v>
      </c>
      <c r="T363">
        <v>3.5</v>
      </c>
      <c r="U363">
        <v>2.5</v>
      </c>
      <c r="V363" t="s">
        <v>27</v>
      </c>
    </row>
    <row r="364" spans="1:22" x14ac:dyDescent="0.25">
      <c r="A364" t="s">
        <v>77</v>
      </c>
      <c r="B364">
        <v>2</v>
      </c>
      <c r="C364" t="s">
        <v>47</v>
      </c>
      <c r="D364" t="s">
        <v>78</v>
      </c>
      <c r="E364" t="s">
        <v>79</v>
      </c>
      <c r="F364">
        <v>150</v>
      </c>
      <c r="G364">
        <v>1250</v>
      </c>
      <c r="H364">
        <v>-3</v>
      </c>
      <c r="I364">
        <v>1983</v>
      </c>
      <c r="J364" t="s">
        <v>62</v>
      </c>
      <c r="K364">
        <v>2550</v>
      </c>
      <c r="L364">
        <v>24.55</v>
      </c>
      <c r="M364">
        <v>15.98</v>
      </c>
      <c r="N364" s="4">
        <f t="shared" si="10"/>
        <v>4.7312146249999999E-2</v>
      </c>
      <c r="O364" s="4">
        <f t="shared" si="11"/>
        <v>0.75604809707499998</v>
      </c>
      <c r="P364">
        <v>13</v>
      </c>
      <c r="Q364">
        <v>3</v>
      </c>
      <c r="R364">
        <v>2.7</v>
      </c>
      <c r="S364">
        <v>4</v>
      </c>
      <c r="T364">
        <v>3.3</v>
      </c>
      <c r="U364">
        <v>3</v>
      </c>
      <c r="V364" t="s">
        <v>38</v>
      </c>
    </row>
    <row r="365" spans="1:22" x14ac:dyDescent="0.25">
      <c r="A365" t="s">
        <v>77</v>
      </c>
      <c r="B365">
        <v>2</v>
      </c>
      <c r="C365" t="s">
        <v>47</v>
      </c>
      <c r="D365" t="s">
        <v>78</v>
      </c>
      <c r="E365" t="s">
        <v>79</v>
      </c>
      <c r="F365">
        <v>150</v>
      </c>
      <c r="G365">
        <v>1250</v>
      </c>
      <c r="H365">
        <v>-3</v>
      </c>
      <c r="I365">
        <v>1983</v>
      </c>
      <c r="J365" t="s">
        <v>62</v>
      </c>
      <c r="K365">
        <v>2553</v>
      </c>
      <c r="L365">
        <v>23.53</v>
      </c>
      <c r="M365">
        <v>21.06</v>
      </c>
      <c r="N365" s="4">
        <f t="shared" si="10"/>
        <v>4.3462380650000007E-2</v>
      </c>
      <c r="O365" s="4">
        <f t="shared" si="11"/>
        <v>0.91531773648900006</v>
      </c>
      <c r="P365">
        <v>50</v>
      </c>
      <c r="Q365">
        <v>4.5</v>
      </c>
      <c r="R365">
        <v>3.5</v>
      </c>
      <c r="S365">
        <v>3.3</v>
      </c>
      <c r="T365">
        <v>3.2</v>
      </c>
      <c r="U365">
        <v>2.8</v>
      </c>
      <c r="V365" t="s">
        <v>25</v>
      </c>
    </row>
    <row r="366" spans="1:22" x14ac:dyDescent="0.25">
      <c r="A366" t="s">
        <v>77</v>
      </c>
      <c r="B366">
        <v>2</v>
      </c>
      <c r="C366" t="s">
        <v>47</v>
      </c>
      <c r="D366" t="s">
        <v>78</v>
      </c>
      <c r="E366" t="s">
        <v>79</v>
      </c>
      <c r="F366">
        <v>150</v>
      </c>
      <c r="G366">
        <v>1250</v>
      </c>
      <c r="H366">
        <v>-3</v>
      </c>
      <c r="I366">
        <v>1983</v>
      </c>
      <c r="J366" t="s">
        <v>37</v>
      </c>
      <c r="K366">
        <v>2575</v>
      </c>
      <c r="L366">
        <v>3.62</v>
      </c>
      <c r="M366">
        <v>6.03</v>
      </c>
      <c r="N366" s="4">
        <f t="shared" si="10"/>
        <v>1.0286954000000002E-3</v>
      </c>
      <c r="O366" s="4">
        <f t="shared" si="11"/>
        <v>6.2030332620000017E-3</v>
      </c>
      <c r="P366">
        <v>25</v>
      </c>
      <c r="Q366">
        <v>1</v>
      </c>
      <c r="R366">
        <v>3</v>
      </c>
      <c r="S366">
        <v>2.5</v>
      </c>
      <c r="T366">
        <v>2.5</v>
      </c>
      <c r="U366">
        <v>3</v>
      </c>
      <c r="V366" t="s">
        <v>50</v>
      </c>
    </row>
    <row r="367" spans="1:22" x14ac:dyDescent="0.25">
      <c r="A367" t="s">
        <v>77</v>
      </c>
      <c r="B367">
        <v>2</v>
      </c>
      <c r="C367" t="s">
        <v>47</v>
      </c>
      <c r="D367" t="s">
        <v>78</v>
      </c>
      <c r="E367" t="s">
        <v>79</v>
      </c>
      <c r="F367">
        <v>150</v>
      </c>
      <c r="G367">
        <v>1250</v>
      </c>
      <c r="H367">
        <v>-3</v>
      </c>
      <c r="I367">
        <v>1983</v>
      </c>
      <c r="J367" t="s">
        <v>26</v>
      </c>
      <c r="K367">
        <v>2552</v>
      </c>
      <c r="L367">
        <v>31.73</v>
      </c>
      <c r="M367">
        <v>18.88</v>
      </c>
      <c r="N367" s="4">
        <f t="shared" si="10"/>
        <v>7.9033242650000016E-2</v>
      </c>
      <c r="O367" s="4">
        <f t="shared" si="11"/>
        <v>1.4921476212320002</v>
      </c>
      <c r="P367">
        <v>63</v>
      </c>
      <c r="Q367">
        <v>3.8</v>
      </c>
      <c r="R367">
        <v>3.2</v>
      </c>
      <c r="S367">
        <v>3</v>
      </c>
      <c r="T367">
        <v>3</v>
      </c>
      <c r="U367">
        <v>2</v>
      </c>
      <c r="V367" t="s">
        <v>25</v>
      </c>
    </row>
    <row r="368" spans="1:22" x14ac:dyDescent="0.25">
      <c r="A368" t="s">
        <v>77</v>
      </c>
      <c r="B368">
        <v>2</v>
      </c>
      <c r="C368" t="s">
        <v>47</v>
      </c>
      <c r="D368" t="s">
        <v>78</v>
      </c>
      <c r="E368" t="s">
        <v>79</v>
      </c>
      <c r="F368">
        <v>150</v>
      </c>
      <c r="G368">
        <v>1250</v>
      </c>
      <c r="H368">
        <v>-3</v>
      </c>
      <c r="I368">
        <v>1983</v>
      </c>
      <c r="J368" t="s">
        <v>34</v>
      </c>
      <c r="K368">
        <v>2458</v>
      </c>
      <c r="L368">
        <v>18.88</v>
      </c>
      <c r="M368">
        <v>10.53</v>
      </c>
      <c r="N368" s="4">
        <f t="shared" si="10"/>
        <v>2.7981670400000002E-2</v>
      </c>
      <c r="O368" s="4">
        <f t="shared" si="11"/>
        <v>0.29464698931200001</v>
      </c>
      <c r="P368">
        <v>63</v>
      </c>
      <c r="Q368">
        <v>3.5</v>
      </c>
      <c r="R368">
        <v>3</v>
      </c>
      <c r="S368">
        <v>2</v>
      </c>
      <c r="T368">
        <v>2</v>
      </c>
      <c r="U368">
        <v>1.5</v>
      </c>
      <c r="V368" t="s">
        <v>38</v>
      </c>
    </row>
    <row r="369" spans="1:22" x14ac:dyDescent="0.25">
      <c r="A369" t="s">
        <v>77</v>
      </c>
      <c r="B369">
        <v>2</v>
      </c>
      <c r="C369" t="s">
        <v>47</v>
      </c>
      <c r="D369" t="s">
        <v>78</v>
      </c>
      <c r="E369" t="s">
        <v>79</v>
      </c>
      <c r="F369">
        <v>150</v>
      </c>
      <c r="G369">
        <v>1250</v>
      </c>
      <c r="H369">
        <v>-3</v>
      </c>
      <c r="I369">
        <v>1983</v>
      </c>
      <c r="J369" t="s">
        <v>62</v>
      </c>
      <c r="K369">
        <v>2574</v>
      </c>
      <c r="L369">
        <v>24.4</v>
      </c>
      <c r="M369">
        <v>20.329999999999998</v>
      </c>
      <c r="N369" s="4">
        <f t="shared" si="10"/>
        <v>4.6735760000000001E-2</v>
      </c>
      <c r="O369" s="4">
        <f t="shared" si="11"/>
        <v>0.95013800079999999</v>
      </c>
      <c r="P369">
        <v>75</v>
      </c>
      <c r="Q369">
        <v>4.5</v>
      </c>
      <c r="R369">
        <v>3.5</v>
      </c>
      <c r="S369">
        <v>3.3</v>
      </c>
      <c r="T369">
        <v>3.2</v>
      </c>
      <c r="U369">
        <v>2.8</v>
      </c>
      <c r="V369" t="s">
        <v>25</v>
      </c>
    </row>
    <row r="370" spans="1:22" x14ac:dyDescent="0.25">
      <c r="A370" t="s">
        <v>77</v>
      </c>
      <c r="B370">
        <v>3</v>
      </c>
      <c r="C370" t="s">
        <v>47</v>
      </c>
      <c r="D370" t="s">
        <v>78</v>
      </c>
      <c r="E370" t="s">
        <v>79</v>
      </c>
      <c r="F370">
        <v>150</v>
      </c>
      <c r="G370">
        <v>1250</v>
      </c>
      <c r="H370">
        <v>-3</v>
      </c>
      <c r="I370">
        <v>1983</v>
      </c>
      <c r="J370" t="s">
        <v>76</v>
      </c>
      <c r="K370">
        <v>1592</v>
      </c>
      <c r="L370">
        <v>18.399999999999999</v>
      </c>
      <c r="M370">
        <v>14.18</v>
      </c>
      <c r="N370" s="4">
        <f t="shared" si="10"/>
        <v>2.657696E-2</v>
      </c>
      <c r="O370" s="4">
        <f t="shared" si="11"/>
        <v>0.37686129279999997</v>
      </c>
      <c r="P370">
        <v>50</v>
      </c>
      <c r="Q370">
        <v>3.5</v>
      </c>
      <c r="R370">
        <v>3.2</v>
      </c>
      <c r="S370">
        <v>2</v>
      </c>
      <c r="T370">
        <v>2.5</v>
      </c>
      <c r="U370">
        <v>1.5</v>
      </c>
      <c r="V370" t="s">
        <v>25</v>
      </c>
    </row>
    <row r="371" spans="1:22" x14ac:dyDescent="0.25">
      <c r="A371" t="s">
        <v>77</v>
      </c>
      <c r="B371">
        <v>3</v>
      </c>
      <c r="C371" t="s">
        <v>47</v>
      </c>
      <c r="D371" t="s">
        <v>78</v>
      </c>
      <c r="E371" t="s">
        <v>79</v>
      </c>
      <c r="F371">
        <v>150</v>
      </c>
      <c r="G371">
        <v>1250</v>
      </c>
      <c r="H371">
        <v>-3</v>
      </c>
      <c r="I371">
        <v>1983</v>
      </c>
      <c r="J371" t="s">
        <v>76</v>
      </c>
      <c r="K371">
        <v>2560</v>
      </c>
      <c r="L371">
        <v>18.59</v>
      </c>
      <c r="M371">
        <v>8.26</v>
      </c>
      <c r="N371" s="4">
        <f t="shared" si="10"/>
        <v>2.7128665850000004E-2</v>
      </c>
      <c r="O371" s="4">
        <f t="shared" si="11"/>
        <v>0.22408277992100004</v>
      </c>
      <c r="P371">
        <v>13</v>
      </c>
      <c r="Q371">
        <v>2.5</v>
      </c>
      <c r="R371">
        <v>3.5</v>
      </c>
      <c r="S371">
        <v>2</v>
      </c>
      <c r="T371">
        <v>2</v>
      </c>
      <c r="U371">
        <v>2</v>
      </c>
      <c r="V371" t="s">
        <v>38</v>
      </c>
    </row>
    <row r="372" spans="1:22" x14ac:dyDescent="0.25">
      <c r="A372" t="s">
        <v>77</v>
      </c>
      <c r="B372">
        <v>3</v>
      </c>
      <c r="C372" t="s">
        <v>47</v>
      </c>
      <c r="D372" t="s">
        <v>78</v>
      </c>
      <c r="E372" t="s">
        <v>79</v>
      </c>
      <c r="F372">
        <v>150</v>
      </c>
      <c r="G372">
        <v>1250</v>
      </c>
      <c r="H372">
        <v>-3</v>
      </c>
      <c r="I372">
        <v>1983</v>
      </c>
      <c r="J372" t="s">
        <v>24</v>
      </c>
      <c r="K372">
        <v>2562</v>
      </c>
      <c r="L372">
        <v>14.87</v>
      </c>
      <c r="M372">
        <v>15.56</v>
      </c>
      <c r="N372" s="4">
        <f t="shared" si="10"/>
        <v>1.7357676650000001E-2</v>
      </c>
      <c r="O372" s="4">
        <f t="shared" si="11"/>
        <v>0.27008544867400003</v>
      </c>
      <c r="P372">
        <v>38</v>
      </c>
      <c r="Q372">
        <v>3.5</v>
      </c>
      <c r="R372">
        <v>3.5</v>
      </c>
      <c r="S372">
        <v>3.3</v>
      </c>
      <c r="T372">
        <v>3.3</v>
      </c>
      <c r="U372">
        <v>3</v>
      </c>
      <c r="V372" t="s">
        <v>25</v>
      </c>
    </row>
    <row r="373" spans="1:22" x14ac:dyDescent="0.25">
      <c r="A373" t="s">
        <v>77</v>
      </c>
      <c r="B373">
        <v>3</v>
      </c>
      <c r="C373" t="s">
        <v>47</v>
      </c>
      <c r="D373" t="s">
        <v>78</v>
      </c>
      <c r="E373" t="s">
        <v>79</v>
      </c>
      <c r="F373">
        <v>150</v>
      </c>
      <c r="G373">
        <v>1250</v>
      </c>
      <c r="H373">
        <v>-3</v>
      </c>
      <c r="I373">
        <v>1983</v>
      </c>
      <c r="J373" t="s">
        <v>59</v>
      </c>
      <c r="K373">
        <v>2548</v>
      </c>
      <c r="L373">
        <v>41.51</v>
      </c>
      <c r="M373">
        <v>14.6</v>
      </c>
      <c r="N373" s="4">
        <f t="shared" si="10"/>
        <v>0.13526178784999998</v>
      </c>
      <c r="O373" s="4">
        <f t="shared" si="11"/>
        <v>1.9748221026099997</v>
      </c>
      <c r="P373">
        <v>25</v>
      </c>
      <c r="Q373">
        <v>3</v>
      </c>
      <c r="R373">
        <v>3</v>
      </c>
      <c r="S373">
        <v>1.5</v>
      </c>
      <c r="T373">
        <v>1.5</v>
      </c>
      <c r="U373">
        <v>1</v>
      </c>
      <c r="V373" t="s">
        <v>38</v>
      </c>
    </row>
    <row r="374" spans="1:22" x14ac:dyDescent="0.25">
      <c r="A374" t="s">
        <v>77</v>
      </c>
      <c r="B374">
        <v>3</v>
      </c>
      <c r="C374" t="s">
        <v>47</v>
      </c>
      <c r="D374" t="s">
        <v>78</v>
      </c>
      <c r="E374" t="s">
        <v>79</v>
      </c>
      <c r="F374">
        <v>150</v>
      </c>
      <c r="G374">
        <v>1250</v>
      </c>
      <c r="H374">
        <v>-3</v>
      </c>
      <c r="I374">
        <v>1983</v>
      </c>
      <c r="J374" t="s">
        <v>32</v>
      </c>
      <c r="K374">
        <v>1596</v>
      </c>
      <c r="L374">
        <v>19.04</v>
      </c>
      <c r="M374">
        <v>14.75</v>
      </c>
      <c r="N374" s="4">
        <f t="shared" si="10"/>
        <v>2.8457945599999996E-2</v>
      </c>
      <c r="O374" s="4">
        <f t="shared" si="11"/>
        <v>0.41975469759999995</v>
      </c>
      <c r="P374">
        <v>50</v>
      </c>
      <c r="Q374">
        <v>3.5</v>
      </c>
      <c r="R374">
        <v>4</v>
      </c>
      <c r="S374">
        <v>2.5</v>
      </c>
      <c r="T374">
        <v>2.5</v>
      </c>
      <c r="U374">
        <v>2</v>
      </c>
      <c r="V374" t="s">
        <v>25</v>
      </c>
    </row>
    <row r="375" spans="1:22" x14ac:dyDescent="0.25">
      <c r="A375" t="s">
        <v>77</v>
      </c>
      <c r="B375">
        <v>3</v>
      </c>
      <c r="C375" t="s">
        <v>47</v>
      </c>
      <c r="D375" t="s">
        <v>78</v>
      </c>
      <c r="E375" t="s">
        <v>79</v>
      </c>
      <c r="F375">
        <v>150</v>
      </c>
      <c r="G375">
        <v>1250</v>
      </c>
      <c r="H375">
        <v>-3</v>
      </c>
      <c r="I375">
        <v>1983</v>
      </c>
      <c r="J375" t="s">
        <v>32</v>
      </c>
      <c r="K375">
        <v>2569</v>
      </c>
      <c r="L375">
        <v>15.55</v>
      </c>
      <c r="M375">
        <v>12.87</v>
      </c>
      <c r="N375" s="4">
        <f t="shared" si="10"/>
        <v>1.898149625E-2</v>
      </c>
      <c r="O375" s="4">
        <f t="shared" si="11"/>
        <v>0.24429185673749998</v>
      </c>
      <c r="P375">
        <v>63</v>
      </c>
      <c r="Q375">
        <v>3</v>
      </c>
      <c r="R375">
        <v>3</v>
      </c>
      <c r="S375">
        <v>2.5</v>
      </c>
      <c r="T375">
        <v>3</v>
      </c>
      <c r="U375">
        <v>2</v>
      </c>
      <c r="V375" t="s">
        <v>25</v>
      </c>
    </row>
    <row r="376" spans="1:22" x14ac:dyDescent="0.25">
      <c r="A376" t="s">
        <v>77</v>
      </c>
      <c r="B376">
        <v>3</v>
      </c>
      <c r="C376" t="s">
        <v>47</v>
      </c>
      <c r="D376" t="s">
        <v>78</v>
      </c>
      <c r="E376" t="s">
        <v>79</v>
      </c>
      <c r="F376">
        <v>150</v>
      </c>
      <c r="G376">
        <v>1250</v>
      </c>
      <c r="H376">
        <v>-3</v>
      </c>
      <c r="I376">
        <v>1983</v>
      </c>
      <c r="J376" t="s">
        <v>33</v>
      </c>
      <c r="K376">
        <v>2547</v>
      </c>
      <c r="L376">
        <v>25.4</v>
      </c>
      <c r="M376">
        <v>18.75</v>
      </c>
      <c r="N376" s="4">
        <f t="shared" si="10"/>
        <v>5.0645060000000006E-2</v>
      </c>
      <c r="O376" s="4">
        <f t="shared" si="11"/>
        <v>0.94959487500000006</v>
      </c>
      <c r="P376">
        <v>13</v>
      </c>
      <c r="Q376">
        <v>3.7</v>
      </c>
      <c r="R376">
        <v>2.7</v>
      </c>
      <c r="S376">
        <v>2</v>
      </c>
      <c r="T376">
        <v>2.5</v>
      </c>
      <c r="U376">
        <v>2.2999999999999998</v>
      </c>
      <c r="V376" t="s">
        <v>38</v>
      </c>
    </row>
    <row r="377" spans="1:22" x14ac:dyDescent="0.25">
      <c r="A377" t="s">
        <v>77</v>
      </c>
      <c r="B377">
        <v>3</v>
      </c>
      <c r="C377" t="s">
        <v>47</v>
      </c>
      <c r="D377" t="s">
        <v>78</v>
      </c>
      <c r="E377" t="s">
        <v>79</v>
      </c>
      <c r="F377">
        <v>150</v>
      </c>
      <c r="G377">
        <v>1250</v>
      </c>
      <c r="H377">
        <v>-3</v>
      </c>
      <c r="I377">
        <v>1983</v>
      </c>
      <c r="J377" t="s">
        <v>33</v>
      </c>
      <c r="K377">
        <v>2568</v>
      </c>
      <c r="L377">
        <v>47.73</v>
      </c>
      <c r="M377">
        <v>18.55</v>
      </c>
      <c r="N377" s="4">
        <f t="shared" si="10"/>
        <v>0.17883500264999996</v>
      </c>
      <c r="O377" s="4">
        <f t="shared" si="11"/>
        <v>3.3173892991574996</v>
      </c>
      <c r="P377">
        <v>13</v>
      </c>
      <c r="Q377">
        <v>3.5</v>
      </c>
      <c r="R377">
        <v>2.7</v>
      </c>
      <c r="S377">
        <v>2</v>
      </c>
      <c r="T377">
        <v>2</v>
      </c>
      <c r="U377">
        <v>2</v>
      </c>
      <c r="V377" t="s">
        <v>25</v>
      </c>
    </row>
    <row r="378" spans="1:22" x14ac:dyDescent="0.25">
      <c r="A378" t="s">
        <v>77</v>
      </c>
      <c r="B378">
        <v>3</v>
      </c>
      <c r="C378" t="s">
        <v>47</v>
      </c>
      <c r="D378" t="s">
        <v>78</v>
      </c>
      <c r="E378" t="s">
        <v>79</v>
      </c>
      <c r="F378">
        <v>150</v>
      </c>
      <c r="G378">
        <v>1250</v>
      </c>
      <c r="H378">
        <v>-3</v>
      </c>
      <c r="I378">
        <v>1983</v>
      </c>
      <c r="J378" t="s">
        <v>34</v>
      </c>
      <c r="K378">
        <v>1522</v>
      </c>
      <c r="L378">
        <v>21.7</v>
      </c>
      <c r="M378">
        <v>17.329999999999998</v>
      </c>
      <c r="N378" s="4">
        <f t="shared" si="10"/>
        <v>3.6964865E-2</v>
      </c>
      <c r="O378" s="4">
        <f t="shared" si="11"/>
        <v>0.6406011104499999</v>
      </c>
      <c r="P378">
        <v>25</v>
      </c>
      <c r="Q378">
        <v>3.3</v>
      </c>
      <c r="R378">
        <v>3</v>
      </c>
      <c r="S378">
        <v>3</v>
      </c>
      <c r="T378">
        <v>3</v>
      </c>
      <c r="U378">
        <v>3</v>
      </c>
      <c r="V378" t="s">
        <v>25</v>
      </c>
    </row>
    <row r="379" spans="1:22" x14ac:dyDescent="0.25">
      <c r="A379" t="s">
        <v>77</v>
      </c>
      <c r="B379">
        <v>3</v>
      </c>
      <c r="C379" t="s">
        <v>47</v>
      </c>
      <c r="D379" t="s">
        <v>78</v>
      </c>
      <c r="E379" t="s">
        <v>79</v>
      </c>
      <c r="F379">
        <v>150</v>
      </c>
      <c r="G379">
        <v>1250</v>
      </c>
      <c r="H379">
        <v>-3</v>
      </c>
      <c r="I379">
        <v>1983</v>
      </c>
      <c r="J379" t="s">
        <v>34</v>
      </c>
      <c r="K379">
        <v>2570</v>
      </c>
      <c r="L379">
        <v>34.67</v>
      </c>
      <c r="M379">
        <v>15.41</v>
      </c>
      <c r="N379" s="4">
        <f t="shared" si="10"/>
        <v>9.4357698650000002E-2</v>
      </c>
      <c r="O379" s="4">
        <f t="shared" si="11"/>
        <v>1.4540521361965</v>
      </c>
      <c r="P379">
        <v>13</v>
      </c>
      <c r="Q379">
        <v>4</v>
      </c>
      <c r="R379">
        <v>3</v>
      </c>
      <c r="S379">
        <v>2.5</v>
      </c>
      <c r="T379">
        <v>2.5</v>
      </c>
      <c r="U379">
        <v>2</v>
      </c>
      <c r="V379" t="s">
        <v>38</v>
      </c>
    </row>
    <row r="380" spans="1:22" x14ac:dyDescent="0.25">
      <c r="A380" t="s">
        <v>77</v>
      </c>
      <c r="B380">
        <v>3</v>
      </c>
      <c r="C380" t="s">
        <v>47</v>
      </c>
      <c r="D380" t="s">
        <v>78</v>
      </c>
      <c r="E380" t="s">
        <v>79</v>
      </c>
      <c r="F380">
        <v>150</v>
      </c>
      <c r="G380">
        <v>1250</v>
      </c>
      <c r="H380">
        <v>-3</v>
      </c>
      <c r="I380">
        <v>1983</v>
      </c>
      <c r="J380" t="s">
        <v>35</v>
      </c>
      <c r="K380">
        <v>1788</v>
      </c>
      <c r="L380">
        <v>7.4</v>
      </c>
      <c r="M380">
        <v>13.38</v>
      </c>
      <c r="N380" s="4">
        <f t="shared" si="10"/>
        <v>4.2986600000000019E-3</v>
      </c>
      <c r="O380" s="4">
        <f t="shared" si="11"/>
        <v>5.7516070800000027E-2</v>
      </c>
      <c r="P380">
        <v>25</v>
      </c>
      <c r="Q380">
        <v>1</v>
      </c>
      <c r="R380">
        <v>2</v>
      </c>
      <c r="S380">
        <v>3.2</v>
      </c>
      <c r="T380">
        <v>3</v>
      </c>
      <c r="U380">
        <v>3</v>
      </c>
      <c r="V380" t="s">
        <v>50</v>
      </c>
    </row>
    <row r="381" spans="1:22" x14ac:dyDescent="0.25">
      <c r="A381" t="s">
        <v>77</v>
      </c>
      <c r="B381">
        <v>3</v>
      </c>
      <c r="C381" t="s">
        <v>47</v>
      </c>
      <c r="D381" t="s">
        <v>78</v>
      </c>
      <c r="E381" t="s">
        <v>79</v>
      </c>
      <c r="F381">
        <v>150</v>
      </c>
      <c r="G381">
        <v>1250</v>
      </c>
      <c r="H381">
        <v>-3</v>
      </c>
      <c r="I381">
        <v>1983</v>
      </c>
      <c r="J381" t="s">
        <v>35</v>
      </c>
      <c r="K381">
        <v>2571</v>
      </c>
      <c r="L381">
        <v>22.03</v>
      </c>
      <c r="M381">
        <v>19.34</v>
      </c>
      <c r="N381" s="4">
        <f t="shared" si="10"/>
        <v>3.8097690650000016E-2</v>
      </c>
      <c r="O381" s="4">
        <f t="shared" si="11"/>
        <v>0.73680933717100028</v>
      </c>
      <c r="P381">
        <v>50</v>
      </c>
      <c r="Q381">
        <v>4</v>
      </c>
      <c r="R381">
        <v>2.5</v>
      </c>
      <c r="S381">
        <v>3.3</v>
      </c>
      <c r="T381">
        <v>3.3</v>
      </c>
      <c r="U381">
        <v>3</v>
      </c>
      <c r="V381" t="s">
        <v>27</v>
      </c>
    </row>
    <row r="382" spans="1:22" x14ac:dyDescent="0.25">
      <c r="A382" t="s">
        <v>77</v>
      </c>
      <c r="B382">
        <v>3</v>
      </c>
      <c r="C382" t="s">
        <v>47</v>
      </c>
      <c r="D382" t="s">
        <v>78</v>
      </c>
      <c r="E382" t="s">
        <v>79</v>
      </c>
      <c r="F382">
        <v>150</v>
      </c>
      <c r="G382">
        <v>1250</v>
      </c>
      <c r="H382">
        <v>-3</v>
      </c>
      <c r="I382">
        <v>1983</v>
      </c>
      <c r="J382" t="s">
        <v>81</v>
      </c>
      <c r="K382">
        <v>2750</v>
      </c>
      <c r="L382">
        <v>32.75</v>
      </c>
      <c r="M382">
        <v>16.37</v>
      </c>
      <c r="N382" s="4">
        <f t="shared" si="10"/>
        <v>8.4196156250000015E-2</v>
      </c>
      <c r="O382" s="4">
        <f t="shared" si="11"/>
        <v>1.3782910778125004</v>
      </c>
      <c r="P382">
        <v>50</v>
      </c>
      <c r="Q382">
        <v>4</v>
      </c>
      <c r="R382">
        <v>4</v>
      </c>
      <c r="S382">
        <v>2</v>
      </c>
      <c r="T382">
        <v>2</v>
      </c>
      <c r="U382">
        <v>2</v>
      </c>
      <c r="V382" t="s">
        <v>27</v>
      </c>
    </row>
    <row r="383" spans="1:22" x14ac:dyDescent="0.25">
      <c r="A383" t="s">
        <v>77</v>
      </c>
      <c r="B383">
        <v>3</v>
      </c>
      <c r="C383" t="s">
        <v>47</v>
      </c>
      <c r="D383" t="s">
        <v>78</v>
      </c>
      <c r="E383" t="s">
        <v>79</v>
      </c>
      <c r="F383">
        <v>150</v>
      </c>
      <c r="G383">
        <v>1250</v>
      </c>
      <c r="H383">
        <v>-3</v>
      </c>
      <c r="I383">
        <v>1983</v>
      </c>
      <c r="J383" t="s">
        <v>36</v>
      </c>
      <c r="K383">
        <v>2573</v>
      </c>
      <c r="L383">
        <v>27.4</v>
      </c>
      <c r="M383">
        <v>17.899999999999999</v>
      </c>
      <c r="N383" s="4">
        <f t="shared" si="10"/>
        <v>5.8934659999999986E-2</v>
      </c>
      <c r="O383" s="4">
        <f t="shared" si="11"/>
        <v>1.0549304139999998</v>
      </c>
      <c r="P383">
        <v>38</v>
      </c>
      <c r="Q383">
        <v>3</v>
      </c>
      <c r="R383">
        <v>3.3</v>
      </c>
      <c r="S383">
        <v>2.5</v>
      </c>
      <c r="T383">
        <v>3</v>
      </c>
      <c r="U383">
        <v>2</v>
      </c>
      <c r="V383" t="s">
        <v>25</v>
      </c>
    </row>
    <row r="384" spans="1:22" x14ac:dyDescent="0.25">
      <c r="A384" t="s">
        <v>77</v>
      </c>
      <c r="B384">
        <v>3</v>
      </c>
      <c r="C384" t="s">
        <v>47</v>
      </c>
      <c r="D384" t="s">
        <v>78</v>
      </c>
      <c r="E384" t="s">
        <v>79</v>
      </c>
      <c r="F384">
        <v>150</v>
      </c>
      <c r="G384">
        <v>1250</v>
      </c>
      <c r="H384">
        <v>-3</v>
      </c>
      <c r="I384">
        <v>1983</v>
      </c>
      <c r="J384" t="s">
        <v>62</v>
      </c>
      <c r="K384">
        <v>2550</v>
      </c>
      <c r="L384">
        <v>23.1</v>
      </c>
      <c r="M384">
        <v>18.59</v>
      </c>
      <c r="N384" s="4">
        <f t="shared" si="10"/>
        <v>4.1888385000000007E-2</v>
      </c>
      <c r="O384" s="4">
        <f t="shared" si="11"/>
        <v>0.77870507715000015</v>
      </c>
      <c r="P384">
        <v>63</v>
      </c>
      <c r="Q384">
        <v>4</v>
      </c>
      <c r="R384">
        <v>3.5</v>
      </c>
      <c r="S384">
        <v>3.3</v>
      </c>
      <c r="T384">
        <v>3.3</v>
      </c>
      <c r="U384">
        <v>3</v>
      </c>
      <c r="V384" t="s">
        <v>25</v>
      </c>
    </row>
    <row r="385" spans="1:22" x14ac:dyDescent="0.25">
      <c r="A385" t="s">
        <v>77</v>
      </c>
      <c r="B385">
        <v>3</v>
      </c>
      <c r="C385" t="s">
        <v>47</v>
      </c>
      <c r="D385" t="s">
        <v>78</v>
      </c>
      <c r="E385" t="s">
        <v>79</v>
      </c>
      <c r="F385">
        <v>150</v>
      </c>
      <c r="G385">
        <v>1250</v>
      </c>
      <c r="H385">
        <v>-3</v>
      </c>
      <c r="I385">
        <v>1983</v>
      </c>
      <c r="J385" t="s">
        <v>62</v>
      </c>
      <c r="K385">
        <v>2553</v>
      </c>
      <c r="L385">
        <v>20.34</v>
      </c>
      <c r="M385">
        <v>18.45</v>
      </c>
      <c r="N385" s="4">
        <f t="shared" si="10"/>
        <v>3.2476674600000005E-2</v>
      </c>
      <c r="O385" s="4">
        <f t="shared" si="11"/>
        <v>0.59919464637000008</v>
      </c>
      <c r="P385">
        <v>75</v>
      </c>
      <c r="Q385">
        <v>3.5</v>
      </c>
      <c r="R385">
        <v>3</v>
      </c>
      <c r="S385">
        <v>3.3</v>
      </c>
      <c r="T385">
        <v>3.3</v>
      </c>
      <c r="U385">
        <v>3</v>
      </c>
      <c r="V385" t="s">
        <v>25</v>
      </c>
    </row>
    <row r="386" spans="1:22" x14ac:dyDescent="0.25">
      <c r="A386" t="s">
        <v>77</v>
      </c>
      <c r="B386">
        <v>3</v>
      </c>
      <c r="C386" t="s">
        <v>47</v>
      </c>
      <c r="D386" t="s">
        <v>78</v>
      </c>
      <c r="E386" t="s">
        <v>79</v>
      </c>
      <c r="F386">
        <v>150</v>
      </c>
      <c r="G386">
        <v>1250</v>
      </c>
      <c r="H386">
        <v>-3</v>
      </c>
      <c r="I386">
        <v>1983</v>
      </c>
      <c r="J386" t="s">
        <v>37</v>
      </c>
      <c r="K386">
        <v>2575</v>
      </c>
      <c r="L386">
        <v>5.18</v>
      </c>
      <c r="M386">
        <v>4.82</v>
      </c>
      <c r="N386" s="4">
        <f t="shared" si="10"/>
        <v>2.1063434000000002E-3</v>
      </c>
      <c r="O386" s="4">
        <f t="shared" si="11"/>
        <v>1.0152575188000001E-2</v>
      </c>
      <c r="P386">
        <v>38</v>
      </c>
      <c r="Q386">
        <v>1</v>
      </c>
      <c r="R386">
        <v>2</v>
      </c>
      <c r="S386">
        <v>2</v>
      </c>
      <c r="T386">
        <v>2</v>
      </c>
      <c r="U386">
        <v>2</v>
      </c>
      <c r="V386" t="s">
        <v>50</v>
      </c>
    </row>
    <row r="387" spans="1:22" x14ac:dyDescent="0.25">
      <c r="A387" t="s">
        <v>77</v>
      </c>
      <c r="B387">
        <v>3</v>
      </c>
      <c r="C387" t="s">
        <v>47</v>
      </c>
      <c r="D387" t="s">
        <v>78</v>
      </c>
      <c r="E387" t="s">
        <v>79</v>
      </c>
      <c r="F387">
        <v>150</v>
      </c>
      <c r="G387">
        <v>1250</v>
      </c>
      <c r="H387">
        <v>-3</v>
      </c>
      <c r="I387">
        <v>1983</v>
      </c>
      <c r="J387" t="s">
        <v>26</v>
      </c>
      <c r="K387">
        <v>2552</v>
      </c>
      <c r="L387">
        <v>15.05</v>
      </c>
      <c r="M387">
        <v>9.0500000000000007</v>
      </c>
      <c r="N387" s="4">
        <f t="shared" ref="N387:N450" si="12">3.14/4*((L387/100)^2)</f>
        <v>1.7780446249999998E-2</v>
      </c>
      <c r="O387" s="4">
        <f t="shared" ref="O387:O450" si="13">3.14/4*((L387/100)^2)*M387</f>
        <v>0.1609130385625</v>
      </c>
      <c r="P387">
        <v>25</v>
      </c>
      <c r="Q387">
        <v>4</v>
      </c>
      <c r="R387">
        <v>4</v>
      </c>
      <c r="S387">
        <v>2</v>
      </c>
      <c r="T387">
        <v>1.5</v>
      </c>
      <c r="U387">
        <v>1</v>
      </c>
      <c r="V387" t="s">
        <v>38</v>
      </c>
    </row>
    <row r="388" spans="1:22" x14ac:dyDescent="0.25">
      <c r="A388" t="s">
        <v>77</v>
      </c>
      <c r="B388">
        <v>3</v>
      </c>
      <c r="C388" t="s">
        <v>47</v>
      </c>
      <c r="D388" t="s">
        <v>78</v>
      </c>
      <c r="E388" t="s">
        <v>79</v>
      </c>
      <c r="F388">
        <v>150</v>
      </c>
      <c r="G388">
        <v>1250</v>
      </c>
      <c r="H388">
        <v>-3</v>
      </c>
      <c r="I388">
        <v>1983</v>
      </c>
      <c r="J388" t="s">
        <v>62</v>
      </c>
      <c r="K388">
        <v>2574</v>
      </c>
      <c r="L388">
        <v>22.08</v>
      </c>
      <c r="M388">
        <v>21.79</v>
      </c>
      <c r="N388" s="4">
        <f t="shared" si="12"/>
        <v>3.8270822400000001E-2</v>
      </c>
      <c r="O388" s="4">
        <f t="shared" si="13"/>
        <v>0.833921220096</v>
      </c>
      <c r="P388">
        <v>50</v>
      </c>
      <c r="Q388">
        <v>3.5</v>
      </c>
      <c r="R388">
        <v>3</v>
      </c>
      <c r="S388">
        <v>3.3</v>
      </c>
      <c r="T388">
        <v>3.3</v>
      </c>
      <c r="U388">
        <v>3</v>
      </c>
      <c r="V388" t="s">
        <v>25</v>
      </c>
    </row>
    <row r="389" spans="1:22" x14ac:dyDescent="0.25">
      <c r="A389" t="s">
        <v>77</v>
      </c>
      <c r="B389">
        <v>3</v>
      </c>
      <c r="C389" t="s">
        <v>47</v>
      </c>
      <c r="D389" t="s">
        <v>78</v>
      </c>
      <c r="E389" t="s">
        <v>79</v>
      </c>
      <c r="F389">
        <v>150</v>
      </c>
      <c r="G389">
        <v>1250</v>
      </c>
      <c r="H389">
        <v>-3</v>
      </c>
      <c r="I389">
        <v>1983</v>
      </c>
      <c r="J389" t="s">
        <v>32</v>
      </c>
      <c r="K389">
        <v>2634</v>
      </c>
      <c r="L389">
        <v>26.28</v>
      </c>
      <c r="M389">
        <v>20.11</v>
      </c>
      <c r="N389" s="4">
        <f t="shared" si="12"/>
        <v>5.4215114400000014E-2</v>
      </c>
      <c r="O389" s="4">
        <f t="shared" si="13"/>
        <v>1.0902659505840002</v>
      </c>
      <c r="P389">
        <v>25</v>
      </c>
      <c r="Q389">
        <v>3.1</v>
      </c>
      <c r="R389">
        <v>3</v>
      </c>
      <c r="S389">
        <v>3</v>
      </c>
      <c r="T389">
        <v>3</v>
      </c>
      <c r="U389">
        <v>2</v>
      </c>
      <c r="V389" t="s">
        <v>25</v>
      </c>
    </row>
    <row r="390" spans="1:22" x14ac:dyDescent="0.25">
      <c r="A390" t="s">
        <v>82</v>
      </c>
      <c r="B390">
        <v>1</v>
      </c>
      <c r="C390" t="s">
        <v>66</v>
      </c>
      <c r="D390" t="s">
        <v>67</v>
      </c>
      <c r="E390" t="s">
        <v>68</v>
      </c>
      <c r="F390">
        <v>180</v>
      </c>
      <c r="G390">
        <v>1080</v>
      </c>
      <c r="H390">
        <v>-3</v>
      </c>
      <c r="I390">
        <v>1983</v>
      </c>
      <c r="J390" t="s">
        <v>24</v>
      </c>
      <c r="K390">
        <v>2562</v>
      </c>
      <c r="L390">
        <v>17.41</v>
      </c>
      <c r="M390">
        <v>12.44</v>
      </c>
      <c r="N390" s="4">
        <f t="shared" si="12"/>
        <v>2.3793985850000001E-2</v>
      </c>
      <c r="O390" s="4">
        <f t="shared" si="13"/>
        <v>0.29599718397399999</v>
      </c>
      <c r="P390">
        <v>50</v>
      </c>
      <c r="Q390">
        <v>3.5</v>
      </c>
      <c r="R390">
        <v>3.3</v>
      </c>
      <c r="S390">
        <v>3</v>
      </c>
      <c r="T390">
        <v>3.5</v>
      </c>
      <c r="U390">
        <v>3</v>
      </c>
      <c r="V390" t="s">
        <v>25</v>
      </c>
    </row>
    <row r="391" spans="1:22" x14ac:dyDescent="0.25">
      <c r="A391" t="s">
        <v>82</v>
      </c>
      <c r="B391">
        <v>1</v>
      </c>
      <c r="C391" t="s">
        <v>66</v>
      </c>
      <c r="D391" t="s">
        <v>67</v>
      </c>
      <c r="E391" t="s">
        <v>68</v>
      </c>
      <c r="F391">
        <v>180</v>
      </c>
      <c r="G391">
        <v>1080</v>
      </c>
      <c r="H391">
        <v>-3</v>
      </c>
      <c r="I391">
        <v>1983</v>
      </c>
      <c r="J391" t="s">
        <v>80</v>
      </c>
      <c r="K391">
        <v>1252</v>
      </c>
      <c r="L391">
        <v>12.96</v>
      </c>
      <c r="M391">
        <v>11.21</v>
      </c>
      <c r="N391" s="4">
        <f t="shared" si="12"/>
        <v>1.3184985600000004E-2</v>
      </c>
      <c r="O391" s="4">
        <f t="shared" si="13"/>
        <v>0.14780368857600007</v>
      </c>
      <c r="P391">
        <v>88</v>
      </c>
      <c r="Q391">
        <v>4</v>
      </c>
      <c r="R391">
        <v>4</v>
      </c>
      <c r="S391">
        <v>2.5</v>
      </c>
      <c r="T391">
        <v>2</v>
      </c>
      <c r="U391">
        <v>2</v>
      </c>
      <c r="V391" t="s">
        <v>38</v>
      </c>
    </row>
    <row r="392" spans="1:22" x14ac:dyDescent="0.25">
      <c r="A392" t="s">
        <v>82</v>
      </c>
      <c r="B392">
        <v>1</v>
      </c>
      <c r="C392" t="s">
        <v>66</v>
      </c>
      <c r="D392" t="s">
        <v>67</v>
      </c>
      <c r="E392" t="s">
        <v>68</v>
      </c>
      <c r="F392">
        <v>180</v>
      </c>
      <c r="G392">
        <v>1080</v>
      </c>
      <c r="H392">
        <v>-3</v>
      </c>
      <c r="I392">
        <v>1983</v>
      </c>
      <c r="J392" t="s">
        <v>24</v>
      </c>
      <c r="K392">
        <v>1</v>
      </c>
      <c r="L392">
        <v>6.77</v>
      </c>
      <c r="M392">
        <v>7.19</v>
      </c>
      <c r="N392" s="4">
        <f t="shared" si="12"/>
        <v>3.5978826499999997E-3</v>
      </c>
      <c r="O392" s="4">
        <f t="shared" si="13"/>
        <v>2.5868776253499998E-2</v>
      </c>
      <c r="P392">
        <v>75</v>
      </c>
      <c r="Q392">
        <v>3</v>
      </c>
      <c r="R392">
        <v>3</v>
      </c>
      <c r="S392">
        <v>2.7</v>
      </c>
      <c r="T392">
        <v>3</v>
      </c>
      <c r="U392">
        <v>3</v>
      </c>
      <c r="V392" t="s">
        <v>38</v>
      </c>
    </row>
    <row r="393" spans="1:22" x14ac:dyDescent="0.25">
      <c r="A393" t="s">
        <v>82</v>
      </c>
      <c r="B393">
        <v>1</v>
      </c>
      <c r="C393" t="s">
        <v>66</v>
      </c>
      <c r="D393" t="s">
        <v>67</v>
      </c>
      <c r="E393" t="s">
        <v>68</v>
      </c>
      <c r="F393">
        <v>180</v>
      </c>
      <c r="G393">
        <v>1080</v>
      </c>
      <c r="H393">
        <v>-3</v>
      </c>
      <c r="I393">
        <v>1983</v>
      </c>
      <c r="J393" t="s">
        <v>59</v>
      </c>
      <c r="K393">
        <v>2548</v>
      </c>
      <c r="L393">
        <v>2.95</v>
      </c>
      <c r="M393">
        <v>4.43</v>
      </c>
      <c r="N393" s="4">
        <f t="shared" si="12"/>
        <v>6.8314625000000012E-4</v>
      </c>
      <c r="O393" s="4">
        <f t="shared" si="13"/>
        <v>3.0263378875000002E-3</v>
      </c>
      <c r="P393">
        <v>13</v>
      </c>
      <c r="Q393">
        <v>1</v>
      </c>
      <c r="R393">
        <v>2</v>
      </c>
      <c r="S393">
        <v>3</v>
      </c>
      <c r="T393">
        <v>3</v>
      </c>
      <c r="U393">
        <v>3</v>
      </c>
      <c r="V393" t="s">
        <v>50</v>
      </c>
    </row>
    <row r="394" spans="1:22" x14ac:dyDescent="0.25">
      <c r="A394" t="s">
        <v>82</v>
      </c>
      <c r="B394">
        <v>1</v>
      </c>
      <c r="C394" t="s">
        <v>66</v>
      </c>
      <c r="D394" t="s">
        <v>67</v>
      </c>
      <c r="E394" t="s">
        <v>68</v>
      </c>
      <c r="F394">
        <v>180</v>
      </c>
      <c r="G394">
        <v>1080</v>
      </c>
      <c r="H394">
        <v>-3</v>
      </c>
      <c r="I394">
        <v>1983</v>
      </c>
      <c r="J394" t="s">
        <v>32</v>
      </c>
      <c r="K394">
        <v>1596</v>
      </c>
      <c r="L394">
        <v>7.68</v>
      </c>
      <c r="M394">
        <v>6.56</v>
      </c>
      <c r="N394" s="4">
        <f t="shared" si="12"/>
        <v>4.6301183999999992E-3</v>
      </c>
      <c r="O394" s="4">
        <f t="shared" si="13"/>
        <v>3.0373576703999993E-2</v>
      </c>
      <c r="P394">
        <v>50</v>
      </c>
      <c r="Q394">
        <v>3</v>
      </c>
      <c r="R394">
        <v>3.5</v>
      </c>
      <c r="S394">
        <v>3.5</v>
      </c>
      <c r="T394">
        <v>4</v>
      </c>
      <c r="U394">
        <v>4</v>
      </c>
      <c r="V394" t="s">
        <v>38</v>
      </c>
    </row>
    <row r="395" spans="1:22" x14ac:dyDescent="0.25">
      <c r="A395" t="s">
        <v>82</v>
      </c>
      <c r="B395">
        <v>1</v>
      </c>
      <c r="C395" t="s">
        <v>66</v>
      </c>
      <c r="D395" t="s">
        <v>67</v>
      </c>
      <c r="E395" t="s">
        <v>68</v>
      </c>
      <c r="F395">
        <v>180</v>
      </c>
      <c r="G395">
        <v>1080</v>
      </c>
      <c r="H395">
        <v>-3</v>
      </c>
      <c r="I395">
        <v>1983</v>
      </c>
      <c r="J395" t="s">
        <v>32</v>
      </c>
      <c r="K395">
        <v>2569</v>
      </c>
      <c r="L395">
        <v>16.690000000000001</v>
      </c>
      <c r="M395">
        <v>11.67</v>
      </c>
      <c r="N395" s="4">
        <f t="shared" si="12"/>
        <v>2.1866653850000004E-2</v>
      </c>
      <c r="O395" s="4">
        <f t="shared" si="13"/>
        <v>0.25518385042950004</v>
      </c>
      <c r="P395">
        <v>75</v>
      </c>
      <c r="Q395">
        <v>3</v>
      </c>
      <c r="R395">
        <v>3.8</v>
      </c>
      <c r="S395">
        <v>3.4</v>
      </c>
      <c r="T395">
        <v>4</v>
      </c>
      <c r="U395">
        <v>3.5</v>
      </c>
      <c r="V395" t="s">
        <v>38</v>
      </c>
    </row>
    <row r="396" spans="1:22" x14ac:dyDescent="0.25">
      <c r="A396" t="s">
        <v>82</v>
      </c>
      <c r="B396">
        <v>1</v>
      </c>
      <c r="C396" t="s">
        <v>66</v>
      </c>
      <c r="D396" t="s">
        <v>67</v>
      </c>
      <c r="E396" t="s">
        <v>68</v>
      </c>
      <c r="F396">
        <v>180</v>
      </c>
      <c r="G396">
        <v>1080</v>
      </c>
      <c r="H396">
        <v>-3</v>
      </c>
      <c r="I396">
        <v>1983</v>
      </c>
      <c r="J396" t="s">
        <v>34</v>
      </c>
      <c r="K396">
        <v>2458</v>
      </c>
      <c r="L396">
        <v>8.4600000000000009</v>
      </c>
      <c r="M396">
        <v>7.05</v>
      </c>
      <c r="N396" s="4">
        <f t="shared" si="12"/>
        <v>5.6183706000000021E-3</v>
      </c>
      <c r="O396" s="4">
        <f t="shared" si="13"/>
        <v>3.9609512730000011E-2</v>
      </c>
      <c r="P396">
        <v>13</v>
      </c>
      <c r="Q396">
        <v>2</v>
      </c>
      <c r="R396">
        <v>3</v>
      </c>
      <c r="S396">
        <v>3</v>
      </c>
      <c r="T396">
        <v>3</v>
      </c>
      <c r="U396">
        <v>3</v>
      </c>
      <c r="V396" t="s">
        <v>30</v>
      </c>
    </row>
    <row r="397" spans="1:22" x14ac:dyDescent="0.25">
      <c r="A397" t="s">
        <v>82</v>
      </c>
      <c r="B397">
        <v>1</v>
      </c>
      <c r="C397" t="s">
        <v>66</v>
      </c>
      <c r="D397" t="s">
        <v>67</v>
      </c>
      <c r="E397" t="s">
        <v>68</v>
      </c>
      <c r="F397">
        <v>180</v>
      </c>
      <c r="G397">
        <v>1080</v>
      </c>
      <c r="H397">
        <v>-3</v>
      </c>
      <c r="I397">
        <v>1983</v>
      </c>
      <c r="J397" t="s">
        <v>35</v>
      </c>
      <c r="K397">
        <v>1788</v>
      </c>
      <c r="L397">
        <v>5.35</v>
      </c>
      <c r="M397">
        <v>5.9</v>
      </c>
      <c r="N397" s="4">
        <f t="shared" si="12"/>
        <v>2.24686625E-3</v>
      </c>
      <c r="O397" s="4">
        <f t="shared" si="13"/>
        <v>1.3256510875E-2</v>
      </c>
      <c r="P397">
        <v>25</v>
      </c>
      <c r="Q397">
        <v>2</v>
      </c>
      <c r="R397">
        <v>1.8</v>
      </c>
      <c r="S397">
        <v>2</v>
      </c>
      <c r="T397">
        <v>2.5</v>
      </c>
      <c r="U397">
        <v>3</v>
      </c>
      <c r="V397" t="s">
        <v>30</v>
      </c>
    </row>
    <row r="398" spans="1:22" x14ac:dyDescent="0.25">
      <c r="A398" t="s">
        <v>82</v>
      </c>
      <c r="B398">
        <v>1</v>
      </c>
      <c r="C398" t="s">
        <v>66</v>
      </c>
      <c r="D398" t="s">
        <v>67</v>
      </c>
      <c r="E398" t="s">
        <v>68</v>
      </c>
      <c r="F398">
        <v>180</v>
      </c>
      <c r="G398">
        <v>1080</v>
      </c>
      <c r="H398">
        <v>-3</v>
      </c>
      <c r="I398">
        <v>1983</v>
      </c>
      <c r="J398" t="s">
        <v>35</v>
      </c>
      <c r="K398">
        <v>2571</v>
      </c>
      <c r="L398">
        <v>14.82</v>
      </c>
      <c r="M398">
        <v>14.23</v>
      </c>
      <c r="N398" s="4">
        <f t="shared" si="12"/>
        <v>1.7241143399999999E-2</v>
      </c>
      <c r="O398" s="4">
        <f t="shared" si="13"/>
        <v>0.24534147058199998</v>
      </c>
      <c r="P398">
        <v>50</v>
      </c>
      <c r="Q398">
        <v>3</v>
      </c>
      <c r="R398">
        <v>1.7</v>
      </c>
      <c r="S398">
        <v>4</v>
      </c>
      <c r="T398">
        <v>4</v>
      </c>
      <c r="U398">
        <v>3.5</v>
      </c>
      <c r="V398" t="s">
        <v>25</v>
      </c>
    </row>
    <row r="399" spans="1:22" x14ac:dyDescent="0.25">
      <c r="A399" t="s">
        <v>82</v>
      </c>
      <c r="B399">
        <v>1</v>
      </c>
      <c r="C399" t="s">
        <v>66</v>
      </c>
      <c r="D399" t="s">
        <v>67</v>
      </c>
      <c r="E399" t="s">
        <v>68</v>
      </c>
      <c r="F399">
        <v>180</v>
      </c>
      <c r="G399">
        <v>1080</v>
      </c>
      <c r="H399">
        <v>-3</v>
      </c>
      <c r="I399">
        <v>1983</v>
      </c>
      <c r="J399" t="s">
        <v>81</v>
      </c>
      <c r="K399">
        <v>2750</v>
      </c>
      <c r="L399">
        <v>9.19</v>
      </c>
      <c r="M399">
        <v>7.81</v>
      </c>
      <c r="N399" s="4">
        <f t="shared" si="12"/>
        <v>6.6298038499999993E-3</v>
      </c>
      <c r="O399" s="4">
        <f t="shared" si="13"/>
        <v>5.1778768068499993E-2</v>
      </c>
      <c r="P399">
        <v>50</v>
      </c>
      <c r="Q399">
        <v>2.8</v>
      </c>
      <c r="R399">
        <v>3</v>
      </c>
      <c r="S399">
        <v>3</v>
      </c>
      <c r="T399">
        <v>4</v>
      </c>
      <c r="U399">
        <v>3</v>
      </c>
      <c r="V399" t="s">
        <v>50</v>
      </c>
    </row>
    <row r="400" spans="1:22" x14ac:dyDescent="0.25">
      <c r="A400" t="s">
        <v>82</v>
      </c>
      <c r="B400">
        <v>1</v>
      </c>
      <c r="C400" t="s">
        <v>66</v>
      </c>
      <c r="D400" t="s">
        <v>67</v>
      </c>
      <c r="E400" t="s">
        <v>68</v>
      </c>
      <c r="F400">
        <v>180</v>
      </c>
      <c r="G400">
        <v>1080</v>
      </c>
      <c r="H400">
        <v>-3</v>
      </c>
      <c r="I400">
        <v>1983</v>
      </c>
      <c r="J400" t="s">
        <v>36</v>
      </c>
      <c r="K400">
        <v>2573</v>
      </c>
      <c r="L400">
        <v>5.19</v>
      </c>
      <c r="M400">
        <v>4.4400000000000004</v>
      </c>
      <c r="N400" s="4">
        <f t="shared" si="12"/>
        <v>2.1144838500000004E-3</v>
      </c>
      <c r="O400" s="4">
        <f t="shared" si="13"/>
        <v>9.3883082940000029E-3</v>
      </c>
      <c r="P400">
        <v>13</v>
      </c>
      <c r="Q400">
        <v>1.5</v>
      </c>
      <c r="R400">
        <v>2.5</v>
      </c>
      <c r="S400">
        <v>3</v>
      </c>
      <c r="T400">
        <v>3</v>
      </c>
      <c r="U400">
        <v>3</v>
      </c>
      <c r="V400" t="s">
        <v>50</v>
      </c>
    </row>
    <row r="401" spans="1:22" x14ac:dyDescent="0.25">
      <c r="A401" t="s">
        <v>82</v>
      </c>
      <c r="B401">
        <v>1</v>
      </c>
      <c r="C401" t="s">
        <v>66</v>
      </c>
      <c r="D401" t="s">
        <v>67</v>
      </c>
      <c r="E401" t="s">
        <v>68</v>
      </c>
      <c r="F401">
        <v>180</v>
      </c>
      <c r="G401">
        <v>1080</v>
      </c>
      <c r="H401">
        <v>-3</v>
      </c>
      <c r="I401">
        <v>1983</v>
      </c>
      <c r="J401" t="s">
        <v>62</v>
      </c>
      <c r="K401">
        <v>2553</v>
      </c>
      <c r="L401">
        <v>9.73</v>
      </c>
      <c r="M401">
        <v>11.04</v>
      </c>
      <c r="N401" s="4">
        <f t="shared" si="12"/>
        <v>7.4318226500000003E-3</v>
      </c>
      <c r="O401" s="4">
        <f t="shared" si="13"/>
        <v>8.2047322056000002E-2</v>
      </c>
      <c r="P401">
        <v>75</v>
      </c>
      <c r="Q401">
        <v>3</v>
      </c>
      <c r="R401">
        <v>3</v>
      </c>
      <c r="S401">
        <v>3.5</v>
      </c>
      <c r="T401">
        <v>4</v>
      </c>
      <c r="U401">
        <v>3.5</v>
      </c>
      <c r="V401" t="s">
        <v>25</v>
      </c>
    </row>
    <row r="402" spans="1:22" x14ac:dyDescent="0.25">
      <c r="A402" t="s">
        <v>82</v>
      </c>
      <c r="B402">
        <v>1</v>
      </c>
      <c r="C402" t="s">
        <v>66</v>
      </c>
      <c r="D402" t="s">
        <v>67</v>
      </c>
      <c r="E402" t="s">
        <v>68</v>
      </c>
      <c r="F402">
        <v>180</v>
      </c>
      <c r="G402">
        <v>1080</v>
      </c>
      <c r="H402">
        <v>-3</v>
      </c>
      <c r="I402">
        <v>1983</v>
      </c>
      <c r="J402" t="s">
        <v>37</v>
      </c>
      <c r="K402">
        <v>2575</v>
      </c>
      <c r="L402">
        <v>13.54</v>
      </c>
      <c r="M402">
        <v>8.81</v>
      </c>
      <c r="N402" s="4">
        <f t="shared" si="12"/>
        <v>1.4391530599999999E-2</v>
      </c>
      <c r="O402" s="4">
        <f t="shared" si="13"/>
        <v>0.126789384586</v>
      </c>
      <c r="P402">
        <v>88</v>
      </c>
      <c r="Q402">
        <v>2.7</v>
      </c>
      <c r="R402">
        <v>2</v>
      </c>
      <c r="S402">
        <v>2.5</v>
      </c>
      <c r="T402">
        <v>3</v>
      </c>
      <c r="U402">
        <v>3</v>
      </c>
      <c r="V402" t="s">
        <v>38</v>
      </c>
    </row>
    <row r="403" spans="1:22" x14ac:dyDescent="0.25">
      <c r="A403" t="s">
        <v>82</v>
      </c>
      <c r="B403">
        <v>1</v>
      </c>
      <c r="C403" t="s">
        <v>66</v>
      </c>
      <c r="D403" t="s">
        <v>67</v>
      </c>
      <c r="E403" t="s">
        <v>68</v>
      </c>
      <c r="F403">
        <v>180</v>
      </c>
      <c r="G403">
        <v>1080</v>
      </c>
      <c r="H403">
        <v>-3</v>
      </c>
      <c r="I403">
        <v>1983</v>
      </c>
      <c r="J403" t="s">
        <v>26</v>
      </c>
      <c r="K403">
        <v>2552</v>
      </c>
      <c r="L403">
        <v>5.78</v>
      </c>
      <c r="M403">
        <v>7.21</v>
      </c>
      <c r="N403" s="4">
        <f t="shared" si="12"/>
        <v>2.6225594000000001E-3</v>
      </c>
      <c r="O403" s="4">
        <f t="shared" si="13"/>
        <v>1.8908653274000001E-2</v>
      </c>
      <c r="P403">
        <v>13</v>
      </c>
      <c r="Q403">
        <v>1.5</v>
      </c>
      <c r="R403">
        <v>3</v>
      </c>
      <c r="S403">
        <v>4</v>
      </c>
      <c r="T403">
        <v>4</v>
      </c>
      <c r="U403">
        <v>4</v>
      </c>
      <c r="V403" t="s">
        <v>50</v>
      </c>
    </row>
    <row r="404" spans="1:22" x14ac:dyDescent="0.25">
      <c r="A404" t="s">
        <v>82</v>
      </c>
      <c r="B404">
        <v>2</v>
      </c>
      <c r="C404" t="s">
        <v>66</v>
      </c>
      <c r="D404" t="s">
        <v>67</v>
      </c>
      <c r="E404" t="s">
        <v>68</v>
      </c>
      <c r="F404">
        <v>180</v>
      </c>
      <c r="G404">
        <v>1080</v>
      </c>
      <c r="H404">
        <v>-3</v>
      </c>
      <c r="I404">
        <v>1983</v>
      </c>
      <c r="J404" t="s">
        <v>80</v>
      </c>
      <c r="K404">
        <v>1252</v>
      </c>
      <c r="L404">
        <v>5.36</v>
      </c>
      <c r="M404">
        <v>4.6100000000000003</v>
      </c>
      <c r="N404" s="4">
        <f t="shared" si="12"/>
        <v>2.2552736000000006E-3</v>
      </c>
      <c r="O404" s="4">
        <f t="shared" si="13"/>
        <v>1.0396811296000003E-2</v>
      </c>
      <c r="P404">
        <v>63</v>
      </c>
      <c r="Q404">
        <v>3</v>
      </c>
      <c r="R404">
        <v>3</v>
      </c>
      <c r="S404">
        <v>2</v>
      </c>
      <c r="T404">
        <v>2</v>
      </c>
      <c r="U404">
        <v>3</v>
      </c>
      <c r="V404" t="s">
        <v>30</v>
      </c>
    </row>
    <row r="405" spans="1:22" x14ac:dyDescent="0.25">
      <c r="A405" t="s">
        <v>82</v>
      </c>
      <c r="B405">
        <v>2</v>
      </c>
      <c r="C405" t="s">
        <v>66</v>
      </c>
      <c r="D405" t="s">
        <v>67</v>
      </c>
      <c r="E405" t="s">
        <v>68</v>
      </c>
      <c r="F405">
        <v>180</v>
      </c>
      <c r="G405">
        <v>1080</v>
      </c>
      <c r="H405">
        <v>-3</v>
      </c>
      <c r="I405">
        <v>1983</v>
      </c>
      <c r="J405" t="s">
        <v>24</v>
      </c>
      <c r="K405">
        <v>1</v>
      </c>
      <c r="L405">
        <v>11.88</v>
      </c>
      <c r="M405">
        <v>9.81</v>
      </c>
      <c r="N405" s="4">
        <f t="shared" si="12"/>
        <v>1.1079050400000002E-2</v>
      </c>
      <c r="O405" s="4">
        <f t="shared" si="13"/>
        <v>0.10868548442400003</v>
      </c>
      <c r="P405">
        <v>63</v>
      </c>
      <c r="Q405">
        <v>3</v>
      </c>
      <c r="R405">
        <v>4</v>
      </c>
      <c r="S405">
        <v>2.5</v>
      </c>
      <c r="T405">
        <v>2.5</v>
      </c>
      <c r="U405">
        <v>2.5</v>
      </c>
      <c r="V405" t="s">
        <v>38</v>
      </c>
    </row>
    <row r="406" spans="1:22" x14ac:dyDescent="0.25">
      <c r="A406" t="s">
        <v>82</v>
      </c>
      <c r="B406">
        <v>2</v>
      </c>
      <c r="C406" t="s">
        <v>66</v>
      </c>
      <c r="D406" t="s">
        <v>67</v>
      </c>
      <c r="E406" t="s">
        <v>68</v>
      </c>
      <c r="F406">
        <v>180</v>
      </c>
      <c r="G406">
        <v>1080</v>
      </c>
      <c r="H406">
        <v>-3</v>
      </c>
      <c r="I406">
        <v>1983</v>
      </c>
      <c r="J406" t="s">
        <v>59</v>
      </c>
      <c r="K406">
        <v>1482</v>
      </c>
      <c r="L406">
        <v>14.03</v>
      </c>
      <c r="M406">
        <v>9.9</v>
      </c>
      <c r="N406" s="4">
        <f t="shared" si="12"/>
        <v>1.5452010649999997E-2</v>
      </c>
      <c r="O406" s="4">
        <f t="shared" si="13"/>
        <v>0.15297490543499997</v>
      </c>
      <c r="P406">
        <v>63</v>
      </c>
      <c r="Q406">
        <v>3.5</v>
      </c>
      <c r="R406">
        <v>4</v>
      </c>
      <c r="S406">
        <v>3.5</v>
      </c>
      <c r="T406">
        <v>3</v>
      </c>
      <c r="U406">
        <v>3</v>
      </c>
      <c r="V406" t="s">
        <v>25</v>
      </c>
    </row>
    <row r="407" spans="1:22" x14ac:dyDescent="0.25">
      <c r="A407" t="s">
        <v>82</v>
      </c>
      <c r="B407">
        <v>2</v>
      </c>
      <c r="C407" t="s">
        <v>66</v>
      </c>
      <c r="D407" t="s">
        <v>67</v>
      </c>
      <c r="E407" t="s">
        <v>68</v>
      </c>
      <c r="F407">
        <v>180</v>
      </c>
      <c r="G407">
        <v>1080</v>
      </c>
      <c r="H407">
        <v>-3</v>
      </c>
      <c r="I407">
        <v>1983</v>
      </c>
      <c r="J407" t="s">
        <v>59</v>
      </c>
      <c r="K407">
        <v>2548</v>
      </c>
      <c r="L407">
        <v>23.63</v>
      </c>
      <c r="M407">
        <v>11.82</v>
      </c>
      <c r="N407" s="4">
        <f t="shared" si="12"/>
        <v>4.3832586649999991E-2</v>
      </c>
      <c r="O407" s="4">
        <f t="shared" si="13"/>
        <v>0.51810117420299995</v>
      </c>
      <c r="P407">
        <v>88</v>
      </c>
      <c r="Q407">
        <v>4.5</v>
      </c>
      <c r="R407">
        <v>4</v>
      </c>
      <c r="S407">
        <v>3</v>
      </c>
      <c r="T407">
        <v>2.5</v>
      </c>
      <c r="U407">
        <v>2</v>
      </c>
      <c r="V407" t="s">
        <v>25</v>
      </c>
    </row>
    <row r="408" spans="1:22" x14ac:dyDescent="0.25">
      <c r="A408" t="s">
        <v>82</v>
      </c>
      <c r="B408">
        <v>2</v>
      </c>
      <c r="C408" t="s">
        <v>66</v>
      </c>
      <c r="D408" t="s">
        <v>67</v>
      </c>
      <c r="E408" t="s">
        <v>68</v>
      </c>
      <c r="F408">
        <v>180</v>
      </c>
      <c r="G408">
        <v>1080</v>
      </c>
      <c r="H408">
        <v>-3</v>
      </c>
      <c r="I408">
        <v>1983</v>
      </c>
      <c r="J408" t="s">
        <v>26</v>
      </c>
      <c r="K408">
        <v>2552</v>
      </c>
      <c r="L408">
        <v>10.39</v>
      </c>
      <c r="M408">
        <v>8.66</v>
      </c>
      <c r="N408" s="4">
        <f t="shared" si="12"/>
        <v>8.4742398500000007E-3</v>
      </c>
      <c r="O408" s="4">
        <f t="shared" si="13"/>
        <v>7.338691710100001E-2</v>
      </c>
      <c r="P408">
        <v>38</v>
      </c>
      <c r="Q408">
        <v>3</v>
      </c>
      <c r="R408">
        <v>3.5</v>
      </c>
      <c r="S408">
        <v>3</v>
      </c>
      <c r="T408">
        <v>4</v>
      </c>
      <c r="U408">
        <v>3</v>
      </c>
      <c r="V408" t="s">
        <v>38</v>
      </c>
    </row>
    <row r="409" spans="1:22" x14ac:dyDescent="0.25">
      <c r="A409" t="s">
        <v>82</v>
      </c>
      <c r="B409">
        <v>2</v>
      </c>
      <c r="C409" t="s">
        <v>66</v>
      </c>
      <c r="D409" t="s">
        <v>67</v>
      </c>
      <c r="E409" t="s">
        <v>68</v>
      </c>
      <c r="F409">
        <v>180</v>
      </c>
      <c r="G409">
        <v>1080</v>
      </c>
      <c r="H409">
        <v>-3</v>
      </c>
      <c r="I409">
        <v>1983</v>
      </c>
      <c r="J409" t="s">
        <v>32</v>
      </c>
      <c r="K409">
        <v>1596</v>
      </c>
      <c r="L409">
        <v>7.83</v>
      </c>
      <c r="M409">
        <v>6.79</v>
      </c>
      <c r="N409" s="4">
        <f t="shared" si="12"/>
        <v>4.8127486499999995E-3</v>
      </c>
      <c r="O409" s="4">
        <f t="shared" si="13"/>
        <v>3.2678563333499999E-2</v>
      </c>
      <c r="P409">
        <v>100</v>
      </c>
      <c r="Q409">
        <v>3</v>
      </c>
      <c r="R409">
        <v>3</v>
      </c>
      <c r="S409">
        <v>3.5</v>
      </c>
      <c r="T409">
        <v>4.5</v>
      </c>
      <c r="U409">
        <v>3.5</v>
      </c>
      <c r="V409" t="s">
        <v>25</v>
      </c>
    </row>
    <row r="410" spans="1:22" x14ac:dyDescent="0.25">
      <c r="A410" t="s">
        <v>82</v>
      </c>
      <c r="B410">
        <v>2</v>
      </c>
      <c r="C410" t="s">
        <v>66</v>
      </c>
      <c r="D410" t="s">
        <v>67</v>
      </c>
      <c r="E410" t="s">
        <v>68</v>
      </c>
      <c r="F410">
        <v>180</v>
      </c>
      <c r="G410">
        <v>1080</v>
      </c>
      <c r="H410">
        <v>-3</v>
      </c>
      <c r="I410">
        <v>1983</v>
      </c>
      <c r="J410" t="s">
        <v>32</v>
      </c>
      <c r="K410">
        <v>2569</v>
      </c>
      <c r="L410">
        <v>11.23</v>
      </c>
      <c r="M410">
        <v>10.34</v>
      </c>
      <c r="N410" s="4">
        <f t="shared" si="12"/>
        <v>9.8998626500000023E-3</v>
      </c>
      <c r="O410" s="4">
        <f t="shared" si="13"/>
        <v>0.10236457980100003</v>
      </c>
      <c r="P410">
        <v>50</v>
      </c>
      <c r="Q410">
        <v>3</v>
      </c>
      <c r="R410">
        <v>3.5</v>
      </c>
      <c r="S410">
        <v>3.3</v>
      </c>
      <c r="T410">
        <v>4</v>
      </c>
      <c r="U410">
        <v>3.5</v>
      </c>
      <c r="V410" t="s">
        <v>25</v>
      </c>
    </row>
    <row r="411" spans="1:22" x14ac:dyDescent="0.25">
      <c r="A411" t="s">
        <v>82</v>
      </c>
      <c r="B411">
        <v>2</v>
      </c>
      <c r="C411" t="s">
        <v>66</v>
      </c>
      <c r="D411" t="s">
        <v>67</v>
      </c>
      <c r="E411" t="s">
        <v>68</v>
      </c>
      <c r="F411">
        <v>180</v>
      </c>
      <c r="G411">
        <v>1080</v>
      </c>
      <c r="H411">
        <v>-3</v>
      </c>
      <c r="I411">
        <v>1983</v>
      </c>
      <c r="J411" t="s">
        <v>33</v>
      </c>
      <c r="K411">
        <v>2547</v>
      </c>
      <c r="L411">
        <v>9.1300000000000008</v>
      </c>
      <c r="M411">
        <v>8.01</v>
      </c>
      <c r="N411" s="4">
        <f t="shared" si="12"/>
        <v>6.5435166500000018E-3</v>
      </c>
      <c r="O411" s="4">
        <f t="shared" si="13"/>
        <v>5.2413568366500012E-2</v>
      </c>
      <c r="P411">
        <v>75</v>
      </c>
      <c r="Q411">
        <v>2.8</v>
      </c>
      <c r="R411">
        <v>2</v>
      </c>
      <c r="S411">
        <v>3.3</v>
      </c>
      <c r="T411">
        <v>3.3</v>
      </c>
      <c r="U411">
        <v>3</v>
      </c>
      <c r="V411" t="s">
        <v>38</v>
      </c>
    </row>
    <row r="412" spans="1:22" x14ac:dyDescent="0.25">
      <c r="A412" t="s">
        <v>82</v>
      </c>
      <c r="B412">
        <v>2</v>
      </c>
      <c r="C412" t="s">
        <v>66</v>
      </c>
      <c r="D412" t="s">
        <v>67</v>
      </c>
      <c r="E412" t="s">
        <v>68</v>
      </c>
      <c r="F412">
        <v>180</v>
      </c>
      <c r="G412">
        <v>1080</v>
      </c>
      <c r="H412">
        <v>-3</v>
      </c>
      <c r="I412">
        <v>1983</v>
      </c>
      <c r="J412" t="s">
        <v>33</v>
      </c>
      <c r="K412">
        <v>2568</v>
      </c>
      <c r="L412">
        <v>11.66</v>
      </c>
      <c r="M412">
        <v>8.57</v>
      </c>
      <c r="N412" s="4">
        <f t="shared" si="12"/>
        <v>1.06725146E-2</v>
      </c>
      <c r="O412" s="4">
        <f t="shared" si="13"/>
        <v>9.1463450122000009E-2</v>
      </c>
      <c r="P412">
        <v>75</v>
      </c>
      <c r="Q412">
        <v>3</v>
      </c>
      <c r="R412">
        <v>2.5</v>
      </c>
      <c r="S412">
        <v>2.5</v>
      </c>
      <c r="T412">
        <v>2.5</v>
      </c>
      <c r="U412">
        <v>2.5</v>
      </c>
      <c r="V412" t="s">
        <v>30</v>
      </c>
    </row>
    <row r="413" spans="1:22" x14ac:dyDescent="0.25">
      <c r="A413" t="s">
        <v>82</v>
      </c>
      <c r="B413">
        <v>2</v>
      </c>
      <c r="C413" t="s">
        <v>66</v>
      </c>
      <c r="D413" t="s">
        <v>67</v>
      </c>
      <c r="E413" t="s">
        <v>68</v>
      </c>
      <c r="F413">
        <v>180</v>
      </c>
      <c r="G413">
        <v>1080</v>
      </c>
      <c r="H413">
        <v>-3</v>
      </c>
      <c r="I413">
        <v>1983</v>
      </c>
      <c r="J413" t="s">
        <v>34</v>
      </c>
      <c r="K413">
        <v>2570</v>
      </c>
      <c r="L413">
        <v>3.81</v>
      </c>
      <c r="M413">
        <v>4.93</v>
      </c>
      <c r="N413" s="4">
        <f t="shared" si="12"/>
        <v>1.1395138500000001E-3</v>
      </c>
      <c r="O413" s="4">
        <f t="shared" si="13"/>
        <v>5.6178032805000002E-3</v>
      </c>
      <c r="P413">
        <v>13</v>
      </c>
      <c r="Q413">
        <v>2</v>
      </c>
      <c r="R413">
        <v>2.5</v>
      </c>
      <c r="S413">
        <v>3</v>
      </c>
      <c r="T413">
        <v>4</v>
      </c>
      <c r="U413">
        <v>3</v>
      </c>
      <c r="V413" t="s">
        <v>50</v>
      </c>
    </row>
    <row r="414" spans="1:22" x14ac:dyDescent="0.25">
      <c r="A414" t="s">
        <v>82</v>
      </c>
      <c r="B414">
        <v>2</v>
      </c>
      <c r="C414" t="s">
        <v>66</v>
      </c>
      <c r="D414" t="s">
        <v>67</v>
      </c>
      <c r="E414" t="s">
        <v>68</v>
      </c>
      <c r="F414">
        <v>180</v>
      </c>
      <c r="G414">
        <v>1080</v>
      </c>
      <c r="H414">
        <v>-3</v>
      </c>
      <c r="I414">
        <v>1983</v>
      </c>
      <c r="J414" t="s">
        <v>35</v>
      </c>
      <c r="K414">
        <v>1788</v>
      </c>
      <c r="L414">
        <v>16.16</v>
      </c>
      <c r="M414">
        <v>10.98</v>
      </c>
      <c r="N414" s="4">
        <f t="shared" si="12"/>
        <v>2.0499929600000001E-2</v>
      </c>
      <c r="O414" s="4">
        <f t="shared" si="13"/>
        <v>0.22508922700800002</v>
      </c>
      <c r="P414">
        <v>13</v>
      </c>
      <c r="Q414">
        <v>3.5</v>
      </c>
      <c r="R414">
        <v>2.5</v>
      </c>
      <c r="S414">
        <v>3</v>
      </c>
      <c r="T414">
        <v>4</v>
      </c>
      <c r="U414">
        <v>3</v>
      </c>
      <c r="V414" t="s">
        <v>25</v>
      </c>
    </row>
    <row r="415" spans="1:22" x14ac:dyDescent="0.25">
      <c r="A415" t="s">
        <v>82</v>
      </c>
      <c r="B415">
        <v>2</v>
      </c>
      <c r="C415" t="s">
        <v>66</v>
      </c>
      <c r="D415" t="s">
        <v>67</v>
      </c>
      <c r="E415" t="s">
        <v>68</v>
      </c>
      <c r="F415">
        <v>180</v>
      </c>
      <c r="G415">
        <v>1080</v>
      </c>
      <c r="H415">
        <v>-3</v>
      </c>
      <c r="I415">
        <v>1983</v>
      </c>
      <c r="J415" t="s">
        <v>35</v>
      </c>
      <c r="K415">
        <v>2571</v>
      </c>
      <c r="L415">
        <v>8.83</v>
      </c>
      <c r="M415">
        <v>7.91</v>
      </c>
      <c r="N415" s="4">
        <f t="shared" si="12"/>
        <v>6.1205586500000008E-3</v>
      </c>
      <c r="O415" s="4">
        <f t="shared" si="13"/>
        <v>4.8413618921500007E-2</v>
      </c>
      <c r="P415">
        <v>63</v>
      </c>
      <c r="Q415">
        <v>3.5</v>
      </c>
      <c r="R415">
        <v>2.5</v>
      </c>
      <c r="S415">
        <v>3.5</v>
      </c>
      <c r="T415">
        <v>4</v>
      </c>
      <c r="U415">
        <v>4</v>
      </c>
      <c r="V415" t="s">
        <v>25</v>
      </c>
    </row>
    <row r="416" spans="1:22" x14ac:dyDescent="0.25">
      <c r="A416" t="s">
        <v>82</v>
      </c>
      <c r="B416">
        <v>2</v>
      </c>
      <c r="C416" t="s">
        <v>66</v>
      </c>
      <c r="D416" t="s">
        <v>67</v>
      </c>
      <c r="E416" t="s">
        <v>68</v>
      </c>
      <c r="F416">
        <v>180</v>
      </c>
      <c r="G416">
        <v>1080</v>
      </c>
      <c r="H416">
        <v>-3</v>
      </c>
      <c r="I416">
        <v>1983</v>
      </c>
      <c r="J416" t="s">
        <v>81</v>
      </c>
      <c r="K416">
        <v>2750</v>
      </c>
      <c r="L416">
        <v>1.38</v>
      </c>
      <c r="M416">
        <v>1.53</v>
      </c>
      <c r="N416" s="4">
        <f t="shared" si="12"/>
        <v>1.4949540000000001E-4</v>
      </c>
      <c r="O416" s="4">
        <f t="shared" si="13"/>
        <v>2.28727962E-4</v>
      </c>
      <c r="P416">
        <v>13</v>
      </c>
      <c r="Q416">
        <v>1</v>
      </c>
      <c r="R416">
        <v>1</v>
      </c>
      <c r="S416">
        <v>3</v>
      </c>
      <c r="T416">
        <v>3</v>
      </c>
      <c r="U416">
        <v>3</v>
      </c>
      <c r="V416" t="s">
        <v>50</v>
      </c>
    </row>
    <row r="417" spans="1:22" x14ac:dyDescent="0.25">
      <c r="A417" t="s">
        <v>82</v>
      </c>
      <c r="B417">
        <v>2</v>
      </c>
      <c r="C417" t="s">
        <v>66</v>
      </c>
      <c r="D417" t="s">
        <v>67</v>
      </c>
      <c r="E417" t="s">
        <v>68</v>
      </c>
      <c r="F417">
        <v>180</v>
      </c>
      <c r="G417">
        <v>1080</v>
      </c>
      <c r="H417">
        <v>-3</v>
      </c>
      <c r="I417">
        <v>1983</v>
      </c>
      <c r="J417" t="s">
        <v>36</v>
      </c>
      <c r="K417">
        <v>2573</v>
      </c>
      <c r="L417">
        <v>1.48</v>
      </c>
      <c r="M417">
        <v>2.96</v>
      </c>
      <c r="N417" s="4">
        <f t="shared" si="12"/>
        <v>1.7194640000000002E-4</v>
      </c>
      <c r="O417" s="4">
        <f t="shared" si="13"/>
        <v>5.0896134400000008E-4</v>
      </c>
      <c r="P417">
        <v>13</v>
      </c>
      <c r="Q417">
        <v>1</v>
      </c>
      <c r="R417">
        <v>3</v>
      </c>
      <c r="S417">
        <v>3</v>
      </c>
      <c r="T417">
        <v>3</v>
      </c>
      <c r="U417">
        <v>3</v>
      </c>
      <c r="V417" t="s">
        <v>50</v>
      </c>
    </row>
    <row r="418" spans="1:22" x14ac:dyDescent="0.25">
      <c r="A418" t="s">
        <v>82</v>
      </c>
      <c r="B418">
        <v>2</v>
      </c>
      <c r="C418" t="s">
        <v>66</v>
      </c>
      <c r="D418" t="s">
        <v>67</v>
      </c>
      <c r="E418" t="s">
        <v>68</v>
      </c>
      <c r="F418">
        <v>180</v>
      </c>
      <c r="G418">
        <v>1080</v>
      </c>
      <c r="H418">
        <v>-3</v>
      </c>
      <c r="I418">
        <v>1983</v>
      </c>
      <c r="J418" t="s">
        <v>62</v>
      </c>
      <c r="K418">
        <v>2550</v>
      </c>
      <c r="L418">
        <v>9.15</v>
      </c>
      <c r="M418">
        <v>8.42</v>
      </c>
      <c r="N418" s="4">
        <f t="shared" si="12"/>
        <v>6.5722162499999995E-3</v>
      </c>
      <c r="O418" s="4">
        <f t="shared" si="13"/>
        <v>5.5338060824999993E-2</v>
      </c>
      <c r="P418">
        <v>25</v>
      </c>
      <c r="Q418">
        <v>3</v>
      </c>
      <c r="R418">
        <v>3.5</v>
      </c>
      <c r="S418">
        <v>3.5</v>
      </c>
      <c r="T418">
        <v>4</v>
      </c>
      <c r="U418">
        <v>4</v>
      </c>
      <c r="V418" t="s">
        <v>38</v>
      </c>
    </row>
    <row r="419" spans="1:22" x14ac:dyDescent="0.25">
      <c r="A419" t="s">
        <v>82</v>
      </c>
      <c r="B419">
        <v>2</v>
      </c>
      <c r="C419" t="s">
        <v>66</v>
      </c>
      <c r="D419" t="s">
        <v>67</v>
      </c>
      <c r="E419" t="s">
        <v>68</v>
      </c>
      <c r="F419">
        <v>180</v>
      </c>
      <c r="G419">
        <v>1080</v>
      </c>
      <c r="H419">
        <v>-3</v>
      </c>
      <c r="I419">
        <v>1983</v>
      </c>
      <c r="J419" t="s">
        <v>62</v>
      </c>
      <c r="K419">
        <v>2553</v>
      </c>
      <c r="L419">
        <v>4.79</v>
      </c>
      <c r="M419">
        <v>4.3600000000000003</v>
      </c>
      <c r="N419" s="4">
        <f t="shared" si="12"/>
        <v>1.8011118499999998E-3</v>
      </c>
      <c r="O419" s="4">
        <f t="shared" si="13"/>
        <v>7.8528476659999995E-3</v>
      </c>
      <c r="P419">
        <v>38</v>
      </c>
      <c r="Q419">
        <v>2</v>
      </c>
      <c r="R419">
        <v>3.5</v>
      </c>
      <c r="S419">
        <v>3.5</v>
      </c>
      <c r="T419">
        <v>4</v>
      </c>
      <c r="U419">
        <v>3.5</v>
      </c>
      <c r="V419" t="s">
        <v>30</v>
      </c>
    </row>
    <row r="420" spans="1:22" x14ac:dyDescent="0.25">
      <c r="A420" t="s">
        <v>82</v>
      </c>
      <c r="B420">
        <v>2</v>
      </c>
      <c r="C420" t="s">
        <v>66</v>
      </c>
      <c r="D420" t="s">
        <v>67</v>
      </c>
      <c r="E420" t="s">
        <v>68</v>
      </c>
      <c r="F420">
        <v>180</v>
      </c>
      <c r="G420">
        <v>1080</v>
      </c>
      <c r="H420">
        <v>-3</v>
      </c>
      <c r="I420">
        <v>1983</v>
      </c>
      <c r="J420" t="s">
        <v>37</v>
      </c>
      <c r="K420">
        <v>2575</v>
      </c>
      <c r="L420">
        <v>6.7</v>
      </c>
      <c r="M420">
        <v>6.83</v>
      </c>
      <c r="N420" s="4">
        <f t="shared" si="12"/>
        <v>3.5238650000000006E-3</v>
      </c>
      <c r="O420" s="4">
        <f t="shared" si="13"/>
        <v>2.4067997950000003E-2</v>
      </c>
      <c r="P420">
        <v>75</v>
      </c>
      <c r="Q420">
        <v>2.7</v>
      </c>
      <c r="R420">
        <v>2.7</v>
      </c>
      <c r="S420">
        <v>3</v>
      </c>
      <c r="T420">
        <v>3.5</v>
      </c>
      <c r="U420">
        <v>3.5</v>
      </c>
      <c r="V420" t="s">
        <v>30</v>
      </c>
    </row>
    <row r="421" spans="1:22" x14ac:dyDescent="0.25">
      <c r="A421" t="s">
        <v>82</v>
      </c>
      <c r="B421">
        <v>3</v>
      </c>
      <c r="C421" t="s">
        <v>66</v>
      </c>
      <c r="D421" t="s">
        <v>67</v>
      </c>
      <c r="E421" t="s">
        <v>68</v>
      </c>
      <c r="F421">
        <v>180</v>
      </c>
      <c r="G421">
        <v>1080</v>
      </c>
      <c r="H421">
        <v>-3</v>
      </c>
      <c r="I421">
        <v>1983</v>
      </c>
      <c r="J421" t="s">
        <v>76</v>
      </c>
      <c r="K421">
        <v>1592</v>
      </c>
      <c r="L421">
        <v>15.73</v>
      </c>
      <c r="M421">
        <v>10.67</v>
      </c>
      <c r="N421" s="4">
        <f t="shared" si="12"/>
        <v>1.9423482650000001E-2</v>
      </c>
      <c r="O421" s="4">
        <f t="shared" si="13"/>
        <v>0.2072485598755</v>
      </c>
      <c r="P421">
        <v>75</v>
      </c>
      <c r="Q421">
        <v>3</v>
      </c>
      <c r="R421">
        <v>4</v>
      </c>
      <c r="S421">
        <v>3</v>
      </c>
      <c r="T421">
        <v>4</v>
      </c>
      <c r="U421">
        <v>3</v>
      </c>
      <c r="V421" t="s">
        <v>27</v>
      </c>
    </row>
    <row r="422" spans="1:22" x14ac:dyDescent="0.25">
      <c r="A422" t="s">
        <v>82</v>
      </c>
      <c r="B422">
        <v>3</v>
      </c>
      <c r="C422" t="s">
        <v>66</v>
      </c>
      <c r="D422" t="s">
        <v>67</v>
      </c>
      <c r="E422" t="s">
        <v>68</v>
      </c>
      <c r="F422">
        <v>180</v>
      </c>
      <c r="G422">
        <v>1080</v>
      </c>
      <c r="H422">
        <v>-3</v>
      </c>
      <c r="I422">
        <v>1983</v>
      </c>
      <c r="J422" t="s">
        <v>76</v>
      </c>
      <c r="K422">
        <v>2560</v>
      </c>
      <c r="L422">
        <v>13.13</v>
      </c>
      <c r="M422">
        <v>11.49</v>
      </c>
      <c r="N422" s="4">
        <f t="shared" si="12"/>
        <v>1.3533156649999999E-2</v>
      </c>
      <c r="O422" s="4">
        <f t="shared" si="13"/>
        <v>0.15549596990849998</v>
      </c>
      <c r="P422">
        <v>88</v>
      </c>
      <c r="Q422">
        <v>3</v>
      </c>
      <c r="R422">
        <v>4</v>
      </c>
      <c r="S422">
        <v>3</v>
      </c>
      <c r="T422">
        <v>4</v>
      </c>
      <c r="U422">
        <v>4</v>
      </c>
      <c r="V422" t="s">
        <v>27</v>
      </c>
    </row>
    <row r="423" spans="1:22" x14ac:dyDescent="0.25">
      <c r="A423" t="s">
        <v>82</v>
      </c>
      <c r="B423">
        <v>3</v>
      </c>
      <c r="C423" t="s">
        <v>66</v>
      </c>
      <c r="D423" t="s">
        <v>67</v>
      </c>
      <c r="E423" t="s">
        <v>68</v>
      </c>
      <c r="F423">
        <v>180</v>
      </c>
      <c r="G423">
        <v>1080</v>
      </c>
      <c r="H423">
        <v>-3</v>
      </c>
      <c r="I423">
        <v>1983</v>
      </c>
      <c r="J423" t="s">
        <v>24</v>
      </c>
      <c r="K423">
        <v>2562</v>
      </c>
      <c r="L423">
        <v>9.94</v>
      </c>
      <c r="M423">
        <v>7.46</v>
      </c>
      <c r="N423" s="4">
        <f t="shared" si="12"/>
        <v>7.7560825999999986E-3</v>
      </c>
      <c r="O423" s="4">
        <f t="shared" si="13"/>
        <v>5.7860376195999992E-2</v>
      </c>
      <c r="P423">
        <v>50</v>
      </c>
      <c r="Q423">
        <v>3</v>
      </c>
      <c r="R423">
        <v>4</v>
      </c>
      <c r="S423">
        <v>3</v>
      </c>
      <c r="T423">
        <v>4</v>
      </c>
      <c r="U423">
        <v>3</v>
      </c>
      <c r="V423" t="s">
        <v>38</v>
      </c>
    </row>
    <row r="424" spans="1:22" x14ac:dyDescent="0.25">
      <c r="A424" t="s">
        <v>82</v>
      </c>
      <c r="B424">
        <v>3</v>
      </c>
      <c r="C424" t="s">
        <v>66</v>
      </c>
      <c r="D424" t="s">
        <v>67</v>
      </c>
      <c r="E424" t="s">
        <v>68</v>
      </c>
      <c r="F424">
        <v>180</v>
      </c>
      <c r="G424">
        <v>1080</v>
      </c>
      <c r="H424">
        <v>-3</v>
      </c>
      <c r="I424">
        <v>1983</v>
      </c>
      <c r="J424" t="s">
        <v>80</v>
      </c>
      <c r="K424">
        <v>1252</v>
      </c>
      <c r="L424">
        <v>5.86</v>
      </c>
      <c r="M424">
        <v>5.61</v>
      </c>
      <c r="N424" s="4">
        <f t="shared" si="12"/>
        <v>2.6956586000000007E-3</v>
      </c>
      <c r="O424" s="4">
        <f t="shared" si="13"/>
        <v>1.5122644746000004E-2</v>
      </c>
      <c r="P424">
        <v>50</v>
      </c>
      <c r="Q424">
        <v>3</v>
      </c>
      <c r="R424">
        <v>4</v>
      </c>
      <c r="S424">
        <v>2.5</v>
      </c>
      <c r="T424">
        <v>2.5</v>
      </c>
      <c r="U424">
        <v>3</v>
      </c>
      <c r="V424" t="s">
        <v>30</v>
      </c>
    </row>
    <row r="425" spans="1:22" x14ac:dyDescent="0.25">
      <c r="A425" t="s">
        <v>82</v>
      </c>
      <c r="B425">
        <v>3</v>
      </c>
      <c r="C425" t="s">
        <v>66</v>
      </c>
      <c r="D425" t="s">
        <v>67</v>
      </c>
      <c r="E425" t="s">
        <v>68</v>
      </c>
      <c r="F425">
        <v>180</v>
      </c>
      <c r="G425">
        <v>1080</v>
      </c>
      <c r="H425">
        <v>-3</v>
      </c>
      <c r="I425">
        <v>1983</v>
      </c>
      <c r="J425" t="s">
        <v>24</v>
      </c>
      <c r="K425">
        <v>1</v>
      </c>
      <c r="L425">
        <v>9.1199999999999992</v>
      </c>
      <c r="M425">
        <v>9.67</v>
      </c>
      <c r="N425" s="4">
        <f t="shared" si="12"/>
        <v>6.5291903999999991E-3</v>
      </c>
      <c r="O425" s="4">
        <f t="shared" si="13"/>
        <v>6.3137271167999998E-2</v>
      </c>
      <c r="P425">
        <v>50</v>
      </c>
      <c r="Q425">
        <v>3</v>
      </c>
      <c r="R425">
        <v>4</v>
      </c>
      <c r="S425">
        <v>3</v>
      </c>
      <c r="T425">
        <v>3</v>
      </c>
      <c r="U425">
        <v>3</v>
      </c>
      <c r="V425" t="s">
        <v>38</v>
      </c>
    </row>
    <row r="426" spans="1:22" x14ac:dyDescent="0.25">
      <c r="A426" t="s">
        <v>82</v>
      </c>
      <c r="B426">
        <v>3</v>
      </c>
      <c r="C426" t="s">
        <v>66</v>
      </c>
      <c r="D426" t="s">
        <v>67</v>
      </c>
      <c r="E426" t="s">
        <v>68</v>
      </c>
      <c r="F426">
        <v>180</v>
      </c>
      <c r="G426">
        <v>1080</v>
      </c>
      <c r="H426">
        <v>-3</v>
      </c>
      <c r="I426">
        <v>1983</v>
      </c>
      <c r="J426" t="s">
        <v>59</v>
      </c>
      <c r="K426">
        <v>1482</v>
      </c>
      <c r="L426">
        <v>6.94</v>
      </c>
      <c r="M426">
        <v>5.17</v>
      </c>
      <c r="N426" s="4">
        <f t="shared" si="12"/>
        <v>3.7808426000000006E-3</v>
      </c>
      <c r="O426" s="4">
        <f t="shared" si="13"/>
        <v>1.9546956242000004E-2</v>
      </c>
      <c r="P426">
        <v>38</v>
      </c>
      <c r="Q426">
        <v>2.5</v>
      </c>
      <c r="R426">
        <v>3</v>
      </c>
      <c r="S426">
        <v>3</v>
      </c>
      <c r="T426">
        <v>4</v>
      </c>
      <c r="U426">
        <v>3.5</v>
      </c>
      <c r="V426" t="s">
        <v>30</v>
      </c>
    </row>
    <row r="427" spans="1:22" x14ac:dyDescent="0.25">
      <c r="A427" t="s">
        <v>82</v>
      </c>
      <c r="B427">
        <v>3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59</v>
      </c>
      <c r="K427">
        <v>2548</v>
      </c>
      <c r="L427">
        <v>16.25</v>
      </c>
      <c r="M427">
        <v>13.29</v>
      </c>
      <c r="N427" s="4">
        <f t="shared" si="12"/>
        <v>2.0728906250000002E-2</v>
      </c>
      <c r="O427" s="4">
        <f t="shared" si="13"/>
        <v>0.27548716406250001</v>
      </c>
      <c r="P427">
        <v>13</v>
      </c>
      <c r="Q427">
        <v>3</v>
      </c>
      <c r="R427">
        <v>4</v>
      </c>
      <c r="S427">
        <v>4</v>
      </c>
      <c r="T427">
        <v>3.5</v>
      </c>
      <c r="U427">
        <v>3</v>
      </c>
      <c r="V427" t="s">
        <v>38</v>
      </c>
    </row>
    <row r="428" spans="1:22" x14ac:dyDescent="0.25">
      <c r="A428" t="s">
        <v>82</v>
      </c>
      <c r="B428">
        <v>3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26</v>
      </c>
      <c r="K428">
        <v>2552</v>
      </c>
      <c r="L428">
        <v>1.59</v>
      </c>
      <c r="M428">
        <v>2.89</v>
      </c>
      <c r="N428" s="4">
        <f t="shared" si="12"/>
        <v>1.9845585000000002E-4</v>
      </c>
      <c r="O428" s="4">
        <f t="shared" si="13"/>
        <v>5.7353740650000005E-4</v>
      </c>
      <c r="P428">
        <v>38</v>
      </c>
      <c r="Q428">
        <v>2.5</v>
      </c>
      <c r="R428">
        <v>3</v>
      </c>
      <c r="S428">
        <v>3</v>
      </c>
      <c r="T428">
        <v>3</v>
      </c>
      <c r="U428">
        <v>3</v>
      </c>
      <c r="V428" t="s">
        <v>30</v>
      </c>
    </row>
    <row r="429" spans="1:22" x14ac:dyDescent="0.25">
      <c r="A429" t="s">
        <v>82</v>
      </c>
      <c r="B429">
        <v>3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32</v>
      </c>
      <c r="K429">
        <v>2569</v>
      </c>
      <c r="L429">
        <v>5.32</v>
      </c>
      <c r="M429">
        <v>5.91</v>
      </c>
      <c r="N429" s="4">
        <f t="shared" si="12"/>
        <v>2.2217384000000006E-3</v>
      </c>
      <c r="O429" s="4">
        <f t="shared" si="13"/>
        <v>1.3130473944000003E-2</v>
      </c>
      <c r="P429">
        <v>50</v>
      </c>
      <c r="Q429">
        <v>3</v>
      </c>
      <c r="R429">
        <v>4</v>
      </c>
      <c r="S429">
        <v>3.5</v>
      </c>
      <c r="T429">
        <v>4</v>
      </c>
      <c r="U429">
        <v>3.5</v>
      </c>
      <c r="V429" t="s">
        <v>38</v>
      </c>
    </row>
    <row r="430" spans="1:22" x14ac:dyDescent="0.25">
      <c r="A430" t="s">
        <v>82</v>
      </c>
      <c r="B430">
        <v>3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33</v>
      </c>
      <c r="K430">
        <v>2547</v>
      </c>
      <c r="L430">
        <v>24.73</v>
      </c>
      <c r="M430">
        <v>14.19</v>
      </c>
      <c r="N430" s="4">
        <f t="shared" si="12"/>
        <v>4.8008472650000002E-2</v>
      </c>
      <c r="O430" s="4">
        <f t="shared" si="13"/>
        <v>0.68124022690349995</v>
      </c>
      <c r="P430">
        <v>88</v>
      </c>
      <c r="Q430">
        <v>4.5</v>
      </c>
      <c r="R430">
        <v>3</v>
      </c>
      <c r="S430">
        <v>3</v>
      </c>
      <c r="T430">
        <v>3</v>
      </c>
      <c r="U430">
        <v>2.8</v>
      </c>
      <c r="V430" t="s">
        <v>27</v>
      </c>
    </row>
    <row r="431" spans="1:22" x14ac:dyDescent="0.25">
      <c r="A431" t="s">
        <v>82</v>
      </c>
      <c r="B431">
        <v>3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33</v>
      </c>
      <c r="K431">
        <v>2568</v>
      </c>
      <c r="L431">
        <v>9.1300000000000008</v>
      </c>
      <c r="M431">
        <v>7.02</v>
      </c>
      <c r="N431" s="4">
        <f t="shared" si="12"/>
        <v>6.5435166500000018E-3</v>
      </c>
      <c r="O431" s="4">
        <f t="shared" si="13"/>
        <v>4.5935486883000011E-2</v>
      </c>
      <c r="P431">
        <v>13</v>
      </c>
      <c r="Q431">
        <v>2.8</v>
      </c>
      <c r="R431">
        <v>2.5</v>
      </c>
      <c r="S431">
        <v>3</v>
      </c>
      <c r="T431">
        <v>3</v>
      </c>
      <c r="U431">
        <v>2.5</v>
      </c>
      <c r="V431" t="s">
        <v>30</v>
      </c>
    </row>
    <row r="432" spans="1:22" x14ac:dyDescent="0.25">
      <c r="A432" t="s">
        <v>82</v>
      </c>
      <c r="B432">
        <v>3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34</v>
      </c>
      <c r="K432">
        <v>1522</v>
      </c>
      <c r="L432">
        <v>1.41</v>
      </c>
      <c r="M432">
        <v>2.82</v>
      </c>
      <c r="N432" s="4">
        <f t="shared" si="12"/>
        <v>1.5606585000000001E-4</v>
      </c>
      <c r="O432" s="4">
        <f t="shared" si="13"/>
        <v>4.4010569700000002E-4</v>
      </c>
      <c r="P432">
        <v>13</v>
      </c>
      <c r="Q432">
        <v>1</v>
      </c>
      <c r="R432">
        <v>3</v>
      </c>
      <c r="S432">
        <v>3</v>
      </c>
      <c r="T432">
        <v>3</v>
      </c>
      <c r="U432">
        <v>3</v>
      </c>
      <c r="V432" t="s">
        <v>50</v>
      </c>
    </row>
    <row r="433" spans="1:22" x14ac:dyDescent="0.25">
      <c r="A433" t="s">
        <v>82</v>
      </c>
      <c r="B433">
        <v>3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2.11</v>
      </c>
      <c r="M433">
        <v>3.1</v>
      </c>
      <c r="N433" s="4">
        <f t="shared" si="12"/>
        <v>3.4948984999999988E-4</v>
      </c>
      <c r="O433" s="4">
        <f t="shared" si="13"/>
        <v>1.0834185349999997E-3</v>
      </c>
      <c r="P433">
        <v>38</v>
      </c>
      <c r="Q433">
        <v>1.3</v>
      </c>
      <c r="R433">
        <v>3</v>
      </c>
      <c r="S433">
        <v>3</v>
      </c>
      <c r="T433">
        <v>3</v>
      </c>
      <c r="U433">
        <v>3</v>
      </c>
      <c r="V433" t="s">
        <v>50</v>
      </c>
    </row>
    <row r="434" spans="1:22" x14ac:dyDescent="0.25">
      <c r="A434" t="s">
        <v>82</v>
      </c>
      <c r="B434">
        <v>3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34</v>
      </c>
      <c r="K434">
        <v>2570</v>
      </c>
      <c r="L434">
        <v>21.43</v>
      </c>
      <c r="M434">
        <v>14.1</v>
      </c>
      <c r="N434" s="4">
        <f t="shared" si="12"/>
        <v>3.6050724649999998E-2</v>
      </c>
      <c r="O434" s="4">
        <f t="shared" si="13"/>
        <v>0.50831521756499998</v>
      </c>
      <c r="P434">
        <v>38</v>
      </c>
      <c r="Q434">
        <v>4</v>
      </c>
      <c r="R434">
        <v>3.5</v>
      </c>
      <c r="S434">
        <v>3</v>
      </c>
      <c r="T434">
        <v>3.5</v>
      </c>
      <c r="U434">
        <v>3</v>
      </c>
      <c r="V434" t="s">
        <v>25</v>
      </c>
    </row>
    <row r="435" spans="1:22" x14ac:dyDescent="0.25">
      <c r="A435" t="s">
        <v>82</v>
      </c>
      <c r="B435">
        <v>3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8.75</v>
      </c>
      <c r="M435">
        <v>7.27</v>
      </c>
      <c r="N435" s="4">
        <f t="shared" si="12"/>
        <v>6.0101562499999999E-3</v>
      </c>
      <c r="O435" s="4">
        <f t="shared" si="13"/>
        <v>4.3693835937499995E-2</v>
      </c>
      <c r="P435">
        <v>38</v>
      </c>
      <c r="Q435">
        <v>3.5</v>
      </c>
      <c r="R435">
        <v>2.5</v>
      </c>
      <c r="S435">
        <v>3</v>
      </c>
      <c r="T435">
        <v>4</v>
      </c>
      <c r="U435">
        <v>3.3</v>
      </c>
      <c r="V435" t="s">
        <v>30</v>
      </c>
    </row>
    <row r="436" spans="1:22" x14ac:dyDescent="0.25">
      <c r="A436" t="s">
        <v>82</v>
      </c>
      <c r="B436">
        <v>3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3.37</v>
      </c>
      <c r="M436">
        <v>3.68</v>
      </c>
      <c r="N436" s="4">
        <f t="shared" si="12"/>
        <v>8.9151664999999997E-4</v>
      </c>
      <c r="O436" s="4">
        <f t="shared" si="13"/>
        <v>3.2807812720000002E-3</v>
      </c>
      <c r="P436">
        <v>50</v>
      </c>
      <c r="Q436">
        <v>2</v>
      </c>
      <c r="R436">
        <v>2.5</v>
      </c>
      <c r="S436">
        <v>3</v>
      </c>
      <c r="T436">
        <v>4</v>
      </c>
      <c r="U436">
        <v>3</v>
      </c>
      <c r="V436" t="s">
        <v>30</v>
      </c>
    </row>
    <row r="437" spans="1:22" x14ac:dyDescent="0.25">
      <c r="A437" t="s">
        <v>82</v>
      </c>
      <c r="B437">
        <v>3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62</v>
      </c>
      <c r="K437">
        <v>2553</v>
      </c>
      <c r="L437">
        <v>8.1300000000000008</v>
      </c>
      <c r="M437">
        <v>7.99</v>
      </c>
      <c r="N437" s="4">
        <f t="shared" si="12"/>
        <v>5.188606650000001E-3</v>
      </c>
      <c r="O437" s="4">
        <f t="shared" si="13"/>
        <v>4.1456967133500007E-2</v>
      </c>
      <c r="P437">
        <v>88</v>
      </c>
      <c r="Q437">
        <v>3</v>
      </c>
      <c r="R437">
        <v>3</v>
      </c>
      <c r="S437">
        <v>3.5</v>
      </c>
      <c r="T437">
        <v>4</v>
      </c>
      <c r="U437">
        <v>4</v>
      </c>
      <c r="V437" t="s">
        <v>38</v>
      </c>
    </row>
    <row r="438" spans="1:22" x14ac:dyDescent="0.25">
      <c r="A438" t="s">
        <v>82</v>
      </c>
      <c r="B438">
        <v>3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37</v>
      </c>
      <c r="K438">
        <v>2575</v>
      </c>
      <c r="L438">
        <v>2.63</v>
      </c>
      <c r="M438">
        <v>4.5999999999999996</v>
      </c>
      <c r="N438" s="4">
        <f t="shared" si="12"/>
        <v>5.4297665000000003E-4</v>
      </c>
      <c r="O438" s="4">
        <f t="shared" si="13"/>
        <v>2.49769259E-3</v>
      </c>
      <c r="P438">
        <v>38</v>
      </c>
      <c r="Q438">
        <v>2</v>
      </c>
      <c r="R438">
        <v>1.5</v>
      </c>
      <c r="S438">
        <v>3</v>
      </c>
      <c r="T438">
        <v>3</v>
      </c>
      <c r="U438">
        <v>3</v>
      </c>
      <c r="V438" t="s">
        <v>50</v>
      </c>
    </row>
    <row r="439" spans="1:22" x14ac:dyDescent="0.25">
      <c r="A439" t="s">
        <v>83</v>
      </c>
      <c r="B439">
        <v>1</v>
      </c>
      <c r="C439" t="s">
        <v>71</v>
      </c>
      <c r="D439" t="s">
        <v>84</v>
      </c>
      <c r="E439" t="s">
        <v>85</v>
      </c>
      <c r="F439">
        <v>220</v>
      </c>
      <c r="G439">
        <v>1050</v>
      </c>
      <c r="H439">
        <v>-2</v>
      </c>
      <c r="I439">
        <v>1983</v>
      </c>
      <c r="J439" t="s">
        <v>76</v>
      </c>
      <c r="K439">
        <v>1592</v>
      </c>
      <c r="L439">
        <v>23.59</v>
      </c>
      <c r="M439">
        <v>9.8699999999999992</v>
      </c>
      <c r="N439" s="4">
        <f t="shared" si="12"/>
        <v>4.3684315850000002E-2</v>
      </c>
      <c r="O439" s="4">
        <f t="shared" si="13"/>
        <v>0.43116419743949996</v>
      </c>
      <c r="P439">
        <v>75</v>
      </c>
      <c r="Q439">
        <v>3</v>
      </c>
      <c r="R439">
        <v>4</v>
      </c>
      <c r="S439">
        <v>3</v>
      </c>
      <c r="T439">
        <v>4</v>
      </c>
      <c r="U439">
        <v>3</v>
      </c>
      <c r="V439" t="s">
        <v>25</v>
      </c>
    </row>
    <row r="440" spans="1:22" x14ac:dyDescent="0.25">
      <c r="A440" t="s">
        <v>83</v>
      </c>
      <c r="B440">
        <v>1</v>
      </c>
      <c r="C440" t="s">
        <v>71</v>
      </c>
      <c r="D440" t="s">
        <v>84</v>
      </c>
      <c r="E440" t="s">
        <v>85</v>
      </c>
      <c r="F440">
        <v>220</v>
      </c>
      <c r="G440">
        <v>1050</v>
      </c>
      <c r="H440">
        <v>-2</v>
      </c>
      <c r="I440">
        <v>1983</v>
      </c>
      <c r="J440" t="s">
        <v>76</v>
      </c>
      <c r="K440">
        <v>2560</v>
      </c>
      <c r="L440">
        <v>20.72</v>
      </c>
      <c r="M440">
        <v>8.67</v>
      </c>
      <c r="N440" s="4">
        <f t="shared" si="12"/>
        <v>3.3701494400000004E-2</v>
      </c>
      <c r="O440" s="4">
        <f t="shared" si="13"/>
        <v>0.29219195644800006</v>
      </c>
      <c r="P440">
        <v>100</v>
      </c>
      <c r="Q440">
        <v>3.5</v>
      </c>
      <c r="R440">
        <v>3.5</v>
      </c>
      <c r="S440">
        <v>2.5</v>
      </c>
      <c r="T440">
        <v>4</v>
      </c>
      <c r="U440">
        <v>4</v>
      </c>
      <c r="V440" t="s">
        <v>27</v>
      </c>
    </row>
    <row r="441" spans="1:22" x14ac:dyDescent="0.25">
      <c r="A441" t="s">
        <v>83</v>
      </c>
      <c r="B441">
        <v>1</v>
      </c>
      <c r="C441" t="s">
        <v>71</v>
      </c>
      <c r="D441" t="s">
        <v>84</v>
      </c>
      <c r="E441" t="s">
        <v>85</v>
      </c>
      <c r="F441">
        <v>220</v>
      </c>
      <c r="G441">
        <v>1050</v>
      </c>
      <c r="H441">
        <v>-2</v>
      </c>
      <c r="I441">
        <v>1983</v>
      </c>
      <c r="J441" t="s">
        <v>24</v>
      </c>
      <c r="K441">
        <v>2562</v>
      </c>
      <c r="L441">
        <v>19.64</v>
      </c>
      <c r="M441">
        <v>11.02</v>
      </c>
      <c r="N441" s="4">
        <f t="shared" si="12"/>
        <v>3.0279773600000011E-2</v>
      </c>
      <c r="O441" s="4">
        <f t="shared" si="13"/>
        <v>0.33368310507200011</v>
      </c>
      <c r="P441">
        <v>100</v>
      </c>
      <c r="Q441">
        <v>4</v>
      </c>
      <c r="R441">
        <v>3</v>
      </c>
      <c r="S441">
        <v>3</v>
      </c>
      <c r="T441">
        <v>3</v>
      </c>
      <c r="U441">
        <v>3</v>
      </c>
      <c r="V441" t="s">
        <v>25</v>
      </c>
    </row>
    <row r="442" spans="1:22" x14ac:dyDescent="0.25">
      <c r="A442" t="s">
        <v>83</v>
      </c>
      <c r="B442">
        <v>1</v>
      </c>
      <c r="C442" t="s">
        <v>71</v>
      </c>
      <c r="D442" t="s">
        <v>84</v>
      </c>
      <c r="E442" t="s">
        <v>85</v>
      </c>
      <c r="F442">
        <v>220</v>
      </c>
      <c r="G442">
        <v>1050</v>
      </c>
      <c r="H442">
        <v>-2</v>
      </c>
      <c r="I442">
        <v>1983</v>
      </c>
      <c r="J442" t="s">
        <v>80</v>
      </c>
      <c r="K442">
        <v>1252</v>
      </c>
      <c r="L442">
        <v>14.13</v>
      </c>
      <c r="M442">
        <v>8.85</v>
      </c>
      <c r="N442" s="4">
        <f t="shared" si="12"/>
        <v>1.5673066650000001E-2</v>
      </c>
      <c r="O442" s="4">
        <f t="shared" si="13"/>
        <v>0.13870663985250001</v>
      </c>
      <c r="P442">
        <v>100</v>
      </c>
      <c r="Q442">
        <v>3</v>
      </c>
      <c r="R442">
        <v>2.5</v>
      </c>
      <c r="S442">
        <v>1.5</v>
      </c>
      <c r="T442">
        <v>2</v>
      </c>
      <c r="U442">
        <v>2</v>
      </c>
      <c r="V442" t="s">
        <v>30</v>
      </c>
    </row>
    <row r="443" spans="1:22" x14ac:dyDescent="0.25">
      <c r="A443" t="s">
        <v>83</v>
      </c>
      <c r="B443">
        <v>1</v>
      </c>
      <c r="C443" t="s">
        <v>71</v>
      </c>
      <c r="D443" t="s">
        <v>84</v>
      </c>
      <c r="E443" t="s">
        <v>85</v>
      </c>
      <c r="F443">
        <v>220</v>
      </c>
      <c r="G443">
        <v>1050</v>
      </c>
      <c r="H443">
        <v>-2</v>
      </c>
      <c r="I443">
        <v>1983</v>
      </c>
      <c r="J443" t="s">
        <v>59</v>
      </c>
      <c r="K443">
        <v>1482</v>
      </c>
      <c r="L443">
        <v>22.62</v>
      </c>
      <c r="M443">
        <v>8.83</v>
      </c>
      <c r="N443" s="4">
        <f t="shared" si="12"/>
        <v>4.0165655400000007E-2</v>
      </c>
      <c r="O443" s="4">
        <f t="shared" si="13"/>
        <v>0.35466273718200009</v>
      </c>
      <c r="P443">
        <v>88</v>
      </c>
      <c r="Q443">
        <v>2</v>
      </c>
      <c r="R443">
        <v>3</v>
      </c>
      <c r="S443">
        <v>3</v>
      </c>
      <c r="T443">
        <v>3</v>
      </c>
      <c r="U443">
        <v>3</v>
      </c>
      <c r="V443" t="s">
        <v>30</v>
      </c>
    </row>
    <row r="444" spans="1:22" x14ac:dyDescent="0.25">
      <c r="A444" t="s">
        <v>83</v>
      </c>
      <c r="B444">
        <v>1</v>
      </c>
      <c r="C444" t="s">
        <v>71</v>
      </c>
      <c r="D444" t="s">
        <v>84</v>
      </c>
      <c r="E444" t="s">
        <v>85</v>
      </c>
      <c r="F444">
        <v>220</v>
      </c>
      <c r="G444">
        <v>1050</v>
      </c>
      <c r="H444">
        <v>-2</v>
      </c>
      <c r="I444">
        <v>1983</v>
      </c>
      <c r="J444" t="s">
        <v>59</v>
      </c>
      <c r="K444">
        <v>2548</v>
      </c>
      <c r="L444">
        <v>15.98</v>
      </c>
      <c r="M444">
        <v>6.24</v>
      </c>
      <c r="N444" s="4">
        <f t="shared" si="12"/>
        <v>2.0045791399999999E-2</v>
      </c>
      <c r="O444" s="4">
        <f t="shared" si="13"/>
        <v>0.12508573833600001</v>
      </c>
      <c r="P444">
        <v>63</v>
      </c>
      <c r="Q444">
        <v>3.5</v>
      </c>
      <c r="R444">
        <v>4</v>
      </c>
      <c r="S444">
        <v>2.8</v>
      </c>
      <c r="T444">
        <v>2.8</v>
      </c>
      <c r="U444">
        <v>2.5</v>
      </c>
      <c r="V444" t="s">
        <v>38</v>
      </c>
    </row>
    <row r="445" spans="1:22" x14ac:dyDescent="0.25">
      <c r="A445" t="s">
        <v>83</v>
      </c>
      <c r="B445">
        <v>1</v>
      </c>
      <c r="C445" t="s">
        <v>71</v>
      </c>
      <c r="D445" t="s">
        <v>84</v>
      </c>
      <c r="E445" t="s">
        <v>85</v>
      </c>
      <c r="F445">
        <v>220</v>
      </c>
      <c r="G445">
        <v>1050</v>
      </c>
      <c r="H445">
        <v>-2</v>
      </c>
      <c r="I445">
        <v>1983</v>
      </c>
      <c r="J445" t="s">
        <v>32</v>
      </c>
      <c r="K445">
        <v>1596</v>
      </c>
      <c r="L445">
        <v>16.18</v>
      </c>
      <c r="M445">
        <v>7.67</v>
      </c>
      <c r="N445" s="4">
        <f t="shared" si="12"/>
        <v>2.0550703400000002E-2</v>
      </c>
      <c r="O445" s="4">
        <f t="shared" si="13"/>
        <v>0.15762389507800001</v>
      </c>
      <c r="P445">
        <v>88</v>
      </c>
      <c r="Q445">
        <v>3.5</v>
      </c>
      <c r="R445">
        <v>3</v>
      </c>
      <c r="S445">
        <v>2.5</v>
      </c>
      <c r="T445">
        <v>4</v>
      </c>
      <c r="U445">
        <v>3</v>
      </c>
      <c r="V445" t="s">
        <v>27</v>
      </c>
    </row>
    <row r="446" spans="1:22" x14ac:dyDescent="0.25">
      <c r="A446" t="s">
        <v>83</v>
      </c>
      <c r="B446">
        <v>1</v>
      </c>
      <c r="C446" t="s">
        <v>71</v>
      </c>
      <c r="D446" t="s">
        <v>84</v>
      </c>
      <c r="E446" t="s">
        <v>85</v>
      </c>
      <c r="F446">
        <v>220</v>
      </c>
      <c r="G446">
        <v>1050</v>
      </c>
      <c r="H446">
        <v>-2</v>
      </c>
      <c r="I446">
        <v>1983</v>
      </c>
      <c r="J446" t="s">
        <v>32</v>
      </c>
      <c r="K446">
        <v>2569</v>
      </c>
      <c r="L446">
        <v>18.440000000000001</v>
      </c>
      <c r="M446">
        <v>8.74</v>
      </c>
      <c r="N446" s="4">
        <f t="shared" si="12"/>
        <v>2.6692637600000003E-2</v>
      </c>
      <c r="O446" s="4">
        <f t="shared" si="13"/>
        <v>0.23329365262400004</v>
      </c>
      <c r="P446">
        <v>100</v>
      </c>
      <c r="Q446">
        <v>3.5</v>
      </c>
      <c r="R446">
        <v>3.5</v>
      </c>
      <c r="S446">
        <v>2.8</v>
      </c>
      <c r="T446">
        <v>4</v>
      </c>
      <c r="U446">
        <v>2.8</v>
      </c>
      <c r="V446" t="s">
        <v>25</v>
      </c>
    </row>
    <row r="447" spans="1:22" x14ac:dyDescent="0.25">
      <c r="A447" t="s">
        <v>83</v>
      </c>
      <c r="B447">
        <v>1</v>
      </c>
      <c r="C447" t="s">
        <v>71</v>
      </c>
      <c r="D447" t="s">
        <v>84</v>
      </c>
      <c r="E447" t="s">
        <v>85</v>
      </c>
      <c r="F447">
        <v>220</v>
      </c>
      <c r="G447">
        <v>1050</v>
      </c>
      <c r="H447">
        <v>-2</v>
      </c>
      <c r="I447">
        <v>1983</v>
      </c>
      <c r="J447" t="s">
        <v>33</v>
      </c>
      <c r="K447">
        <v>2547</v>
      </c>
      <c r="L447">
        <v>21.25</v>
      </c>
      <c r="M447">
        <v>9.6199999999999992</v>
      </c>
      <c r="N447" s="4">
        <f t="shared" si="12"/>
        <v>3.5447656250000001E-2</v>
      </c>
      <c r="O447" s="4">
        <f t="shared" si="13"/>
        <v>0.341006453125</v>
      </c>
      <c r="P447">
        <v>100</v>
      </c>
      <c r="Q447">
        <v>3.5</v>
      </c>
      <c r="R447">
        <v>2.5</v>
      </c>
      <c r="S447">
        <v>3</v>
      </c>
      <c r="T447">
        <v>3</v>
      </c>
      <c r="U447">
        <v>2</v>
      </c>
      <c r="V447" t="s">
        <v>25</v>
      </c>
    </row>
    <row r="448" spans="1:22" x14ac:dyDescent="0.25">
      <c r="A448" t="s">
        <v>83</v>
      </c>
      <c r="B448">
        <v>1</v>
      </c>
      <c r="C448" t="s">
        <v>71</v>
      </c>
      <c r="D448" t="s">
        <v>84</v>
      </c>
      <c r="E448" t="s">
        <v>85</v>
      </c>
      <c r="F448">
        <v>220</v>
      </c>
      <c r="G448">
        <v>1050</v>
      </c>
      <c r="H448">
        <v>-2</v>
      </c>
      <c r="I448">
        <v>1983</v>
      </c>
      <c r="J448" t="s">
        <v>33</v>
      </c>
      <c r="K448">
        <v>2568</v>
      </c>
      <c r="L448">
        <v>16.7</v>
      </c>
      <c r="M448">
        <v>7.64</v>
      </c>
      <c r="N448" s="4">
        <f t="shared" si="12"/>
        <v>2.1892864999999997E-2</v>
      </c>
      <c r="O448" s="4">
        <f t="shared" si="13"/>
        <v>0.16726148859999998</v>
      </c>
      <c r="P448">
        <v>100</v>
      </c>
      <c r="Q448">
        <v>3.5</v>
      </c>
      <c r="R448">
        <v>2.8</v>
      </c>
      <c r="S448">
        <v>3</v>
      </c>
      <c r="T448">
        <v>3</v>
      </c>
      <c r="U448">
        <v>2</v>
      </c>
      <c r="V448" t="s">
        <v>25</v>
      </c>
    </row>
    <row r="449" spans="1:22" x14ac:dyDescent="0.25">
      <c r="A449" t="s">
        <v>83</v>
      </c>
      <c r="B449">
        <v>1</v>
      </c>
      <c r="C449" t="s">
        <v>71</v>
      </c>
      <c r="D449" t="s">
        <v>84</v>
      </c>
      <c r="E449" t="s">
        <v>85</v>
      </c>
      <c r="F449">
        <v>220</v>
      </c>
      <c r="G449">
        <v>1050</v>
      </c>
      <c r="H449">
        <v>-2</v>
      </c>
      <c r="I449">
        <v>1983</v>
      </c>
      <c r="J449" t="s">
        <v>34</v>
      </c>
      <c r="K449">
        <v>1522</v>
      </c>
      <c r="L449">
        <v>15.73</v>
      </c>
      <c r="M449">
        <v>7.8</v>
      </c>
      <c r="N449" s="4">
        <f t="shared" si="12"/>
        <v>1.9423482650000001E-2</v>
      </c>
      <c r="O449" s="4">
        <f t="shared" si="13"/>
        <v>0.15150316467</v>
      </c>
      <c r="P449">
        <v>88</v>
      </c>
      <c r="Q449">
        <v>3.5</v>
      </c>
      <c r="R449">
        <v>2.8</v>
      </c>
      <c r="S449">
        <v>3</v>
      </c>
      <c r="T449">
        <v>3.5</v>
      </c>
      <c r="U449">
        <v>3.5</v>
      </c>
      <c r="V449" t="s">
        <v>27</v>
      </c>
    </row>
    <row r="450" spans="1:22" x14ac:dyDescent="0.25">
      <c r="A450" t="s">
        <v>83</v>
      </c>
      <c r="B450">
        <v>1</v>
      </c>
      <c r="C450" t="s">
        <v>71</v>
      </c>
      <c r="D450" t="s">
        <v>84</v>
      </c>
      <c r="E450" t="s">
        <v>85</v>
      </c>
      <c r="F450">
        <v>220</v>
      </c>
      <c r="G450">
        <v>1050</v>
      </c>
      <c r="H450">
        <v>-2</v>
      </c>
      <c r="I450">
        <v>1983</v>
      </c>
      <c r="J450" t="s">
        <v>34</v>
      </c>
      <c r="K450">
        <v>2570</v>
      </c>
      <c r="L450">
        <v>16.55</v>
      </c>
      <c r="M450">
        <v>8.2100000000000009</v>
      </c>
      <c r="N450" s="4">
        <f t="shared" si="12"/>
        <v>2.1501346250000001E-2</v>
      </c>
      <c r="O450" s="4">
        <f t="shared" si="13"/>
        <v>0.17652605271250002</v>
      </c>
      <c r="P450">
        <v>100</v>
      </c>
      <c r="Q450">
        <v>3.5</v>
      </c>
      <c r="R450">
        <v>3</v>
      </c>
      <c r="S450">
        <v>3.5</v>
      </c>
      <c r="T450">
        <v>3.3</v>
      </c>
      <c r="U450">
        <v>3</v>
      </c>
      <c r="V450" t="s">
        <v>25</v>
      </c>
    </row>
    <row r="451" spans="1:22" x14ac:dyDescent="0.25">
      <c r="A451" t="s">
        <v>83</v>
      </c>
      <c r="B451">
        <v>1</v>
      </c>
      <c r="C451" t="s">
        <v>71</v>
      </c>
      <c r="D451" t="s">
        <v>84</v>
      </c>
      <c r="E451" t="s">
        <v>85</v>
      </c>
      <c r="F451">
        <v>220</v>
      </c>
      <c r="G451">
        <v>1050</v>
      </c>
      <c r="H451">
        <v>-2</v>
      </c>
      <c r="I451">
        <v>1983</v>
      </c>
      <c r="J451" t="s">
        <v>35</v>
      </c>
      <c r="K451">
        <v>2571</v>
      </c>
      <c r="L451">
        <v>13.67</v>
      </c>
      <c r="M451">
        <v>5.24</v>
      </c>
      <c r="N451" s="4">
        <f t="shared" ref="N451:N514" si="14">3.14/4*((L451/100)^2)</f>
        <v>1.466920865E-2</v>
      </c>
      <c r="O451" s="4">
        <f t="shared" ref="O451:O514" si="15">3.14/4*((L451/100)^2)*M451</f>
        <v>7.6866653325999998E-2</v>
      </c>
      <c r="P451">
        <v>63</v>
      </c>
      <c r="Q451">
        <v>2.5</v>
      </c>
      <c r="R451">
        <v>2</v>
      </c>
      <c r="S451">
        <v>2.5</v>
      </c>
      <c r="T451">
        <v>3.3</v>
      </c>
      <c r="U451">
        <v>3</v>
      </c>
      <c r="V451" t="s">
        <v>25</v>
      </c>
    </row>
    <row r="452" spans="1:22" x14ac:dyDescent="0.25">
      <c r="A452" t="s">
        <v>83</v>
      </c>
      <c r="B452">
        <v>1</v>
      </c>
      <c r="C452" t="s">
        <v>71</v>
      </c>
      <c r="D452" t="s">
        <v>84</v>
      </c>
      <c r="E452" t="s">
        <v>85</v>
      </c>
      <c r="F452">
        <v>220</v>
      </c>
      <c r="G452">
        <v>1050</v>
      </c>
      <c r="H452">
        <v>-2</v>
      </c>
      <c r="I452">
        <v>1983</v>
      </c>
      <c r="J452" t="s">
        <v>81</v>
      </c>
      <c r="K452">
        <v>2750</v>
      </c>
      <c r="L452">
        <v>12.8</v>
      </c>
      <c r="M452">
        <v>7.25</v>
      </c>
      <c r="N452" s="4">
        <f t="shared" si="14"/>
        <v>1.286144E-2</v>
      </c>
      <c r="O452" s="4">
        <f t="shared" si="15"/>
        <v>9.3245439999999999E-2</v>
      </c>
      <c r="P452">
        <v>50</v>
      </c>
      <c r="Q452">
        <v>2.2999999999999998</v>
      </c>
      <c r="R452">
        <v>4.5</v>
      </c>
      <c r="S452">
        <v>2.5</v>
      </c>
      <c r="T452">
        <v>3</v>
      </c>
      <c r="U452">
        <v>3</v>
      </c>
      <c r="V452" t="s">
        <v>38</v>
      </c>
    </row>
    <row r="453" spans="1:22" x14ac:dyDescent="0.25">
      <c r="A453" t="s">
        <v>83</v>
      </c>
      <c r="B453">
        <v>1</v>
      </c>
      <c r="C453" t="s">
        <v>71</v>
      </c>
      <c r="D453" t="s">
        <v>84</v>
      </c>
      <c r="E453" t="s">
        <v>85</v>
      </c>
      <c r="F453">
        <v>220</v>
      </c>
      <c r="G453">
        <v>1050</v>
      </c>
      <c r="H453">
        <v>-2</v>
      </c>
      <c r="I453">
        <v>1983</v>
      </c>
      <c r="J453" t="s">
        <v>62</v>
      </c>
      <c r="K453">
        <v>2553</v>
      </c>
      <c r="L453">
        <v>20.82</v>
      </c>
      <c r="M453">
        <v>11.37</v>
      </c>
      <c r="N453" s="4">
        <f t="shared" si="14"/>
        <v>3.4027583399999999E-2</v>
      </c>
      <c r="O453" s="4">
        <f t="shared" si="15"/>
        <v>0.38689362325799997</v>
      </c>
      <c r="P453">
        <v>88</v>
      </c>
      <c r="Q453">
        <v>2.5</v>
      </c>
      <c r="R453">
        <v>3.3</v>
      </c>
      <c r="S453">
        <v>3.3</v>
      </c>
      <c r="T453">
        <v>3</v>
      </c>
      <c r="U453">
        <v>2.2999999999999998</v>
      </c>
      <c r="V453" t="s">
        <v>38</v>
      </c>
    </row>
    <row r="454" spans="1:22" x14ac:dyDescent="0.25">
      <c r="A454" t="s">
        <v>83</v>
      </c>
      <c r="B454">
        <v>1</v>
      </c>
      <c r="C454" t="s">
        <v>71</v>
      </c>
      <c r="D454" t="s">
        <v>84</v>
      </c>
      <c r="E454" t="s">
        <v>85</v>
      </c>
      <c r="F454">
        <v>220</v>
      </c>
      <c r="G454">
        <v>1050</v>
      </c>
      <c r="H454">
        <v>-2</v>
      </c>
      <c r="I454">
        <v>1983</v>
      </c>
      <c r="J454" t="s">
        <v>37</v>
      </c>
      <c r="K454">
        <v>2575</v>
      </c>
      <c r="L454">
        <v>6.65</v>
      </c>
      <c r="M454">
        <v>5.08</v>
      </c>
      <c r="N454" s="4">
        <f t="shared" si="14"/>
        <v>3.4714662500000006E-3</v>
      </c>
      <c r="O454" s="4">
        <f t="shared" si="15"/>
        <v>1.7635048550000004E-2</v>
      </c>
      <c r="P454">
        <v>88</v>
      </c>
      <c r="Q454">
        <v>2.5</v>
      </c>
      <c r="R454">
        <v>2.5</v>
      </c>
      <c r="S454">
        <v>2.5</v>
      </c>
      <c r="T454">
        <v>3</v>
      </c>
      <c r="U454">
        <v>3</v>
      </c>
      <c r="V454" t="s">
        <v>38</v>
      </c>
    </row>
    <row r="455" spans="1:22" x14ac:dyDescent="0.25">
      <c r="A455" t="s">
        <v>83</v>
      </c>
      <c r="B455">
        <v>1</v>
      </c>
      <c r="C455" t="s">
        <v>71</v>
      </c>
      <c r="D455" t="s">
        <v>84</v>
      </c>
      <c r="E455" t="s">
        <v>85</v>
      </c>
      <c r="F455">
        <v>220</v>
      </c>
      <c r="G455">
        <v>1050</v>
      </c>
      <c r="H455">
        <v>-2</v>
      </c>
      <c r="I455">
        <v>1983</v>
      </c>
      <c r="J455" t="s">
        <v>26</v>
      </c>
      <c r="K455">
        <v>2552</v>
      </c>
      <c r="L455">
        <v>18.88</v>
      </c>
      <c r="M455">
        <v>9.59</v>
      </c>
      <c r="N455" s="4">
        <f t="shared" si="14"/>
        <v>2.7981670400000002E-2</v>
      </c>
      <c r="O455" s="4">
        <f t="shared" si="15"/>
        <v>0.26834421913600004</v>
      </c>
      <c r="P455">
        <v>75</v>
      </c>
      <c r="Q455">
        <v>3</v>
      </c>
      <c r="R455">
        <v>3</v>
      </c>
      <c r="S455">
        <v>3</v>
      </c>
      <c r="T455">
        <v>3.3</v>
      </c>
      <c r="U455">
        <v>3</v>
      </c>
      <c r="V455" t="s">
        <v>25</v>
      </c>
    </row>
    <row r="456" spans="1:22" x14ac:dyDescent="0.25">
      <c r="A456" t="s">
        <v>83</v>
      </c>
      <c r="B456">
        <v>2</v>
      </c>
      <c r="C456" t="s">
        <v>71</v>
      </c>
      <c r="D456" t="s">
        <v>84</v>
      </c>
      <c r="E456" t="s">
        <v>85</v>
      </c>
      <c r="F456">
        <v>220</v>
      </c>
      <c r="G456">
        <v>1050</v>
      </c>
      <c r="H456">
        <v>-2</v>
      </c>
      <c r="I456">
        <v>1983</v>
      </c>
      <c r="J456" t="s">
        <v>76</v>
      </c>
      <c r="K456">
        <v>1592</v>
      </c>
      <c r="L456">
        <v>24.3</v>
      </c>
      <c r="M456">
        <v>10.49</v>
      </c>
      <c r="N456" s="4">
        <f t="shared" si="14"/>
        <v>4.6353464999999996E-2</v>
      </c>
      <c r="O456" s="4">
        <f t="shared" si="15"/>
        <v>0.48624784784999997</v>
      </c>
      <c r="P456">
        <v>50</v>
      </c>
      <c r="Q456">
        <v>3.5</v>
      </c>
      <c r="R456">
        <v>3</v>
      </c>
      <c r="S456">
        <v>3</v>
      </c>
      <c r="T456">
        <v>4</v>
      </c>
      <c r="U456">
        <v>2.5</v>
      </c>
      <c r="V456" t="s">
        <v>25</v>
      </c>
    </row>
    <row r="457" spans="1:22" x14ac:dyDescent="0.25">
      <c r="A457" t="s">
        <v>83</v>
      </c>
      <c r="B457">
        <v>2</v>
      </c>
      <c r="C457" t="s">
        <v>71</v>
      </c>
      <c r="D457" t="s">
        <v>84</v>
      </c>
      <c r="E457" t="s">
        <v>85</v>
      </c>
      <c r="F457">
        <v>220</v>
      </c>
      <c r="G457">
        <v>1050</v>
      </c>
      <c r="H457">
        <v>-2</v>
      </c>
      <c r="I457">
        <v>1983</v>
      </c>
      <c r="J457" t="s">
        <v>76</v>
      </c>
      <c r="K457">
        <v>2560</v>
      </c>
      <c r="L457">
        <v>16.5</v>
      </c>
      <c r="M457">
        <v>7.08</v>
      </c>
      <c r="N457" s="4">
        <f t="shared" si="14"/>
        <v>2.1371625000000002E-2</v>
      </c>
      <c r="O457" s="4">
        <f t="shared" si="15"/>
        <v>0.151311105</v>
      </c>
      <c r="P457">
        <v>75</v>
      </c>
      <c r="Q457">
        <v>3</v>
      </c>
      <c r="R457">
        <v>3.5</v>
      </c>
      <c r="S457">
        <v>2.5</v>
      </c>
      <c r="T457">
        <v>4</v>
      </c>
      <c r="U457">
        <v>3</v>
      </c>
      <c r="V457" t="s">
        <v>25</v>
      </c>
    </row>
    <row r="458" spans="1:22" x14ac:dyDescent="0.25">
      <c r="A458" t="s">
        <v>83</v>
      </c>
      <c r="B458">
        <v>2</v>
      </c>
      <c r="C458" t="s">
        <v>71</v>
      </c>
      <c r="D458" t="s">
        <v>84</v>
      </c>
      <c r="E458" t="s">
        <v>85</v>
      </c>
      <c r="F458">
        <v>220</v>
      </c>
      <c r="G458">
        <v>1050</v>
      </c>
      <c r="H458">
        <v>-2</v>
      </c>
      <c r="I458">
        <v>1983</v>
      </c>
      <c r="J458" t="s">
        <v>24</v>
      </c>
      <c r="K458">
        <v>2562</v>
      </c>
      <c r="L458">
        <v>17.62</v>
      </c>
      <c r="M458">
        <v>9.9</v>
      </c>
      <c r="N458" s="4">
        <f t="shared" si="14"/>
        <v>2.4371455400000009E-2</v>
      </c>
      <c r="O458" s="4">
        <f t="shared" si="15"/>
        <v>0.24127740846000009</v>
      </c>
      <c r="P458">
        <v>88</v>
      </c>
      <c r="Q458">
        <v>3.3</v>
      </c>
      <c r="R458">
        <v>3.3</v>
      </c>
      <c r="S458">
        <v>3</v>
      </c>
      <c r="T458">
        <v>3.5</v>
      </c>
      <c r="U458">
        <v>3.3</v>
      </c>
      <c r="V458" t="s">
        <v>25</v>
      </c>
    </row>
    <row r="459" spans="1:22" x14ac:dyDescent="0.25">
      <c r="A459" t="s">
        <v>83</v>
      </c>
      <c r="B459">
        <v>2</v>
      </c>
      <c r="C459" t="s">
        <v>71</v>
      </c>
      <c r="D459" t="s">
        <v>84</v>
      </c>
      <c r="E459" t="s">
        <v>85</v>
      </c>
      <c r="F459">
        <v>220</v>
      </c>
      <c r="G459">
        <v>1050</v>
      </c>
      <c r="H459">
        <v>-2</v>
      </c>
      <c r="I459">
        <v>1983</v>
      </c>
      <c r="J459" t="s">
        <v>80</v>
      </c>
      <c r="K459">
        <v>1252</v>
      </c>
      <c r="L459">
        <v>12.52</v>
      </c>
      <c r="M459">
        <v>9.23</v>
      </c>
      <c r="N459" s="4">
        <f t="shared" si="14"/>
        <v>1.2304906400000001E-2</v>
      </c>
      <c r="O459" s="4">
        <f t="shared" si="15"/>
        <v>0.11357428607200001</v>
      </c>
      <c r="P459">
        <v>100</v>
      </c>
      <c r="Q459">
        <v>3</v>
      </c>
      <c r="R459">
        <v>2.8</v>
      </c>
      <c r="S459">
        <v>2</v>
      </c>
      <c r="T459">
        <v>2.8</v>
      </c>
      <c r="U459">
        <v>2</v>
      </c>
      <c r="V459" t="s">
        <v>30</v>
      </c>
    </row>
    <row r="460" spans="1:22" x14ac:dyDescent="0.25">
      <c r="A460" t="s">
        <v>83</v>
      </c>
      <c r="B460">
        <v>2</v>
      </c>
      <c r="C460" t="s">
        <v>71</v>
      </c>
      <c r="D460" t="s">
        <v>84</v>
      </c>
      <c r="E460" t="s">
        <v>85</v>
      </c>
      <c r="F460">
        <v>220</v>
      </c>
      <c r="G460">
        <v>1050</v>
      </c>
      <c r="H460">
        <v>-2</v>
      </c>
      <c r="I460">
        <v>1983</v>
      </c>
      <c r="J460" t="s">
        <v>59</v>
      </c>
      <c r="K460">
        <v>1482</v>
      </c>
      <c r="L460">
        <v>21.8</v>
      </c>
      <c r="M460">
        <v>8.52</v>
      </c>
      <c r="N460" s="4">
        <f t="shared" si="14"/>
        <v>3.730634E-2</v>
      </c>
      <c r="O460" s="4">
        <f t="shared" si="15"/>
        <v>0.31785001679999997</v>
      </c>
      <c r="P460">
        <v>100</v>
      </c>
      <c r="Q460">
        <v>2</v>
      </c>
      <c r="R460">
        <v>3</v>
      </c>
      <c r="S460">
        <v>3</v>
      </c>
      <c r="T460">
        <v>3</v>
      </c>
      <c r="U460">
        <v>3</v>
      </c>
      <c r="V460" t="s">
        <v>50</v>
      </c>
    </row>
    <row r="461" spans="1:22" x14ac:dyDescent="0.25">
      <c r="A461" t="s">
        <v>83</v>
      </c>
      <c r="B461">
        <v>2</v>
      </c>
      <c r="C461" t="s">
        <v>71</v>
      </c>
      <c r="D461" t="s">
        <v>84</v>
      </c>
      <c r="E461" t="s">
        <v>85</v>
      </c>
      <c r="F461">
        <v>220</v>
      </c>
      <c r="G461">
        <v>1050</v>
      </c>
      <c r="H461">
        <v>-2</v>
      </c>
      <c r="I461">
        <v>1983</v>
      </c>
      <c r="J461" t="s">
        <v>59</v>
      </c>
      <c r="K461">
        <v>2548</v>
      </c>
      <c r="L461">
        <v>13.7</v>
      </c>
      <c r="M461">
        <v>5.35</v>
      </c>
      <c r="N461" s="4">
        <f t="shared" si="14"/>
        <v>1.4733664999999996E-2</v>
      </c>
      <c r="O461" s="4">
        <f t="shared" si="15"/>
        <v>7.882510774999997E-2</v>
      </c>
      <c r="P461">
        <v>88</v>
      </c>
      <c r="Q461">
        <v>4</v>
      </c>
      <c r="R461">
        <v>3</v>
      </c>
      <c r="S461">
        <v>2</v>
      </c>
      <c r="T461">
        <v>3</v>
      </c>
      <c r="U461">
        <v>1.5</v>
      </c>
      <c r="V461" t="s">
        <v>25</v>
      </c>
    </row>
    <row r="462" spans="1:22" x14ac:dyDescent="0.25">
      <c r="A462" t="s">
        <v>83</v>
      </c>
      <c r="B462">
        <v>2</v>
      </c>
      <c r="C462" t="s">
        <v>71</v>
      </c>
      <c r="D462" t="s">
        <v>84</v>
      </c>
      <c r="E462" t="s">
        <v>85</v>
      </c>
      <c r="F462">
        <v>220</v>
      </c>
      <c r="G462">
        <v>1050</v>
      </c>
      <c r="H462">
        <v>-2</v>
      </c>
      <c r="I462">
        <v>1983</v>
      </c>
      <c r="J462" t="s">
        <v>32</v>
      </c>
      <c r="K462">
        <v>1596</v>
      </c>
      <c r="L462">
        <v>10.97</v>
      </c>
      <c r="M462">
        <v>5.2</v>
      </c>
      <c r="N462" s="4">
        <f t="shared" si="14"/>
        <v>9.4467606500000002E-3</v>
      </c>
      <c r="O462" s="4">
        <f t="shared" si="15"/>
        <v>4.9123155380000005E-2</v>
      </c>
      <c r="P462">
        <v>50</v>
      </c>
      <c r="Q462">
        <v>3.3</v>
      </c>
      <c r="R462">
        <v>3</v>
      </c>
      <c r="S462">
        <v>3.3</v>
      </c>
      <c r="T462">
        <v>4</v>
      </c>
      <c r="U462">
        <v>3.5</v>
      </c>
      <c r="V462" t="s">
        <v>25</v>
      </c>
    </row>
    <row r="463" spans="1:22" x14ac:dyDescent="0.25">
      <c r="A463" t="s">
        <v>83</v>
      </c>
      <c r="B463">
        <v>2</v>
      </c>
      <c r="C463" t="s">
        <v>71</v>
      </c>
      <c r="D463" t="s">
        <v>84</v>
      </c>
      <c r="E463" t="s">
        <v>85</v>
      </c>
      <c r="F463">
        <v>220</v>
      </c>
      <c r="G463">
        <v>1050</v>
      </c>
      <c r="H463">
        <v>-2</v>
      </c>
      <c r="I463">
        <v>1983</v>
      </c>
      <c r="J463" t="s">
        <v>32</v>
      </c>
      <c r="K463">
        <v>2569</v>
      </c>
      <c r="L463">
        <v>20.86</v>
      </c>
      <c r="M463">
        <v>9.89</v>
      </c>
      <c r="N463" s="4">
        <f t="shared" si="14"/>
        <v>3.4158458600000004E-2</v>
      </c>
      <c r="O463" s="4">
        <f t="shared" si="15"/>
        <v>0.33782715555400006</v>
      </c>
      <c r="P463">
        <v>25</v>
      </c>
      <c r="Q463">
        <v>1.5</v>
      </c>
      <c r="R463">
        <v>3</v>
      </c>
      <c r="S463">
        <v>3</v>
      </c>
      <c r="T463">
        <v>3</v>
      </c>
      <c r="U463">
        <v>3</v>
      </c>
      <c r="V463" t="s">
        <v>50</v>
      </c>
    </row>
    <row r="464" spans="1:22" x14ac:dyDescent="0.25">
      <c r="A464" t="s">
        <v>83</v>
      </c>
      <c r="B464">
        <v>2</v>
      </c>
      <c r="C464" t="s">
        <v>71</v>
      </c>
      <c r="D464" t="s">
        <v>84</v>
      </c>
      <c r="E464" t="s">
        <v>85</v>
      </c>
      <c r="F464">
        <v>220</v>
      </c>
      <c r="G464">
        <v>1050</v>
      </c>
      <c r="H464">
        <v>-2</v>
      </c>
      <c r="I464">
        <v>1983</v>
      </c>
      <c r="J464" t="s">
        <v>33</v>
      </c>
      <c r="K464">
        <v>2547</v>
      </c>
      <c r="L464">
        <v>20.309999999999999</v>
      </c>
      <c r="M464">
        <v>9.27</v>
      </c>
      <c r="N464" s="4">
        <f t="shared" si="14"/>
        <v>3.2380943849999996E-2</v>
      </c>
      <c r="O464" s="4">
        <f t="shared" si="15"/>
        <v>0.30017134948949997</v>
      </c>
      <c r="P464">
        <v>100</v>
      </c>
      <c r="Q464">
        <v>4</v>
      </c>
      <c r="R464">
        <v>2.5</v>
      </c>
      <c r="S464">
        <v>2.8</v>
      </c>
      <c r="T464">
        <v>2.5</v>
      </c>
      <c r="U464">
        <v>2.5</v>
      </c>
      <c r="V464" t="s">
        <v>25</v>
      </c>
    </row>
    <row r="465" spans="1:22" x14ac:dyDescent="0.25">
      <c r="A465" t="s">
        <v>83</v>
      </c>
      <c r="B465">
        <v>2</v>
      </c>
      <c r="C465" t="s">
        <v>71</v>
      </c>
      <c r="D465" t="s">
        <v>84</v>
      </c>
      <c r="E465" t="s">
        <v>85</v>
      </c>
      <c r="F465">
        <v>220</v>
      </c>
      <c r="G465">
        <v>1050</v>
      </c>
      <c r="H465">
        <v>-2</v>
      </c>
      <c r="I465">
        <v>1983</v>
      </c>
      <c r="J465" t="s">
        <v>33</v>
      </c>
      <c r="K465">
        <v>2568</v>
      </c>
      <c r="L465">
        <v>20.29</v>
      </c>
      <c r="M465">
        <v>9.27</v>
      </c>
      <c r="N465" s="4">
        <f t="shared" si="14"/>
        <v>3.2317201849999998E-2</v>
      </c>
      <c r="O465" s="4">
        <f t="shared" si="15"/>
        <v>0.29958046114949999</v>
      </c>
      <c r="P465">
        <v>88</v>
      </c>
      <c r="Q465">
        <v>2</v>
      </c>
      <c r="R465">
        <v>2.5</v>
      </c>
      <c r="S465">
        <v>3</v>
      </c>
      <c r="T465">
        <v>3</v>
      </c>
      <c r="U465">
        <v>2</v>
      </c>
      <c r="V465" t="s">
        <v>30</v>
      </c>
    </row>
    <row r="466" spans="1:22" x14ac:dyDescent="0.25">
      <c r="A466" t="s">
        <v>83</v>
      </c>
      <c r="B466">
        <v>2</v>
      </c>
      <c r="C466" t="s">
        <v>71</v>
      </c>
      <c r="D466" t="s">
        <v>84</v>
      </c>
      <c r="E466" t="s">
        <v>85</v>
      </c>
      <c r="F466">
        <v>220</v>
      </c>
      <c r="G466">
        <v>1050</v>
      </c>
      <c r="H466">
        <v>-2</v>
      </c>
      <c r="I466">
        <v>1983</v>
      </c>
      <c r="J466" t="s">
        <v>34</v>
      </c>
      <c r="K466">
        <v>1522</v>
      </c>
      <c r="L466">
        <v>7.6</v>
      </c>
      <c r="M466">
        <v>3.76</v>
      </c>
      <c r="N466" s="4">
        <f t="shared" si="14"/>
        <v>4.5341599999999998E-3</v>
      </c>
      <c r="O466" s="4">
        <f t="shared" si="15"/>
        <v>1.7048441599999999E-2</v>
      </c>
      <c r="P466">
        <v>63</v>
      </c>
      <c r="Q466">
        <v>2</v>
      </c>
      <c r="R466">
        <v>3</v>
      </c>
      <c r="S466">
        <v>3</v>
      </c>
      <c r="T466">
        <v>3</v>
      </c>
      <c r="U466">
        <v>3</v>
      </c>
      <c r="V466" t="s">
        <v>50</v>
      </c>
    </row>
    <row r="467" spans="1:22" x14ac:dyDescent="0.25">
      <c r="A467" t="s">
        <v>83</v>
      </c>
      <c r="B467">
        <v>2</v>
      </c>
      <c r="C467" t="s">
        <v>71</v>
      </c>
      <c r="D467" t="s">
        <v>84</v>
      </c>
      <c r="E467" t="s">
        <v>85</v>
      </c>
      <c r="F467">
        <v>220</v>
      </c>
      <c r="G467">
        <v>1050</v>
      </c>
      <c r="H467">
        <v>-2</v>
      </c>
      <c r="I467">
        <v>1983</v>
      </c>
      <c r="J467" t="s">
        <v>34</v>
      </c>
      <c r="K467">
        <v>2570</v>
      </c>
      <c r="L467">
        <v>19.010000000000002</v>
      </c>
      <c r="M467">
        <v>9.41</v>
      </c>
      <c r="N467" s="4">
        <f t="shared" si="14"/>
        <v>2.8368337850000005E-2</v>
      </c>
      <c r="O467" s="4">
        <f t="shared" si="15"/>
        <v>0.26694605916850006</v>
      </c>
      <c r="P467">
        <v>75</v>
      </c>
      <c r="Q467">
        <v>3.5</v>
      </c>
      <c r="R467">
        <v>3</v>
      </c>
      <c r="S467">
        <v>3.5</v>
      </c>
      <c r="T467">
        <v>3.5</v>
      </c>
      <c r="U467">
        <v>3.5</v>
      </c>
      <c r="V467" t="s">
        <v>25</v>
      </c>
    </row>
    <row r="468" spans="1:22" x14ac:dyDescent="0.25">
      <c r="A468" t="s">
        <v>83</v>
      </c>
      <c r="B468">
        <v>2</v>
      </c>
      <c r="C468" t="s">
        <v>71</v>
      </c>
      <c r="D468" t="s">
        <v>84</v>
      </c>
      <c r="E468" t="s">
        <v>85</v>
      </c>
      <c r="F468">
        <v>220</v>
      </c>
      <c r="G468">
        <v>1050</v>
      </c>
      <c r="H468">
        <v>-2</v>
      </c>
      <c r="I468">
        <v>1983</v>
      </c>
      <c r="J468" t="s">
        <v>35</v>
      </c>
      <c r="K468">
        <v>2571</v>
      </c>
      <c r="L468">
        <v>16.149999999999999</v>
      </c>
      <c r="M468">
        <v>6.19</v>
      </c>
      <c r="N468" s="4">
        <f t="shared" si="14"/>
        <v>2.0474566249999993E-2</v>
      </c>
      <c r="O468" s="4">
        <f t="shared" si="15"/>
        <v>0.12673756508749995</v>
      </c>
      <c r="P468">
        <v>100</v>
      </c>
      <c r="Q468">
        <v>3</v>
      </c>
      <c r="R468">
        <v>2.2999999999999998</v>
      </c>
      <c r="S468">
        <v>3</v>
      </c>
      <c r="T468">
        <v>4</v>
      </c>
      <c r="U468">
        <v>4</v>
      </c>
      <c r="V468" t="s">
        <v>25</v>
      </c>
    </row>
    <row r="469" spans="1:22" x14ac:dyDescent="0.25">
      <c r="A469" t="s">
        <v>83</v>
      </c>
      <c r="B469">
        <v>2</v>
      </c>
      <c r="C469" t="s">
        <v>71</v>
      </c>
      <c r="D469" t="s">
        <v>84</v>
      </c>
      <c r="E469" t="s">
        <v>85</v>
      </c>
      <c r="F469">
        <v>220</v>
      </c>
      <c r="G469">
        <v>1050</v>
      </c>
      <c r="H469">
        <v>-2</v>
      </c>
      <c r="I469">
        <v>1983</v>
      </c>
      <c r="J469" t="s">
        <v>81</v>
      </c>
      <c r="K469">
        <v>2750</v>
      </c>
      <c r="L469">
        <v>14.5</v>
      </c>
      <c r="M469">
        <v>8.17</v>
      </c>
      <c r="N469" s="4">
        <f t="shared" si="14"/>
        <v>1.6504624999999998E-2</v>
      </c>
      <c r="O469" s="4">
        <f t="shared" si="15"/>
        <v>0.13484278624999999</v>
      </c>
      <c r="P469">
        <v>88</v>
      </c>
      <c r="Q469">
        <v>1</v>
      </c>
      <c r="R469">
        <v>3</v>
      </c>
      <c r="S469">
        <v>3</v>
      </c>
      <c r="T469">
        <v>3</v>
      </c>
      <c r="U469">
        <v>3</v>
      </c>
      <c r="V469" t="s">
        <v>50</v>
      </c>
    </row>
    <row r="470" spans="1:22" x14ac:dyDescent="0.25">
      <c r="A470" t="s">
        <v>83</v>
      </c>
      <c r="B470">
        <v>2</v>
      </c>
      <c r="C470" t="s">
        <v>71</v>
      </c>
      <c r="D470" t="s">
        <v>84</v>
      </c>
      <c r="E470" t="s">
        <v>85</v>
      </c>
      <c r="F470">
        <v>220</v>
      </c>
      <c r="G470">
        <v>1050</v>
      </c>
      <c r="H470">
        <v>-2</v>
      </c>
      <c r="I470">
        <v>1983</v>
      </c>
      <c r="J470" t="s">
        <v>62</v>
      </c>
      <c r="K470">
        <v>2553</v>
      </c>
      <c r="L470">
        <v>11.28</v>
      </c>
      <c r="M470">
        <v>6.41</v>
      </c>
      <c r="N470" s="4">
        <f t="shared" si="14"/>
        <v>9.9882144000000006E-3</v>
      </c>
      <c r="O470" s="4">
        <f t="shared" si="15"/>
        <v>6.4024454304E-2</v>
      </c>
      <c r="P470">
        <v>50</v>
      </c>
      <c r="Q470">
        <v>4</v>
      </c>
      <c r="R470">
        <v>3.5</v>
      </c>
      <c r="S470">
        <v>3.5</v>
      </c>
      <c r="T470">
        <v>3.5</v>
      </c>
      <c r="U470">
        <v>3</v>
      </c>
      <c r="V470" t="s">
        <v>25</v>
      </c>
    </row>
    <row r="471" spans="1:22" x14ac:dyDescent="0.25">
      <c r="A471" t="s">
        <v>83</v>
      </c>
      <c r="B471">
        <v>2</v>
      </c>
      <c r="C471" t="s">
        <v>71</v>
      </c>
      <c r="D471" t="s">
        <v>84</v>
      </c>
      <c r="E471" t="s">
        <v>85</v>
      </c>
      <c r="F471">
        <v>220</v>
      </c>
      <c r="G471">
        <v>1050</v>
      </c>
      <c r="H471">
        <v>-2</v>
      </c>
      <c r="I471">
        <v>1983</v>
      </c>
      <c r="J471" t="s">
        <v>37</v>
      </c>
      <c r="K471">
        <v>2575</v>
      </c>
      <c r="L471">
        <v>13.31</v>
      </c>
      <c r="M471">
        <v>8.75</v>
      </c>
      <c r="N471" s="4">
        <f t="shared" si="14"/>
        <v>1.390675385E-2</v>
      </c>
      <c r="O471" s="4">
        <f t="shared" si="15"/>
        <v>0.12168409618750001</v>
      </c>
      <c r="P471">
        <v>75</v>
      </c>
      <c r="Q471">
        <v>2.8</v>
      </c>
      <c r="R471">
        <v>3</v>
      </c>
      <c r="S471">
        <v>2.5</v>
      </c>
      <c r="T471">
        <v>3</v>
      </c>
      <c r="U471">
        <v>2.5</v>
      </c>
      <c r="V471" t="s">
        <v>30</v>
      </c>
    </row>
    <row r="472" spans="1:22" x14ac:dyDescent="0.25">
      <c r="A472" t="s">
        <v>83</v>
      </c>
      <c r="B472">
        <v>2</v>
      </c>
      <c r="C472" t="s">
        <v>71</v>
      </c>
      <c r="D472" t="s">
        <v>84</v>
      </c>
      <c r="E472" t="s">
        <v>85</v>
      </c>
      <c r="F472">
        <v>220</v>
      </c>
      <c r="G472">
        <v>1050</v>
      </c>
      <c r="H472">
        <v>-2</v>
      </c>
      <c r="I472">
        <v>1983</v>
      </c>
      <c r="J472" t="s">
        <v>26</v>
      </c>
      <c r="K472">
        <v>2552</v>
      </c>
      <c r="L472">
        <v>14.89</v>
      </c>
      <c r="M472">
        <v>7.56</v>
      </c>
      <c r="N472" s="4">
        <f t="shared" si="14"/>
        <v>1.7404399850000002E-2</v>
      </c>
      <c r="O472" s="4">
        <f t="shared" si="15"/>
        <v>0.13157726286599999</v>
      </c>
      <c r="P472">
        <v>50</v>
      </c>
      <c r="Q472">
        <v>4</v>
      </c>
      <c r="R472">
        <v>4</v>
      </c>
      <c r="S472">
        <v>2</v>
      </c>
      <c r="T472">
        <v>3</v>
      </c>
      <c r="U472">
        <v>2</v>
      </c>
      <c r="V472" t="s">
        <v>25</v>
      </c>
    </row>
    <row r="473" spans="1:22" x14ac:dyDescent="0.25">
      <c r="A473" t="s">
        <v>83</v>
      </c>
      <c r="B473">
        <v>3</v>
      </c>
      <c r="C473" t="s">
        <v>71</v>
      </c>
      <c r="D473" t="s">
        <v>84</v>
      </c>
      <c r="E473" t="s">
        <v>85</v>
      </c>
      <c r="F473">
        <v>220</v>
      </c>
      <c r="G473">
        <v>1050</v>
      </c>
      <c r="H473">
        <v>-2</v>
      </c>
      <c r="I473">
        <v>1983</v>
      </c>
      <c r="J473" t="s">
        <v>76</v>
      </c>
      <c r="K473">
        <v>1592</v>
      </c>
      <c r="L473">
        <v>19.34</v>
      </c>
      <c r="M473">
        <v>8.3000000000000007</v>
      </c>
      <c r="N473" s="4">
        <f t="shared" si="14"/>
        <v>2.9361794599999998E-2</v>
      </c>
      <c r="O473" s="4">
        <f t="shared" si="15"/>
        <v>0.24370289517999999</v>
      </c>
      <c r="P473">
        <v>100</v>
      </c>
      <c r="Q473">
        <v>3.5</v>
      </c>
      <c r="R473">
        <v>3.5</v>
      </c>
      <c r="S473">
        <v>2.5</v>
      </c>
      <c r="T473">
        <v>3.5</v>
      </c>
      <c r="U473">
        <v>2.5</v>
      </c>
      <c r="V473" t="s">
        <v>25</v>
      </c>
    </row>
    <row r="474" spans="1:22" x14ac:dyDescent="0.25">
      <c r="A474" t="s">
        <v>83</v>
      </c>
      <c r="B474">
        <v>3</v>
      </c>
      <c r="C474" t="s">
        <v>71</v>
      </c>
      <c r="D474" t="s">
        <v>84</v>
      </c>
      <c r="E474" t="s">
        <v>85</v>
      </c>
      <c r="F474">
        <v>220</v>
      </c>
      <c r="G474">
        <v>1050</v>
      </c>
      <c r="H474">
        <v>-2</v>
      </c>
      <c r="I474">
        <v>1983</v>
      </c>
      <c r="J474" t="s">
        <v>76</v>
      </c>
      <c r="K474">
        <v>2560</v>
      </c>
      <c r="L474">
        <v>21.27</v>
      </c>
      <c r="M474">
        <v>9.1300000000000008</v>
      </c>
      <c r="N474" s="4">
        <f t="shared" si="14"/>
        <v>3.5514412650000007E-2</v>
      </c>
      <c r="O474" s="4">
        <f t="shared" si="15"/>
        <v>0.32424658749450008</v>
      </c>
      <c r="P474">
        <v>88</v>
      </c>
      <c r="Q474">
        <v>3.3</v>
      </c>
      <c r="R474">
        <v>3.5</v>
      </c>
      <c r="S474">
        <v>2.5</v>
      </c>
      <c r="T474">
        <v>3.3</v>
      </c>
      <c r="U474">
        <v>3</v>
      </c>
      <c r="V474" t="s">
        <v>25</v>
      </c>
    </row>
    <row r="475" spans="1:22" x14ac:dyDescent="0.25">
      <c r="A475" t="s">
        <v>83</v>
      </c>
      <c r="B475">
        <v>3</v>
      </c>
      <c r="C475" t="s">
        <v>71</v>
      </c>
      <c r="D475" t="s">
        <v>84</v>
      </c>
      <c r="E475" t="s">
        <v>85</v>
      </c>
      <c r="F475">
        <v>220</v>
      </c>
      <c r="G475">
        <v>1050</v>
      </c>
      <c r="H475">
        <v>-2</v>
      </c>
      <c r="I475">
        <v>1983</v>
      </c>
      <c r="J475" t="s">
        <v>24</v>
      </c>
      <c r="K475">
        <v>2562</v>
      </c>
      <c r="L475">
        <v>17.62</v>
      </c>
      <c r="M475">
        <v>9.9</v>
      </c>
      <c r="N475" s="4">
        <f t="shared" si="14"/>
        <v>2.4371455400000009E-2</v>
      </c>
      <c r="O475" s="4">
        <f t="shared" si="15"/>
        <v>0.24127740846000009</v>
      </c>
      <c r="P475">
        <v>100</v>
      </c>
      <c r="Q475">
        <v>3.5</v>
      </c>
      <c r="R475">
        <v>3</v>
      </c>
      <c r="S475">
        <v>3</v>
      </c>
      <c r="T475">
        <v>3.3</v>
      </c>
      <c r="U475">
        <v>3.3</v>
      </c>
      <c r="V475" t="s">
        <v>25</v>
      </c>
    </row>
    <row r="476" spans="1:22" x14ac:dyDescent="0.25">
      <c r="A476" t="s">
        <v>83</v>
      </c>
      <c r="B476">
        <v>3</v>
      </c>
      <c r="C476" t="s">
        <v>71</v>
      </c>
      <c r="D476" t="s">
        <v>84</v>
      </c>
      <c r="E476" t="s">
        <v>85</v>
      </c>
      <c r="F476">
        <v>220</v>
      </c>
      <c r="G476">
        <v>1050</v>
      </c>
      <c r="H476">
        <v>-2</v>
      </c>
      <c r="I476">
        <v>1983</v>
      </c>
      <c r="J476" t="s">
        <v>80</v>
      </c>
      <c r="K476">
        <v>1252</v>
      </c>
      <c r="L476">
        <v>10.36</v>
      </c>
      <c r="M476">
        <v>7.54</v>
      </c>
      <c r="N476" s="4">
        <f t="shared" si="14"/>
        <v>8.425373600000001E-3</v>
      </c>
      <c r="O476" s="4">
        <f t="shared" si="15"/>
        <v>6.3527316944000004E-2</v>
      </c>
      <c r="P476">
        <v>100</v>
      </c>
      <c r="Q476">
        <v>2.7</v>
      </c>
      <c r="R476">
        <v>3</v>
      </c>
      <c r="S476">
        <v>2</v>
      </c>
      <c r="T476">
        <v>2</v>
      </c>
      <c r="U476">
        <v>2</v>
      </c>
      <c r="V476" t="s">
        <v>30</v>
      </c>
    </row>
    <row r="477" spans="1:22" x14ac:dyDescent="0.25">
      <c r="A477" t="s">
        <v>83</v>
      </c>
      <c r="B477">
        <v>3</v>
      </c>
      <c r="C477" t="s">
        <v>71</v>
      </c>
      <c r="D477" t="s">
        <v>84</v>
      </c>
      <c r="E477" t="s">
        <v>85</v>
      </c>
      <c r="F477">
        <v>220</v>
      </c>
      <c r="G477">
        <v>1050</v>
      </c>
      <c r="H477">
        <v>-2</v>
      </c>
      <c r="I477">
        <v>1983</v>
      </c>
      <c r="J477" t="s">
        <v>59</v>
      </c>
      <c r="K477">
        <v>1482</v>
      </c>
      <c r="L477">
        <v>22.38</v>
      </c>
      <c r="M477">
        <v>8.74</v>
      </c>
      <c r="N477" s="4">
        <f t="shared" si="14"/>
        <v>3.9317855400000004E-2</v>
      </c>
      <c r="O477" s="4">
        <f t="shared" si="15"/>
        <v>0.34363805619600002</v>
      </c>
      <c r="P477">
        <v>100</v>
      </c>
      <c r="Q477">
        <v>3.7</v>
      </c>
      <c r="R477">
        <v>3</v>
      </c>
      <c r="S477">
        <v>3.2</v>
      </c>
      <c r="T477">
        <v>3.3</v>
      </c>
      <c r="U477">
        <v>2.6</v>
      </c>
      <c r="V477" t="s">
        <v>25</v>
      </c>
    </row>
    <row r="478" spans="1:22" x14ac:dyDescent="0.25">
      <c r="A478" t="s">
        <v>83</v>
      </c>
      <c r="B478">
        <v>3</v>
      </c>
      <c r="C478" t="s">
        <v>71</v>
      </c>
      <c r="D478" t="s">
        <v>84</v>
      </c>
      <c r="E478" t="s">
        <v>85</v>
      </c>
      <c r="F478">
        <v>220</v>
      </c>
      <c r="G478">
        <v>1050</v>
      </c>
      <c r="H478">
        <v>-2</v>
      </c>
      <c r="I478">
        <v>1983</v>
      </c>
      <c r="J478" t="s">
        <v>59</v>
      </c>
      <c r="K478">
        <v>2548</v>
      </c>
      <c r="L478">
        <v>6.34</v>
      </c>
      <c r="M478">
        <v>3.65</v>
      </c>
      <c r="N478" s="4">
        <f t="shared" si="14"/>
        <v>3.1553546000000002E-3</v>
      </c>
      <c r="O478" s="4">
        <f t="shared" si="15"/>
        <v>1.151704429E-2</v>
      </c>
      <c r="P478">
        <v>100</v>
      </c>
      <c r="Q478">
        <v>3</v>
      </c>
      <c r="R478">
        <v>3</v>
      </c>
      <c r="S478">
        <v>2</v>
      </c>
      <c r="T478">
        <v>2.5</v>
      </c>
      <c r="U478">
        <v>2.5</v>
      </c>
      <c r="V478" t="s">
        <v>30</v>
      </c>
    </row>
    <row r="479" spans="1:22" x14ac:dyDescent="0.25">
      <c r="A479" t="s">
        <v>83</v>
      </c>
      <c r="B479">
        <v>3</v>
      </c>
      <c r="C479" t="s">
        <v>71</v>
      </c>
      <c r="D479" t="s">
        <v>84</v>
      </c>
      <c r="E479" t="s">
        <v>85</v>
      </c>
      <c r="F479">
        <v>220</v>
      </c>
      <c r="G479">
        <v>1050</v>
      </c>
      <c r="H479">
        <v>-2</v>
      </c>
      <c r="I479">
        <v>1983</v>
      </c>
      <c r="J479" t="s">
        <v>32</v>
      </c>
      <c r="K479">
        <v>1596</v>
      </c>
      <c r="L479">
        <v>14.77</v>
      </c>
      <c r="M479">
        <v>7</v>
      </c>
      <c r="N479" s="4">
        <f t="shared" si="14"/>
        <v>1.7125002650000002E-2</v>
      </c>
      <c r="O479" s="4">
        <f t="shared" si="15"/>
        <v>0.11987501855000002</v>
      </c>
      <c r="P479">
        <v>100</v>
      </c>
      <c r="Q479">
        <v>3</v>
      </c>
      <c r="R479">
        <v>4</v>
      </c>
      <c r="S479">
        <v>2</v>
      </c>
      <c r="T479">
        <v>3.5</v>
      </c>
      <c r="U479">
        <v>3</v>
      </c>
      <c r="V479" t="s">
        <v>25</v>
      </c>
    </row>
    <row r="480" spans="1:22" x14ac:dyDescent="0.25">
      <c r="A480" t="s">
        <v>83</v>
      </c>
      <c r="B480">
        <v>3</v>
      </c>
      <c r="C480" t="s">
        <v>71</v>
      </c>
      <c r="D480" t="s">
        <v>84</v>
      </c>
      <c r="E480" t="s">
        <v>85</v>
      </c>
      <c r="F480">
        <v>220</v>
      </c>
      <c r="G480">
        <v>1050</v>
      </c>
      <c r="H480">
        <v>-2</v>
      </c>
      <c r="I480">
        <v>1983</v>
      </c>
      <c r="J480" t="s">
        <v>32</v>
      </c>
      <c r="K480">
        <v>2569</v>
      </c>
      <c r="L480">
        <v>10.11</v>
      </c>
      <c r="M480">
        <v>4.79</v>
      </c>
      <c r="N480" s="4">
        <f t="shared" si="14"/>
        <v>8.02364985E-3</v>
      </c>
      <c r="O480" s="4">
        <f t="shared" si="15"/>
        <v>3.8433282781500003E-2</v>
      </c>
      <c r="P480">
        <v>100</v>
      </c>
      <c r="Q480">
        <v>2.7</v>
      </c>
      <c r="R480">
        <v>3.5</v>
      </c>
      <c r="S480">
        <v>2.8</v>
      </c>
      <c r="T480">
        <v>4</v>
      </c>
      <c r="U480">
        <v>4</v>
      </c>
      <c r="V480" t="s">
        <v>25</v>
      </c>
    </row>
    <row r="481" spans="1:22" x14ac:dyDescent="0.25">
      <c r="A481" t="s">
        <v>83</v>
      </c>
      <c r="B481">
        <v>3</v>
      </c>
      <c r="C481" t="s">
        <v>71</v>
      </c>
      <c r="D481" t="s">
        <v>84</v>
      </c>
      <c r="E481" t="s">
        <v>85</v>
      </c>
      <c r="F481">
        <v>220</v>
      </c>
      <c r="G481">
        <v>1050</v>
      </c>
      <c r="H481">
        <v>-2</v>
      </c>
      <c r="I481">
        <v>1983</v>
      </c>
      <c r="J481" t="s">
        <v>33</v>
      </c>
      <c r="K481">
        <v>2547</v>
      </c>
      <c r="L481">
        <v>18.16</v>
      </c>
      <c r="M481">
        <v>8.2899999999999991</v>
      </c>
      <c r="N481" s="4">
        <f t="shared" si="14"/>
        <v>2.5888169600000004E-2</v>
      </c>
      <c r="O481" s="4">
        <f t="shared" si="15"/>
        <v>0.214612925984</v>
      </c>
      <c r="P481">
        <v>75</v>
      </c>
      <c r="Q481">
        <v>4</v>
      </c>
      <c r="R481">
        <v>2.2999999999999998</v>
      </c>
      <c r="S481">
        <v>3.3</v>
      </c>
      <c r="T481">
        <v>3.3</v>
      </c>
      <c r="U481">
        <v>3</v>
      </c>
      <c r="V481" t="s">
        <v>25</v>
      </c>
    </row>
    <row r="482" spans="1:22" x14ac:dyDescent="0.25">
      <c r="A482" t="s">
        <v>83</v>
      </c>
      <c r="B482">
        <v>3</v>
      </c>
      <c r="C482" t="s">
        <v>71</v>
      </c>
      <c r="D482" t="s">
        <v>84</v>
      </c>
      <c r="E482" t="s">
        <v>85</v>
      </c>
      <c r="F482">
        <v>220</v>
      </c>
      <c r="G482">
        <v>1050</v>
      </c>
      <c r="H482">
        <v>-2</v>
      </c>
      <c r="I482">
        <v>1983</v>
      </c>
      <c r="J482" t="s">
        <v>33</v>
      </c>
      <c r="K482">
        <v>2568</v>
      </c>
      <c r="L482">
        <v>21.09</v>
      </c>
      <c r="M482">
        <v>9.6300000000000008</v>
      </c>
      <c r="N482" s="4">
        <f t="shared" si="14"/>
        <v>3.4915865850000005E-2</v>
      </c>
      <c r="O482" s="4">
        <f t="shared" si="15"/>
        <v>0.3362397881355001</v>
      </c>
      <c r="P482">
        <v>63</v>
      </c>
      <c r="Q482">
        <v>4</v>
      </c>
      <c r="R482">
        <v>3</v>
      </c>
      <c r="S482">
        <v>4</v>
      </c>
      <c r="T482">
        <v>3.3</v>
      </c>
      <c r="U482">
        <v>3</v>
      </c>
      <c r="V482" t="s">
        <v>25</v>
      </c>
    </row>
    <row r="483" spans="1:22" x14ac:dyDescent="0.25">
      <c r="A483" t="s">
        <v>83</v>
      </c>
      <c r="B483">
        <v>3</v>
      </c>
      <c r="C483" t="s">
        <v>71</v>
      </c>
      <c r="D483" t="s">
        <v>84</v>
      </c>
      <c r="E483" t="s">
        <v>85</v>
      </c>
      <c r="F483">
        <v>220</v>
      </c>
      <c r="G483">
        <v>1050</v>
      </c>
      <c r="H483">
        <v>-2</v>
      </c>
      <c r="I483">
        <v>1983</v>
      </c>
      <c r="J483" t="s">
        <v>34</v>
      </c>
      <c r="K483">
        <v>1522</v>
      </c>
      <c r="L483">
        <v>17.84</v>
      </c>
      <c r="M483">
        <v>8.83</v>
      </c>
      <c r="N483" s="4">
        <f t="shared" si="14"/>
        <v>2.4983849600000003E-2</v>
      </c>
      <c r="O483" s="4">
        <f t="shared" si="15"/>
        <v>0.22060739196800003</v>
      </c>
      <c r="P483">
        <v>88</v>
      </c>
      <c r="Q483">
        <v>3.5</v>
      </c>
      <c r="R483">
        <v>3</v>
      </c>
      <c r="S483">
        <v>3</v>
      </c>
      <c r="T483">
        <v>3</v>
      </c>
      <c r="U483">
        <v>2.7</v>
      </c>
      <c r="V483" t="s">
        <v>25</v>
      </c>
    </row>
    <row r="484" spans="1:22" x14ac:dyDescent="0.25">
      <c r="A484" t="s">
        <v>83</v>
      </c>
      <c r="B484">
        <v>3</v>
      </c>
      <c r="C484" t="s">
        <v>71</v>
      </c>
      <c r="D484" t="s">
        <v>84</v>
      </c>
      <c r="E484" t="s">
        <v>85</v>
      </c>
      <c r="F484">
        <v>220</v>
      </c>
      <c r="G484">
        <v>1050</v>
      </c>
      <c r="H484">
        <v>-2</v>
      </c>
      <c r="I484">
        <v>1983</v>
      </c>
      <c r="J484" t="s">
        <v>34</v>
      </c>
      <c r="K484">
        <v>2570</v>
      </c>
      <c r="L484">
        <v>18.3</v>
      </c>
      <c r="M484">
        <v>9.06</v>
      </c>
      <c r="N484" s="4">
        <f t="shared" si="14"/>
        <v>2.6288864999999998E-2</v>
      </c>
      <c r="O484" s="4">
        <f t="shared" si="15"/>
        <v>0.23817711689999999</v>
      </c>
      <c r="P484">
        <v>50</v>
      </c>
      <c r="Q484">
        <v>3.5</v>
      </c>
      <c r="R484">
        <v>3</v>
      </c>
      <c r="S484">
        <v>2.5</v>
      </c>
      <c r="T484">
        <v>3</v>
      </c>
      <c r="U484">
        <v>2.5</v>
      </c>
      <c r="V484" t="s">
        <v>38</v>
      </c>
    </row>
    <row r="485" spans="1:22" x14ac:dyDescent="0.25">
      <c r="A485" t="s">
        <v>83</v>
      </c>
      <c r="B485">
        <v>3</v>
      </c>
      <c r="C485" t="s">
        <v>71</v>
      </c>
      <c r="D485" t="s">
        <v>84</v>
      </c>
      <c r="E485" t="s">
        <v>85</v>
      </c>
      <c r="F485">
        <v>220</v>
      </c>
      <c r="G485">
        <v>1050</v>
      </c>
      <c r="H485">
        <v>-2</v>
      </c>
      <c r="I485">
        <v>1983</v>
      </c>
      <c r="J485" t="s">
        <v>35</v>
      </c>
      <c r="K485">
        <v>2571</v>
      </c>
      <c r="L485">
        <v>14.53</v>
      </c>
      <c r="M485">
        <v>5.57</v>
      </c>
      <c r="N485" s="4">
        <f t="shared" si="14"/>
        <v>1.6572990649999998E-2</v>
      </c>
      <c r="O485" s="4">
        <f t="shared" si="15"/>
        <v>9.2311557920499984E-2</v>
      </c>
      <c r="P485">
        <v>100</v>
      </c>
      <c r="Q485">
        <v>3</v>
      </c>
      <c r="R485">
        <v>2</v>
      </c>
      <c r="S485">
        <v>3</v>
      </c>
      <c r="T485">
        <v>4</v>
      </c>
      <c r="U485">
        <v>3.5</v>
      </c>
      <c r="V485" t="s">
        <v>38</v>
      </c>
    </row>
    <row r="486" spans="1:22" x14ac:dyDescent="0.25">
      <c r="A486" t="s">
        <v>83</v>
      </c>
      <c r="B486">
        <v>3</v>
      </c>
      <c r="C486" t="s">
        <v>71</v>
      </c>
      <c r="D486" t="s">
        <v>84</v>
      </c>
      <c r="E486" t="s">
        <v>85</v>
      </c>
      <c r="F486">
        <v>220</v>
      </c>
      <c r="G486">
        <v>1050</v>
      </c>
      <c r="H486">
        <v>-2</v>
      </c>
      <c r="I486">
        <v>1983</v>
      </c>
      <c r="J486" t="s">
        <v>81</v>
      </c>
      <c r="K486">
        <v>2750</v>
      </c>
      <c r="L486">
        <v>13.26</v>
      </c>
      <c r="M486">
        <v>8.94</v>
      </c>
      <c r="N486" s="4">
        <f t="shared" si="14"/>
        <v>1.38024666E-2</v>
      </c>
      <c r="O486" s="4">
        <f t="shared" si="15"/>
        <v>0.12339405140399999</v>
      </c>
      <c r="P486">
        <v>100</v>
      </c>
      <c r="Q486">
        <v>4</v>
      </c>
      <c r="R486">
        <v>4</v>
      </c>
      <c r="S486">
        <v>3</v>
      </c>
      <c r="T486">
        <v>3.5</v>
      </c>
      <c r="U486">
        <v>3.5</v>
      </c>
      <c r="V486" t="s">
        <v>25</v>
      </c>
    </row>
    <row r="487" spans="1:22" x14ac:dyDescent="0.25">
      <c r="A487" t="s">
        <v>83</v>
      </c>
      <c r="B487">
        <v>3</v>
      </c>
      <c r="C487" t="s">
        <v>71</v>
      </c>
      <c r="D487" t="s">
        <v>84</v>
      </c>
      <c r="E487" t="s">
        <v>85</v>
      </c>
      <c r="F487">
        <v>220</v>
      </c>
      <c r="G487">
        <v>1050</v>
      </c>
      <c r="H487">
        <v>-2</v>
      </c>
      <c r="I487">
        <v>1983</v>
      </c>
      <c r="J487" t="s">
        <v>62</v>
      </c>
      <c r="K487">
        <v>2553</v>
      </c>
      <c r="L487">
        <v>11.55</v>
      </c>
      <c r="M487">
        <v>6.56</v>
      </c>
      <c r="N487" s="4">
        <f t="shared" si="14"/>
        <v>1.0472096250000002E-2</v>
      </c>
      <c r="O487" s="4">
        <f t="shared" si="15"/>
        <v>6.8696951400000011E-2</v>
      </c>
      <c r="P487">
        <v>100</v>
      </c>
      <c r="Q487">
        <v>3</v>
      </c>
      <c r="R487">
        <v>2.7</v>
      </c>
      <c r="S487">
        <v>3.3</v>
      </c>
      <c r="T487">
        <v>4</v>
      </c>
      <c r="U487">
        <v>4</v>
      </c>
      <c r="V487" t="s">
        <v>25</v>
      </c>
    </row>
    <row r="488" spans="1:22" x14ac:dyDescent="0.25">
      <c r="A488" t="s">
        <v>83</v>
      </c>
      <c r="B488">
        <v>3</v>
      </c>
      <c r="C488" t="s">
        <v>71</v>
      </c>
      <c r="D488" t="s">
        <v>84</v>
      </c>
      <c r="E488" t="s">
        <v>85</v>
      </c>
      <c r="F488">
        <v>220</v>
      </c>
      <c r="G488">
        <v>1050</v>
      </c>
      <c r="H488">
        <v>-2</v>
      </c>
      <c r="I488">
        <v>1983</v>
      </c>
      <c r="J488" t="s">
        <v>37</v>
      </c>
      <c r="K488">
        <v>2575</v>
      </c>
      <c r="L488">
        <v>15.93</v>
      </c>
      <c r="M488">
        <v>9.1</v>
      </c>
      <c r="N488" s="4">
        <f t="shared" si="14"/>
        <v>1.992054465E-2</v>
      </c>
      <c r="O488" s="4">
        <f t="shared" si="15"/>
        <v>0.18127695631499999</v>
      </c>
      <c r="P488">
        <v>88</v>
      </c>
      <c r="Q488">
        <v>3</v>
      </c>
      <c r="R488">
        <v>3</v>
      </c>
      <c r="S488">
        <v>2</v>
      </c>
      <c r="T488">
        <v>2.5</v>
      </c>
      <c r="U488">
        <v>2.5</v>
      </c>
      <c r="V488" t="s">
        <v>30</v>
      </c>
    </row>
    <row r="489" spans="1:22" x14ac:dyDescent="0.25">
      <c r="A489" t="s">
        <v>83</v>
      </c>
      <c r="B489">
        <v>3</v>
      </c>
      <c r="C489" t="s">
        <v>71</v>
      </c>
      <c r="D489" t="s">
        <v>84</v>
      </c>
      <c r="E489" t="s">
        <v>85</v>
      </c>
      <c r="F489">
        <v>220</v>
      </c>
      <c r="G489">
        <v>1050</v>
      </c>
      <c r="H489">
        <v>-2</v>
      </c>
      <c r="I489">
        <v>1983</v>
      </c>
      <c r="J489" t="s">
        <v>26</v>
      </c>
      <c r="K489">
        <v>2552</v>
      </c>
      <c r="L489">
        <v>14.25</v>
      </c>
      <c r="M489">
        <v>7.23</v>
      </c>
      <c r="N489" s="4">
        <f t="shared" si="14"/>
        <v>1.5940406250000001E-2</v>
      </c>
      <c r="O489" s="4">
        <f t="shared" si="15"/>
        <v>0.11524913718750002</v>
      </c>
      <c r="P489">
        <v>63</v>
      </c>
      <c r="Q489">
        <v>4</v>
      </c>
      <c r="R489">
        <v>3</v>
      </c>
      <c r="S489">
        <v>3</v>
      </c>
      <c r="T489">
        <v>2.8</v>
      </c>
      <c r="U489">
        <v>2</v>
      </c>
      <c r="V489" t="s">
        <v>38</v>
      </c>
    </row>
    <row r="490" spans="1:22" x14ac:dyDescent="0.25">
      <c r="A490" t="s">
        <v>83</v>
      </c>
      <c r="B490">
        <v>3</v>
      </c>
      <c r="C490" t="s">
        <v>71</v>
      </c>
      <c r="D490" t="s">
        <v>84</v>
      </c>
      <c r="E490" t="s">
        <v>85</v>
      </c>
      <c r="F490">
        <v>220</v>
      </c>
      <c r="G490">
        <v>1050</v>
      </c>
      <c r="H490">
        <v>-2</v>
      </c>
      <c r="I490">
        <v>1983</v>
      </c>
      <c r="J490" t="s">
        <v>26</v>
      </c>
      <c r="K490">
        <v>2751</v>
      </c>
      <c r="L490">
        <v>12.35</v>
      </c>
      <c r="M490">
        <v>6.27</v>
      </c>
      <c r="N490" s="4">
        <f t="shared" si="14"/>
        <v>1.1973016250000001E-2</v>
      </c>
      <c r="O490" s="4">
        <f t="shared" si="15"/>
        <v>7.5070811887500005E-2</v>
      </c>
      <c r="P490">
        <v>71</v>
      </c>
      <c r="Q490">
        <v>4</v>
      </c>
      <c r="R490">
        <v>4</v>
      </c>
      <c r="S490">
        <v>2.5</v>
      </c>
      <c r="T490">
        <v>3.5</v>
      </c>
      <c r="U490">
        <v>2.5</v>
      </c>
      <c r="V490" t="s">
        <v>25</v>
      </c>
    </row>
    <row r="491" spans="1:22" x14ac:dyDescent="0.25">
      <c r="A491" t="s">
        <v>83</v>
      </c>
      <c r="B491">
        <v>3</v>
      </c>
      <c r="C491" t="s">
        <v>71</v>
      </c>
      <c r="D491" t="s">
        <v>84</v>
      </c>
      <c r="E491" t="s">
        <v>85</v>
      </c>
      <c r="F491">
        <v>220</v>
      </c>
      <c r="G491">
        <v>1050</v>
      </c>
      <c r="H491">
        <v>-2</v>
      </c>
      <c r="I491">
        <v>1983</v>
      </c>
      <c r="J491" t="s">
        <v>62</v>
      </c>
      <c r="K491">
        <v>2574</v>
      </c>
      <c r="L491">
        <v>7.22</v>
      </c>
      <c r="M491">
        <v>4.0999999999999996</v>
      </c>
      <c r="N491" s="4">
        <f t="shared" si="14"/>
        <v>4.0920794000000003E-3</v>
      </c>
      <c r="O491" s="4">
        <f t="shared" si="15"/>
        <v>1.6777525540000001E-2</v>
      </c>
      <c r="P491">
        <v>57</v>
      </c>
      <c r="Q491">
        <v>3</v>
      </c>
      <c r="R491">
        <v>3</v>
      </c>
      <c r="S491">
        <v>2</v>
      </c>
      <c r="T491">
        <v>3</v>
      </c>
      <c r="U491">
        <v>2</v>
      </c>
      <c r="V491" t="s">
        <v>38</v>
      </c>
    </row>
    <row r="492" spans="1:22" x14ac:dyDescent="0.25">
      <c r="A492" t="s">
        <v>86</v>
      </c>
      <c r="B492">
        <v>1</v>
      </c>
      <c r="C492" t="s">
        <v>71</v>
      </c>
      <c r="D492" t="s">
        <v>87</v>
      </c>
      <c r="E492" t="s">
        <v>88</v>
      </c>
      <c r="F492">
        <v>300</v>
      </c>
      <c r="G492">
        <v>1200</v>
      </c>
      <c r="H492">
        <v>-3</v>
      </c>
      <c r="I492">
        <v>1982</v>
      </c>
      <c r="J492" t="s">
        <v>76</v>
      </c>
      <c r="K492">
        <v>1592</v>
      </c>
      <c r="L492">
        <v>10.4</v>
      </c>
      <c r="M492">
        <v>5.77</v>
      </c>
      <c r="N492" s="4">
        <f t="shared" si="14"/>
        <v>8.4905600000000029E-3</v>
      </c>
      <c r="O492" s="4">
        <f t="shared" si="15"/>
        <v>4.8990531200000013E-2</v>
      </c>
      <c r="P492">
        <v>75</v>
      </c>
      <c r="Q492">
        <v>3</v>
      </c>
      <c r="R492">
        <v>3</v>
      </c>
      <c r="S492">
        <v>2</v>
      </c>
      <c r="T492">
        <v>3</v>
      </c>
      <c r="U492">
        <v>2</v>
      </c>
      <c r="V492" t="s">
        <v>38</v>
      </c>
    </row>
    <row r="493" spans="1:22" x14ac:dyDescent="0.25">
      <c r="A493" t="s">
        <v>86</v>
      </c>
      <c r="B493">
        <v>1</v>
      </c>
      <c r="C493" t="s">
        <v>71</v>
      </c>
      <c r="D493" t="s">
        <v>87</v>
      </c>
      <c r="E493" t="s">
        <v>88</v>
      </c>
      <c r="F493">
        <v>300</v>
      </c>
      <c r="G493">
        <v>1200</v>
      </c>
      <c r="H493">
        <v>-3</v>
      </c>
      <c r="I493">
        <v>1982</v>
      </c>
      <c r="J493" t="s">
        <v>76</v>
      </c>
      <c r="K493">
        <v>2560</v>
      </c>
      <c r="L493">
        <v>11.66</v>
      </c>
      <c r="M493">
        <v>7.27</v>
      </c>
      <c r="N493" s="4">
        <f t="shared" si="14"/>
        <v>1.06725146E-2</v>
      </c>
      <c r="O493" s="4">
        <f t="shared" si="15"/>
        <v>7.7589181142000002E-2</v>
      </c>
      <c r="P493">
        <v>100</v>
      </c>
      <c r="Q493">
        <v>3</v>
      </c>
      <c r="R493">
        <v>3</v>
      </c>
      <c r="S493">
        <v>2</v>
      </c>
      <c r="T493">
        <v>3</v>
      </c>
      <c r="U493">
        <v>2</v>
      </c>
      <c r="V493" t="s">
        <v>38</v>
      </c>
    </row>
    <row r="494" spans="1:22" x14ac:dyDescent="0.25">
      <c r="A494" t="s">
        <v>86</v>
      </c>
      <c r="B494">
        <v>1</v>
      </c>
      <c r="C494" t="s">
        <v>71</v>
      </c>
      <c r="D494" t="s">
        <v>87</v>
      </c>
      <c r="E494" t="s">
        <v>88</v>
      </c>
      <c r="F494">
        <v>300</v>
      </c>
      <c r="G494">
        <v>1200</v>
      </c>
      <c r="H494">
        <v>-3</v>
      </c>
      <c r="I494">
        <v>1982</v>
      </c>
      <c r="J494" t="s">
        <v>56</v>
      </c>
      <c r="K494">
        <v>1111</v>
      </c>
      <c r="L494">
        <v>10.99</v>
      </c>
      <c r="M494">
        <v>7.2</v>
      </c>
      <c r="N494" s="4">
        <f t="shared" si="14"/>
        <v>9.4812378500000009E-3</v>
      </c>
      <c r="O494" s="4">
        <f t="shared" si="15"/>
        <v>6.8264912520000012E-2</v>
      </c>
      <c r="P494">
        <v>100</v>
      </c>
      <c r="Q494">
        <v>2</v>
      </c>
      <c r="R494">
        <v>3</v>
      </c>
      <c r="S494">
        <v>3</v>
      </c>
      <c r="T494">
        <v>3</v>
      </c>
      <c r="U494">
        <v>3</v>
      </c>
      <c r="V494" t="s">
        <v>38</v>
      </c>
    </row>
    <row r="495" spans="1:22" x14ac:dyDescent="0.25">
      <c r="A495" t="s">
        <v>86</v>
      </c>
      <c r="B495">
        <v>1</v>
      </c>
      <c r="C495" t="s">
        <v>71</v>
      </c>
      <c r="D495" t="s">
        <v>87</v>
      </c>
      <c r="E495" t="s">
        <v>88</v>
      </c>
      <c r="F495">
        <v>300</v>
      </c>
      <c r="G495">
        <v>1200</v>
      </c>
      <c r="H495">
        <v>-3</v>
      </c>
      <c r="I495">
        <v>1982</v>
      </c>
      <c r="J495" t="s">
        <v>57</v>
      </c>
      <c r="K495">
        <v>2620</v>
      </c>
      <c r="L495">
        <v>7.87</v>
      </c>
      <c r="M495">
        <v>6.25</v>
      </c>
      <c r="N495" s="4">
        <f t="shared" si="14"/>
        <v>4.8620466500000009E-3</v>
      </c>
      <c r="O495" s="4">
        <f t="shared" si="15"/>
        <v>3.0387791562500006E-2</v>
      </c>
      <c r="P495">
        <v>100</v>
      </c>
      <c r="Q495">
        <v>3.5</v>
      </c>
      <c r="R495">
        <v>1.5</v>
      </c>
      <c r="S495">
        <v>2</v>
      </c>
      <c r="T495">
        <v>2</v>
      </c>
      <c r="U495">
        <v>2</v>
      </c>
      <c r="V495" t="s">
        <v>30</v>
      </c>
    </row>
    <row r="496" spans="1:22" x14ac:dyDescent="0.25">
      <c r="A496" t="s">
        <v>86</v>
      </c>
      <c r="B496">
        <v>1</v>
      </c>
      <c r="C496" t="s">
        <v>71</v>
      </c>
      <c r="D496" t="s">
        <v>87</v>
      </c>
      <c r="E496" t="s">
        <v>88</v>
      </c>
      <c r="F496">
        <v>300</v>
      </c>
      <c r="G496">
        <v>1200</v>
      </c>
      <c r="H496">
        <v>-3</v>
      </c>
      <c r="I496">
        <v>1982</v>
      </c>
      <c r="J496" t="s">
        <v>57</v>
      </c>
      <c r="K496">
        <v>2621</v>
      </c>
      <c r="L496">
        <v>7.64</v>
      </c>
      <c r="M496">
        <v>6.72</v>
      </c>
      <c r="N496" s="4">
        <f t="shared" si="14"/>
        <v>4.5820135999999996E-3</v>
      </c>
      <c r="O496" s="4">
        <f t="shared" si="15"/>
        <v>3.0791131391999994E-2</v>
      </c>
      <c r="P496">
        <v>100</v>
      </c>
      <c r="Q496">
        <v>3.5</v>
      </c>
      <c r="R496">
        <v>2</v>
      </c>
      <c r="S496">
        <v>2</v>
      </c>
      <c r="T496">
        <v>2</v>
      </c>
      <c r="U496">
        <v>2</v>
      </c>
      <c r="V496" t="s">
        <v>30</v>
      </c>
    </row>
    <row r="497" spans="1:22" x14ac:dyDescent="0.25">
      <c r="A497" t="s">
        <v>86</v>
      </c>
      <c r="B497">
        <v>1</v>
      </c>
      <c r="C497" t="s">
        <v>71</v>
      </c>
      <c r="D497" t="s">
        <v>87</v>
      </c>
      <c r="E497" t="s">
        <v>88</v>
      </c>
      <c r="F497">
        <v>300</v>
      </c>
      <c r="G497">
        <v>1200</v>
      </c>
      <c r="H497">
        <v>-3</v>
      </c>
      <c r="I497">
        <v>1982</v>
      </c>
      <c r="J497" t="s">
        <v>58</v>
      </c>
      <c r="K497">
        <v>2638</v>
      </c>
      <c r="L497">
        <v>1.27</v>
      </c>
      <c r="M497">
        <v>1.74</v>
      </c>
      <c r="N497" s="4">
        <f t="shared" si="14"/>
        <v>1.2661264999999999E-4</v>
      </c>
      <c r="O497" s="4">
        <f t="shared" si="15"/>
        <v>2.2030601099999998E-4</v>
      </c>
      <c r="P497">
        <v>50</v>
      </c>
      <c r="Q497">
        <v>1</v>
      </c>
      <c r="R497">
        <v>3</v>
      </c>
      <c r="S497">
        <v>2</v>
      </c>
      <c r="T497">
        <v>3</v>
      </c>
      <c r="U497">
        <v>3</v>
      </c>
      <c r="V497" t="s">
        <v>50</v>
      </c>
    </row>
    <row r="498" spans="1:22" x14ac:dyDescent="0.25">
      <c r="A498" t="s">
        <v>86</v>
      </c>
      <c r="B498">
        <v>1</v>
      </c>
      <c r="C498" t="s">
        <v>71</v>
      </c>
      <c r="D498" t="s">
        <v>87</v>
      </c>
      <c r="E498" t="s">
        <v>88</v>
      </c>
      <c r="F498">
        <v>300</v>
      </c>
      <c r="G498">
        <v>1200</v>
      </c>
      <c r="H498">
        <v>-3</v>
      </c>
      <c r="I498">
        <v>1982</v>
      </c>
      <c r="J498" t="s">
        <v>59</v>
      </c>
      <c r="K498">
        <v>2426</v>
      </c>
      <c r="L498">
        <v>11.85</v>
      </c>
      <c r="M498">
        <v>7.47</v>
      </c>
      <c r="N498" s="4">
        <f t="shared" si="14"/>
        <v>1.1023166249999999E-2</v>
      </c>
      <c r="O498" s="4">
        <f t="shared" si="15"/>
        <v>8.2343051887499991E-2</v>
      </c>
      <c r="P498">
        <v>50</v>
      </c>
      <c r="Q498">
        <v>3</v>
      </c>
      <c r="R498">
        <v>3</v>
      </c>
      <c r="S498">
        <v>4</v>
      </c>
      <c r="T498">
        <v>3</v>
      </c>
      <c r="U498">
        <v>3</v>
      </c>
      <c r="V498" t="s">
        <v>38</v>
      </c>
    </row>
    <row r="499" spans="1:22" x14ac:dyDescent="0.25">
      <c r="A499" t="s">
        <v>86</v>
      </c>
      <c r="B499">
        <v>1</v>
      </c>
      <c r="C499" t="s">
        <v>71</v>
      </c>
      <c r="D499" t="s">
        <v>87</v>
      </c>
      <c r="E499" t="s">
        <v>88</v>
      </c>
      <c r="F499">
        <v>300</v>
      </c>
      <c r="G499">
        <v>1200</v>
      </c>
      <c r="H499">
        <v>-3</v>
      </c>
      <c r="I499">
        <v>1982</v>
      </c>
      <c r="J499" t="s">
        <v>59</v>
      </c>
      <c r="K499">
        <v>1482</v>
      </c>
      <c r="L499">
        <v>6.52</v>
      </c>
      <c r="M499">
        <v>5.81</v>
      </c>
      <c r="N499" s="4">
        <f t="shared" si="14"/>
        <v>3.3370663999999998E-3</v>
      </c>
      <c r="O499" s="4">
        <f t="shared" si="15"/>
        <v>1.9388355783999996E-2</v>
      </c>
      <c r="P499">
        <v>100</v>
      </c>
      <c r="Q499">
        <v>3</v>
      </c>
      <c r="R499">
        <v>3</v>
      </c>
      <c r="S499">
        <v>3</v>
      </c>
      <c r="T499">
        <v>3</v>
      </c>
      <c r="U499">
        <v>3</v>
      </c>
      <c r="V499" t="s">
        <v>25</v>
      </c>
    </row>
    <row r="500" spans="1:22" x14ac:dyDescent="0.25">
      <c r="A500" t="s">
        <v>86</v>
      </c>
      <c r="B500">
        <v>1</v>
      </c>
      <c r="C500" t="s">
        <v>71</v>
      </c>
      <c r="D500" t="s">
        <v>87</v>
      </c>
      <c r="E500" t="s">
        <v>88</v>
      </c>
      <c r="F500">
        <v>300</v>
      </c>
      <c r="G500">
        <v>1200</v>
      </c>
      <c r="H500">
        <v>-3</v>
      </c>
      <c r="I500">
        <v>1982</v>
      </c>
      <c r="J500" t="s">
        <v>59</v>
      </c>
      <c r="K500">
        <v>2548</v>
      </c>
      <c r="L500">
        <v>7.7</v>
      </c>
      <c r="M500">
        <v>5.69</v>
      </c>
      <c r="N500" s="4">
        <f t="shared" si="14"/>
        <v>4.6542650000000003E-3</v>
      </c>
      <c r="O500" s="4">
        <f t="shared" si="15"/>
        <v>2.6482767850000005E-2</v>
      </c>
      <c r="P500">
        <v>100</v>
      </c>
      <c r="Q500">
        <v>3</v>
      </c>
      <c r="R500">
        <v>3</v>
      </c>
      <c r="S500">
        <v>4</v>
      </c>
      <c r="T500">
        <v>4</v>
      </c>
      <c r="U500">
        <v>4</v>
      </c>
      <c r="V500" t="s">
        <v>38</v>
      </c>
    </row>
    <row r="501" spans="1:22" x14ac:dyDescent="0.25">
      <c r="A501" t="s">
        <v>86</v>
      </c>
      <c r="B501">
        <v>1</v>
      </c>
      <c r="C501" t="s">
        <v>71</v>
      </c>
      <c r="D501" t="s">
        <v>87</v>
      </c>
      <c r="E501" t="s">
        <v>88</v>
      </c>
      <c r="F501">
        <v>300</v>
      </c>
      <c r="G501">
        <v>1200</v>
      </c>
      <c r="H501">
        <v>-3</v>
      </c>
      <c r="I501">
        <v>1982</v>
      </c>
      <c r="J501" t="s">
        <v>61</v>
      </c>
      <c r="K501">
        <v>1171</v>
      </c>
      <c r="L501">
        <v>10.81</v>
      </c>
      <c r="M501">
        <v>3.45</v>
      </c>
      <c r="N501" s="4">
        <f t="shared" si="14"/>
        <v>9.1732038500000005E-3</v>
      </c>
      <c r="O501" s="4">
        <f t="shared" si="15"/>
        <v>3.1647553282500004E-2</v>
      </c>
      <c r="P501">
        <v>100</v>
      </c>
      <c r="Q501">
        <v>3</v>
      </c>
      <c r="R501">
        <v>2</v>
      </c>
      <c r="S501">
        <v>1</v>
      </c>
      <c r="T501">
        <v>1</v>
      </c>
      <c r="U501">
        <v>1</v>
      </c>
      <c r="V501" t="s">
        <v>50</v>
      </c>
    </row>
    <row r="502" spans="1:22" x14ac:dyDescent="0.25">
      <c r="A502" t="s">
        <v>86</v>
      </c>
      <c r="B502">
        <v>1</v>
      </c>
      <c r="C502" t="s">
        <v>71</v>
      </c>
      <c r="D502" t="s">
        <v>87</v>
      </c>
      <c r="E502" t="s">
        <v>88</v>
      </c>
      <c r="F502">
        <v>300</v>
      </c>
      <c r="G502">
        <v>1200</v>
      </c>
      <c r="H502">
        <v>-3</v>
      </c>
      <c r="I502">
        <v>1982</v>
      </c>
      <c r="J502" t="s">
        <v>61</v>
      </c>
      <c r="K502">
        <v>2631</v>
      </c>
      <c r="L502">
        <v>17.829999999999998</v>
      </c>
      <c r="M502">
        <v>6.56</v>
      </c>
      <c r="N502" s="4">
        <f t="shared" si="14"/>
        <v>2.4955848649999997E-2</v>
      </c>
      <c r="O502" s="4">
        <f t="shared" si="15"/>
        <v>0.16371036714399997</v>
      </c>
      <c r="P502">
        <v>75</v>
      </c>
      <c r="Q502">
        <v>4</v>
      </c>
      <c r="R502">
        <v>2</v>
      </c>
      <c r="S502">
        <v>1</v>
      </c>
      <c r="T502">
        <v>1</v>
      </c>
      <c r="U502">
        <v>1</v>
      </c>
      <c r="V502" t="s">
        <v>30</v>
      </c>
    </row>
    <row r="503" spans="1:22" x14ac:dyDescent="0.25">
      <c r="A503" t="s">
        <v>86</v>
      </c>
      <c r="B503">
        <v>1</v>
      </c>
      <c r="C503" t="s">
        <v>71</v>
      </c>
      <c r="D503" t="s">
        <v>87</v>
      </c>
      <c r="E503" t="s">
        <v>88</v>
      </c>
      <c r="F503">
        <v>300</v>
      </c>
      <c r="G503">
        <v>1200</v>
      </c>
      <c r="H503">
        <v>-3</v>
      </c>
      <c r="I503">
        <v>1982</v>
      </c>
      <c r="J503" t="s">
        <v>32</v>
      </c>
      <c r="K503">
        <v>2569</v>
      </c>
      <c r="L503">
        <v>12.5</v>
      </c>
      <c r="M503">
        <v>6.62</v>
      </c>
      <c r="N503" s="4">
        <f t="shared" si="14"/>
        <v>1.2265625E-2</v>
      </c>
      <c r="O503" s="4">
        <f t="shared" si="15"/>
        <v>8.1198437499999998E-2</v>
      </c>
      <c r="P503">
        <v>100</v>
      </c>
      <c r="Q503">
        <v>3</v>
      </c>
      <c r="R503">
        <v>3</v>
      </c>
      <c r="S503">
        <v>3</v>
      </c>
      <c r="T503">
        <v>3</v>
      </c>
      <c r="U503">
        <v>3</v>
      </c>
      <c r="V503" t="s">
        <v>25</v>
      </c>
    </row>
    <row r="504" spans="1:22" x14ac:dyDescent="0.25">
      <c r="A504" t="s">
        <v>86</v>
      </c>
      <c r="B504">
        <v>1</v>
      </c>
      <c r="C504" t="s">
        <v>71</v>
      </c>
      <c r="D504" t="s">
        <v>87</v>
      </c>
      <c r="E504" t="s">
        <v>88</v>
      </c>
      <c r="F504">
        <v>300</v>
      </c>
      <c r="G504">
        <v>1200</v>
      </c>
      <c r="H504">
        <v>-3</v>
      </c>
      <c r="I504">
        <v>1982</v>
      </c>
      <c r="J504" t="s">
        <v>32</v>
      </c>
      <c r="K504">
        <v>2634</v>
      </c>
      <c r="L504">
        <v>7.97</v>
      </c>
      <c r="M504">
        <v>5.88</v>
      </c>
      <c r="N504" s="4">
        <f t="shared" si="14"/>
        <v>4.9863906499999994E-3</v>
      </c>
      <c r="O504" s="4">
        <f t="shared" si="15"/>
        <v>2.9319977021999996E-2</v>
      </c>
      <c r="P504">
        <v>75</v>
      </c>
      <c r="Q504">
        <v>2.5</v>
      </c>
      <c r="R504">
        <v>3</v>
      </c>
      <c r="S504">
        <v>3</v>
      </c>
      <c r="T504">
        <v>3</v>
      </c>
      <c r="U504">
        <v>3.5</v>
      </c>
      <c r="V504" t="s">
        <v>38</v>
      </c>
    </row>
    <row r="505" spans="1:22" x14ac:dyDescent="0.25">
      <c r="A505" t="s">
        <v>86</v>
      </c>
      <c r="B505">
        <v>1</v>
      </c>
      <c r="C505" t="s">
        <v>71</v>
      </c>
      <c r="D505" t="s">
        <v>87</v>
      </c>
      <c r="E505" t="s">
        <v>88</v>
      </c>
      <c r="F505">
        <v>300</v>
      </c>
      <c r="G505">
        <v>1200</v>
      </c>
      <c r="H505">
        <v>-3</v>
      </c>
      <c r="I505">
        <v>1982</v>
      </c>
      <c r="J505" t="s">
        <v>32</v>
      </c>
      <c r="K505">
        <v>2635</v>
      </c>
      <c r="L505">
        <v>8.58</v>
      </c>
      <c r="M505">
        <v>7.48</v>
      </c>
      <c r="N505" s="4">
        <f t="shared" si="14"/>
        <v>5.7788874E-3</v>
      </c>
      <c r="O505" s="4">
        <f t="shared" si="15"/>
        <v>4.3226077752000006E-2</v>
      </c>
      <c r="P505">
        <v>100</v>
      </c>
      <c r="Q505">
        <v>3.5</v>
      </c>
      <c r="R505">
        <v>3</v>
      </c>
      <c r="S505">
        <v>2.5</v>
      </c>
      <c r="T505">
        <v>3.5</v>
      </c>
      <c r="U505">
        <v>3</v>
      </c>
      <c r="V505" t="s">
        <v>25</v>
      </c>
    </row>
    <row r="506" spans="1:22" x14ac:dyDescent="0.25">
      <c r="A506" t="s">
        <v>86</v>
      </c>
      <c r="B506">
        <v>1</v>
      </c>
      <c r="C506" t="s">
        <v>71</v>
      </c>
      <c r="D506" t="s">
        <v>87</v>
      </c>
      <c r="E506" t="s">
        <v>88</v>
      </c>
      <c r="F506">
        <v>300</v>
      </c>
      <c r="G506">
        <v>1200</v>
      </c>
      <c r="H506">
        <v>-3</v>
      </c>
      <c r="I506">
        <v>1982</v>
      </c>
      <c r="J506" t="s">
        <v>34</v>
      </c>
      <c r="K506">
        <v>2570</v>
      </c>
      <c r="L506">
        <v>6.05</v>
      </c>
      <c r="M506">
        <v>5.44</v>
      </c>
      <c r="N506" s="4">
        <f t="shared" si="14"/>
        <v>2.8732962499999999E-3</v>
      </c>
      <c r="O506" s="4">
        <f t="shared" si="15"/>
        <v>1.5630731599999999E-2</v>
      </c>
      <c r="P506">
        <v>100</v>
      </c>
      <c r="Q506">
        <v>3</v>
      </c>
      <c r="R506">
        <v>2.5</v>
      </c>
      <c r="S506">
        <v>3.5</v>
      </c>
      <c r="T506">
        <v>3.5</v>
      </c>
      <c r="U506">
        <v>3</v>
      </c>
      <c r="V506" t="s">
        <v>38</v>
      </c>
    </row>
    <row r="507" spans="1:22" x14ac:dyDescent="0.25">
      <c r="A507" t="s">
        <v>86</v>
      </c>
      <c r="B507">
        <v>1</v>
      </c>
      <c r="C507" t="s">
        <v>71</v>
      </c>
      <c r="D507" t="s">
        <v>87</v>
      </c>
      <c r="E507" t="s">
        <v>88</v>
      </c>
      <c r="F507">
        <v>300</v>
      </c>
      <c r="G507">
        <v>1200</v>
      </c>
      <c r="H507">
        <v>-3</v>
      </c>
      <c r="I507">
        <v>1982</v>
      </c>
      <c r="J507" t="s">
        <v>35</v>
      </c>
      <c r="K507">
        <v>1788</v>
      </c>
      <c r="L507">
        <v>6.76</v>
      </c>
      <c r="M507">
        <v>6.76</v>
      </c>
      <c r="N507" s="4">
        <f t="shared" si="14"/>
        <v>3.5872615999999993E-3</v>
      </c>
      <c r="O507" s="4">
        <f t="shared" si="15"/>
        <v>2.4249888415999996E-2</v>
      </c>
      <c r="P507">
        <v>75</v>
      </c>
      <c r="Q507">
        <v>1</v>
      </c>
      <c r="R507">
        <v>1</v>
      </c>
      <c r="S507">
        <v>3</v>
      </c>
      <c r="T507">
        <v>3</v>
      </c>
      <c r="U507">
        <v>3</v>
      </c>
      <c r="V507" t="s">
        <v>50</v>
      </c>
    </row>
    <row r="508" spans="1:22" x14ac:dyDescent="0.25">
      <c r="A508" t="s">
        <v>86</v>
      </c>
      <c r="B508">
        <v>1</v>
      </c>
      <c r="C508" t="s">
        <v>71</v>
      </c>
      <c r="D508" t="s">
        <v>87</v>
      </c>
      <c r="E508" t="s">
        <v>88</v>
      </c>
      <c r="F508">
        <v>300</v>
      </c>
      <c r="G508">
        <v>1200</v>
      </c>
      <c r="H508">
        <v>-3</v>
      </c>
      <c r="I508">
        <v>1982</v>
      </c>
      <c r="J508" t="s">
        <v>35</v>
      </c>
      <c r="K508">
        <v>1259</v>
      </c>
      <c r="L508">
        <v>13.99</v>
      </c>
      <c r="M508">
        <v>9.09</v>
      </c>
      <c r="N508" s="4">
        <f t="shared" si="14"/>
        <v>1.5364027849999998E-2</v>
      </c>
      <c r="O508" s="4">
        <f t="shared" si="15"/>
        <v>0.13965901315649998</v>
      </c>
      <c r="P508">
        <v>100</v>
      </c>
      <c r="Q508">
        <v>4</v>
      </c>
      <c r="R508">
        <v>2</v>
      </c>
      <c r="S508">
        <v>2</v>
      </c>
      <c r="T508">
        <v>2</v>
      </c>
      <c r="U508">
        <v>2</v>
      </c>
      <c r="V508" t="s">
        <v>38</v>
      </c>
    </row>
    <row r="509" spans="1:22" x14ac:dyDescent="0.25">
      <c r="A509" t="s">
        <v>86</v>
      </c>
      <c r="B509">
        <v>1</v>
      </c>
      <c r="C509" t="s">
        <v>71</v>
      </c>
      <c r="D509" t="s">
        <v>87</v>
      </c>
      <c r="E509" t="s">
        <v>88</v>
      </c>
      <c r="F509">
        <v>300</v>
      </c>
      <c r="G509">
        <v>1200</v>
      </c>
      <c r="H509">
        <v>-3</v>
      </c>
      <c r="I509">
        <v>1982</v>
      </c>
      <c r="J509" t="s">
        <v>35</v>
      </c>
      <c r="K509">
        <v>1785</v>
      </c>
      <c r="L509">
        <v>8.65</v>
      </c>
      <c r="M509">
        <v>5.95</v>
      </c>
      <c r="N509" s="4">
        <f t="shared" si="14"/>
        <v>5.8735662500000009E-3</v>
      </c>
      <c r="O509" s="4">
        <f t="shared" si="15"/>
        <v>3.4947719187500004E-2</v>
      </c>
      <c r="P509">
        <v>100</v>
      </c>
      <c r="Q509">
        <v>1.5</v>
      </c>
      <c r="R509">
        <v>1</v>
      </c>
      <c r="S509">
        <v>3</v>
      </c>
      <c r="T509">
        <v>3</v>
      </c>
      <c r="U509">
        <v>3</v>
      </c>
      <c r="V509" t="s">
        <v>50</v>
      </c>
    </row>
    <row r="510" spans="1:22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35</v>
      </c>
      <c r="K510">
        <v>2571</v>
      </c>
      <c r="L510">
        <v>16.79</v>
      </c>
      <c r="M510">
        <v>13.17</v>
      </c>
      <c r="N510" s="4">
        <f t="shared" si="14"/>
        <v>2.2129471849999999E-2</v>
      </c>
      <c r="O510" s="4">
        <f t="shared" si="15"/>
        <v>0.29144514426449997</v>
      </c>
      <c r="P510">
        <v>100</v>
      </c>
      <c r="Q510">
        <v>4</v>
      </c>
      <c r="R510">
        <v>2</v>
      </c>
      <c r="S510">
        <v>3</v>
      </c>
      <c r="T510">
        <v>3</v>
      </c>
      <c r="U510">
        <v>2.5</v>
      </c>
      <c r="V510" t="s">
        <v>25</v>
      </c>
    </row>
    <row r="511" spans="1:22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36</v>
      </c>
      <c r="K511">
        <v>2573</v>
      </c>
      <c r="L511">
        <v>2.4500000000000002</v>
      </c>
      <c r="M511">
        <v>3.06</v>
      </c>
      <c r="N511" s="4">
        <f t="shared" si="14"/>
        <v>4.7119625000000009E-4</v>
      </c>
      <c r="O511" s="4">
        <f t="shared" si="15"/>
        <v>1.4418605250000004E-3</v>
      </c>
      <c r="P511">
        <v>50</v>
      </c>
      <c r="Q511">
        <v>1.5</v>
      </c>
      <c r="R511">
        <v>4</v>
      </c>
      <c r="S511">
        <v>1</v>
      </c>
      <c r="T511">
        <v>2</v>
      </c>
      <c r="U511">
        <v>3</v>
      </c>
      <c r="V511" t="s">
        <v>50</v>
      </c>
    </row>
    <row r="512" spans="1:22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62</v>
      </c>
      <c r="K512">
        <v>2550</v>
      </c>
      <c r="L512">
        <v>9.84</v>
      </c>
      <c r="M512">
        <v>8.68</v>
      </c>
      <c r="N512" s="4">
        <f t="shared" si="14"/>
        <v>7.6008096000000002E-3</v>
      </c>
      <c r="O512" s="4">
        <f t="shared" si="15"/>
        <v>6.5975027327999994E-2</v>
      </c>
      <c r="P512">
        <v>75</v>
      </c>
      <c r="Q512">
        <v>2</v>
      </c>
      <c r="R512">
        <v>2</v>
      </c>
      <c r="S512">
        <v>4</v>
      </c>
      <c r="T512">
        <v>4</v>
      </c>
      <c r="U512">
        <v>4</v>
      </c>
      <c r="V512" t="s">
        <v>38</v>
      </c>
    </row>
    <row r="513" spans="1:22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62</v>
      </c>
      <c r="K513">
        <v>1352</v>
      </c>
      <c r="L513">
        <v>4.9800000000000004</v>
      </c>
      <c r="M513">
        <v>4.05</v>
      </c>
      <c r="N513" s="4">
        <f t="shared" si="14"/>
        <v>1.9468314000000001E-3</v>
      </c>
      <c r="O513" s="4">
        <f t="shared" si="15"/>
        <v>7.8846671699999999E-3</v>
      </c>
      <c r="P513">
        <v>75</v>
      </c>
      <c r="Q513">
        <v>2</v>
      </c>
      <c r="R513">
        <v>2.5</v>
      </c>
      <c r="S513">
        <v>3</v>
      </c>
      <c r="T513">
        <v>3</v>
      </c>
      <c r="U513">
        <v>3</v>
      </c>
      <c r="V513" t="s">
        <v>30</v>
      </c>
    </row>
    <row r="514" spans="1:22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62</v>
      </c>
      <c r="K514">
        <v>2432</v>
      </c>
      <c r="L514">
        <v>8.92</v>
      </c>
      <c r="M514">
        <v>6.14</v>
      </c>
      <c r="N514" s="4">
        <f t="shared" si="14"/>
        <v>6.2459624000000009E-3</v>
      </c>
      <c r="O514" s="4">
        <f t="shared" si="15"/>
        <v>3.8350209136000006E-2</v>
      </c>
      <c r="P514">
        <v>75</v>
      </c>
      <c r="Q514">
        <v>2.5</v>
      </c>
      <c r="R514">
        <v>3</v>
      </c>
      <c r="S514">
        <v>4</v>
      </c>
      <c r="T514">
        <v>4</v>
      </c>
      <c r="U514">
        <v>3.5</v>
      </c>
      <c r="V514" t="s">
        <v>38</v>
      </c>
    </row>
    <row r="515" spans="1:22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62</v>
      </c>
      <c r="K515">
        <v>2553</v>
      </c>
      <c r="L515">
        <v>13.39</v>
      </c>
      <c r="M515">
        <v>6.6</v>
      </c>
      <c r="N515" s="4">
        <f t="shared" ref="N515:N578" si="16">3.14/4*((L515/100)^2)</f>
        <v>1.4074429850000004E-2</v>
      </c>
      <c r="O515" s="4">
        <f t="shared" ref="O515:O578" si="17">3.14/4*((L515/100)^2)*M515</f>
        <v>9.2891237010000016E-2</v>
      </c>
      <c r="P515">
        <v>75</v>
      </c>
      <c r="Q515">
        <v>3</v>
      </c>
      <c r="R515">
        <v>2.5</v>
      </c>
      <c r="S515">
        <v>3</v>
      </c>
      <c r="T515">
        <v>3</v>
      </c>
      <c r="U515">
        <v>2.5</v>
      </c>
      <c r="V515" t="s">
        <v>38</v>
      </c>
    </row>
    <row r="516" spans="1:22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62</v>
      </c>
      <c r="K516">
        <v>2574</v>
      </c>
      <c r="L516">
        <v>13.43</v>
      </c>
      <c r="M516">
        <v>9.0299999999999994</v>
      </c>
      <c r="N516" s="4">
        <f t="shared" si="16"/>
        <v>1.4158644650000001E-2</v>
      </c>
      <c r="O516" s="4">
        <f t="shared" si="17"/>
        <v>0.1278525611895</v>
      </c>
      <c r="P516">
        <v>100</v>
      </c>
      <c r="Q516">
        <v>4</v>
      </c>
      <c r="R516">
        <v>2</v>
      </c>
      <c r="S516">
        <v>4</v>
      </c>
      <c r="T516">
        <v>3</v>
      </c>
      <c r="U516">
        <v>2.5</v>
      </c>
      <c r="V516" t="s">
        <v>25</v>
      </c>
    </row>
    <row r="517" spans="1:22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37</v>
      </c>
      <c r="K517">
        <v>2575</v>
      </c>
      <c r="L517">
        <v>9.84</v>
      </c>
      <c r="M517">
        <v>5.67</v>
      </c>
      <c r="N517" s="4">
        <f t="shared" si="16"/>
        <v>7.6008096000000002E-3</v>
      </c>
      <c r="O517" s="4">
        <f t="shared" si="17"/>
        <v>4.3096590432000002E-2</v>
      </c>
      <c r="P517">
        <v>100</v>
      </c>
      <c r="Q517">
        <v>1.5</v>
      </c>
      <c r="R517">
        <v>1.5</v>
      </c>
      <c r="S517">
        <v>2</v>
      </c>
      <c r="T517">
        <v>2</v>
      </c>
      <c r="U517">
        <v>2</v>
      </c>
      <c r="V517" t="s">
        <v>50</v>
      </c>
    </row>
    <row r="518" spans="1:22" x14ac:dyDescent="0.25">
      <c r="A518" t="s">
        <v>86</v>
      </c>
      <c r="B518">
        <v>2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76</v>
      </c>
      <c r="K518">
        <v>1592</v>
      </c>
      <c r="L518">
        <v>4.7300000000000004</v>
      </c>
      <c r="M518">
        <v>5.31</v>
      </c>
      <c r="N518" s="4">
        <f t="shared" si="16"/>
        <v>1.7562726500000003E-3</v>
      </c>
      <c r="O518" s="4">
        <f t="shared" si="17"/>
        <v>9.3258077715000012E-3</v>
      </c>
      <c r="P518">
        <v>100</v>
      </c>
      <c r="Q518">
        <v>2</v>
      </c>
      <c r="R518">
        <v>3</v>
      </c>
      <c r="S518">
        <v>3</v>
      </c>
      <c r="T518">
        <v>4</v>
      </c>
      <c r="U518">
        <v>4</v>
      </c>
      <c r="V518" t="s">
        <v>25</v>
      </c>
    </row>
    <row r="519" spans="1:22" x14ac:dyDescent="0.25">
      <c r="A519" t="s">
        <v>86</v>
      </c>
      <c r="B519">
        <v>2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76</v>
      </c>
      <c r="K519">
        <v>2560</v>
      </c>
      <c r="L519">
        <v>6.35</v>
      </c>
      <c r="M519">
        <v>4.62</v>
      </c>
      <c r="N519" s="4">
        <f t="shared" si="16"/>
        <v>3.1653162500000004E-3</v>
      </c>
      <c r="O519" s="4">
        <f t="shared" si="17"/>
        <v>1.4623761075000002E-2</v>
      </c>
      <c r="P519">
        <v>100</v>
      </c>
      <c r="Q519">
        <v>3</v>
      </c>
      <c r="R519">
        <v>4</v>
      </c>
      <c r="S519">
        <v>2</v>
      </c>
      <c r="T519">
        <v>3</v>
      </c>
      <c r="U519">
        <v>4</v>
      </c>
      <c r="V519" t="s">
        <v>38</v>
      </c>
    </row>
    <row r="520" spans="1:22" x14ac:dyDescent="0.25">
      <c r="A520" t="s">
        <v>86</v>
      </c>
      <c r="B520">
        <v>2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56</v>
      </c>
      <c r="K520">
        <v>1111</v>
      </c>
      <c r="L520">
        <v>18.989999999999998</v>
      </c>
      <c r="M520">
        <v>10.73</v>
      </c>
      <c r="N520" s="4">
        <f t="shared" si="16"/>
        <v>2.8308677849999995E-2</v>
      </c>
      <c r="O520" s="4">
        <f t="shared" si="17"/>
        <v>0.30375211333049995</v>
      </c>
      <c r="P520">
        <v>75</v>
      </c>
      <c r="Q520">
        <v>3</v>
      </c>
      <c r="R520">
        <v>3</v>
      </c>
      <c r="S520">
        <v>3.5</v>
      </c>
      <c r="T520">
        <v>3</v>
      </c>
      <c r="U520">
        <v>3</v>
      </c>
      <c r="V520" t="s">
        <v>25</v>
      </c>
    </row>
    <row r="521" spans="1:22" x14ac:dyDescent="0.25">
      <c r="A521" t="s">
        <v>86</v>
      </c>
      <c r="B521">
        <v>2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57</v>
      </c>
      <c r="K521">
        <v>2620</v>
      </c>
      <c r="L521">
        <v>7.3</v>
      </c>
      <c r="M521">
        <v>5.91</v>
      </c>
      <c r="N521" s="4">
        <f t="shared" si="16"/>
        <v>4.1832649999999994E-3</v>
      </c>
      <c r="O521" s="4">
        <f t="shared" si="17"/>
        <v>2.4723096149999998E-2</v>
      </c>
      <c r="P521">
        <v>100</v>
      </c>
      <c r="Q521">
        <v>2</v>
      </c>
      <c r="R521">
        <v>2</v>
      </c>
      <c r="S521">
        <v>3</v>
      </c>
      <c r="T521">
        <v>4</v>
      </c>
      <c r="U521">
        <v>4</v>
      </c>
      <c r="V521" t="s">
        <v>30</v>
      </c>
    </row>
    <row r="522" spans="1:22" x14ac:dyDescent="0.25">
      <c r="A522" t="s">
        <v>86</v>
      </c>
      <c r="B522">
        <v>2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57</v>
      </c>
      <c r="K522">
        <v>2621</v>
      </c>
      <c r="L522">
        <v>8.11</v>
      </c>
      <c r="M522">
        <v>4.9800000000000004</v>
      </c>
      <c r="N522" s="4">
        <f t="shared" si="16"/>
        <v>5.1631098499999991E-3</v>
      </c>
      <c r="O522" s="4">
        <f t="shared" si="17"/>
        <v>2.5712287052999997E-2</v>
      </c>
      <c r="P522">
        <v>100</v>
      </c>
      <c r="Q522">
        <v>3</v>
      </c>
      <c r="R522">
        <v>1</v>
      </c>
      <c r="S522">
        <v>4</v>
      </c>
      <c r="T522">
        <v>4</v>
      </c>
      <c r="U522">
        <v>4</v>
      </c>
      <c r="V522" t="s">
        <v>38</v>
      </c>
    </row>
    <row r="523" spans="1:22" x14ac:dyDescent="0.25">
      <c r="A523" t="s">
        <v>86</v>
      </c>
      <c r="B523">
        <v>2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58</v>
      </c>
      <c r="K523">
        <v>2638</v>
      </c>
      <c r="L523">
        <v>5.25</v>
      </c>
      <c r="M523">
        <v>3.5</v>
      </c>
      <c r="N523" s="4">
        <f t="shared" si="16"/>
        <v>2.1636562499999998E-3</v>
      </c>
      <c r="O523" s="4">
        <f t="shared" si="17"/>
        <v>7.5727968749999992E-3</v>
      </c>
      <c r="P523">
        <v>50</v>
      </c>
      <c r="Q523">
        <v>2</v>
      </c>
      <c r="R523">
        <v>3</v>
      </c>
      <c r="S523">
        <v>3</v>
      </c>
      <c r="T523">
        <v>3</v>
      </c>
      <c r="U523">
        <v>4</v>
      </c>
      <c r="V523" t="s">
        <v>30</v>
      </c>
    </row>
    <row r="524" spans="1:22" x14ac:dyDescent="0.25">
      <c r="A524" t="s">
        <v>86</v>
      </c>
      <c r="B524">
        <v>2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59</v>
      </c>
      <c r="K524">
        <v>2426</v>
      </c>
      <c r="L524">
        <v>16.690000000000001</v>
      </c>
      <c r="M524">
        <v>9.48</v>
      </c>
      <c r="N524" s="4">
        <f t="shared" si="16"/>
        <v>2.1866653850000004E-2</v>
      </c>
      <c r="O524" s="4">
        <f t="shared" si="17"/>
        <v>0.20729587849800005</v>
      </c>
      <c r="P524">
        <v>50</v>
      </c>
      <c r="Q524">
        <v>4</v>
      </c>
      <c r="R524">
        <v>3</v>
      </c>
      <c r="S524">
        <v>4</v>
      </c>
      <c r="T524">
        <v>4</v>
      </c>
      <c r="U524">
        <v>3</v>
      </c>
      <c r="V524" t="s">
        <v>27</v>
      </c>
    </row>
    <row r="525" spans="1:22" x14ac:dyDescent="0.25">
      <c r="A525" t="s">
        <v>86</v>
      </c>
      <c r="B525">
        <v>2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59</v>
      </c>
      <c r="K525">
        <v>1482</v>
      </c>
      <c r="L525">
        <v>2.37</v>
      </c>
      <c r="M525">
        <v>2.73</v>
      </c>
      <c r="N525" s="4">
        <f t="shared" si="16"/>
        <v>4.4092665000000013E-4</v>
      </c>
      <c r="O525" s="4">
        <f t="shared" si="17"/>
        <v>1.2037297545000004E-3</v>
      </c>
      <c r="P525">
        <v>50</v>
      </c>
      <c r="Q525">
        <v>1</v>
      </c>
      <c r="R525">
        <v>3</v>
      </c>
      <c r="S525">
        <v>3</v>
      </c>
      <c r="T525">
        <v>3</v>
      </c>
      <c r="U525">
        <v>3</v>
      </c>
      <c r="V525" t="s">
        <v>50</v>
      </c>
    </row>
    <row r="526" spans="1:22" x14ac:dyDescent="0.25">
      <c r="A526" t="s">
        <v>86</v>
      </c>
      <c r="B526">
        <v>2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59</v>
      </c>
      <c r="K526">
        <v>2548</v>
      </c>
      <c r="L526">
        <v>10.08</v>
      </c>
      <c r="M526">
        <v>6.52</v>
      </c>
      <c r="N526" s="4">
        <f t="shared" si="16"/>
        <v>7.9761024000000007E-3</v>
      </c>
      <c r="O526" s="4">
        <f t="shared" si="17"/>
        <v>5.2004187648000001E-2</v>
      </c>
      <c r="P526">
        <v>50</v>
      </c>
      <c r="Q526">
        <v>3</v>
      </c>
      <c r="R526">
        <v>3</v>
      </c>
      <c r="S526">
        <v>4</v>
      </c>
      <c r="T526">
        <v>4</v>
      </c>
      <c r="U526">
        <v>4</v>
      </c>
      <c r="V526" t="s">
        <v>38</v>
      </c>
    </row>
    <row r="527" spans="1:22" x14ac:dyDescent="0.25">
      <c r="A527" t="s">
        <v>86</v>
      </c>
      <c r="B527">
        <v>2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26</v>
      </c>
      <c r="K527">
        <v>2552</v>
      </c>
      <c r="L527">
        <v>17.190000000000001</v>
      </c>
      <c r="M527">
        <v>12.45</v>
      </c>
      <c r="N527" s="4">
        <f t="shared" si="16"/>
        <v>2.3196443850000005E-2</v>
      </c>
      <c r="O527" s="4">
        <f t="shared" si="17"/>
        <v>0.28879572593250002</v>
      </c>
      <c r="P527">
        <v>50</v>
      </c>
      <c r="Q527">
        <v>4</v>
      </c>
      <c r="R527">
        <v>4</v>
      </c>
      <c r="S527">
        <v>4</v>
      </c>
      <c r="T527">
        <v>4</v>
      </c>
      <c r="U527">
        <v>4</v>
      </c>
      <c r="V527" t="s">
        <v>25</v>
      </c>
    </row>
    <row r="528" spans="1:22" x14ac:dyDescent="0.25">
      <c r="A528" t="s">
        <v>86</v>
      </c>
      <c r="B528">
        <v>2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61</v>
      </c>
      <c r="K528">
        <v>1171</v>
      </c>
      <c r="L528">
        <v>1.27</v>
      </c>
      <c r="M528">
        <v>1.1200000000000001</v>
      </c>
      <c r="N528" s="4">
        <f t="shared" si="16"/>
        <v>1.2661264999999999E-4</v>
      </c>
      <c r="O528" s="4">
        <f t="shared" si="17"/>
        <v>1.41806168E-4</v>
      </c>
      <c r="P528">
        <v>25</v>
      </c>
      <c r="Q528">
        <v>1.5</v>
      </c>
      <c r="R528">
        <v>3</v>
      </c>
      <c r="S528">
        <v>0</v>
      </c>
      <c r="T528">
        <v>2</v>
      </c>
      <c r="U528">
        <v>3</v>
      </c>
      <c r="V528" t="s">
        <v>50</v>
      </c>
    </row>
    <row r="529" spans="1:22" x14ac:dyDescent="0.25">
      <c r="A529" t="s">
        <v>86</v>
      </c>
      <c r="B529">
        <v>2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61</v>
      </c>
      <c r="K529">
        <v>2631</v>
      </c>
      <c r="L529">
        <v>5.75</v>
      </c>
      <c r="M529">
        <v>4.5999999999999996</v>
      </c>
      <c r="N529" s="4">
        <f t="shared" si="16"/>
        <v>2.5954062500000001E-3</v>
      </c>
      <c r="O529" s="4">
        <f t="shared" si="17"/>
        <v>1.193886875E-2</v>
      </c>
      <c r="P529">
        <v>25</v>
      </c>
      <c r="Q529">
        <v>2</v>
      </c>
      <c r="R529">
        <v>2</v>
      </c>
      <c r="S529">
        <v>3</v>
      </c>
      <c r="T529">
        <v>3</v>
      </c>
      <c r="U529">
        <v>3</v>
      </c>
      <c r="V529" t="s">
        <v>50</v>
      </c>
    </row>
    <row r="530" spans="1:22" x14ac:dyDescent="0.25">
      <c r="A530" t="s">
        <v>86</v>
      </c>
      <c r="B530">
        <v>2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32</v>
      </c>
      <c r="K530">
        <v>1595</v>
      </c>
      <c r="L530">
        <v>15.69</v>
      </c>
      <c r="M530">
        <v>8.9499999999999993</v>
      </c>
      <c r="N530" s="4">
        <f t="shared" si="16"/>
        <v>1.9324823849999995E-2</v>
      </c>
      <c r="O530" s="4">
        <f t="shared" si="17"/>
        <v>0.17295717345749995</v>
      </c>
      <c r="P530">
        <v>100</v>
      </c>
      <c r="Q530">
        <v>3</v>
      </c>
      <c r="R530">
        <v>3</v>
      </c>
      <c r="S530">
        <v>4</v>
      </c>
      <c r="T530">
        <v>4</v>
      </c>
      <c r="U530">
        <v>3</v>
      </c>
      <c r="V530" t="s">
        <v>25</v>
      </c>
    </row>
    <row r="531" spans="1:22" x14ac:dyDescent="0.25">
      <c r="A531" t="s">
        <v>86</v>
      </c>
      <c r="B531">
        <v>2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32</v>
      </c>
      <c r="K531">
        <v>2569</v>
      </c>
      <c r="L531">
        <v>17.03</v>
      </c>
      <c r="M531">
        <v>10.42</v>
      </c>
      <c r="N531" s="4">
        <f t="shared" si="16"/>
        <v>2.2766640650000003E-2</v>
      </c>
      <c r="O531" s="4">
        <f t="shared" si="17"/>
        <v>0.23722839557300002</v>
      </c>
      <c r="P531">
        <v>100</v>
      </c>
      <c r="Q531">
        <v>3</v>
      </c>
      <c r="R531">
        <v>3</v>
      </c>
      <c r="S531">
        <v>4</v>
      </c>
      <c r="T531">
        <v>4</v>
      </c>
      <c r="U531">
        <v>3</v>
      </c>
      <c r="V531" t="s">
        <v>25</v>
      </c>
    </row>
    <row r="532" spans="1:22" x14ac:dyDescent="0.25">
      <c r="A532" t="s">
        <v>86</v>
      </c>
      <c r="B532">
        <v>2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32</v>
      </c>
      <c r="K532">
        <v>2634</v>
      </c>
      <c r="L532">
        <v>17.77</v>
      </c>
      <c r="M532">
        <v>10.42</v>
      </c>
      <c r="N532" s="4">
        <f t="shared" si="16"/>
        <v>2.4788172650000002E-2</v>
      </c>
      <c r="O532" s="4">
        <f t="shared" si="17"/>
        <v>0.25829275901300003</v>
      </c>
      <c r="P532">
        <v>50</v>
      </c>
      <c r="Q532">
        <v>3</v>
      </c>
      <c r="R532">
        <v>3</v>
      </c>
      <c r="S532">
        <v>2</v>
      </c>
      <c r="T532">
        <v>2</v>
      </c>
      <c r="U532">
        <v>2</v>
      </c>
      <c r="V532" t="s">
        <v>38</v>
      </c>
    </row>
    <row r="533" spans="1:22" x14ac:dyDescent="0.25">
      <c r="A533" t="s">
        <v>86</v>
      </c>
      <c r="B533">
        <v>2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32</v>
      </c>
      <c r="K533">
        <v>2635</v>
      </c>
      <c r="L533">
        <v>17.399999999999999</v>
      </c>
      <c r="M533">
        <v>10.66</v>
      </c>
      <c r="N533" s="4">
        <f t="shared" si="16"/>
        <v>2.3766659999999998E-2</v>
      </c>
      <c r="O533" s="4">
        <f t="shared" si="17"/>
        <v>0.25335259560000001</v>
      </c>
      <c r="P533">
        <v>75</v>
      </c>
      <c r="Q533">
        <v>3</v>
      </c>
      <c r="R533">
        <v>2</v>
      </c>
      <c r="S533">
        <v>4</v>
      </c>
      <c r="T533">
        <v>4</v>
      </c>
      <c r="U533">
        <v>3</v>
      </c>
      <c r="V533" t="s">
        <v>25</v>
      </c>
    </row>
    <row r="534" spans="1:22" x14ac:dyDescent="0.25">
      <c r="A534" t="s">
        <v>86</v>
      </c>
      <c r="B534">
        <v>2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34</v>
      </c>
      <c r="K534">
        <v>2570</v>
      </c>
      <c r="L534">
        <v>10.16</v>
      </c>
      <c r="M534">
        <v>7.74</v>
      </c>
      <c r="N534" s="4">
        <f t="shared" si="16"/>
        <v>8.1032095999999994E-3</v>
      </c>
      <c r="O534" s="4">
        <f t="shared" si="17"/>
        <v>6.2718842304000003E-2</v>
      </c>
      <c r="P534">
        <v>100</v>
      </c>
      <c r="Q534">
        <v>3</v>
      </c>
      <c r="R534">
        <v>3</v>
      </c>
      <c r="S534">
        <v>4</v>
      </c>
      <c r="T534">
        <v>4</v>
      </c>
      <c r="U534">
        <v>4</v>
      </c>
      <c r="V534" t="s">
        <v>25</v>
      </c>
    </row>
    <row r="535" spans="1:22" x14ac:dyDescent="0.25">
      <c r="A535" t="s">
        <v>86</v>
      </c>
      <c r="B535">
        <v>2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35</v>
      </c>
      <c r="K535">
        <v>1788</v>
      </c>
      <c r="L535">
        <v>6.06</v>
      </c>
      <c r="M535">
        <v>4.2</v>
      </c>
      <c r="N535" s="4">
        <f t="shared" si="16"/>
        <v>2.8828025999999992E-3</v>
      </c>
      <c r="O535" s="4">
        <f t="shared" si="17"/>
        <v>1.2107770919999997E-2</v>
      </c>
      <c r="P535">
        <v>100</v>
      </c>
      <c r="Q535">
        <v>1.5</v>
      </c>
      <c r="R535">
        <v>1.5</v>
      </c>
      <c r="S535">
        <v>2</v>
      </c>
      <c r="T535">
        <v>2</v>
      </c>
      <c r="U535">
        <v>1</v>
      </c>
      <c r="V535" t="s">
        <v>50</v>
      </c>
    </row>
    <row r="536" spans="1:22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35</v>
      </c>
      <c r="K536">
        <v>1259</v>
      </c>
      <c r="L536">
        <v>10.37</v>
      </c>
      <c r="M536">
        <v>5.6</v>
      </c>
      <c r="N536" s="4">
        <f t="shared" si="16"/>
        <v>8.4416466499999988E-3</v>
      </c>
      <c r="O536" s="4">
        <f t="shared" si="17"/>
        <v>4.7273221239999989E-2</v>
      </c>
      <c r="P536">
        <v>100</v>
      </c>
      <c r="Q536">
        <v>3</v>
      </c>
      <c r="R536">
        <v>2</v>
      </c>
      <c r="S536">
        <v>2</v>
      </c>
      <c r="T536">
        <v>2</v>
      </c>
      <c r="U536">
        <v>1</v>
      </c>
      <c r="V536" t="s">
        <v>30</v>
      </c>
    </row>
    <row r="537" spans="1:22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35</v>
      </c>
      <c r="K537">
        <v>1785</v>
      </c>
      <c r="L537">
        <v>2.56</v>
      </c>
      <c r="M537">
        <v>2.91</v>
      </c>
      <c r="N537" s="4">
        <f t="shared" si="16"/>
        <v>5.1445760000000005E-4</v>
      </c>
      <c r="O537" s="4">
        <f t="shared" si="17"/>
        <v>1.4970716160000001E-3</v>
      </c>
      <c r="P537">
        <v>75</v>
      </c>
      <c r="Q537">
        <v>1</v>
      </c>
      <c r="R537">
        <v>1</v>
      </c>
      <c r="S537">
        <v>2</v>
      </c>
      <c r="T537">
        <v>2</v>
      </c>
      <c r="U537">
        <v>3</v>
      </c>
      <c r="V537" t="s">
        <v>50</v>
      </c>
    </row>
    <row r="538" spans="1:22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35</v>
      </c>
      <c r="K538">
        <v>2571</v>
      </c>
      <c r="L538">
        <v>8.98</v>
      </c>
      <c r="M538">
        <v>4.08</v>
      </c>
      <c r="N538" s="4">
        <f t="shared" si="16"/>
        <v>6.3302714000000012E-3</v>
      </c>
      <c r="O538" s="4">
        <f t="shared" si="17"/>
        <v>2.5827507312000005E-2</v>
      </c>
      <c r="P538">
        <v>75</v>
      </c>
      <c r="Q538">
        <v>4</v>
      </c>
      <c r="R538">
        <v>2</v>
      </c>
      <c r="S538">
        <v>2</v>
      </c>
      <c r="T538">
        <v>2</v>
      </c>
      <c r="U538">
        <v>2</v>
      </c>
      <c r="V538" t="s">
        <v>38</v>
      </c>
    </row>
    <row r="539" spans="1:22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36</v>
      </c>
      <c r="K539">
        <v>2573</v>
      </c>
      <c r="L539">
        <v>7.84</v>
      </c>
      <c r="M539">
        <v>4.29</v>
      </c>
      <c r="N539" s="4">
        <f t="shared" si="16"/>
        <v>4.8250495999999999E-3</v>
      </c>
      <c r="O539" s="4">
        <f t="shared" si="17"/>
        <v>2.0699462783999999E-2</v>
      </c>
      <c r="P539">
        <v>25</v>
      </c>
      <c r="Q539">
        <v>2</v>
      </c>
      <c r="R539">
        <v>4</v>
      </c>
      <c r="S539">
        <v>1</v>
      </c>
      <c r="T539">
        <v>2</v>
      </c>
      <c r="U539">
        <v>3</v>
      </c>
      <c r="V539" t="s">
        <v>50</v>
      </c>
    </row>
    <row r="540" spans="1:22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62</v>
      </c>
      <c r="K540">
        <v>2550</v>
      </c>
      <c r="L540">
        <v>5.44</v>
      </c>
      <c r="M540">
        <v>4.05</v>
      </c>
      <c r="N540" s="4">
        <f t="shared" si="16"/>
        <v>2.3230976000000003E-3</v>
      </c>
      <c r="O540" s="4">
        <f t="shared" si="17"/>
        <v>9.4085452800000014E-3</v>
      </c>
      <c r="P540">
        <v>50</v>
      </c>
      <c r="Q540">
        <v>1</v>
      </c>
      <c r="R540">
        <v>2</v>
      </c>
      <c r="S540">
        <v>3</v>
      </c>
      <c r="T540">
        <v>3</v>
      </c>
      <c r="U540">
        <v>3</v>
      </c>
      <c r="V540" t="s">
        <v>50</v>
      </c>
    </row>
    <row r="541" spans="1:22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62</v>
      </c>
      <c r="K541">
        <v>1352</v>
      </c>
      <c r="L541">
        <v>11.93</v>
      </c>
      <c r="M541">
        <v>11</v>
      </c>
      <c r="N541" s="4">
        <f t="shared" si="16"/>
        <v>1.1172504650000002E-2</v>
      </c>
      <c r="O541" s="4">
        <f t="shared" si="17"/>
        <v>0.12289755115000002</v>
      </c>
      <c r="P541">
        <v>100</v>
      </c>
      <c r="Q541">
        <v>3.5</v>
      </c>
      <c r="R541">
        <v>3</v>
      </c>
      <c r="S541">
        <v>4</v>
      </c>
      <c r="T541">
        <v>4</v>
      </c>
      <c r="U541">
        <v>3.5</v>
      </c>
      <c r="V541" t="s">
        <v>25</v>
      </c>
    </row>
    <row r="542" spans="1:22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62</v>
      </c>
      <c r="K542">
        <v>2432</v>
      </c>
      <c r="L542">
        <v>12.39</v>
      </c>
      <c r="M542">
        <v>10.77</v>
      </c>
      <c r="N542" s="4">
        <f t="shared" si="16"/>
        <v>1.2050699850000002E-2</v>
      </c>
      <c r="O542" s="4">
        <f t="shared" si="17"/>
        <v>0.12978603738450001</v>
      </c>
      <c r="P542">
        <v>75</v>
      </c>
      <c r="Q542">
        <v>3</v>
      </c>
      <c r="R542">
        <v>3</v>
      </c>
      <c r="S542">
        <v>4</v>
      </c>
      <c r="T542">
        <v>4</v>
      </c>
      <c r="U542">
        <v>4</v>
      </c>
      <c r="V542" t="s">
        <v>25</v>
      </c>
    </row>
    <row r="543" spans="1:22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62</v>
      </c>
      <c r="K543">
        <v>2553</v>
      </c>
      <c r="L543">
        <v>17.95</v>
      </c>
      <c r="M543">
        <v>13.66</v>
      </c>
      <c r="N543" s="4">
        <f t="shared" si="16"/>
        <v>2.5292896249999999E-2</v>
      </c>
      <c r="O543" s="4">
        <f t="shared" si="17"/>
        <v>0.34550096277499998</v>
      </c>
      <c r="P543">
        <v>100</v>
      </c>
      <c r="Q543">
        <v>5</v>
      </c>
      <c r="R543">
        <v>3</v>
      </c>
      <c r="S543">
        <v>4.5</v>
      </c>
      <c r="T543">
        <v>4.5</v>
      </c>
      <c r="U543">
        <v>4</v>
      </c>
      <c r="V543" t="s">
        <v>27</v>
      </c>
    </row>
    <row r="544" spans="1:22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62</v>
      </c>
      <c r="K544">
        <v>2574</v>
      </c>
      <c r="L544">
        <v>10.07</v>
      </c>
      <c r="M544">
        <v>12.74</v>
      </c>
      <c r="N544" s="4">
        <f t="shared" si="16"/>
        <v>7.9602846499999998E-3</v>
      </c>
      <c r="O544" s="4">
        <f t="shared" si="17"/>
        <v>0.101414026441</v>
      </c>
      <c r="P544">
        <v>100</v>
      </c>
      <c r="Q544">
        <v>2.5</v>
      </c>
      <c r="R544">
        <v>2.5</v>
      </c>
      <c r="S544">
        <v>5</v>
      </c>
      <c r="T544">
        <v>5</v>
      </c>
      <c r="U544">
        <v>5</v>
      </c>
      <c r="V544" t="s">
        <v>25</v>
      </c>
    </row>
    <row r="545" spans="1:22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37</v>
      </c>
      <c r="K545">
        <v>2575</v>
      </c>
      <c r="L545">
        <v>8.56</v>
      </c>
      <c r="M545">
        <v>3.33</v>
      </c>
      <c r="N545" s="4">
        <f t="shared" si="16"/>
        <v>5.7519776000000012E-3</v>
      </c>
      <c r="O545" s="4">
        <f t="shared" si="17"/>
        <v>1.9154085408000003E-2</v>
      </c>
      <c r="P545">
        <v>75</v>
      </c>
      <c r="Q545">
        <v>2</v>
      </c>
      <c r="R545">
        <v>3</v>
      </c>
      <c r="S545">
        <v>2</v>
      </c>
      <c r="T545">
        <v>2</v>
      </c>
      <c r="U545">
        <v>2</v>
      </c>
      <c r="V545" t="s">
        <v>50</v>
      </c>
    </row>
    <row r="546" spans="1:22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63</v>
      </c>
      <c r="K546">
        <v>1340</v>
      </c>
      <c r="L546">
        <v>1.56</v>
      </c>
      <c r="M546">
        <v>2.16</v>
      </c>
      <c r="N546" s="4">
        <f t="shared" si="16"/>
        <v>1.9103760000000004E-4</v>
      </c>
      <c r="O546" s="4">
        <f t="shared" si="17"/>
        <v>4.1264121600000011E-4</v>
      </c>
      <c r="P546">
        <v>50</v>
      </c>
      <c r="Q546">
        <v>1</v>
      </c>
      <c r="R546">
        <v>2</v>
      </c>
      <c r="S546">
        <v>2</v>
      </c>
      <c r="T546">
        <v>2</v>
      </c>
      <c r="U546">
        <v>3</v>
      </c>
      <c r="V546" t="s">
        <v>50</v>
      </c>
    </row>
    <row r="547" spans="1:22" x14ac:dyDescent="0.25">
      <c r="A547" t="s">
        <v>86</v>
      </c>
      <c r="B547">
        <v>3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76</v>
      </c>
      <c r="K547">
        <v>1592</v>
      </c>
      <c r="L547">
        <v>20.43</v>
      </c>
      <c r="M547">
        <v>10.39</v>
      </c>
      <c r="N547" s="4">
        <f t="shared" si="16"/>
        <v>3.2764714650000006E-2</v>
      </c>
      <c r="O547" s="4">
        <f t="shared" si="17"/>
        <v>0.34042538521350008</v>
      </c>
      <c r="P547">
        <v>75</v>
      </c>
      <c r="Q547">
        <v>3</v>
      </c>
      <c r="R547">
        <v>4</v>
      </c>
      <c r="S547">
        <v>2</v>
      </c>
      <c r="T547">
        <v>3</v>
      </c>
      <c r="U547">
        <v>2</v>
      </c>
      <c r="V547" t="s">
        <v>25</v>
      </c>
    </row>
    <row r="548" spans="1:22" x14ac:dyDescent="0.25">
      <c r="A548" t="s">
        <v>86</v>
      </c>
      <c r="B548">
        <v>3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76</v>
      </c>
      <c r="K548">
        <v>2560</v>
      </c>
      <c r="L548">
        <v>16.04</v>
      </c>
      <c r="M548">
        <v>8.66</v>
      </c>
      <c r="N548" s="4">
        <f t="shared" si="16"/>
        <v>2.0196605599999997E-2</v>
      </c>
      <c r="O548" s="4">
        <f t="shared" si="17"/>
        <v>0.17490260449599998</v>
      </c>
      <c r="P548">
        <v>100</v>
      </c>
      <c r="Q548">
        <v>3</v>
      </c>
      <c r="R548">
        <v>4</v>
      </c>
      <c r="S548">
        <v>4</v>
      </c>
      <c r="T548">
        <v>4</v>
      </c>
      <c r="U548">
        <v>4</v>
      </c>
      <c r="V548" t="s">
        <v>25</v>
      </c>
    </row>
    <row r="549" spans="1:22" x14ac:dyDescent="0.25">
      <c r="A549" t="s">
        <v>86</v>
      </c>
      <c r="B549">
        <v>3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56</v>
      </c>
      <c r="K549">
        <v>1111</v>
      </c>
      <c r="L549">
        <v>11.9</v>
      </c>
      <c r="M549">
        <v>7.2</v>
      </c>
      <c r="N549" s="4">
        <f t="shared" si="16"/>
        <v>1.1116385000000001E-2</v>
      </c>
      <c r="O549" s="4">
        <f t="shared" si="17"/>
        <v>8.0037972000000013E-2</v>
      </c>
      <c r="P549">
        <v>100</v>
      </c>
      <c r="Q549">
        <v>3</v>
      </c>
      <c r="R549">
        <v>2</v>
      </c>
      <c r="S549">
        <v>3</v>
      </c>
      <c r="T549">
        <v>3</v>
      </c>
      <c r="U549">
        <v>3</v>
      </c>
      <c r="V549" t="s">
        <v>38</v>
      </c>
    </row>
    <row r="550" spans="1:22" x14ac:dyDescent="0.25">
      <c r="A550" t="s">
        <v>86</v>
      </c>
      <c r="B550">
        <v>3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57</v>
      </c>
      <c r="K550">
        <v>2620</v>
      </c>
      <c r="L550">
        <v>2.66</v>
      </c>
      <c r="M550">
        <v>2.08</v>
      </c>
      <c r="N550" s="4">
        <f t="shared" si="16"/>
        <v>5.5543460000000015E-4</v>
      </c>
      <c r="O550" s="4">
        <f t="shared" si="17"/>
        <v>1.1553039680000004E-3</v>
      </c>
      <c r="P550">
        <v>100</v>
      </c>
      <c r="Q550">
        <v>2</v>
      </c>
      <c r="R550">
        <v>1.5</v>
      </c>
      <c r="S550">
        <v>1</v>
      </c>
      <c r="T550">
        <v>2</v>
      </c>
      <c r="U550">
        <v>3</v>
      </c>
      <c r="V550" t="s">
        <v>50</v>
      </c>
    </row>
    <row r="551" spans="1:22" x14ac:dyDescent="0.25">
      <c r="A551" t="s">
        <v>86</v>
      </c>
      <c r="B551">
        <v>3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57</v>
      </c>
      <c r="K551">
        <v>2621</v>
      </c>
      <c r="L551">
        <v>5.0999999999999996</v>
      </c>
      <c r="M551">
        <v>2.66</v>
      </c>
      <c r="N551" s="4">
        <f t="shared" si="16"/>
        <v>2.041785E-3</v>
      </c>
      <c r="O551" s="4">
        <f t="shared" si="17"/>
        <v>5.4311480999999998E-3</v>
      </c>
      <c r="P551">
        <v>75</v>
      </c>
      <c r="Q551">
        <v>3</v>
      </c>
      <c r="R551">
        <v>2</v>
      </c>
      <c r="S551">
        <v>2</v>
      </c>
      <c r="T551">
        <v>2</v>
      </c>
      <c r="U551">
        <v>3</v>
      </c>
      <c r="V551" t="s">
        <v>30</v>
      </c>
    </row>
    <row r="552" spans="1:22" x14ac:dyDescent="0.25">
      <c r="A552" t="s">
        <v>86</v>
      </c>
      <c r="B552">
        <v>3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58</v>
      </c>
      <c r="K552">
        <v>2638</v>
      </c>
      <c r="L552">
        <v>12.24</v>
      </c>
      <c r="M552">
        <v>5.83</v>
      </c>
      <c r="N552" s="4">
        <f t="shared" si="16"/>
        <v>1.1760681600000001E-2</v>
      </c>
      <c r="O552" s="4">
        <f t="shared" si="17"/>
        <v>6.8564773728000003E-2</v>
      </c>
      <c r="P552">
        <v>25</v>
      </c>
      <c r="Q552">
        <v>2</v>
      </c>
      <c r="R552">
        <v>3</v>
      </c>
      <c r="S552">
        <v>3</v>
      </c>
      <c r="T552">
        <v>3</v>
      </c>
      <c r="U552">
        <v>3</v>
      </c>
      <c r="V552" t="s">
        <v>30</v>
      </c>
    </row>
    <row r="553" spans="1:22" x14ac:dyDescent="0.25">
      <c r="A553" t="s">
        <v>86</v>
      </c>
      <c r="B553">
        <v>3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59</v>
      </c>
      <c r="K553">
        <v>2426</v>
      </c>
      <c r="L553">
        <v>21.93</v>
      </c>
      <c r="M553">
        <v>9.84</v>
      </c>
      <c r="N553" s="4">
        <f t="shared" si="16"/>
        <v>3.775260465E-2</v>
      </c>
      <c r="O553" s="4">
        <f t="shared" si="17"/>
        <v>0.37148562975600002</v>
      </c>
      <c r="P553">
        <v>100</v>
      </c>
      <c r="Q553">
        <v>4</v>
      </c>
      <c r="R553">
        <v>3</v>
      </c>
      <c r="S553">
        <v>3.5</v>
      </c>
      <c r="T553">
        <v>3</v>
      </c>
      <c r="U553">
        <v>2</v>
      </c>
      <c r="V553" t="s">
        <v>25</v>
      </c>
    </row>
    <row r="554" spans="1:22" x14ac:dyDescent="0.25">
      <c r="A554" t="s">
        <v>86</v>
      </c>
      <c r="B554">
        <v>3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59</v>
      </c>
      <c r="K554">
        <v>1482</v>
      </c>
      <c r="L554">
        <v>24.16</v>
      </c>
      <c r="M554">
        <v>10.31</v>
      </c>
      <c r="N554" s="4">
        <f t="shared" si="16"/>
        <v>4.5820889600000005E-2</v>
      </c>
      <c r="O554" s="4">
        <f t="shared" si="17"/>
        <v>0.47241337177600007</v>
      </c>
      <c r="P554">
        <v>75</v>
      </c>
      <c r="Q554">
        <v>4.5</v>
      </c>
      <c r="R554">
        <v>3</v>
      </c>
      <c r="S554">
        <v>4</v>
      </c>
      <c r="T554">
        <v>3</v>
      </c>
      <c r="U554">
        <v>2</v>
      </c>
      <c r="V554" t="s">
        <v>25</v>
      </c>
    </row>
    <row r="555" spans="1:22" x14ac:dyDescent="0.25">
      <c r="A555" t="s">
        <v>86</v>
      </c>
      <c r="B555">
        <v>3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59</v>
      </c>
      <c r="K555">
        <v>2548</v>
      </c>
      <c r="L555">
        <v>24.77</v>
      </c>
      <c r="M555">
        <v>10.67</v>
      </c>
      <c r="N555" s="4">
        <f t="shared" si="16"/>
        <v>4.816390265E-2</v>
      </c>
      <c r="O555" s="4">
        <f t="shared" si="17"/>
        <v>0.51390884127549996</v>
      </c>
      <c r="P555">
        <v>100</v>
      </c>
      <c r="Q555">
        <v>4.5</v>
      </c>
      <c r="R555">
        <v>3</v>
      </c>
      <c r="S555">
        <v>4</v>
      </c>
      <c r="T555">
        <v>3</v>
      </c>
      <c r="U555">
        <v>2</v>
      </c>
      <c r="V555" t="s">
        <v>25</v>
      </c>
    </row>
    <row r="556" spans="1:22" x14ac:dyDescent="0.25">
      <c r="A556" t="s">
        <v>86</v>
      </c>
      <c r="B556">
        <v>3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26</v>
      </c>
      <c r="K556">
        <v>2552</v>
      </c>
      <c r="L556">
        <v>16.829999999999998</v>
      </c>
      <c r="M556">
        <v>10.31</v>
      </c>
      <c r="N556" s="4">
        <f t="shared" si="16"/>
        <v>2.2235038649999993E-2</v>
      </c>
      <c r="O556" s="4">
        <f t="shared" si="17"/>
        <v>0.22924324848149993</v>
      </c>
      <c r="P556">
        <v>75</v>
      </c>
      <c r="Q556">
        <v>4</v>
      </c>
      <c r="R556">
        <v>3</v>
      </c>
      <c r="S556">
        <v>4</v>
      </c>
      <c r="T556">
        <v>4</v>
      </c>
      <c r="U556">
        <v>3</v>
      </c>
      <c r="V556" t="s">
        <v>27</v>
      </c>
    </row>
    <row r="557" spans="1:22" x14ac:dyDescent="0.25">
      <c r="A557" t="s">
        <v>86</v>
      </c>
      <c r="B557">
        <v>3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61</v>
      </c>
      <c r="K557">
        <v>1171</v>
      </c>
      <c r="L557">
        <v>8.4</v>
      </c>
      <c r="M557">
        <v>3.91</v>
      </c>
      <c r="N557" s="4">
        <f t="shared" si="16"/>
        <v>5.5389600000000008E-3</v>
      </c>
      <c r="O557" s="4">
        <f t="shared" si="17"/>
        <v>2.1657333600000005E-2</v>
      </c>
      <c r="P557">
        <v>100</v>
      </c>
      <c r="Q557">
        <v>3</v>
      </c>
      <c r="R557">
        <v>2</v>
      </c>
      <c r="S557">
        <v>1</v>
      </c>
      <c r="T557">
        <v>2</v>
      </c>
      <c r="U557">
        <v>1</v>
      </c>
      <c r="V557" t="s">
        <v>50</v>
      </c>
    </row>
    <row r="558" spans="1:22" x14ac:dyDescent="0.25">
      <c r="A558" t="s">
        <v>86</v>
      </c>
      <c r="B558">
        <v>3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61</v>
      </c>
      <c r="K558">
        <v>2631</v>
      </c>
      <c r="L558">
        <v>5.75</v>
      </c>
      <c r="M558">
        <v>4.26</v>
      </c>
      <c r="N558" s="4">
        <f t="shared" si="16"/>
        <v>2.5954062500000001E-3</v>
      </c>
      <c r="O558" s="4">
        <f t="shared" si="17"/>
        <v>1.1056430625E-2</v>
      </c>
      <c r="P558">
        <v>75</v>
      </c>
      <c r="Q558">
        <v>2</v>
      </c>
      <c r="R558">
        <v>3</v>
      </c>
      <c r="S558">
        <v>2</v>
      </c>
      <c r="T558">
        <v>2</v>
      </c>
      <c r="U558">
        <v>2</v>
      </c>
      <c r="V558" t="s">
        <v>50</v>
      </c>
    </row>
    <row r="559" spans="1:22" x14ac:dyDescent="0.25">
      <c r="A559" t="s">
        <v>86</v>
      </c>
      <c r="B559">
        <v>3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32</v>
      </c>
      <c r="K559">
        <v>1595</v>
      </c>
      <c r="L559">
        <v>16.54</v>
      </c>
      <c r="M559">
        <v>7.23</v>
      </c>
      <c r="N559" s="4">
        <f t="shared" si="16"/>
        <v>2.1475370599999998E-2</v>
      </c>
      <c r="O559" s="4">
        <f t="shared" si="17"/>
        <v>0.155266929438</v>
      </c>
      <c r="P559">
        <v>100</v>
      </c>
      <c r="Q559">
        <v>3</v>
      </c>
      <c r="R559">
        <v>2.5</v>
      </c>
      <c r="S559">
        <v>3</v>
      </c>
      <c r="T559">
        <v>4</v>
      </c>
      <c r="U559">
        <v>2</v>
      </c>
      <c r="V559" t="s">
        <v>25</v>
      </c>
    </row>
    <row r="560" spans="1:22" x14ac:dyDescent="0.25">
      <c r="A560" t="s">
        <v>86</v>
      </c>
      <c r="B560">
        <v>3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32</v>
      </c>
      <c r="K560">
        <v>2569</v>
      </c>
      <c r="L560">
        <v>13.73</v>
      </c>
      <c r="M560">
        <v>7.6</v>
      </c>
      <c r="N560" s="4">
        <f t="shared" si="16"/>
        <v>1.4798262650000003E-2</v>
      </c>
      <c r="O560" s="4">
        <f t="shared" si="17"/>
        <v>0.11246679614000002</v>
      </c>
      <c r="P560">
        <v>75</v>
      </c>
      <c r="Q560">
        <v>2.5</v>
      </c>
      <c r="R560">
        <v>2</v>
      </c>
      <c r="S560">
        <v>3</v>
      </c>
      <c r="T560">
        <v>3</v>
      </c>
      <c r="U560">
        <v>3</v>
      </c>
      <c r="V560" t="s">
        <v>38</v>
      </c>
    </row>
    <row r="561" spans="1:22" x14ac:dyDescent="0.25">
      <c r="A561" t="s">
        <v>86</v>
      </c>
      <c r="B561">
        <v>3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32</v>
      </c>
      <c r="K561">
        <v>2634</v>
      </c>
      <c r="L561">
        <v>16.3</v>
      </c>
      <c r="M561">
        <v>7.84</v>
      </c>
      <c r="N561" s="4">
        <f t="shared" si="16"/>
        <v>2.0856665000000003E-2</v>
      </c>
      <c r="O561" s="4">
        <f t="shared" si="17"/>
        <v>0.16351625360000002</v>
      </c>
      <c r="P561">
        <v>100</v>
      </c>
      <c r="Q561">
        <v>3</v>
      </c>
      <c r="R561">
        <v>3</v>
      </c>
      <c r="S561">
        <v>3</v>
      </c>
      <c r="T561">
        <v>3</v>
      </c>
      <c r="U561">
        <v>3</v>
      </c>
      <c r="V561" t="s">
        <v>38</v>
      </c>
    </row>
    <row r="562" spans="1:22" x14ac:dyDescent="0.25">
      <c r="A562" t="s">
        <v>86</v>
      </c>
      <c r="B562">
        <v>3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32</v>
      </c>
      <c r="K562">
        <v>2635</v>
      </c>
      <c r="L562">
        <v>13.73</v>
      </c>
      <c r="M562">
        <v>8.58</v>
      </c>
      <c r="N562" s="4">
        <f t="shared" si="16"/>
        <v>1.4798262650000003E-2</v>
      </c>
      <c r="O562" s="4">
        <f t="shared" si="17"/>
        <v>0.12696909353700003</v>
      </c>
      <c r="P562">
        <v>75</v>
      </c>
      <c r="Q562">
        <v>3</v>
      </c>
      <c r="R562">
        <v>3</v>
      </c>
      <c r="S562">
        <v>3</v>
      </c>
      <c r="T562">
        <v>3</v>
      </c>
      <c r="U562">
        <v>3</v>
      </c>
      <c r="V562" t="s">
        <v>38</v>
      </c>
    </row>
    <row r="563" spans="1:22" x14ac:dyDescent="0.25">
      <c r="A563" t="s">
        <v>86</v>
      </c>
      <c r="B563">
        <v>3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34</v>
      </c>
      <c r="K563">
        <v>2570</v>
      </c>
      <c r="L563">
        <v>16.93</v>
      </c>
      <c r="M563">
        <v>8.1</v>
      </c>
      <c r="N563" s="4">
        <f t="shared" si="16"/>
        <v>2.2500054650000004E-2</v>
      </c>
      <c r="O563" s="4">
        <f t="shared" si="17"/>
        <v>0.18225044266500001</v>
      </c>
      <c r="P563">
        <v>75</v>
      </c>
      <c r="Q563">
        <v>2.5</v>
      </c>
      <c r="R563">
        <v>2</v>
      </c>
      <c r="S563">
        <v>2.5</v>
      </c>
      <c r="T563">
        <v>2.5</v>
      </c>
      <c r="U563">
        <v>2</v>
      </c>
      <c r="V563" t="s">
        <v>38</v>
      </c>
    </row>
    <row r="564" spans="1:22" x14ac:dyDescent="0.25">
      <c r="A564" t="s">
        <v>86</v>
      </c>
      <c r="B564">
        <v>3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35</v>
      </c>
      <c r="K564">
        <v>1788</v>
      </c>
      <c r="L564">
        <v>2.68</v>
      </c>
      <c r="M564">
        <v>2.33</v>
      </c>
      <c r="N564" s="4">
        <f t="shared" si="16"/>
        <v>5.6381840000000014E-4</v>
      </c>
      <c r="O564" s="4">
        <f t="shared" si="17"/>
        <v>1.3136968720000005E-3</v>
      </c>
      <c r="P564">
        <v>75</v>
      </c>
      <c r="Q564">
        <v>1</v>
      </c>
      <c r="R564">
        <v>1.5</v>
      </c>
      <c r="S564">
        <v>2</v>
      </c>
      <c r="T564">
        <v>2</v>
      </c>
      <c r="U564">
        <v>2</v>
      </c>
      <c r="V564" t="s">
        <v>50</v>
      </c>
    </row>
    <row r="565" spans="1:22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35</v>
      </c>
      <c r="K565">
        <v>1259</v>
      </c>
      <c r="L565">
        <v>11.66</v>
      </c>
      <c r="M565">
        <v>6.18</v>
      </c>
      <c r="N565" s="4">
        <f t="shared" si="16"/>
        <v>1.06725146E-2</v>
      </c>
      <c r="O565" s="4">
        <f t="shared" si="17"/>
        <v>6.5956140228000004E-2</v>
      </c>
      <c r="P565">
        <v>75</v>
      </c>
      <c r="Q565">
        <v>3</v>
      </c>
      <c r="R565">
        <v>2</v>
      </c>
      <c r="S565">
        <v>3</v>
      </c>
      <c r="T565">
        <v>3</v>
      </c>
      <c r="U565">
        <v>3</v>
      </c>
      <c r="V565" t="s">
        <v>38</v>
      </c>
    </row>
    <row r="566" spans="1:22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35</v>
      </c>
      <c r="K566">
        <v>1785</v>
      </c>
      <c r="L566">
        <v>3.03</v>
      </c>
      <c r="M566">
        <v>1.75</v>
      </c>
      <c r="N566" s="4">
        <f t="shared" si="16"/>
        <v>7.207006499999998E-4</v>
      </c>
      <c r="O566" s="4">
        <f t="shared" si="17"/>
        <v>1.2612261374999997E-3</v>
      </c>
      <c r="P566">
        <v>75</v>
      </c>
      <c r="Q566">
        <v>1</v>
      </c>
      <c r="R566">
        <v>2</v>
      </c>
      <c r="S566">
        <v>2</v>
      </c>
      <c r="T566">
        <v>2</v>
      </c>
      <c r="U566">
        <v>2</v>
      </c>
      <c r="V566" t="s">
        <v>50</v>
      </c>
    </row>
    <row r="567" spans="1:22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35</v>
      </c>
      <c r="K567">
        <v>2571</v>
      </c>
      <c r="L567">
        <v>6.41</v>
      </c>
      <c r="M567">
        <v>3.26</v>
      </c>
      <c r="N567" s="4">
        <f t="shared" si="16"/>
        <v>3.2254158500000006E-3</v>
      </c>
      <c r="O567" s="4">
        <f t="shared" si="17"/>
        <v>1.0514855671000002E-2</v>
      </c>
      <c r="P567">
        <v>75</v>
      </c>
      <c r="Q567">
        <v>2</v>
      </c>
      <c r="R567">
        <v>2</v>
      </c>
      <c r="S567">
        <v>2</v>
      </c>
      <c r="T567">
        <v>2</v>
      </c>
      <c r="U567">
        <v>2</v>
      </c>
      <c r="V567" t="s">
        <v>30</v>
      </c>
    </row>
    <row r="568" spans="1:22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36</v>
      </c>
      <c r="K568">
        <v>2573</v>
      </c>
      <c r="L568">
        <v>10.78</v>
      </c>
      <c r="M568">
        <v>6.62</v>
      </c>
      <c r="N568" s="4">
        <f t="shared" si="16"/>
        <v>9.1223593999999984E-3</v>
      </c>
      <c r="O568" s="4">
        <f t="shared" si="17"/>
        <v>6.039001922799999E-2</v>
      </c>
      <c r="P568">
        <v>100</v>
      </c>
      <c r="Q568">
        <v>2.5</v>
      </c>
      <c r="R568">
        <v>4</v>
      </c>
      <c r="S568">
        <v>3</v>
      </c>
      <c r="T568">
        <v>3</v>
      </c>
      <c r="U568">
        <v>2</v>
      </c>
      <c r="V568" t="s">
        <v>38</v>
      </c>
    </row>
    <row r="569" spans="1:22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62</v>
      </c>
      <c r="K569">
        <v>2550</v>
      </c>
      <c r="L569">
        <v>14.59</v>
      </c>
      <c r="M569">
        <v>8.68</v>
      </c>
      <c r="N569" s="4">
        <f t="shared" si="16"/>
        <v>1.671014585E-2</v>
      </c>
      <c r="O569" s="4">
        <f t="shared" si="17"/>
        <v>0.14504406597799999</v>
      </c>
      <c r="P569">
        <v>100</v>
      </c>
      <c r="Q569">
        <v>3</v>
      </c>
      <c r="R569">
        <v>2</v>
      </c>
      <c r="S569">
        <v>4</v>
      </c>
      <c r="T569">
        <v>3</v>
      </c>
      <c r="U569">
        <v>3</v>
      </c>
      <c r="V569" t="s">
        <v>38</v>
      </c>
    </row>
    <row r="570" spans="1:22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62</v>
      </c>
      <c r="K570">
        <v>1352</v>
      </c>
      <c r="L570">
        <v>17.95</v>
      </c>
      <c r="M570">
        <v>13.09</v>
      </c>
      <c r="N570" s="4">
        <f t="shared" si="16"/>
        <v>2.5292896249999999E-2</v>
      </c>
      <c r="O570" s="4">
        <f t="shared" si="17"/>
        <v>0.33108401191249998</v>
      </c>
      <c r="P570">
        <v>75</v>
      </c>
      <c r="Q570">
        <v>4</v>
      </c>
      <c r="R570">
        <v>3</v>
      </c>
      <c r="S570">
        <v>4</v>
      </c>
      <c r="T570">
        <v>3.5</v>
      </c>
      <c r="U570">
        <v>3</v>
      </c>
      <c r="V570" t="s">
        <v>25</v>
      </c>
    </row>
    <row r="571" spans="1:22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62</v>
      </c>
      <c r="K571">
        <v>2432</v>
      </c>
      <c r="L571">
        <v>18.87</v>
      </c>
      <c r="M571">
        <v>14.24</v>
      </c>
      <c r="N571" s="4">
        <f t="shared" si="16"/>
        <v>2.7952036650000005E-2</v>
      </c>
      <c r="O571" s="4">
        <f t="shared" si="17"/>
        <v>0.39803700189600005</v>
      </c>
      <c r="P571">
        <v>75</v>
      </c>
      <c r="Q571">
        <v>5</v>
      </c>
      <c r="R571">
        <v>3</v>
      </c>
      <c r="S571">
        <v>5</v>
      </c>
      <c r="T571">
        <v>4</v>
      </c>
      <c r="U571">
        <v>4.5</v>
      </c>
      <c r="V571" t="s">
        <v>27</v>
      </c>
    </row>
    <row r="572" spans="1:22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62</v>
      </c>
      <c r="K572">
        <v>2553</v>
      </c>
      <c r="L572">
        <v>17.72</v>
      </c>
      <c r="M572">
        <v>11.93</v>
      </c>
      <c r="N572" s="4">
        <f t="shared" si="16"/>
        <v>2.46488744E-2</v>
      </c>
      <c r="O572" s="4">
        <f t="shared" si="17"/>
        <v>0.29406107159200001</v>
      </c>
      <c r="P572">
        <v>75</v>
      </c>
      <c r="Q572">
        <v>4</v>
      </c>
      <c r="R572">
        <v>3</v>
      </c>
      <c r="S572">
        <v>5</v>
      </c>
      <c r="T572">
        <v>4</v>
      </c>
      <c r="U572">
        <v>4</v>
      </c>
      <c r="V572" t="s">
        <v>27</v>
      </c>
    </row>
    <row r="573" spans="1:22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62</v>
      </c>
      <c r="K573">
        <v>2574</v>
      </c>
      <c r="L573">
        <v>13.55</v>
      </c>
      <c r="M573">
        <v>9.26</v>
      </c>
      <c r="N573" s="4">
        <f t="shared" si="16"/>
        <v>1.4412796250000002E-2</v>
      </c>
      <c r="O573" s="4">
        <f t="shared" si="17"/>
        <v>0.13346249327500001</v>
      </c>
      <c r="P573">
        <v>75</v>
      </c>
      <c r="Q573">
        <v>3</v>
      </c>
      <c r="R573">
        <v>3</v>
      </c>
      <c r="S573">
        <v>4</v>
      </c>
      <c r="T573">
        <v>4</v>
      </c>
      <c r="U573">
        <v>3.5</v>
      </c>
      <c r="V573" t="s">
        <v>25</v>
      </c>
    </row>
    <row r="574" spans="1:22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37</v>
      </c>
      <c r="K574">
        <v>2575</v>
      </c>
      <c r="L574">
        <v>9.6300000000000008</v>
      </c>
      <c r="M574">
        <v>5.1100000000000003</v>
      </c>
      <c r="N574" s="4">
        <f t="shared" si="16"/>
        <v>7.2798466500000021E-3</v>
      </c>
      <c r="O574" s="4">
        <f t="shared" si="17"/>
        <v>3.7200016381500015E-2</v>
      </c>
      <c r="P574">
        <v>50</v>
      </c>
      <c r="Q574">
        <v>1</v>
      </c>
      <c r="R574">
        <v>0.5</v>
      </c>
      <c r="S574">
        <v>2</v>
      </c>
      <c r="T574">
        <v>2</v>
      </c>
      <c r="U574">
        <v>2</v>
      </c>
      <c r="V574" t="s">
        <v>50</v>
      </c>
    </row>
    <row r="575" spans="1:22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63</v>
      </c>
      <c r="K575">
        <v>1340</v>
      </c>
      <c r="L575">
        <v>2.63</v>
      </c>
      <c r="M575">
        <v>2.39</v>
      </c>
      <c r="N575" s="4">
        <f t="shared" si="16"/>
        <v>5.4297665000000003E-4</v>
      </c>
      <c r="O575" s="4">
        <f t="shared" si="17"/>
        <v>1.2977141935E-3</v>
      </c>
      <c r="P575">
        <v>50</v>
      </c>
      <c r="Q575">
        <v>1</v>
      </c>
      <c r="R575">
        <v>1.5</v>
      </c>
      <c r="S575">
        <v>1</v>
      </c>
      <c r="T575">
        <v>2</v>
      </c>
      <c r="U575">
        <v>2</v>
      </c>
      <c r="V575" t="s">
        <v>50</v>
      </c>
    </row>
    <row r="576" spans="1:22" x14ac:dyDescent="0.25">
      <c r="A576" t="s">
        <v>89</v>
      </c>
      <c r="B576">
        <v>1</v>
      </c>
      <c r="C576" t="s">
        <v>90</v>
      </c>
      <c r="D576" t="s">
        <v>91</v>
      </c>
      <c r="E576" t="s">
        <v>92</v>
      </c>
      <c r="F576">
        <v>150</v>
      </c>
      <c r="G576">
        <v>1300</v>
      </c>
      <c r="H576">
        <v>-2</v>
      </c>
      <c r="I576">
        <v>1983</v>
      </c>
      <c r="J576" t="s">
        <v>76</v>
      </c>
      <c r="K576">
        <v>1592</v>
      </c>
      <c r="L576">
        <v>43.29</v>
      </c>
      <c r="M576">
        <v>17.2</v>
      </c>
      <c r="N576" s="4">
        <f t="shared" si="16"/>
        <v>0.14711089185000001</v>
      </c>
      <c r="O576" s="4">
        <f t="shared" si="17"/>
        <v>2.5303073398200002</v>
      </c>
      <c r="P576">
        <v>20</v>
      </c>
      <c r="Q576">
        <v>4.5</v>
      </c>
      <c r="R576">
        <v>4.5</v>
      </c>
      <c r="S576">
        <v>3.7</v>
      </c>
      <c r="T576">
        <v>4</v>
      </c>
      <c r="U576">
        <v>3</v>
      </c>
      <c r="V576" t="s">
        <v>27</v>
      </c>
    </row>
    <row r="577" spans="1:22" x14ac:dyDescent="0.25">
      <c r="A577" t="s">
        <v>89</v>
      </c>
      <c r="B577">
        <v>1</v>
      </c>
      <c r="C577" t="s">
        <v>90</v>
      </c>
      <c r="D577" t="s">
        <v>91</v>
      </c>
      <c r="E577" t="s">
        <v>92</v>
      </c>
      <c r="F577">
        <v>150</v>
      </c>
      <c r="G577">
        <v>1300</v>
      </c>
      <c r="H577">
        <v>-2</v>
      </c>
      <c r="I577">
        <v>1983</v>
      </c>
      <c r="J577" t="s">
        <v>76</v>
      </c>
      <c r="K577">
        <v>2560</v>
      </c>
      <c r="L577">
        <v>24.94</v>
      </c>
      <c r="M577">
        <v>14.33</v>
      </c>
      <c r="N577" s="4">
        <f t="shared" si="16"/>
        <v>4.8827282600000008E-2</v>
      </c>
      <c r="O577" s="4">
        <f t="shared" si="17"/>
        <v>0.6996949596580001</v>
      </c>
      <c r="P577">
        <v>10</v>
      </c>
      <c r="Q577">
        <v>3</v>
      </c>
      <c r="R577">
        <v>4</v>
      </c>
      <c r="S577">
        <v>3.5</v>
      </c>
      <c r="T577">
        <v>4</v>
      </c>
      <c r="U577">
        <v>3</v>
      </c>
      <c r="V577" t="s">
        <v>25</v>
      </c>
    </row>
    <row r="578" spans="1:22" x14ac:dyDescent="0.25">
      <c r="A578" t="s">
        <v>89</v>
      </c>
      <c r="B578">
        <v>1</v>
      </c>
      <c r="C578" t="s">
        <v>90</v>
      </c>
      <c r="D578" t="s">
        <v>91</v>
      </c>
      <c r="E578" t="s">
        <v>92</v>
      </c>
      <c r="F578">
        <v>150</v>
      </c>
      <c r="G578">
        <v>1300</v>
      </c>
      <c r="H578">
        <v>-2</v>
      </c>
      <c r="I578">
        <v>1983</v>
      </c>
      <c r="J578" t="s">
        <v>24</v>
      </c>
      <c r="K578">
        <v>2562</v>
      </c>
      <c r="L578">
        <v>29.22</v>
      </c>
      <c r="M578">
        <v>13.58</v>
      </c>
      <c r="N578" s="4">
        <f t="shared" si="16"/>
        <v>6.7023959400000013E-2</v>
      </c>
      <c r="O578" s="4">
        <f t="shared" si="17"/>
        <v>0.91018536865200017</v>
      </c>
      <c r="P578">
        <v>30</v>
      </c>
      <c r="Q578">
        <v>3.6</v>
      </c>
      <c r="R578">
        <v>3.8</v>
      </c>
      <c r="S578">
        <v>3.5</v>
      </c>
      <c r="T578">
        <v>3.9</v>
      </c>
      <c r="U578">
        <v>3.7</v>
      </c>
      <c r="V578" t="s">
        <v>25</v>
      </c>
    </row>
    <row r="579" spans="1:22" x14ac:dyDescent="0.25">
      <c r="A579" t="s">
        <v>89</v>
      </c>
      <c r="B579">
        <v>1</v>
      </c>
      <c r="C579" t="s">
        <v>90</v>
      </c>
      <c r="D579" t="s">
        <v>91</v>
      </c>
      <c r="E579" t="s">
        <v>92</v>
      </c>
      <c r="F579">
        <v>150</v>
      </c>
      <c r="G579">
        <v>1300</v>
      </c>
      <c r="H579">
        <v>-2</v>
      </c>
      <c r="I579">
        <v>1983</v>
      </c>
      <c r="J579" t="s">
        <v>80</v>
      </c>
      <c r="K579">
        <v>1252</v>
      </c>
      <c r="L579">
        <v>26.59</v>
      </c>
      <c r="M579">
        <v>10.8</v>
      </c>
      <c r="N579" s="4">
        <f t="shared" ref="N579:N642" si="18">3.14/4*((L579/100)^2)</f>
        <v>5.550170585000002E-2</v>
      </c>
      <c r="O579" s="4">
        <f t="shared" ref="O579:O642" si="19">3.14/4*((L579/100)^2)*M579</f>
        <v>0.59941842318000027</v>
      </c>
      <c r="P579">
        <v>40</v>
      </c>
      <c r="Q579">
        <v>3.6</v>
      </c>
      <c r="R579">
        <v>3.8</v>
      </c>
      <c r="S579">
        <v>2.6</v>
      </c>
      <c r="T579">
        <v>2.6</v>
      </c>
      <c r="U579">
        <v>2.5</v>
      </c>
      <c r="V579" t="s">
        <v>25</v>
      </c>
    </row>
    <row r="580" spans="1:22" x14ac:dyDescent="0.25">
      <c r="A580" t="s">
        <v>89</v>
      </c>
      <c r="B580">
        <v>1</v>
      </c>
      <c r="C580" t="s">
        <v>90</v>
      </c>
      <c r="D580" t="s">
        <v>91</v>
      </c>
      <c r="E580" t="s">
        <v>92</v>
      </c>
      <c r="F580">
        <v>150</v>
      </c>
      <c r="G580">
        <v>1300</v>
      </c>
      <c r="H580">
        <v>-2</v>
      </c>
      <c r="I580">
        <v>1983</v>
      </c>
      <c r="J580" t="s">
        <v>59</v>
      </c>
      <c r="K580">
        <v>2548</v>
      </c>
      <c r="L580">
        <v>35.54</v>
      </c>
      <c r="M580">
        <v>13.02</v>
      </c>
      <c r="N580" s="4">
        <f t="shared" si="18"/>
        <v>9.915269060000001E-2</v>
      </c>
      <c r="O580" s="4">
        <f t="shared" si="19"/>
        <v>1.290968031612</v>
      </c>
      <c r="P580">
        <v>20</v>
      </c>
      <c r="Q580">
        <v>3.2</v>
      </c>
      <c r="R580">
        <v>3.5</v>
      </c>
      <c r="S580">
        <v>2.5</v>
      </c>
      <c r="T580">
        <v>2.5</v>
      </c>
      <c r="U580">
        <v>2.2999999999999998</v>
      </c>
      <c r="V580" t="s">
        <v>25</v>
      </c>
    </row>
    <row r="581" spans="1:22" x14ac:dyDescent="0.25">
      <c r="A581" t="s">
        <v>89</v>
      </c>
      <c r="B581">
        <v>1</v>
      </c>
      <c r="C581" t="s">
        <v>90</v>
      </c>
      <c r="D581" t="s">
        <v>91</v>
      </c>
      <c r="E581" t="s">
        <v>92</v>
      </c>
      <c r="F581">
        <v>150</v>
      </c>
      <c r="G581">
        <v>1300</v>
      </c>
      <c r="H581">
        <v>-2</v>
      </c>
      <c r="I581">
        <v>1983</v>
      </c>
      <c r="J581" t="s">
        <v>59</v>
      </c>
      <c r="K581">
        <v>1482</v>
      </c>
      <c r="L581">
        <v>38.15</v>
      </c>
      <c r="M581">
        <v>16.850000000000001</v>
      </c>
      <c r="N581" s="4">
        <f t="shared" si="18"/>
        <v>0.11425066625000001</v>
      </c>
      <c r="O581" s="4">
        <f t="shared" si="19"/>
        <v>1.9251237263125003</v>
      </c>
      <c r="P581">
        <v>10</v>
      </c>
      <c r="Q581">
        <v>3.5</v>
      </c>
      <c r="R581">
        <v>4</v>
      </c>
      <c r="S581">
        <v>3.3</v>
      </c>
      <c r="T581">
        <v>4</v>
      </c>
      <c r="U581">
        <v>3.5</v>
      </c>
      <c r="V581" t="s">
        <v>27</v>
      </c>
    </row>
    <row r="582" spans="1:22" x14ac:dyDescent="0.25">
      <c r="A582" t="s">
        <v>89</v>
      </c>
      <c r="B582">
        <v>1</v>
      </c>
      <c r="C582" t="s">
        <v>90</v>
      </c>
      <c r="D582" t="s">
        <v>91</v>
      </c>
      <c r="E582" t="s">
        <v>92</v>
      </c>
      <c r="F582">
        <v>150</v>
      </c>
      <c r="G582">
        <v>1300</v>
      </c>
      <c r="H582">
        <v>-2</v>
      </c>
      <c r="I582">
        <v>1983</v>
      </c>
      <c r="J582" t="s">
        <v>26</v>
      </c>
      <c r="K582">
        <v>2552</v>
      </c>
      <c r="L582">
        <v>33.89</v>
      </c>
      <c r="M582">
        <v>14.24</v>
      </c>
      <c r="N582" s="4">
        <f t="shared" si="18"/>
        <v>9.0159769849999988E-2</v>
      </c>
      <c r="O582" s="4">
        <f t="shared" si="19"/>
        <v>1.2838751226639999</v>
      </c>
      <c r="P582">
        <v>20</v>
      </c>
      <c r="Q582">
        <v>3.1</v>
      </c>
      <c r="R582">
        <v>3.5</v>
      </c>
      <c r="S582">
        <v>3.2</v>
      </c>
      <c r="T582">
        <v>3.8</v>
      </c>
      <c r="U582">
        <v>2.5</v>
      </c>
      <c r="V582" t="s">
        <v>25</v>
      </c>
    </row>
    <row r="583" spans="1:22" x14ac:dyDescent="0.25">
      <c r="A583" t="s">
        <v>89</v>
      </c>
      <c r="B583">
        <v>1</v>
      </c>
      <c r="C583" t="s">
        <v>90</v>
      </c>
      <c r="D583" t="s">
        <v>91</v>
      </c>
      <c r="E583" t="s">
        <v>92</v>
      </c>
      <c r="F583">
        <v>150</v>
      </c>
      <c r="G583">
        <v>1300</v>
      </c>
      <c r="H583">
        <v>-2</v>
      </c>
      <c r="I583">
        <v>1983</v>
      </c>
      <c r="J583" t="s">
        <v>33</v>
      </c>
      <c r="K583">
        <v>2547</v>
      </c>
      <c r="L583">
        <v>37.49</v>
      </c>
      <c r="M583">
        <v>17.45</v>
      </c>
      <c r="N583" s="4">
        <f t="shared" si="18"/>
        <v>0.11033175785</v>
      </c>
      <c r="O583" s="4">
        <f t="shared" si="19"/>
        <v>1.9252891744825</v>
      </c>
      <c r="P583">
        <v>40</v>
      </c>
      <c r="Q583">
        <v>4.5</v>
      </c>
      <c r="R583">
        <v>2.6</v>
      </c>
      <c r="S583">
        <v>3.6</v>
      </c>
      <c r="T583">
        <v>2.9</v>
      </c>
      <c r="U583">
        <v>2.2999999999999998</v>
      </c>
      <c r="V583" t="s">
        <v>25</v>
      </c>
    </row>
    <row r="584" spans="1:22" x14ac:dyDescent="0.25">
      <c r="A584" t="s">
        <v>89</v>
      </c>
      <c r="B584">
        <v>1</v>
      </c>
      <c r="C584" t="s">
        <v>90</v>
      </c>
      <c r="D584" t="s">
        <v>91</v>
      </c>
      <c r="E584" t="s">
        <v>92</v>
      </c>
      <c r="F584">
        <v>150</v>
      </c>
      <c r="G584">
        <v>1300</v>
      </c>
      <c r="H584">
        <v>-2</v>
      </c>
      <c r="I584">
        <v>1983</v>
      </c>
      <c r="J584" t="s">
        <v>33</v>
      </c>
      <c r="K584">
        <v>2568</v>
      </c>
      <c r="L584">
        <v>31.63</v>
      </c>
      <c r="M584">
        <v>13.91</v>
      </c>
      <c r="N584" s="4">
        <f t="shared" si="18"/>
        <v>7.853586664999998E-2</v>
      </c>
      <c r="O584" s="4">
        <f t="shared" si="19"/>
        <v>1.0924339051014997</v>
      </c>
      <c r="P584">
        <v>60</v>
      </c>
      <c r="Q584">
        <v>3.6</v>
      </c>
      <c r="R584">
        <v>2.6</v>
      </c>
      <c r="S584">
        <v>3.6</v>
      </c>
      <c r="T584">
        <v>3.3</v>
      </c>
      <c r="U584">
        <v>2.8</v>
      </c>
      <c r="V584" t="s">
        <v>25</v>
      </c>
    </row>
    <row r="585" spans="1:22" x14ac:dyDescent="0.25">
      <c r="A585" t="s">
        <v>89</v>
      </c>
      <c r="B585">
        <v>1</v>
      </c>
      <c r="C585" t="s">
        <v>90</v>
      </c>
      <c r="D585" t="s">
        <v>91</v>
      </c>
      <c r="E585" t="s">
        <v>92</v>
      </c>
      <c r="F585">
        <v>150</v>
      </c>
      <c r="G585">
        <v>1300</v>
      </c>
      <c r="H585">
        <v>-2</v>
      </c>
      <c r="I585">
        <v>1983</v>
      </c>
      <c r="J585" t="s">
        <v>32</v>
      </c>
      <c r="K585">
        <v>1596</v>
      </c>
      <c r="L585">
        <v>20.11</v>
      </c>
      <c r="M585">
        <v>13.55</v>
      </c>
      <c r="N585" s="4">
        <f t="shared" si="18"/>
        <v>3.1746349850000001E-2</v>
      </c>
      <c r="O585" s="4">
        <f t="shared" si="19"/>
        <v>0.43016304046750004</v>
      </c>
      <c r="P585">
        <v>20</v>
      </c>
      <c r="Q585">
        <v>3</v>
      </c>
      <c r="R585">
        <v>4</v>
      </c>
      <c r="S585">
        <v>4</v>
      </c>
      <c r="T585">
        <v>4</v>
      </c>
      <c r="U585">
        <v>4</v>
      </c>
      <c r="V585" t="s">
        <v>38</v>
      </c>
    </row>
    <row r="586" spans="1:22" x14ac:dyDescent="0.25">
      <c r="A586" t="s">
        <v>89</v>
      </c>
      <c r="B586">
        <v>1</v>
      </c>
      <c r="C586" t="s">
        <v>90</v>
      </c>
      <c r="D586" t="s">
        <v>91</v>
      </c>
      <c r="E586" t="s">
        <v>92</v>
      </c>
      <c r="F586">
        <v>150</v>
      </c>
      <c r="G586">
        <v>1300</v>
      </c>
      <c r="H586">
        <v>-2</v>
      </c>
      <c r="I586">
        <v>1983</v>
      </c>
      <c r="J586" t="s">
        <v>32</v>
      </c>
      <c r="K586">
        <v>2569</v>
      </c>
      <c r="L586">
        <v>22.15</v>
      </c>
      <c r="M586">
        <v>14.57</v>
      </c>
      <c r="N586" s="4">
        <f t="shared" si="18"/>
        <v>3.8513866249999994E-2</v>
      </c>
      <c r="O586" s="4">
        <f t="shared" si="19"/>
        <v>0.56114703126249987</v>
      </c>
      <c r="P586">
        <v>20</v>
      </c>
      <c r="Q586">
        <v>3</v>
      </c>
      <c r="R586">
        <v>4</v>
      </c>
      <c r="S586">
        <v>3</v>
      </c>
      <c r="T586">
        <v>3.4</v>
      </c>
      <c r="U586">
        <v>3</v>
      </c>
      <c r="V586" t="s">
        <v>25</v>
      </c>
    </row>
    <row r="587" spans="1:22" x14ac:dyDescent="0.25">
      <c r="A587" t="s">
        <v>89</v>
      </c>
      <c r="B587">
        <v>1</v>
      </c>
      <c r="C587" t="s">
        <v>90</v>
      </c>
      <c r="D587" t="s">
        <v>91</v>
      </c>
      <c r="E587" t="s">
        <v>92</v>
      </c>
      <c r="F587">
        <v>150</v>
      </c>
      <c r="G587">
        <v>1300</v>
      </c>
      <c r="H587">
        <v>-2</v>
      </c>
      <c r="I587">
        <v>1983</v>
      </c>
      <c r="J587" t="s">
        <v>32</v>
      </c>
      <c r="K587">
        <v>2634</v>
      </c>
      <c r="L587">
        <v>40.520000000000003</v>
      </c>
      <c r="M587">
        <v>18.95</v>
      </c>
      <c r="N587" s="4">
        <f t="shared" si="18"/>
        <v>0.12888682640000002</v>
      </c>
      <c r="O587" s="4">
        <f t="shared" si="19"/>
        <v>2.44240536028</v>
      </c>
      <c r="P587">
        <v>10</v>
      </c>
      <c r="Q587">
        <v>4.5</v>
      </c>
      <c r="R587">
        <v>4.5</v>
      </c>
      <c r="S587">
        <v>3</v>
      </c>
      <c r="T587">
        <v>4</v>
      </c>
      <c r="U587">
        <v>2</v>
      </c>
      <c r="V587" t="s">
        <v>25</v>
      </c>
    </row>
    <row r="588" spans="1:22" x14ac:dyDescent="0.25">
      <c r="A588" t="s">
        <v>89</v>
      </c>
      <c r="B588">
        <v>1</v>
      </c>
      <c r="C588" t="s">
        <v>90</v>
      </c>
      <c r="D588" t="s">
        <v>91</v>
      </c>
      <c r="E588" t="s">
        <v>92</v>
      </c>
      <c r="F588">
        <v>150</v>
      </c>
      <c r="G588">
        <v>1300</v>
      </c>
      <c r="H588">
        <v>-2</v>
      </c>
      <c r="I588">
        <v>1983</v>
      </c>
      <c r="J588" t="s">
        <v>32</v>
      </c>
      <c r="K588">
        <v>2635</v>
      </c>
      <c r="L588">
        <v>20.399999999999999</v>
      </c>
      <c r="M588">
        <v>10.199999999999999</v>
      </c>
      <c r="N588" s="4">
        <f t="shared" si="18"/>
        <v>3.2668559999999999E-2</v>
      </c>
      <c r="O588" s="4">
        <f t="shared" si="19"/>
        <v>0.33321931199999999</v>
      </c>
      <c r="P588">
        <v>10</v>
      </c>
      <c r="Q588">
        <v>3.3</v>
      </c>
      <c r="R588">
        <v>4.5</v>
      </c>
      <c r="S588">
        <v>3.3</v>
      </c>
      <c r="T588">
        <v>4</v>
      </c>
      <c r="U588">
        <v>3.5</v>
      </c>
      <c r="V588" t="s">
        <v>25</v>
      </c>
    </row>
    <row r="589" spans="1:22" x14ac:dyDescent="0.25">
      <c r="A589" t="s">
        <v>89</v>
      </c>
      <c r="B589">
        <v>1</v>
      </c>
      <c r="C589" t="s">
        <v>90</v>
      </c>
      <c r="D589" t="s">
        <v>91</v>
      </c>
      <c r="E589" t="s">
        <v>92</v>
      </c>
      <c r="F589">
        <v>150</v>
      </c>
      <c r="G589">
        <v>1300</v>
      </c>
      <c r="H589">
        <v>-2</v>
      </c>
      <c r="I589">
        <v>1983</v>
      </c>
      <c r="J589" t="s">
        <v>34</v>
      </c>
      <c r="K589">
        <v>2570</v>
      </c>
      <c r="L589">
        <v>24.87</v>
      </c>
      <c r="M589">
        <v>11.66</v>
      </c>
      <c r="N589" s="4">
        <f t="shared" si="18"/>
        <v>4.8553576649999999E-2</v>
      </c>
      <c r="O589" s="4">
        <f t="shared" si="19"/>
        <v>0.56613470373899999</v>
      </c>
      <c r="P589">
        <v>40</v>
      </c>
      <c r="Q589">
        <v>3.3</v>
      </c>
      <c r="R589">
        <v>3.4</v>
      </c>
      <c r="S589">
        <v>3.5</v>
      </c>
      <c r="T589">
        <v>4.0999999999999996</v>
      </c>
      <c r="U589">
        <v>3.4</v>
      </c>
      <c r="V589" t="s">
        <v>25</v>
      </c>
    </row>
    <row r="590" spans="1:22" x14ac:dyDescent="0.25">
      <c r="A590" t="s">
        <v>89</v>
      </c>
      <c r="B590">
        <v>1</v>
      </c>
      <c r="C590" t="s">
        <v>90</v>
      </c>
      <c r="D590" t="s">
        <v>91</v>
      </c>
      <c r="E590" t="s">
        <v>92</v>
      </c>
      <c r="F590">
        <v>150</v>
      </c>
      <c r="G590">
        <v>1300</v>
      </c>
      <c r="H590">
        <v>-2</v>
      </c>
      <c r="I590">
        <v>1983</v>
      </c>
      <c r="J590" t="s">
        <v>34</v>
      </c>
      <c r="K590">
        <v>1522</v>
      </c>
      <c r="L590">
        <v>33.159999999999997</v>
      </c>
      <c r="M590">
        <v>14.75</v>
      </c>
      <c r="N590" s="4">
        <f t="shared" si="18"/>
        <v>8.6317469599999974E-2</v>
      </c>
      <c r="O590" s="4">
        <f t="shared" si="19"/>
        <v>1.2731826765999996</v>
      </c>
      <c r="P590">
        <v>40</v>
      </c>
      <c r="Q590">
        <v>3.7</v>
      </c>
      <c r="R590">
        <v>3.5</v>
      </c>
      <c r="S590">
        <v>3.6</v>
      </c>
      <c r="T590">
        <v>3.6</v>
      </c>
      <c r="U590">
        <v>2.9</v>
      </c>
      <c r="V590" t="s">
        <v>25</v>
      </c>
    </row>
    <row r="591" spans="1:22" x14ac:dyDescent="0.25">
      <c r="A591" t="s">
        <v>89</v>
      </c>
      <c r="B591">
        <v>1</v>
      </c>
      <c r="C591" t="s">
        <v>90</v>
      </c>
      <c r="D591" t="s">
        <v>91</v>
      </c>
      <c r="E591" t="s">
        <v>92</v>
      </c>
      <c r="F591">
        <v>150</v>
      </c>
      <c r="G591">
        <v>1300</v>
      </c>
      <c r="H591">
        <v>-2</v>
      </c>
      <c r="I591">
        <v>1983</v>
      </c>
      <c r="J591" t="s">
        <v>35</v>
      </c>
      <c r="K591">
        <v>1788</v>
      </c>
      <c r="L591">
        <v>31.05</v>
      </c>
      <c r="M591">
        <v>15.25</v>
      </c>
      <c r="N591" s="4">
        <f t="shared" si="18"/>
        <v>7.568204625000001E-2</v>
      </c>
      <c r="O591" s="4">
        <f t="shared" si="19"/>
        <v>1.1541512053125</v>
      </c>
      <c r="P591">
        <v>30</v>
      </c>
      <c r="Q591">
        <v>3.2</v>
      </c>
      <c r="R591">
        <v>1.8</v>
      </c>
      <c r="S591">
        <v>2.8</v>
      </c>
      <c r="T591">
        <v>3.5</v>
      </c>
      <c r="U591">
        <v>2.9</v>
      </c>
      <c r="V591" t="s">
        <v>38</v>
      </c>
    </row>
    <row r="592" spans="1:22" x14ac:dyDescent="0.25">
      <c r="A592" t="s">
        <v>89</v>
      </c>
      <c r="B592">
        <v>1</v>
      </c>
      <c r="C592" t="s">
        <v>90</v>
      </c>
      <c r="D592" t="s">
        <v>91</v>
      </c>
      <c r="E592" t="s">
        <v>92</v>
      </c>
      <c r="F592">
        <v>150</v>
      </c>
      <c r="G592">
        <v>1300</v>
      </c>
      <c r="H592">
        <v>-2</v>
      </c>
      <c r="I592">
        <v>1983</v>
      </c>
      <c r="J592" t="s">
        <v>35</v>
      </c>
      <c r="K592">
        <v>2571</v>
      </c>
      <c r="L592">
        <v>31.33</v>
      </c>
      <c r="M592">
        <v>15.67</v>
      </c>
      <c r="N592" s="4">
        <f t="shared" si="18"/>
        <v>7.7053158649999995E-2</v>
      </c>
      <c r="O592" s="4">
        <f t="shared" si="19"/>
        <v>1.2074229960454999</v>
      </c>
      <c r="P592">
        <v>30</v>
      </c>
      <c r="Q592">
        <v>4.0999999999999996</v>
      </c>
      <c r="R592">
        <v>2.2999999999999998</v>
      </c>
      <c r="S592">
        <v>3.4</v>
      </c>
      <c r="T592">
        <v>4</v>
      </c>
      <c r="U592">
        <v>3.1</v>
      </c>
      <c r="V592" t="s">
        <v>25</v>
      </c>
    </row>
    <row r="593" spans="1:22" x14ac:dyDescent="0.25">
      <c r="A593" t="s">
        <v>89</v>
      </c>
      <c r="B593">
        <v>1</v>
      </c>
      <c r="C593" t="s">
        <v>90</v>
      </c>
      <c r="D593" t="s">
        <v>91</v>
      </c>
      <c r="E593" t="s">
        <v>92</v>
      </c>
      <c r="F593">
        <v>150</v>
      </c>
      <c r="G593">
        <v>1300</v>
      </c>
      <c r="H593">
        <v>-2</v>
      </c>
      <c r="I593">
        <v>1983</v>
      </c>
      <c r="J593" t="s">
        <v>36</v>
      </c>
      <c r="K593">
        <v>2573</v>
      </c>
      <c r="L593">
        <v>32.97</v>
      </c>
      <c r="M593">
        <v>14.24</v>
      </c>
      <c r="N593" s="4">
        <f t="shared" si="18"/>
        <v>8.5331140649999998E-2</v>
      </c>
      <c r="O593" s="4">
        <f t="shared" si="19"/>
        <v>1.215115442856</v>
      </c>
      <c r="P593">
        <v>40</v>
      </c>
      <c r="Q593">
        <v>3.2</v>
      </c>
      <c r="R593">
        <v>4</v>
      </c>
      <c r="S593">
        <v>3.1</v>
      </c>
      <c r="T593">
        <v>3.3</v>
      </c>
      <c r="U593">
        <v>3</v>
      </c>
      <c r="V593" t="s">
        <v>25</v>
      </c>
    </row>
    <row r="594" spans="1:22" x14ac:dyDescent="0.25">
      <c r="A594" t="s">
        <v>89</v>
      </c>
      <c r="B594">
        <v>1</v>
      </c>
      <c r="C594" t="s">
        <v>90</v>
      </c>
      <c r="D594" t="s">
        <v>91</v>
      </c>
      <c r="E594" t="s">
        <v>92</v>
      </c>
      <c r="F594">
        <v>150</v>
      </c>
      <c r="G594">
        <v>1300</v>
      </c>
      <c r="H594">
        <v>-2</v>
      </c>
      <c r="I594">
        <v>1983</v>
      </c>
      <c r="J594" t="s">
        <v>62</v>
      </c>
      <c r="K594">
        <v>2550</v>
      </c>
      <c r="L594">
        <v>20.25</v>
      </c>
      <c r="M594">
        <v>10.66</v>
      </c>
      <c r="N594" s="4">
        <f t="shared" si="18"/>
        <v>3.2189906250000004E-2</v>
      </c>
      <c r="O594" s="4">
        <f t="shared" si="19"/>
        <v>0.34314440062500007</v>
      </c>
      <c r="P594">
        <v>30</v>
      </c>
      <c r="Q594">
        <v>2.7</v>
      </c>
      <c r="R594">
        <v>3</v>
      </c>
      <c r="S594">
        <v>4</v>
      </c>
      <c r="T594">
        <v>4.2</v>
      </c>
      <c r="U594">
        <v>3.7</v>
      </c>
      <c r="V594" t="s">
        <v>25</v>
      </c>
    </row>
    <row r="595" spans="1:22" x14ac:dyDescent="0.25">
      <c r="A595" t="s">
        <v>89</v>
      </c>
      <c r="B595">
        <v>1</v>
      </c>
      <c r="C595" t="s">
        <v>90</v>
      </c>
      <c r="D595" t="s">
        <v>91</v>
      </c>
      <c r="E595" t="s">
        <v>92</v>
      </c>
      <c r="F595">
        <v>150</v>
      </c>
      <c r="G595">
        <v>1300</v>
      </c>
      <c r="H595">
        <v>-2</v>
      </c>
      <c r="I595">
        <v>1983</v>
      </c>
      <c r="J595" t="s">
        <v>62</v>
      </c>
      <c r="K595">
        <v>2553</v>
      </c>
      <c r="L595">
        <v>27.44</v>
      </c>
      <c r="M595">
        <v>11.32</v>
      </c>
      <c r="N595" s="4">
        <f t="shared" si="18"/>
        <v>5.9106857600000021E-2</v>
      </c>
      <c r="O595" s="4">
        <f t="shared" si="19"/>
        <v>0.66908962803200023</v>
      </c>
      <c r="P595">
        <v>20</v>
      </c>
      <c r="Q595">
        <v>3.5</v>
      </c>
      <c r="R595">
        <v>3</v>
      </c>
      <c r="S595">
        <v>3.3</v>
      </c>
      <c r="T595">
        <v>4</v>
      </c>
      <c r="U595">
        <v>2.9</v>
      </c>
      <c r="V595" t="s">
        <v>27</v>
      </c>
    </row>
    <row r="596" spans="1:22" x14ac:dyDescent="0.25">
      <c r="A596" t="s">
        <v>89</v>
      </c>
      <c r="B596">
        <v>1</v>
      </c>
      <c r="C596" t="s">
        <v>90</v>
      </c>
      <c r="D596" t="s">
        <v>91</v>
      </c>
      <c r="E596" t="s">
        <v>92</v>
      </c>
      <c r="F596">
        <v>150</v>
      </c>
      <c r="G596">
        <v>1300</v>
      </c>
      <c r="H596">
        <v>-2</v>
      </c>
      <c r="I596">
        <v>1983</v>
      </c>
      <c r="J596" t="s">
        <v>37</v>
      </c>
      <c r="K596">
        <v>2575</v>
      </c>
      <c r="L596">
        <v>19.91</v>
      </c>
      <c r="M596">
        <v>6.77</v>
      </c>
      <c r="N596" s="4">
        <f t="shared" si="18"/>
        <v>3.111803585E-2</v>
      </c>
      <c r="O596" s="4">
        <f t="shared" si="19"/>
        <v>0.21066910270449998</v>
      </c>
      <c r="P596">
        <v>40</v>
      </c>
      <c r="Q596">
        <v>1.6</v>
      </c>
      <c r="R596">
        <v>1.8</v>
      </c>
      <c r="S596">
        <v>2.2999999999999998</v>
      </c>
      <c r="T596">
        <v>2.5</v>
      </c>
      <c r="U596">
        <v>2.2999999999999998</v>
      </c>
      <c r="V596" t="s">
        <v>30</v>
      </c>
    </row>
    <row r="597" spans="1:22" x14ac:dyDescent="0.25">
      <c r="A597" t="s">
        <v>89</v>
      </c>
      <c r="B597">
        <v>2</v>
      </c>
      <c r="C597" t="s">
        <v>90</v>
      </c>
      <c r="D597" t="s">
        <v>91</v>
      </c>
      <c r="E597" t="s">
        <v>92</v>
      </c>
      <c r="F597">
        <v>150</v>
      </c>
      <c r="G597">
        <v>1300</v>
      </c>
      <c r="H597">
        <v>-2</v>
      </c>
      <c r="I597">
        <v>1983</v>
      </c>
      <c r="J597" t="s">
        <v>76</v>
      </c>
      <c r="K597">
        <v>1592</v>
      </c>
      <c r="L597">
        <v>34.11</v>
      </c>
      <c r="M597">
        <v>16.48</v>
      </c>
      <c r="N597" s="4">
        <f t="shared" si="18"/>
        <v>9.1334129850000015E-2</v>
      </c>
      <c r="O597" s="4">
        <f t="shared" si="19"/>
        <v>1.5051864599280003</v>
      </c>
      <c r="P597">
        <v>20</v>
      </c>
      <c r="Q597">
        <v>3.5</v>
      </c>
      <c r="R597">
        <v>3.8</v>
      </c>
      <c r="S597">
        <v>3.2</v>
      </c>
      <c r="T597">
        <v>3.9</v>
      </c>
      <c r="U597">
        <v>2.5</v>
      </c>
      <c r="V597" t="s">
        <v>25</v>
      </c>
    </row>
    <row r="598" spans="1:22" x14ac:dyDescent="0.25">
      <c r="A598" t="s">
        <v>89</v>
      </c>
      <c r="B598">
        <v>2</v>
      </c>
      <c r="C598" t="s">
        <v>90</v>
      </c>
      <c r="D598" t="s">
        <v>91</v>
      </c>
      <c r="E598" t="s">
        <v>92</v>
      </c>
      <c r="F598">
        <v>150</v>
      </c>
      <c r="G598">
        <v>1300</v>
      </c>
      <c r="H598">
        <v>-2</v>
      </c>
      <c r="I598">
        <v>1983</v>
      </c>
      <c r="J598" t="s">
        <v>76</v>
      </c>
      <c r="K598">
        <v>2560</v>
      </c>
      <c r="L598">
        <v>35.83</v>
      </c>
      <c r="M598">
        <v>21.5</v>
      </c>
      <c r="N598" s="4">
        <f t="shared" si="18"/>
        <v>0.10077742865</v>
      </c>
      <c r="O598" s="4">
        <f t="shared" si="19"/>
        <v>2.166714715975</v>
      </c>
      <c r="P598">
        <v>10</v>
      </c>
      <c r="Q598">
        <v>3.3</v>
      </c>
      <c r="R598">
        <v>3.5</v>
      </c>
      <c r="S598">
        <v>4</v>
      </c>
      <c r="T598">
        <v>4.5</v>
      </c>
      <c r="U598">
        <v>3</v>
      </c>
      <c r="V598" t="s">
        <v>27</v>
      </c>
    </row>
    <row r="599" spans="1:22" x14ac:dyDescent="0.25">
      <c r="A599" t="s">
        <v>89</v>
      </c>
      <c r="B599">
        <v>2</v>
      </c>
      <c r="C599" t="s">
        <v>90</v>
      </c>
      <c r="D599" t="s">
        <v>91</v>
      </c>
      <c r="E599" t="s">
        <v>92</v>
      </c>
      <c r="F599">
        <v>150</v>
      </c>
      <c r="G599">
        <v>1300</v>
      </c>
      <c r="H599">
        <v>-2</v>
      </c>
      <c r="I599">
        <v>1983</v>
      </c>
      <c r="J599" t="s">
        <v>24</v>
      </c>
      <c r="K599">
        <v>2562</v>
      </c>
      <c r="L599">
        <v>33.19</v>
      </c>
      <c r="M599">
        <v>14.42</v>
      </c>
      <c r="N599" s="4">
        <f t="shared" si="18"/>
        <v>8.6473723849999989E-2</v>
      </c>
      <c r="O599" s="4">
        <f t="shared" si="19"/>
        <v>1.2469510979169998</v>
      </c>
      <c r="P599">
        <v>30</v>
      </c>
      <c r="Q599">
        <v>3.6</v>
      </c>
      <c r="R599">
        <v>3.7</v>
      </c>
      <c r="S599">
        <v>3.2</v>
      </c>
      <c r="T599">
        <v>3.7</v>
      </c>
      <c r="U599">
        <v>3.2</v>
      </c>
      <c r="V599" t="s">
        <v>25</v>
      </c>
    </row>
    <row r="600" spans="1:22" x14ac:dyDescent="0.25">
      <c r="A600" t="s">
        <v>89</v>
      </c>
      <c r="B600">
        <v>2</v>
      </c>
      <c r="C600" t="s">
        <v>90</v>
      </c>
      <c r="D600" t="s">
        <v>91</v>
      </c>
      <c r="E600" t="s">
        <v>92</v>
      </c>
      <c r="F600">
        <v>150</v>
      </c>
      <c r="G600">
        <v>1300</v>
      </c>
      <c r="H600">
        <v>-2</v>
      </c>
      <c r="I600">
        <v>1983</v>
      </c>
      <c r="J600" t="s">
        <v>80</v>
      </c>
      <c r="K600">
        <v>1252</v>
      </c>
      <c r="L600">
        <v>27.13</v>
      </c>
      <c r="M600">
        <v>11.88</v>
      </c>
      <c r="N600" s="4">
        <f t="shared" si="18"/>
        <v>5.7778896649999988E-2</v>
      </c>
      <c r="O600" s="4">
        <f t="shared" si="19"/>
        <v>0.68641329220199987</v>
      </c>
      <c r="P600">
        <v>90</v>
      </c>
      <c r="Q600">
        <v>3.3</v>
      </c>
      <c r="R600">
        <v>3.7</v>
      </c>
      <c r="S600">
        <v>2.1</v>
      </c>
      <c r="T600">
        <v>2.1</v>
      </c>
      <c r="U600">
        <v>2</v>
      </c>
      <c r="V600" t="s">
        <v>38</v>
      </c>
    </row>
    <row r="601" spans="1:22" x14ac:dyDescent="0.25">
      <c r="A601" t="s">
        <v>89</v>
      </c>
      <c r="B601">
        <v>2</v>
      </c>
      <c r="C601" t="s">
        <v>90</v>
      </c>
      <c r="D601" t="s">
        <v>91</v>
      </c>
      <c r="E601" t="s">
        <v>92</v>
      </c>
      <c r="F601">
        <v>150</v>
      </c>
      <c r="G601">
        <v>1300</v>
      </c>
      <c r="H601">
        <v>-2</v>
      </c>
      <c r="I601">
        <v>1983</v>
      </c>
      <c r="J601" t="s">
        <v>59</v>
      </c>
      <c r="K601">
        <v>2548</v>
      </c>
      <c r="L601">
        <v>49.34</v>
      </c>
      <c r="M601">
        <v>16.850000000000001</v>
      </c>
      <c r="N601" s="4">
        <f t="shared" si="18"/>
        <v>0.19110319460000005</v>
      </c>
      <c r="O601" s="4">
        <f t="shared" si="19"/>
        <v>3.2200888290100012</v>
      </c>
      <c r="P601">
        <v>10</v>
      </c>
      <c r="Q601">
        <v>5</v>
      </c>
      <c r="R601">
        <v>4.5</v>
      </c>
      <c r="S601">
        <v>3.5</v>
      </c>
      <c r="T601">
        <v>3.5</v>
      </c>
      <c r="U601">
        <v>3</v>
      </c>
      <c r="V601" t="s">
        <v>27</v>
      </c>
    </row>
    <row r="602" spans="1:22" x14ac:dyDescent="0.25">
      <c r="A602" t="s">
        <v>89</v>
      </c>
      <c r="B602">
        <v>2</v>
      </c>
      <c r="C602" t="s">
        <v>90</v>
      </c>
      <c r="D602" t="s">
        <v>91</v>
      </c>
      <c r="E602" t="s">
        <v>92</v>
      </c>
      <c r="F602">
        <v>150</v>
      </c>
      <c r="G602">
        <v>1300</v>
      </c>
      <c r="H602">
        <v>-2</v>
      </c>
      <c r="I602">
        <v>1983</v>
      </c>
      <c r="J602" t="s">
        <v>26</v>
      </c>
      <c r="K602">
        <v>2552</v>
      </c>
      <c r="L602">
        <v>15.52</v>
      </c>
      <c r="M602">
        <v>7.83</v>
      </c>
      <c r="N602" s="4">
        <f t="shared" si="18"/>
        <v>1.8908326400000001E-2</v>
      </c>
      <c r="O602" s="4">
        <f t="shared" si="19"/>
        <v>0.14805219571200001</v>
      </c>
      <c r="P602">
        <v>10</v>
      </c>
      <c r="Q602">
        <v>2</v>
      </c>
      <c r="R602">
        <v>4</v>
      </c>
      <c r="S602">
        <v>4</v>
      </c>
      <c r="T602">
        <v>4</v>
      </c>
      <c r="U602">
        <v>4</v>
      </c>
      <c r="V602" t="s">
        <v>30</v>
      </c>
    </row>
    <row r="603" spans="1:22" x14ac:dyDescent="0.25">
      <c r="A603" t="s">
        <v>89</v>
      </c>
      <c r="B603">
        <v>2</v>
      </c>
      <c r="C603" t="s">
        <v>90</v>
      </c>
      <c r="D603" t="s">
        <v>91</v>
      </c>
      <c r="E603" t="s">
        <v>92</v>
      </c>
      <c r="F603">
        <v>150</v>
      </c>
      <c r="G603">
        <v>1300</v>
      </c>
      <c r="H603">
        <v>-2</v>
      </c>
      <c r="I603">
        <v>1983</v>
      </c>
      <c r="J603" t="s">
        <v>33</v>
      </c>
      <c r="K603">
        <v>2547</v>
      </c>
      <c r="L603">
        <v>46.36</v>
      </c>
      <c r="M603">
        <v>19.09</v>
      </c>
      <c r="N603" s="4">
        <f t="shared" si="18"/>
        <v>0.16871609360000001</v>
      </c>
      <c r="O603" s="4">
        <f t="shared" si="19"/>
        <v>3.2207902268240001</v>
      </c>
      <c r="P603">
        <v>40</v>
      </c>
      <c r="Q603">
        <v>4.3</v>
      </c>
      <c r="R603">
        <v>2.6</v>
      </c>
      <c r="S603">
        <v>3.8</v>
      </c>
      <c r="T603">
        <v>2.9</v>
      </c>
      <c r="U603">
        <v>2.6</v>
      </c>
      <c r="V603" t="s">
        <v>27</v>
      </c>
    </row>
    <row r="604" spans="1:22" x14ac:dyDescent="0.25">
      <c r="A604" t="s">
        <v>89</v>
      </c>
      <c r="B604">
        <v>2</v>
      </c>
      <c r="C604" t="s">
        <v>90</v>
      </c>
      <c r="D604" t="s">
        <v>91</v>
      </c>
      <c r="E604" t="s">
        <v>92</v>
      </c>
      <c r="F604">
        <v>150</v>
      </c>
      <c r="G604">
        <v>1300</v>
      </c>
      <c r="H604">
        <v>-2</v>
      </c>
      <c r="I604">
        <v>1983</v>
      </c>
      <c r="J604" t="s">
        <v>33</v>
      </c>
      <c r="K604">
        <v>2568</v>
      </c>
      <c r="L604">
        <v>52.76</v>
      </c>
      <c r="M604">
        <v>21</v>
      </c>
      <c r="N604" s="4">
        <f t="shared" si="18"/>
        <v>0.21851398159999996</v>
      </c>
      <c r="O604" s="4">
        <f t="shared" si="19"/>
        <v>4.5887936135999992</v>
      </c>
      <c r="P604">
        <v>50</v>
      </c>
      <c r="Q604">
        <v>4.5</v>
      </c>
      <c r="R604">
        <v>2.7</v>
      </c>
      <c r="S604">
        <v>3.9</v>
      </c>
      <c r="T604">
        <v>3.4</v>
      </c>
      <c r="U604">
        <v>2.6</v>
      </c>
      <c r="V604" t="s">
        <v>27</v>
      </c>
    </row>
    <row r="605" spans="1:22" x14ac:dyDescent="0.25">
      <c r="A605" t="s">
        <v>89</v>
      </c>
      <c r="B605">
        <v>2</v>
      </c>
      <c r="C605" t="s">
        <v>90</v>
      </c>
      <c r="D605" t="s">
        <v>91</v>
      </c>
      <c r="E605" t="s">
        <v>92</v>
      </c>
      <c r="F605">
        <v>150</v>
      </c>
      <c r="G605">
        <v>1300</v>
      </c>
      <c r="H605">
        <v>-2</v>
      </c>
      <c r="I605">
        <v>1983</v>
      </c>
      <c r="J605" t="s">
        <v>32</v>
      </c>
      <c r="K605">
        <v>1596</v>
      </c>
      <c r="L605">
        <v>42.085000000000001</v>
      </c>
      <c r="M605">
        <v>17.05</v>
      </c>
      <c r="N605" s="4">
        <f t="shared" si="18"/>
        <v>0.1390350571625</v>
      </c>
      <c r="O605" s="4">
        <f t="shared" si="19"/>
        <v>2.370547724620625</v>
      </c>
      <c r="P605">
        <v>40</v>
      </c>
      <c r="Q605">
        <v>3.9</v>
      </c>
      <c r="R605">
        <v>3.9</v>
      </c>
      <c r="S605">
        <v>3.2</v>
      </c>
      <c r="T605">
        <v>3.3</v>
      </c>
      <c r="U605">
        <v>2.4</v>
      </c>
      <c r="V605" t="s">
        <v>27</v>
      </c>
    </row>
    <row r="606" spans="1:22" x14ac:dyDescent="0.25">
      <c r="A606" t="s">
        <v>89</v>
      </c>
      <c r="B606">
        <v>2</v>
      </c>
      <c r="C606" t="s">
        <v>90</v>
      </c>
      <c r="D606" t="s">
        <v>91</v>
      </c>
      <c r="E606" t="s">
        <v>92</v>
      </c>
      <c r="F606">
        <v>150</v>
      </c>
      <c r="G606">
        <v>1300</v>
      </c>
      <c r="H606">
        <v>-2</v>
      </c>
      <c r="I606">
        <v>1983</v>
      </c>
      <c r="J606" t="s">
        <v>32</v>
      </c>
      <c r="K606">
        <v>2634</v>
      </c>
      <c r="L606">
        <v>39.79</v>
      </c>
      <c r="M606">
        <v>17.489999999999998</v>
      </c>
      <c r="N606" s="4">
        <f t="shared" si="18"/>
        <v>0.12428466184999998</v>
      </c>
      <c r="O606" s="4">
        <f t="shared" si="19"/>
        <v>2.1737387357564995</v>
      </c>
      <c r="P606">
        <v>10</v>
      </c>
      <c r="Q606">
        <v>4</v>
      </c>
      <c r="R606">
        <v>4</v>
      </c>
      <c r="S606">
        <v>3.3</v>
      </c>
      <c r="T606">
        <v>2.5</v>
      </c>
      <c r="U606">
        <v>1.5</v>
      </c>
      <c r="V606" t="s">
        <v>38</v>
      </c>
    </row>
    <row r="607" spans="1:22" x14ac:dyDescent="0.25">
      <c r="A607" t="s">
        <v>89</v>
      </c>
      <c r="B607">
        <v>2</v>
      </c>
      <c r="C607" t="s">
        <v>90</v>
      </c>
      <c r="D607" t="s">
        <v>91</v>
      </c>
      <c r="E607" t="s">
        <v>92</v>
      </c>
      <c r="F607">
        <v>150</v>
      </c>
      <c r="G607">
        <v>1300</v>
      </c>
      <c r="H607">
        <v>-2</v>
      </c>
      <c r="I607">
        <v>1983</v>
      </c>
      <c r="J607" t="s">
        <v>32</v>
      </c>
      <c r="K607">
        <v>2635</v>
      </c>
      <c r="L607">
        <v>32.5</v>
      </c>
      <c r="M607">
        <v>14.57</v>
      </c>
      <c r="N607" s="4">
        <f t="shared" si="18"/>
        <v>8.2915625000000007E-2</v>
      </c>
      <c r="O607" s="4">
        <f t="shared" si="19"/>
        <v>1.2080806562500002</v>
      </c>
      <c r="P607">
        <v>10</v>
      </c>
      <c r="Q607">
        <v>2.7</v>
      </c>
      <c r="R607">
        <v>3</v>
      </c>
      <c r="S607">
        <v>3</v>
      </c>
      <c r="T607">
        <v>4</v>
      </c>
      <c r="U607">
        <v>3</v>
      </c>
      <c r="V607" t="s">
        <v>25</v>
      </c>
    </row>
    <row r="608" spans="1:22" x14ac:dyDescent="0.25">
      <c r="A608" t="s">
        <v>89</v>
      </c>
      <c r="B608">
        <v>2</v>
      </c>
      <c r="C608" t="s">
        <v>90</v>
      </c>
      <c r="D608" t="s">
        <v>91</v>
      </c>
      <c r="E608" t="s">
        <v>92</v>
      </c>
      <c r="F608">
        <v>150</v>
      </c>
      <c r="G608">
        <v>1300</v>
      </c>
      <c r="H608">
        <v>-2</v>
      </c>
      <c r="I608">
        <v>1983</v>
      </c>
      <c r="J608" t="s">
        <v>34</v>
      </c>
      <c r="K608">
        <v>2570</v>
      </c>
      <c r="L608">
        <v>49.88</v>
      </c>
      <c r="M608">
        <v>14.05</v>
      </c>
      <c r="N608" s="4">
        <f t="shared" si="18"/>
        <v>0.19530913040000003</v>
      </c>
      <c r="O608" s="4">
        <f t="shared" si="19"/>
        <v>2.7440932821200006</v>
      </c>
      <c r="P608">
        <v>10</v>
      </c>
      <c r="Q608">
        <v>4</v>
      </c>
      <c r="R608">
        <v>4.5</v>
      </c>
      <c r="S608">
        <v>3</v>
      </c>
      <c r="T608">
        <v>4</v>
      </c>
      <c r="U608">
        <v>3</v>
      </c>
      <c r="V608" t="s">
        <v>27</v>
      </c>
    </row>
    <row r="609" spans="1:22" x14ac:dyDescent="0.25">
      <c r="A609" t="s">
        <v>89</v>
      </c>
      <c r="B609">
        <v>2</v>
      </c>
      <c r="C609" t="s">
        <v>90</v>
      </c>
      <c r="D609" t="s">
        <v>91</v>
      </c>
      <c r="E609" t="s">
        <v>92</v>
      </c>
      <c r="F609">
        <v>150</v>
      </c>
      <c r="G609">
        <v>1300</v>
      </c>
      <c r="H609">
        <v>-2</v>
      </c>
      <c r="I609">
        <v>1983</v>
      </c>
      <c r="J609" t="s">
        <v>34</v>
      </c>
      <c r="K609">
        <v>1522</v>
      </c>
      <c r="L609">
        <v>52.26</v>
      </c>
      <c r="M609">
        <v>15.45</v>
      </c>
      <c r="N609" s="4">
        <f t="shared" si="18"/>
        <v>0.21439194659999997</v>
      </c>
      <c r="O609" s="4">
        <f t="shared" si="19"/>
        <v>3.3123555749699993</v>
      </c>
      <c r="P609">
        <v>10</v>
      </c>
      <c r="Q609">
        <v>5</v>
      </c>
      <c r="R609">
        <v>4.5</v>
      </c>
      <c r="S609">
        <v>2.5</v>
      </c>
      <c r="T609">
        <v>2</v>
      </c>
      <c r="U609">
        <v>2.5</v>
      </c>
      <c r="V609" t="s">
        <v>25</v>
      </c>
    </row>
    <row r="610" spans="1:22" x14ac:dyDescent="0.25">
      <c r="A610" t="s">
        <v>89</v>
      </c>
      <c r="B610">
        <v>2</v>
      </c>
      <c r="C610" t="s">
        <v>90</v>
      </c>
      <c r="D610" t="s">
        <v>91</v>
      </c>
      <c r="E610" t="s">
        <v>92</v>
      </c>
      <c r="F610">
        <v>150</v>
      </c>
      <c r="G610">
        <v>1300</v>
      </c>
      <c r="H610">
        <v>-2</v>
      </c>
      <c r="I610">
        <v>1983</v>
      </c>
      <c r="J610" t="s">
        <v>35</v>
      </c>
      <c r="K610">
        <v>1788</v>
      </c>
      <c r="L610">
        <v>32.86</v>
      </c>
      <c r="M610">
        <v>13.86</v>
      </c>
      <c r="N610" s="4">
        <f t="shared" si="18"/>
        <v>8.4762698600000005E-2</v>
      </c>
      <c r="O610" s="4">
        <f t="shared" si="19"/>
        <v>1.1748110025960001</v>
      </c>
      <c r="P610">
        <v>30</v>
      </c>
      <c r="Q610">
        <v>2.8</v>
      </c>
      <c r="R610">
        <v>2</v>
      </c>
      <c r="S610">
        <v>3.1</v>
      </c>
      <c r="T610">
        <v>3.1</v>
      </c>
      <c r="U610">
        <v>2.2999999999999998</v>
      </c>
      <c r="V610" t="s">
        <v>25</v>
      </c>
    </row>
    <row r="611" spans="1:22" x14ac:dyDescent="0.25">
      <c r="A611" t="s">
        <v>89</v>
      </c>
      <c r="B611">
        <v>2</v>
      </c>
      <c r="C611" t="s">
        <v>90</v>
      </c>
      <c r="D611" t="s">
        <v>91</v>
      </c>
      <c r="E611" t="s">
        <v>92</v>
      </c>
      <c r="F611">
        <v>150</v>
      </c>
      <c r="G611">
        <v>1300</v>
      </c>
      <c r="H611">
        <v>-2</v>
      </c>
      <c r="I611">
        <v>1983</v>
      </c>
      <c r="J611" t="s">
        <v>35</v>
      </c>
      <c r="K611">
        <v>2571</v>
      </c>
      <c r="L611">
        <v>39.79</v>
      </c>
      <c r="M611">
        <v>18.02</v>
      </c>
      <c r="N611" s="4">
        <f t="shared" si="18"/>
        <v>0.12428466184999998</v>
      </c>
      <c r="O611" s="4">
        <f t="shared" si="19"/>
        <v>2.2396096065369995</v>
      </c>
      <c r="P611">
        <v>40</v>
      </c>
      <c r="Q611">
        <v>4.3</v>
      </c>
      <c r="R611">
        <v>2.5</v>
      </c>
      <c r="S611">
        <v>3.4</v>
      </c>
      <c r="T611">
        <v>3.8</v>
      </c>
      <c r="U611">
        <v>3.1</v>
      </c>
      <c r="V611" t="s">
        <v>27</v>
      </c>
    </row>
    <row r="612" spans="1:22" x14ac:dyDescent="0.25">
      <c r="A612" t="s">
        <v>89</v>
      </c>
      <c r="B612">
        <v>2</v>
      </c>
      <c r="C612" t="s">
        <v>90</v>
      </c>
      <c r="D612" t="s">
        <v>91</v>
      </c>
      <c r="E612" t="s">
        <v>92</v>
      </c>
      <c r="F612">
        <v>150</v>
      </c>
      <c r="G612">
        <v>1300</v>
      </c>
      <c r="H612">
        <v>-2</v>
      </c>
      <c r="I612">
        <v>1983</v>
      </c>
      <c r="J612" t="s">
        <v>36</v>
      </c>
      <c r="K612">
        <v>2573</v>
      </c>
      <c r="L612">
        <v>8.7200000000000006</v>
      </c>
      <c r="M612">
        <v>10.17</v>
      </c>
      <c r="N612" s="4">
        <f t="shared" si="18"/>
        <v>5.9690144000000001E-3</v>
      </c>
      <c r="O612" s="4">
        <f t="shared" si="19"/>
        <v>6.0704876448000003E-2</v>
      </c>
      <c r="P612">
        <v>10</v>
      </c>
      <c r="Q612">
        <v>1.5</v>
      </c>
      <c r="R612">
        <v>4</v>
      </c>
      <c r="S612">
        <v>4</v>
      </c>
      <c r="T612">
        <v>4</v>
      </c>
      <c r="U612">
        <v>4</v>
      </c>
      <c r="V612" t="s">
        <v>50</v>
      </c>
    </row>
    <row r="613" spans="1:22" x14ac:dyDescent="0.25">
      <c r="A613" t="s">
        <v>89</v>
      </c>
      <c r="B613">
        <v>2</v>
      </c>
      <c r="C613" t="s">
        <v>90</v>
      </c>
      <c r="D613" t="s">
        <v>91</v>
      </c>
      <c r="E613" t="s">
        <v>92</v>
      </c>
      <c r="F613">
        <v>150</v>
      </c>
      <c r="G613">
        <v>1300</v>
      </c>
      <c r="H613">
        <v>-2</v>
      </c>
      <c r="I613">
        <v>1983</v>
      </c>
      <c r="J613" t="s">
        <v>62</v>
      </c>
      <c r="K613">
        <v>2550</v>
      </c>
      <c r="L613">
        <v>27.97</v>
      </c>
      <c r="M613">
        <v>14.65</v>
      </c>
      <c r="N613" s="4">
        <f t="shared" si="18"/>
        <v>6.1412190650000004E-2</v>
      </c>
      <c r="O613" s="4">
        <f t="shared" si="19"/>
        <v>0.89968859302250004</v>
      </c>
      <c r="P613">
        <v>10</v>
      </c>
      <c r="Q613">
        <v>3</v>
      </c>
      <c r="R613">
        <v>3.5</v>
      </c>
      <c r="S613">
        <v>3.5</v>
      </c>
      <c r="T613">
        <v>3</v>
      </c>
      <c r="U613">
        <v>3</v>
      </c>
      <c r="V613" t="s">
        <v>25</v>
      </c>
    </row>
    <row r="614" spans="1:22" x14ac:dyDescent="0.25">
      <c r="A614" t="s">
        <v>89</v>
      </c>
      <c r="B614">
        <v>2</v>
      </c>
      <c r="C614" t="s">
        <v>90</v>
      </c>
      <c r="D614" t="s">
        <v>91</v>
      </c>
      <c r="E614" t="s">
        <v>92</v>
      </c>
      <c r="F614">
        <v>150</v>
      </c>
      <c r="G614">
        <v>1300</v>
      </c>
      <c r="H614">
        <v>-2</v>
      </c>
      <c r="I614">
        <v>1983</v>
      </c>
      <c r="J614" t="s">
        <v>62</v>
      </c>
      <c r="K614">
        <v>2553</v>
      </c>
      <c r="L614">
        <v>39.69</v>
      </c>
      <c r="M614">
        <v>18.25</v>
      </c>
      <c r="N614" s="4">
        <f t="shared" si="18"/>
        <v>0.12366074384999999</v>
      </c>
      <c r="O614" s="4">
        <f t="shared" si="19"/>
        <v>2.2568085752624998</v>
      </c>
      <c r="P614">
        <v>30</v>
      </c>
      <c r="Q614">
        <v>3.9</v>
      </c>
      <c r="R614">
        <v>3.8</v>
      </c>
      <c r="S614">
        <v>4.2</v>
      </c>
      <c r="T614">
        <v>4.0999999999999996</v>
      </c>
      <c r="U614">
        <v>3.6</v>
      </c>
      <c r="V614" t="s">
        <v>27</v>
      </c>
    </row>
    <row r="615" spans="1:22" x14ac:dyDescent="0.25">
      <c r="A615" t="s">
        <v>89</v>
      </c>
      <c r="B615">
        <v>2</v>
      </c>
      <c r="C615" t="s">
        <v>90</v>
      </c>
      <c r="D615" t="s">
        <v>91</v>
      </c>
      <c r="E615" t="s">
        <v>92</v>
      </c>
      <c r="F615">
        <v>150</v>
      </c>
      <c r="G615">
        <v>1300</v>
      </c>
      <c r="H615">
        <v>-2</v>
      </c>
      <c r="I615">
        <v>1983</v>
      </c>
      <c r="J615" t="s">
        <v>37</v>
      </c>
      <c r="K615">
        <v>2575</v>
      </c>
      <c r="L615">
        <v>13.81</v>
      </c>
      <c r="M615">
        <v>10.62</v>
      </c>
      <c r="N615" s="4">
        <f t="shared" si="18"/>
        <v>1.497121385E-2</v>
      </c>
      <c r="O615" s="4">
        <f t="shared" si="19"/>
        <v>0.15899429108699997</v>
      </c>
      <c r="P615">
        <v>10</v>
      </c>
      <c r="Q615">
        <v>1.5</v>
      </c>
      <c r="R615">
        <v>3</v>
      </c>
      <c r="S615">
        <v>2</v>
      </c>
      <c r="T615">
        <v>4</v>
      </c>
      <c r="U615">
        <v>3</v>
      </c>
      <c r="V615" t="s">
        <v>50</v>
      </c>
    </row>
    <row r="616" spans="1:22" x14ac:dyDescent="0.25">
      <c r="A616" t="s">
        <v>89</v>
      </c>
      <c r="B616">
        <v>3</v>
      </c>
      <c r="C616" t="s">
        <v>90</v>
      </c>
      <c r="D616" t="s">
        <v>91</v>
      </c>
      <c r="E616" t="s">
        <v>92</v>
      </c>
      <c r="F616">
        <v>150</v>
      </c>
      <c r="G616">
        <v>1300</v>
      </c>
      <c r="H616">
        <v>-2</v>
      </c>
      <c r="I616">
        <v>1983</v>
      </c>
      <c r="J616" t="s">
        <v>24</v>
      </c>
      <c r="K616">
        <v>2562</v>
      </c>
      <c r="L616">
        <v>38.79</v>
      </c>
      <c r="M616">
        <v>14.56</v>
      </c>
      <c r="N616" s="4">
        <f t="shared" si="18"/>
        <v>0.11811613184999997</v>
      </c>
      <c r="O616" s="4">
        <f t="shared" si="19"/>
        <v>1.7197708797359996</v>
      </c>
      <c r="P616">
        <v>50</v>
      </c>
      <c r="Q616">
        <v>3.9</v>
      </c>
      <c r="R616">
        <v>3.6</v>
      </c>
      <c r="S616">
        <v>3.2</v>
      </c>
      <c r="T616">
        <v>3.5</v>
      </c>
      <c r="U616">
        <v>2.4</v>
      </c>
      <c r="V616" t="s">
        <v>27</v>
      </c>
    </row>
    <row r="617" spans="1:22" x14ac:dyDescent="0.25">
      <c r="A617" t="s">
        <v>89</v>
      </c>
      <c r="B617">
        <v>3</v>
      </c>
      <c r="C617" t="s">
        <v>90</v>
      </c>
      <c r="D617" t="s">
        <v>91</v>
      </c>
      <c r="E617" t="s">
        <v>92</v>
      </c>
      <c r="F617">
        <v>150</v>
      </c>
      <c r="G617">
        <v>1300</v>
      </c>
      <c r="H617">
        <v>-2</v>
      </c>
      <c r="I617">
        <v>1983</v>
      </c>
      <c r="J617" t="s">
        <v>80</v>
      </c>
      <c r="K617">
        <v>1252</v>
      </c>
      <c r="L617">
        <v>26.05</v>
      </c>
      <c r="M617">
        <v>12.15</v>
      </c>
      <c r="N617" s="4">
        <f t="shared" si="18"/>
        <v>5.3270296250000009E-2</v>
      </c>
      <c r="O617" s="4">
        <f t="shared" si="19"/>
        <v>0.6472340994375001</v>
      </c>
      <c r="P617">
        <v>10</v>
      </c>
      <c r="Q617">
        <v>3</v>
      </c>
      <c r="R617">
        <v>3</v>
      </c>
      <c r="S617">
        <v>2.5</v>
      </c>
      <c r="T617">
        <v>3.3</v>
      </c>
      <c r="U617">
        <v>3</v>
      </c>
      <c r="V617" t="s">
        <v>38</v>
      </c>
    </row>
    <row r="618" spans="1:22" x14ac:dyDescent="0.25">
      <c r="A618" t="s">
        <v>89</v>
      </c>
      <c r="B618">
        <v>3</v>
      </c>
      <c r="C618" t="s">
        <v>90</v>
      </c>
      <c r="D618" t="s">
        <v>91</v>
      </c>
      <c r="E618" t="s">
        <v>92</v>
      </c>
      <c r="F618">
        <v>150</v>
      </c>
      <c r="G618">
        <v>1300</v>
      </c>
      <c r="H618">
        <v>-2</v>
      </c>
      <c r="I618">
        <v>1983</v>
      </c>
      <c r="J618" t="s">
        <v>59</v>
      </c>
      <c r="K618">
        <v>2548</v>
      </c>
      <c r="L618">
        <v>26.51</v>
      </c>
      <c r="M618">
        <v>7.66</v>
      </c>
      <c r="N618" s="4">
        <f t="shared" si="18"/>
        <v>5.5168237850000003E-2</v>
      </c>
      <c r="O618" s="4">
        <f t="shared" si="19"/>
        <v>0.42258870193100001</v>
      </c>
      <c r="P618">
        <v>10</v>
      </c>
      <c r="Q618">
        <v>2.5</v>
      </c>
      <c r="R618">
        <v>3</v>
      </c>
      <c r="S618">
        <v>3</v>
      </c>
      <c r="T618">
        <v>3</v>
      </c>
      <c r="U618">
        <v>3</v>
      </c>
      <c r="V618" t="s">
        <v>38</v>
      </c>
    </row>
    <row r="619" spans="1:22" x14ac:dyDescent="0.25">
      <c r="A619" t="s">
        <v>89</v>
      </c>
      <c r="B619">
        <v>3</v>
      </c>
      <c r="C619" t="s">
        <v>90</v>
      </c>
      <c r="D619" t="s">
        <v>91</v>
      </c>
      <c r="E619" t="s">
        <v>92</v>
      </c>
      <c r="F619">
        <v>150</v>
      </c>
      <c r="G619">
        <v>1300</v>
      </c>
      <c r="H619">
        <v>-2</v>
      </c>
      <c r="I619">
        <v>1983</v>
      </c>
      <c r="J619" t="s">
        <v>26</v>
      </c>
      <c r="K619">
        <v>2552</v>
      </c>
      <c r="L619">
        <v>14.24</v>
      </c>
      <c r="M619">
        <v>7.12</v>
      </c>
      <c r="N619" s="4">
        <f t="shared" si="18"/>
        <v>1.5918041599999998E-2</v>
      </c>
      <c r="O619" s="4">
        <f t="shared" si="19"/>
        <v>0.11333645619199999</v>
      </c>
      <c r="P619">
        <v>10</v>
      </c>
      <c r="Q619">
        <v>2</v>
      </c>
      <c r="R619">
        <v>3</v>
      </c>
      <c r="S619">
        <v>3</v>
      </c>
      <c r="T619">
        <v>4</v>
      </c>
      <c r="U619">
        <v>4</v>
      </c>
      <c r="V619" t="s">
        <v>30</v>
      </c>
    </row>
    <row r="620" spans="1:22" x14ac:dyDescent="0.25">
      <c r="A620" t="s">
        <v>89</v>
      </c>
      <c r="B620">
        <v>3</v>
      </c>
      <c r="C620" t="s">
        <v>90</v>
      </c>
      <c r="D620" t="s">
        <v>91</v>
      </c>
      <c r="E620" t="s">
        <v>92</v>
      </c>
      <c r="F620">
        <v>150</v>
      </c>
      <c r="G620">
        <v>1300</v>
      </c>
      <c r="H620">
        <v>-2</v>
      </c>
      <c r="I620">
        <v>1983</v>
      </c>
      <c r="J620" t="s">
        <v>33</v>
      </c>
      <c r="K620">
        <v>2547</v>
      </c>
      <c r="L620">
        <v>42.95</v>
      </c>
      <c r="M620">
        <v>13.91</v>
      </c>
      <c r="N620" s="4">
        <f t="shared" si="18"/>
        <v>0.14480914625000002</v>
      </c>
      <c r="O620" s="4">
        <f t="shared" si="19"/>
        <v>2.0142952243375003</v>
      </c>
      <c r="P620">
        <v>50</v>
      </c>
      <c r="Q620">
        <v>4.2</v>
      </c>
      <c r="R620">
        <v>2.8</v>
      </c>
      <c r="S620">
        <v>2</v>
      </c>
      <c r="T620">
        <v>2.5</v>
      </c>
      <c r="U620">
        <v>1.7</v>
      </c>
      <c r="V620" t="s">
        <v>25</v>
      </c>
    </row>
    <row r="621" spans="1:22" x14ac:dyDescent="0.25">
      <c r="A621" t="s">
        <v>89</v>
      </c>
      <c r="B621">
        <v>3</v>
      </c>
      <c r="C621" t="s">
        <v>90</v>
      </c>
      <c r="D621" t="s">
        <v>91</v>
      </c>
      <c r="E621" t="s">
        <v>92</v>
      </c>
      <c r="F621">
        <v>150</v>
      </c>
      <c r="G621">
        <v>1300</v>
      </c>
      <c r="H621">
        <v>-2</v>
      </c>
      <c r="I621">
        <v>1983</v>
      </c>
      <c r="J621" t="s">
        <v>33</v>
      </c>
      <c r="K621">
        <v>2568</v>
      </c>
      <c r="L621">
        <v>40.08</v>
      </c>
      <c r="M621">
        <v>12.27</v>
      </c>
      <c r="N621" s="4">
        <f t="shared" si="18"/>
        <v>0.12610290239999999</v>
      </c>
      <c r="O621" s="4">
        <f t="shared" si="19"/>
        <v>1.5472826124479999</v>
      </c>
      <c r="P621">
        <v>50</v>
      </c>
      <c r="Q621">
        <v>4.0999999999999996</v>
      </c>
      <c r="R621">
        <v>2.5</v>
      </c>
      <c r="S621">
        <v>2.2999999999999998</v>
      </c>
      <c r="T621">
        <v>2.6</v>
      </c>
      <c r="U621">
        <v>1.7</v>
      </c>
      <c r="V621" t="s">
        <v>25</v>
      </c>
    </row>
    <row r="622" spans="1:22" x14ac:dyDescent="0.25">
      <c r="A622" t="s">
        <v>89</v>
      </c>
      <c r="B622">
        <v>3</v>
      </c>
      <c r="C622" t="s">
        <v>90</v>
      </c>
      <c r="D622" t="s">
        <v>91</v>
      </c>
      <c r="E622" t="s">
        <v>92</v>
      </c>
      <c r="F622">
        <v>150</v>
      </c>
      <c r="G622">
        <v>1300</v>
      </c>
      <c r="H622">
        <v>-2</v>
      </c>
      <c r="I622">
        <v>1983</v>
      </c>
      <c r="J622" t="s">
        <v>32</v>
      </c>
      <c r="K622">
        <v>1596</v>
      </c>
      <c r="L622">
        <v>33.81</v>
      </c>
      <c r="M622">
        <v>10.93</v>
      </c>
      <c r="N622" s="4">
        <f t="shared" si="18"/>
        <v>8.9734613850000006E-2</v>
      </c>
      <c r="O622" s="4">
        <f t="shared" si="19"/>
        <v>0.98079932938050007</v>
      </c>
      <c r="P622">
        <v>10</v>
      </c>
      <c r="Q622">
        <v>3.3</v>
      </c>
      <c r="R622">
        <v>4</v>
      </c>
      <c r="S622">
        <v>3.3</v>
      </c>
      <c r="T622">
        <v>4</v>
      </c>
      <c r="U622">
        <v>2.7</v>
      </c>
      <c r="V622" t="s">
        <v>25</v>
      </c>
    </row>
    <row r="623" spans="1:22" x14ac:dyDescent="0.25">
      <c r="A623" t="s">
        <v>89</v>
      </c>
      <c r="B623">
        <v>3</v>
      </c>
      <c r="C623" t="s">
        <v>90</v>
      </c>
      <c r="D623" t="s">
        <v>91</v>
      </c>
      <c r="E623" t="s">
        <v>92</v>
      </c>
      <c r="F623">
        <v>150</v>
      </c>
      <c r="G623">
        <v>1300</v>
      </c>
      <c r="H623">
        <v>-2</v>
      </c>
      <c r="I623">
        <v>1983</v>
      </c>
      <c r="J623" t="s">
        <v>32</v>
      </c>
      <c r="K623">
        <v>2569</v>
      </c>
      <c r="L623">
        <v>31.33</v>
      </c>
      <c r="M623">
        <v>10.199999999999999</v>
      </c>
      <c r="N623" s="4">
        <f t="shared" si="18"/>
        <v>7.7053158649999995E-2</v>
      </c>
      <c r="O623" s="4">
        <f t="shared" si="19"/>
        <v>0.78594221822999988</v>
      </c>
      <c r="P623">
        <v>10</v>
      </c>
      <c r="Q623">
        <v>3.5</v>
      </c>
      <c r="R623">
        <v>4</v>
      </c>
      <c r="S623">
        <v>3</v>
      </c>
      <c r="T623">
        <v>4</v>
      </c>
      <c r="U623">
        <v>3</v>
      </c>
      <c r="V623" t="s">
        <v>27</v>
      </c>
    </row>
    <row r="624" spans="1:22" x14ac:dyDescent="0.25">
      <c r="A624" t="s">
        <v>89</v>
      </c>
      <c r="B624">
        <v>3</v>
      </c>
      <c r="C624" t="s">
        <v>90</v>
      </c>
      <c r="D624" t="s">
        <v>91</v>
      </c>
      <c r="E624" t="s">
        <v>92</v>
      </c>
      <c r="F624">
        <v>150</v>
      </c>
      <c r="G624">
        <v>1300</v>
      </c>
      <c r="H624">
        <v>-2</v>
      </c>
      <c r="I624">
        <v>1983</v>
      </c>
      <c r="J624" t="s">
        <v>32</v>
      </c>
      <c r="K624">
        <v>2634</v>
      </c>
      <c r="L624">
        <v>40.22</v>
      </c>
      <c r="M624">
        <v>18.22</v>
      </c>
      <c r="N624" s="4">
        <f t="shared" si="18"/>
        <v>0.1269853994</v>
      </c>
      <c r="O624" s="4">
        <f t="shared" si="19"/>
        <v>2.3136739770679999</v>
      </c>
      <c r="P624">
        <v>10</v>
      </c>
      <c r="Q624">
        <v>4</v>
      </c>
      <c r="R624">
        <v>4.5</v>
      </c>
      <c r="S624">
        <v>3</v>
      </c>
      <c r="T624">
        <v>3.5</v>
      </c>
      <c r="U624">
        <v>2</v>
      </c>
      <c r="V624" t="s">
        <v>25</v>
      </c>
    </row>
    <row r="625" spans="1:22" x14ac:dyDescent="0.25">
      <c r="A625" t="s">
        <v>89</v>
      </c>
      <c r="B625">
        <v>3</v>
      </c>
      <c r="C625" t="s">
        <v>90</v>
      </c>
      <c r="D625" t="s">
        <v>91</v>
      </c>
      <c r="E625" t="s">
        <v>92</v>
      </c>
      <c r="F625">
        <v>150</v>
      </c>
      <c r="G625">
        <v>1300</v>
      </c>
      <c r="H625">
        <v>-2</v>
      </c>
      <c r="I625">
        <v>1983</v>
      </c>
      <c r="J625" t="s">
        <v>32</v>
      </c>
      <c r="K625">
        <v>2635</v>
      </c>
      <c r="L625">
        <v>30.75</v>
      </c>
      <c r="M625">
        <v>14.57</v>
      </c>
      <c r="N625" s="4">
        <f t="shared" si="18"/>
        <v>7.4226656249999995E-2</v>
      </c>
      <c r="O625" s="4">
        <f t="shared" si="19"/>
        <v>1.0814823815624999</v>
      </c>
      <c r="P625">
        <v>20</v>
      </c>
      <c r="Q625">
        <v>3.8</v>
      </c>
      <c r="R625">
        <v>4</v>
      </c>
      <c r="S625">
        <v>3.5</v>
      </c>
      <c r="T625">
        <v>4</v>
      </c>
      <c r="U625">
        <v>2.9</v>
      </c>
      <c r="V625" t="s">
        <v>25</v>
      </c>
    </row>
    <row r="626" spans="1:22" x14ac:dyDescent="0.25">
      <c r="A626" t="s">
        <v>89</v>
      </c>
      <c r="B626">
        <v>3</v>
      </c>
      <c r="C626" t="s">
        <v>90</v>
      </c>
      <c r="D626" t="s">
        <v>91</v>
      </c>
      <c r="E626" t="s">
        <v>92</v>
      </c>
      <c r="F626">
        <v>150</v>
      </c>
      <c r="G626">
        <v>1300</v>
      </c>
      <c r="H626">
        <v>-2</v>
      </c>
      <c r="I626">
        <v>1983</v>
      </c>
      <c r="J626" t="s">
        <v>34</v>
      </c>
      <c r="K626">
        <v>2570</v>
      </c>
      <c r="L626">
        <v>35.4</v>
      </c>
      <c r="M626">
        <v>14.05</v>
      </c>
      <c r="N626" s="4">
        <f t="shared" si="18"/>
        <v>9.8373059999999984E-2</v>
      </c>
      <c r="O626" s="4">
        <f t="shared" si="19"/>
        <v>1.3821414929999998</v>
      </c>
      <c r="P626">
        <v>10</v>
      </c>
      <c r="Q626">
        <v>3</v>
      </c>
      <c r="R626">
        <v>3</v>
      </c>
      <c r="S626">
        <v>3.3</v>
      </c>
      <c r="T626">
        <v>3.5</v>
      </c>
      <c r="U626">
        <v>3</v>
      </c>
      <c r="V626" t="s">
        <v>27</v>
      </c>
    </row>
    <row r="627" spans="1:22" x14ac:dyDescent="0.25">
      <c r="A627" t="s">
        <v>89</v>
      </c>
      <c r="B627">
        <v>3</v>
      </c>
      <c r="C627" t="s">
        <v>90</v>
      </c>
      <c r="D627" t="s">
        <v>91</v>
      </c>
      <c r="E627" t="s">
        <v>92</v>
      </c>
      <c r="F627">
        <v>150</v>
      </c>
      <c r="G627">
        <v>1300</v>
      </c>
      <c r="H627">
        <v>-2</v>
      </c>
      <c r="I627">
        <v>1983</v>
      </c>
      <c r="J627" t="s">
        <v>34</v>
      </c>
      <c r="K627">
        <v>1522</v>
      </c>
      <c r="L627">
        <v>42.43</v>
      </c>
      <c r="M627">
        <v>13.35</v>
      </c>
      <c r="N627" s="4">
        <f t="shared" si="18"/>
        <v>0.14132393465000001</v>
      </c>
      <c r="O627" s="4">
        <f t="shared" si="19"/>
        <v>1.8866745275775001</v>
      </c>
      <c r="P627">
        <v>40</v>
      </c>
      <c r="Q627">
        <v>4</v>
      </c>
      <c r="R627">
        <v>3.4</v>
      </c>
      <c r="S627">
        <v>3</v>
      </c>
      <c r="T627">
        <v>3.5</v>
      </c>
      <c r="U627">
        <v>2.1</v>
      </c>
      <c r="V627" t="s">
        <v>27</v>
      </c>
    </row>
    <row r="628" spans="1:22" x14ac:dyDescent="0.25">
      <c r="A628" t="s">
        <v>89</v>
      </c>
      <c r="B628">
        <v>3</v>
      </c>
      <c r="C628" t="s">
        <v>90</v>
      </c>
      <c r="D628" t="s">
        <v>91</v>
      </c>
      <c r="E628" t="s">
        <v>92</v>
      </c>
      <c r="F628">
        <v>150</v>
      </c>
      <c r="G628">
        <v>1300</v>
      </c>
      <c r="H628">
        <v>-2</v>
      </c>
      <c r="I628">
        <v>1983</v>
      </c>
      <c r="J628" t="s">
        <v>35</v>
      </c>
      <c r="K628">
        <v>1788</v>
      </c>
      <c r="L628">
        <v>17.329999999999998</v>
      </c>
      <c r="M628">
        <v>8.32</v>
      </c>
      <c r="N628" s="4">
        <f t="shared" si="18"/>
        <v>2.3575818649999997E-2</v>
      </c>
      <c r="O628" s="4">
        <f t="shared" si="19"/>
        <v>0.19615081116799998</v>
      </c>
      <c r="P628">
        <v>40</v>
      </c>
      <c r="Q628">
        <v>1.9</v>
      </c>
      <c r="R628">
        <v>2.1</v>
      </c>
      <c r="S628">
        <v>2.5</v>
      </c>
      <c r="T628">
        <v>3</v>
      </c>
      <c r="U628">
        <v>2.8</v>
      </c>
      <c r="V628" t="s">
        <v>30</v>
      </c>
    </row>
    <row r="629" spans="1:22" x14ac:dyDescent="0.25">
      <c r="A629" t="s">
        <v>89</v>
      </c>
      <c r="B629">
        <v>3</v>
      </c>
      <c r="C629" t="s">
        <v>90</v>
      </c>
      <c r="D629" t="s">
        <v>91</v>
      </c>
      <c r="E629" t="s">
        <v>92</v>
      </c>
      <c r="F629">
        <v>150</v>
      </c>
      <c r="G629">
        <v>1300</v>
      </c>
      <c r="H629">
        <v>-2</v>
      </c>
      <c r="I629">
        <v>1983</v>
      </c>
      <c r="J629" t="s">
        <v>35</v>
      </c>
      <c r="K629">
        <v>2571</v>
      </c>
      <c r="L629">
        <v>41.87</v>
      </c>
      <c r="M629">
        <v>15.25</v>
      </c>
      <c r="N629" s="4">
        <f t="shared" si="18"/>
        <v>0.13761810664999999</v>
      </c>
      <c r="O629" s="4">
        <f t="shared" si="19"/>
        <v>2.0986761264124998</v>
      </c>
      <c r="P629">
        <v>30</v>
      </c>
      <c r="Q629">
        <v>4.2</v>
      </c>
      <c r="R629">
        <v>2.8</v>
      </c>
      <c r="S629">
        <v>2.6</v>
      </c>
      <c r="T629">
        <v>3.3</v>
      </c>
      <c r="U629">
        <v>2.2000000000000002</v>
      </c>
      <c r="V629" t="s">
        <v>25</v>
      </c>
    </row>
    <row r="630" spans="1:22" x14ac:dyDescent="0.25">
      <c r="A630" t="s">
        <v>89</v>
      </c>
      <c r="B630">
        <v>3</v>
      </c>
      <c r="C630" t="s">
        <v>90</v>
      </c>
      <c r="D630" t="s">
        <v>91</v>
      </c>
      <c r="E630" t="s">
        <v>92</v>
      </c>
      <c r="F630">
        <v>150</v>
      </c>
      <c r="G630">
        <v>1300</v>
      </c>
      <c r="H630">
        <v>-2</v>
      </c>
      <c r="I630">
        <v>1983</v>
      </c>
      <c r="J630" t="s">
        <v>62</v>
      </c>
      <c r="K630">
        <v>2550</v>
      </c>
      <c r="L630">
        <v>9.99</v>
      </c>
      <c r="M630">
        <v>5.33</v>
      </c>
      <c r="N630" s="4">
        <f t="shared" si="18"/>
        <v>7.8343078500000014E-3</v>
      </c>
      <c r="O630" s="4">
        <f t="shared" si="19"/>
        <v>4.175686084050001E-2</v>
      </c>
      <c r="P630">
        <v>10</v>
      </c>
      <c r="Q630">
        <v>1.5</v>
      </c>
      <c r="R630">
        <v>2.5</v>
      </c>
      <c r="S630">
        <v>3</v>
      </c>
      <c r="T630">
        <v>3</v>
      </c>
      <c r="U630">
        <v>3</v>
      </c>
      <c r="V630" t="s">
        <v>50</v>
      </c>
    </row>
    <row r="631" spans="1:22" x14ac:dyDescent="0.25">
      <c r="A631" t="s">
        <v>93</v>
      </c>
      <c r="B631">
        <v>1</v>
      </c>
      <c r="C631" t="s">
        <v>66</v>
      </c>
      <c r="D631" t="s">
        <v>67</v>
      </c>
      <c r="E631" t="s">
        <v>68</v>
      </c>
      <c r="F631">
        <v>180</v>
      </c>
      <c r="G631">
        <v>1080</v>
      </c>
      <c r="H631">
        <v>-3</v>
      </c>
      <c r="I631">
        <v>1981</v>
      </c>
      <c r="J631" t="s">
        <v>56</v>
      </c>
      <c r="K631">
        <v>1111</v>
      </c>
      <c r="L631">
        <v>2.84</v>
      </c>
      <c r="M631">
        <v>3.41</v>
      </c>
      <c r="N631" s="4">
        <f t="shared" si="18"/>
        <v>6.3314959999999994E-4</v>
      </c>
      <c r="O631" s="4">
        <f t="shared" si="19"/>
        <v>2.159040136E-3</v>
      </c>
      <c r="P631">
        <v>3</v>
      </c>
      <c r="Q631">
        <v>1</v>
      </c>
      <c r="R631">
        <v>2</v>
      </c>
      <c r="S631">
        <v>3</v>
      </c>
      <c r="T631">
        <v>3</v>
      </c>
      <c r="U631">
        <v>3</v>
      </c>
      <c r="V631" t="s">
        <v>50</v>
      </c>
    </row>
    <row r="632" spans="1:22" x14ac:dyDescent="0.25">
      <c r="A632" t="s">
        <v>93</v>
      </c>
      <c r="B632">
        <v>1</v>
      </c>
      <c r="C632" t="s">
        <v>66</v>
      </c>
      <c r="D632" t="s">
        <v>67</v>
      </c>
      <c r="E632" t="s">
        <v>68</v>
      </c>
      <c r="F632">
        <v>180</v>
      </c>
      <c r="G632">
        <v>1080</v>
      </c>
      <c r="H632">
        <v>-3</v>
      </c>
      <c r="I632">
        <v>1981</v>
      </c>
      <c r="J632" t="s">
        <v>24</v>
      </c>
      <c r="K632">
        <v>2562</v>
      </c>
      <c r="L632">
        <v>7.99</v>
      </c>
      <c r="M632">
        <v>5.49</v>
      </c>
      <c r="N632" s="4">
        <f t="shared" si="18"/>
        <v>5.0114478499999997E-3</v>
      </c>
      <c r="O632" s="4">
        <f t="shared" si="19"/>
        <v>2.75128486965E-2</v>
      </c>
      <c r="P632">
        <v>17</v>
      </c>
      <c r="Q632">
        <v>2</v>
      </c>
      <c r="R632">
        <v>3</v>
      </c>
      <c r="S632">
        <v>2.5</v>
      </c>
      <c r="T632">
        <v>3.3</v>
      </c>
      <c r="U632">
        <v>3</v>
      </c>
      <c r="V632" t="s">
        <v>30</v>
      </c>
    </row>
    <row r="633" spans="1:22" x14ac:dyDescent="0.25">
      <c r="A633" t="s">
        <v>93</v>
      </c>
      <c r="B633">
        <v>1</v>
      </c>
      <c r="C633" t="s">
        <v>66</v>
      </c>
      <c r="D633" t="s">
        <v>67</v>
      </c>
      <c r="E633" t="s">
        <v>68</v>
      </c>
      <c r="F633">
        <v>180</v>
      </c>
      <c r="G633">
        <v>1080</v>
      </c>
      <c r="H633">
        <v>-3</v>
      </c>
      <c r="I633">
        <v>1981</v>
      </c>
      <c r="J633" t="s">
        <v>59</v>
      </c>
      <c r="K633">
        <v>2426</v>
      </c>
      <c r="L633">
        <v>8.3000000000000007</v>
      </c>
      <c r="M633">
        <v>5.93</v>
      </c>
      <c r="N633" s="4">
        <f t="shared" si="18"/>
        <v>5.4078650000000013E-3</v>
      </c>
      <c r="O633" s="4">
        <f t="shared" si="19"/>
        <v>3.2068639450000005E-2</v>
      </c>
      <c r="P633">
        <v>4</v>
      </c>
      <c r="Q633">
        <v>2</v>
      </c>
      <c r="R633">
        <v>3.5</v>
      </c>
      <c r="S633">
        <v>3</v>
      </c>
      <c r="T633">
        <v>3</v>
      </c>
      <c r="U633">
        <v>3</v>
      </c>
      <c r="V633" t="s">
        <v>50</v>
      </c>
    </row>
    <row r="634" spans="1:22" x14ac:dyDescent="0.25">
      <c r="A634" t="s">
        <v>93</v>
      </c>
      <c r="B634">
        <v>1</v>
      </c>
      <c r="C634" t="s">
        <v>66</v>
      </c>
      <c r="D634" t="s">
        <v>67</v>
      </c>
      <c r="E634" t="s">
        <v>68</v>
      </c>
      <c r="F634">
        <v>180</v>
      </c>
      <c r="G634">
        <v>1080</v>
      </c>
      <c r="H634">
        <v>-3</v>
      </c>
      <c r="I634">
        <v>1981</v>
      </c>
      <c r="J634" t="s">
        <v>59</v>
      </c>
      <c r="K634">
        <v>2548</v>
      </c>
      <c r="L634">
        <v>15.58</v>
      </c>
      <c r="M634">
        <v>8.06</v>
      </c>
      <c r="N634" s="4">
        <f t="shared" si="18"/>
        <v>1.9054807399999998E-2</v>
      </c>
      <c r="O634" s="4">
        <f t="shared" si="19"/>
        <v>0.15358174764399998</v>
      </c>
      <c r="P634">
        <v>27</v>
      </c>
      <c r="Q634">
        <v>3</v>
      </c>
      <c r="R634">
        <v>3.5</v>
      </c>
      <c r="S634">
        <v>3</v>
      </c>
      <c r="T634">
        <v>2.5</v>
      </c>
      <c r="U634">
        <v>3</v>
      </c>
      <c r="V634" t="s">
        <v>38</v>
      </c>
    </row>
    <row r="635" spans="1:22" x14ac:dyDescent="0.25">
      <c r="A635" t="s">
        <v>93</v>
      </c>
      <c r="B635">
        <v>1</v>
      </c>
      <c r="C635" t="s">
        <v>66</v>
      </c>
      <c r="D635" t="s">
        <v>67</v>
      </c>
      <c r="E635" t="s">
        <v>68</v>
      </c>
      <c r="F635">
        <v>180</v>
      </c>
      <c r="G635">
        <v>1080</v>
      </c>
      <c r="H635">
        <v>-3</v>
      </c>
      <c r="I635">
        <v>1981</v>
      </c>
      <c r="J635" t="s">
        <v>32</v>
      </c>
      <c r="K635">
        <v>1596</v>
      </c>
      <c r="L635">
        <v>4.5599999999999996</v>
      </c>
      <c r="M635">
        <v>3.58</v>
      </c>
      <c r="N635" s="4">
        <f t="shared" si="18"/>
        <v>1.6322975999999998E-3</v>
      </c>
      <c r="O635" s="4">
        <f t="shared" si="19"/>
        <v>5.8436254079999991E-3</v>
      </c>
      <c r="P635">
        <v>13</v>
      </c>
      <c r="Q635">
        <v>2</v>
      </c>
      <c r="R635">
        <v>3</v>
      </c>
      <c r="S635">
        <v>2</v>
      </c>
      <c r="T635">
        <v>3</v>
      </c>
      <c r="U635">
        <v>3</v>
      </c>
      <c r="V635" t="s">
        <v>50</v>
      </c>
    </row>
    <row r="636" spans="1:22" x14ac:dyDescent="0.25">
      <c r="A636" t="s">
        <v>93</v>
      </c>
      <c r="B636">
        <v>1</v>
      </c>
      <c r="C636" t="s">
        <v>66</v>
      </c>
      <c r="D636" t="s">
        <v>67</v>
      </c>
      <c r="E636" t="s">
        <v>68</v>
      </c>
      <c r="F636">
        <v>180</v>
      </c>
      <c r="G636">
        <v>1080</v>
      </c>
      <c r="H636">
        <v>-3</v>
      </c>
      <c r="I636">
        <v>1981</v>
      </c>
      <c r="J636" t="s">
        <v>32</v>
      </c>
      <c r="K636">
        <v>2634</v>
      </c>
      <c r="L636">
        <v>5.43</v>
      </c>
      <c r="M636">
        <v>4.4400000000000004</v>
      </c>
      <c r="N636" s="4">
        <f t="shared" si="18"/>
        <v>2.3145646499999994E-3</v>
      </c>
      <c r="O636" s="4">
        <f t="shared" si="19"/>
        <v>1.0276667045999999E-2</v>
      </c>
      <c r="P636">
        <v>9</v>
      </c>
      <c r="Q636">
        <v>1</v>
      </c>
      <c r="R636">
        <v>2</v>
      </c>
      <c r="S636">
        <v>2</v>
      </c>
      <c r="T636">
        <v>3</v>
      </c>
      <c r="U636">
        <v>3</v>
      </c>
      <c r="V636" t="s">
        <v>50</v>
      </c>
    </row>
    <row r="637" spans="1:22" x14ac:dyDescent="0.25">
      <c r="A637" t="s">
        <v>93</v>
      </c>
      <c r="B637">
        <v>1</v>
      </c>
      <c r="C637" t="s">
        <v>66</v>
      </c>
      <c r="D637" t="s">
        <v>67</v>
      </c>
      <c r="E637" t="s">
        <v>68</v>
      </c>
      <c r="F637">
        <v>180</v>
      </c>
      <c r="G637">
        <v>1080</v>
      </c>
      <c r="H637">
        <v>-3</v>
      </c>
      <c r="I637">
        <v>1981</v>
      </c>
      <c r="J637" t="s">
        <v>35</v>
      </c>
      <c r="K637">
        <v>1788</v>
      </c>
      <c r="L637">
        <v>13.07</v>
      </c>
      <c r="M637">
        <v>8.1199999999999992</v>
      </c>
      <c r="N637" s="4">
        <f t="shared" si="18"/>
        <v>1.3409754650000003E-2</v>
      </c>
      <c r="O637" s="4">
        <f t="shared" si="19"/>
        <v>0.10888720775800001</v>
      </c>
      <c r="P637">
        <v>14</v>
      </c>
      <c r="Q637">
        <v>1.5</v>
      </c>
      <c r="R637">
        <v>1.5</v>
      </c>
      <c r="S637">
        <v>2</v>
      </c>
      <c r="T637">
        <v>3</v>
      </c>
      <c r="U637">
        <v>3</v>
      </c>
      <c r="V637" t="s">
        <v>30</v>
      </c>
    </row>
    <row r="638" spans="1:22" x14ac:dyDescent="0.25">
      <c r="A638" t="s">
        <v>93</v>
      </c>
      <c r="B638">
        <v>1</v>
      </c>
      <c r="C638" t="s">
        <v>66</v>
      </c>
      <c r="D638" t="s">
        <v>67</v>
      </c>
      <c r="E638" t="s">
        <v>68</v>
      </c>
      <c r="F638">
        <v>180</v>
      </c>
      <c r="G638">
        <v>1080</v>
      </c>
      <c r="H638">
        <v>-3</v>
      </c>
      <c r="I638">
        <v>1981</v>
      </c>
      <c r="J638" t="s">
        <v>35</v>
      </c>
      <c r="K638">
        <v>2571</v>
      </c>
      <c r="L638">
        <v>23.55</v>
      </c>
      <c r="M638">
        <v>14.36</v>
      </c>
      <c r="N638" s="4">
        <f t="shared" si="18"/>
        <v>4.3536296250000009E-2</v>
      </c>
      <c r="O638" s="4">
        <f t="shared" si="19"/>
        <v>0.62518121415000005</v>
      </c>
      <c r="P638">
        <v>37</v>
      </c>
      <c r="Q638">
        <v>4</v>
      </c>
      <c r="R638">
        <v>2</v>
      </c>
      <c r="S638">
        <v>3</v>
      </c>
      <c r="T638">
        <v>3.5</v>
      </c>
      <c r="U638">
        <v>2</v>
      </c>
      <c r="V638" t="s">
        <v>27</v>
      </c>
    </row>
    <row r="639" spans="1:22" x14ac:dyDescent="0.25">
      <c r="A639" t="s">
        <v>93</v>
      </c>
      <c r="B639">
        <v>1</v>
      </c>
      <c r="C639" t="s">
        <v>66</v>
      </c>
      <c r="D639" t="s">
        <v>67</v>
      </c>
      <c r="E639" t="s">
        <v>68</v>
      </c>
      <c r="F639">
        <v>180</v>
      </c>
      <c r="G639">
        <v>1080</v>
      </c>
      <c r="H639">
        <v>-3</v>
      </c>
      <c r="I639">
        <v>1981</v>
      </c>
      <c r="J639" t="s">
        <v>35</v>
      </c>
      <c r="K639">
        <v>2622</v>
      </c>
      <c r="L639">
        <v>16.25</v>
      </c>
      <c r="M639">
        <v>9.77</v>
      </c>
      <c r="N639" s="4">
        <f t="shared" si="18"/>
        <v>2.0728906250000002E-2</v>
      </c>
      <c r="O639" s="4">
        <f t="shared" si="19"/>
        <v>0.20252141406250002</v>
      </c>
      <c r="P639">
        <v>85</v>
      </c>
      <c r="Q639">
        <v>4</v>
      </c>
      <c r="R639">
        <v>2</v>
      </c>
      <c r="S639">
        <v>2.5</v>
      </c>
      <c r="T639">
        <v>4</v>
      </c>
      <c r="U639">
        <v>2.5</v>
      </c>
      <c r="V639" t="s">
        <v>27</v>
      </c>
    </row>
    <row r="640" spans="1:22" x14ac:dyDescent="0.25">
      <c r="A640" t="s">
        <v>93</v>
      </c>
      <c r="B640">
        <v>1</v>
      </c>
      <c r="C640" t="s">
        <v>66</v>
      </c>
      <c r="D640" t="s">
        <v>67</v>
      </c>
      <c r="E640" t="s">
        <v>68</v>
      </c>
      <c r="F640">
        <v>180</v>
      </c>
      <c r="G640">
        <v>1080</v>
      </c>
      <c r="H640">
        <v>-3</v>
      </c>
      <c r="I640">
        <v>1981</v>
      </c>
      <c r="J640" t="s">
        <v>62</v>
      </c>
      <c r="K640">
        <v>2431</v>
      </c>
      <c r="L640">
        <v>17.079999999999998</v>
      </c>
      <c r="M640">
        <v>10.25</v>
      </c>
      <c r="N640" s="4">
        <f t="shared" si="18"/>
        <v>2.2900522399999994E-2</v>
      </c>
      <c r="O640" s="4">
        <f t="shared" si="19"/>
        <v>0.23473035459999994</v>
      </c>
      <c r="P640">
        <v>7</v>
      </c>
      <c r="Q640">
        <v>2.5</v>
      </c>
      <c r="R640">
        <v>3</v>
      </c>
      <c r="S640">
        <v>3</v>
      </c>
      <c r="T640">
        <v>3.5</v>
      </c>
      <c r="U640">
        <v>3</v>
      </c>
      <c r="V640" t="s">
        <v>30</v>
      </c>
    </row>
    <row r="641" spans="1:22" x14ac:dyDescent="0.25">
      <c r="A641" t="s">
        <v>93</v>
      </c>
      <c r="B641">
        <v>1</v>
      </c>
      <c r="C641" t="s">
        <v>66</v>
      </c>
      <c r="D641" t="s">
        <v>67</v>
      </c>
      <c r="E641" t="s">
        <v>68</v>
      </c>
      <c r="F641">
        <v>180</v>
      </c>
      <c r="G641">
        <v>1080</v>
      </c>
      <c r="H641">
        <v>-3</v>
      </c>
      <c r="I641">
        <v>1981</v>
      </c>
      <c r="J641" t="s">
        <v>62</v>
      </c>
      <c r="K641">
        <v>2553</v>
      </c>
      <c r="L641">
        <v>14.69</v>
      </c>
      <c r="M641">
        <v>9.68</v>
      </c>
      <c r="N641" s="4">
        <f t="shared" si="18"/>
        <v>1.6939993850000001E-2</v>
      </c>
      <c r="O641" s="4">
        <f t="shared" si="19"/>
        <v>0.163979140468</v>
      </c>
      <c r="P641">
        <v>21</v>
      </c>
      <c r="Q641">
        <v>3</v>
      </c>
      <c r="R641">
        <v>3</v>
      </c>
      <c r="S641">
        <v>3.3</v>
      </c>
      <c r="T641">
        <v>3.5</v>
      </c>
      <c r="U641">
        <v>3.3</v>
      </c>
      <c r="V641" t="s">
        <v>38</v>
      </c>
    </row>
    <row r="642" spans="1:22" x14ac:dyDescent="0.25">
      <c r="A642" t="s">
        <v>93</v>
      </c>
      <c r="B642">
        <v>1</v>
      </c>
      <c r="C642" t="s">
        <v>66</v>
      </c>
      <c r="D642" t="s">
        <v>67</v>
      </c>
      <c r="E642" t="s">
        <v>68</v>
      </c>
      <c r="F642">
        <v>180</v>
      </c>
      <c r="G642">
        <v>1080</v>
      </c>
      <c r="H642">
        <v>-3</v>
      </c>
      <c r="I642">
        <v>1981</v>
      </c>
      <c r="J642" t="s">
        <v>62</v>
      </c>
      <c r="K642">
        <v>2574</v>
      </c>
      <c r="L642">
        <v>11.62</v>
      </c>
      <c r="M642">
        <v>7.4</v>
      </c>
      <c r="N642" s="4">
        <f t="shared" si="18"/>
        <v>1.0599415399999999E-2</v>
      </c>
      <c r="O642" s="4">
        <f t="shared" si="19"/>
        <v>7.8435673959999994E-2</v>
      </c>
      <c r="P642">
        <v>33</v>
      </c>
      <c r="Q642">
        <v>3</v>
      </c>
      <c r="R642">
        <v>3</v>
      </c>
      <c r="S642">
        <v>3.5</v>
      </c>
      <c r="T642">
        <v>3.5</v>
      </c>
      <c r="U642">
        <v>3.3</v>
      </c>
      <c r="V642" t="s">
        <v>38</v>
      </c>
    </row>
    <row r="643" spans="1:22" x14ac:dyDescent="0.25">
      <c r="A643" t="s">
        <v>93</v>
      </c>
      <c r="B643">
        <v>1</v>
      </c>
      <c r="C643" t="s">
        <v>66</v>
      </c>
      <c r="D643" t="s">
        <v>67</v>
      </c>
      <c r="E643" t="s">
        <v>68</v>
      </c>
      <c r="F643">
        <v>180</v>
      </c>
      <c r="G643">
        <v>1080</v>
      </c>
      <c r="H643">
        <v>-3</v>
      </c>
      <c r="I643">
        <v>1981</v>
      </c>
      <c r="J643" t="s">
        <v>37</v>
      </c>
      <c r="K643">
        <v>2575</v>
      </c>
      <c r="L643">
        <v>9.48</v>
      </c>
      <c r="M643">
        <v>6.16</v>
      </c>
      <c r="N643" s="4">
        <f t="shared" ref="N643:N706" si="20">3.14/4*((L643/100)^2)</f>
        <v>7.054826400000002E-3</v>
      </c>
      <c r="O643" s="4">
        <f t="shared" ref="O643:O706" si="21">3.14/4*((L643/100)^2)*M643</f>
        <v>4.3457730624000011E-2</v>
      </c>
      <c r="P643">
        <v>50</v>
      </c>
      <c r="Q643">
        <v>2</v>
      </c>
      <c r="R643">
        <v>1.8</v>
      </c>
      <c r="S643">
        <v>2.5</v>
      </c>
      <c r="T643">
        <v>3</v>
      </c>
      <c r="U643">
        <v>2.5</v>
      </c>
      <c r="V643" t="s">
        <v>30</v>
      </c>
    </row>
    <row r="644" spans="1:22" x14ac:dyDescent="0.25">
      <c r="A644" t="s">
        <v>93</v>
      </c>
      <c r="B644">
        <v>1</v>
      </c>
      <c r="C644" t="s">
        <v>66</v>
      </c>
      <c r="D644" t="s">
        <v>67</v>
      </c>
      <c r="E644" t="s">
        <v>68</v>
      </c>
      <c r="F644">
        <v>180</v>
      </c>
      <c r="G644">
        <v>1080</v>
      </c>
      <c r="H644">
        <v>-3</v>
      </c>
      <c r="I644">
        <v>1981</v>
      </c>
      <c r="J644" t="s">
        <v>35</v>
      </c>
      <c r="K644">
        <v>1785</v>
      </c>
      <c r="L644">
        <v>10.24</v>
      </c>
      <c r="M644">
        <v>6.95</v>
      </c>
      <c r="N644" s="4">
        <f t="shared" si="20"/>
        <v>8.2313216000000008E-3</v>
      </c>
      <c r="O644" s="4">
        <f t="shared" si="21"/>
        <v>5.7207685120000004E-2</v>
      </c>
      <c r="P644">
        <v>46</v>
      </c>
      <c r="Q644">
        <v>2</v>
      </c>
      <c r="R644">
        <v>2</v>
      </c>
      <c r="S644">
        <v>3</v>
      </c>
      <c r="T644">
        <v>4</v>
      </c>
      <c r="U644">
        <v>3</v>
      </c>
      <c r="V644" t="s">
        <v>30</v>
      </c>
    </row>
    <row r="645" spans="1:22" x14ac:dyDescent="0.25">
      <c r="A645" t="s">
        <v>93</v>
      </c>
      <c r="B645">
        <v>3</v>
      </c>
      <c r="C645" t="s">
        <v>66</v>
      </c>
      <c r="D645" t="s">
        <v>67</v>
      </c>
      <c r="E645" t="s">
        <v>68</v>
      </c>
      <c r="F645">
        <v>180</v>
      </c>
      <c r="G645">
        <v>1080</v>
      </c>
      <c r="H645">
        <v>-3</v>
      </c>
      <c r="I645">
        <v>1981</v>
      </c>
      <c r="J645" t="s">
        <v>76</v>
      </c>
      <c r="K645">
        <v>1592</v>
      </c>
      <c r="L645">
        <v>14.22</v>
      </c>
      <c r="M645">
        <v>11.45</v>
      </c>
      <c r="N645" s="4">
        <f t="shared" si="20"/>
        <v>1.5873359399999998E-2</v>
      </c>
      <c r="O645" s="4">
        <f t="shared" si="21"/>
        <v>0.18174996512999997</v>
      </c>
      <c r="P645">
        <v>35</v>
      </c>
      <c r="Q645">
        <v>3</v>
      </c>
      <c r="R645">
        <v>3</v>
      </c>
      <c r="S645">
        <v>3</v>
      </c>
      <c r="T645">
        <v>4</v>
      </c>
      <c r="U645">
        <v>3</v>
      </c>
      <c r="V645" t="s">
        <v>25</v>
      </c>
    </row>
    <row r="646" spans="1:22" x14ac:dyDescent="0.25">
      <c r="A646" t="s">
        <v>93</v>
      </c>
      <c r="B646">
        <v>3</v>
      </c>
      <c r="C646" t="s">
        <v>66</v>
      </c>
      <c r="D646" t="s">
        <v>67</v>
      </c>
      <c r="E646" t="s">
        <v>68</v>
      </c>
      <c r="F646">
        <v>180</v>
      </c>
      <c r="G646">
        <v>1080</v>
      </c>
      <c r="H646">
        <v>-3</v>
      </c>
      <c r="I646">
        <v>1981</v>
      </c>
      <c r="J646" t="s">
        <v>76</v>
      </c>
      <c r="K646">
        <v>2560</v>
      </c>
      <c r="L646">
        <v>9.16</v>
      </c>
      <c r="M646">
        <v>7.23</v>
      </c>
      <c r="N646" s="4">
        <f t="shared" si="20"/>
        <v>6.5865896000000005E-3</v>
      </c>
      <c r="O646" s="4">
        <f t="shared" si="21"/>
        <v>4.7621042808000009E-2</v>
      </c>
      <c r="P646">
        <v>17</v>
      </c>
      <c r="Q646">
        <v>3</v>
      </c>
      <c r="R646">
        <v>4</v>
      </c>
      <c r="S646">
        <v>3</v>
      </c>
      <c r="T646">
        <v>4</v>
      </c>
      <c r="U646">
        <v>4</v>
      </c>
      <c r="V646" t="s">
        <v>38</v>
      </c>
    </row>
    <row r="647" spans="1:22" x14ac:dyDescent="0.25">
      <c r="A647" t="s">
        <v>93</v>
      </c>
      <c r="B647">
        <v>3</v>
      </c>
      <c r="C647" t="s">
        <v>66</v>
      </c>
      <c r="D647" t="s">
        <v>67</v>
      </c>
      <c r="E647" t="s">
        <v>68</v>
      </c>
      <c r="F647">
        <v>180</v>
      </c>
      <c r="G647">
        <v>1080</v>
      </c>
      <c r="H647">
        <v>-3</v>
      </c>
      <c r="I647">
        <v>1981</v>
      </c>
      <c r="J647" t="s">
        <v>56</v>
      </c>
      <c r="K647">
        <v>1111</v>
      </c>
      <c r="L647">
        <v>6.92</v>
      </c>
      <c r="M647">
        <v>4.54</v>
      </c>
      <c r="N647" s="4">
        <f t="shared" si="20"/>
        <v>3.7590823999999997E-3</v>
      </c>
      <c r="O647" s="4">
        <f t="shared" si="21"/>
        <v>1.7066234095999999E-2</v>
      </c>
      <c r="P647">
        <v>48</v>
      </c>
      <c r="Q647">
        <v>3</v>
      </c>
      <c r="R647">
        <v>3</v>
      </c>
      <c r="S647">
        <v>2.5</v>
      </c>
      <c r="T647">
        <v>2</v>
      </c>
      <c r="U647">
        <v>2</v>
      </c>
      <c r="V647" t="s">
        <v>38</v>
      </c>
    </row>
    <row r="648" spans="1:22" x14ac:dyDescent="0.25">
      <c r="A648" t="s">
        <v>93</v>
      </c>
      <c r="B648">
        <v>3</v>
      </c>
      <c r="C648" t="s">
        <v>66</v>
      </c>
      <c r="D648" t="s">
        <v>67</v>
      </c>
      <c r="E648" t="s">
        <v>68</v>
      </c>
      <c r="F648">
        <v>180</v>
      </c>
      <c r="G648">
        <v>1080</v>
      </c>
      <c r="H648">
        <v>-3</v>
      </c>
      <c r="I648">
        <v>1981</v>
      </c>
      <c r="J648" t="s">
        <v>24</v>
      </c>
      <c r="K648">
        <v>2562</v>
      </c>
      <c r="L648">
        <v>8.83</v>
      </c>
      <c r="M648">
        <v>8.6</v>
      </c>
      <c r="N648" s="4">
        <f t="shared" si="20"/>
        <v>6.1205586500000008E-3</v>
      </c>
      <c r="O648" s="4">
        <f t="shared" si="21"/>
        <v>5.2636804390000007E-2</v>
      </c>
      <c r="P648">
        <v>63</v>
      </c>
      <c r="Q648">
        <v>3</v>
      </c>
      <c r="R648">
        <v>3.5</v>
      </c>
      <c r="S648">
        <v>3.5</v>
      </c>
      <c r="T648">
        <v>3.5</v>
      </c>
      <c r="U648">
        <v>3</v>
      </c>
      <c r="V648" t="s">
        <v>38</v>
      </c>
    </row>
    <row r="649" spans="1:22" x14ac:dyDescent="0.25">
      <c r="A649" t="s">
        <v>93</v>
      </c>
      <c r="B649">
        <v>3</v>
      </c>
      <c r="C649" t="s">
        <v>66</v>
      </c>
      <c r="D649" t="s">
        <v>67</v>
      </c>
      <c r="E649" t="s">
        <v>68</v>
      </c>
      <c r="F649">
        <v>180</v>
      </c>
      <c r="G649">
        <v>1080</v>
      </c>
      <c r="H649">
        <v>-3</v>
      </c>
      <c r="I649">
        <v>1981</v>
      </c>
      <c r="J649" t="s">
        <v>59</v>
      </c>
      <c r="K649">
        <v>2426</v>
      </c>
      <c r="L649">
        <v>17.420000000000002</v>
      </c>
      <c r="M649">
        <v>9.01</v>
      </c>
      <c r="N649" s="4">
        <f t="shared" si="20"/>
        <v>2.3821327400000005E-2</v>
      </c>
      <c r="O649" s="4">
        <f t="shared" si="21"/>
        <v>0.21463015987400005</v>
      </c>
      <c r="P649">
        <v>45</v>
      </c>
      <c r="Q649">
        <v>4.5</v>
      </c>
      <c r="R649">
        <v>4.5</v>
      </c>
      <c r="S649">
        <v>3</v>
      </c>
      <c r="T649">
        <v>2</v>
      </c>
      <c r="U649">
        <v>1.5</v>
      </c>
      <c r="V649" t="s">
        <v>27</v>
      </c>
    </row>
    <row r="650" spans="1:22" x14ac:dyDescent="0.25">
      <c r="A650" t="s">
        <v>93</v>
      </c>
      <c r="B650">
        <v>3</v>
      </c>
      <c r="C650" t="s">
        <v>66</v>
      </c>
      <c r="D650" t="s">
        <v>67</v>
      </c>
      <c r="E650" t="s">
        <v>68</v>
      </c>
      <c r="F650">
        <v>180</v>
      </c>
      <c r="G650">
        <v>1080</v>
      </c>
      <c r="H650">
        <v>-3</v>
      </c>
      <c r="I650">
        <v>1981</v>
      </c>
      <c r="J650" t="s">
        <v>59</v>
      </c>
      <c r="K650">
        <v>2548</v>
      </c>
      <c r="L650">
        <v>13.04</v>
      </c>
      <c r="M650">
        <v>9.36</v>
      </c>
      <c r="N650" s="4">
        <f t="shared" si="20"/>
        <v>1.3348265599999999E-2</v>
      </c>
      <c r="O650" s="4">
        <f t="shared" si="21"/>
        <v>0.12493976601599999</v>
      </c>
      <c r="P650">
        <v>55</v>
      </c>
      <c r="Q650">
        <v>4</v>
      </c>
      <c r="R650">
        <v>4</v>
      </c>
      <c r="S650">
        <v>3</v>
      </c>
      <c r="T650">
        <v>2.5</v>
      </c>
      <c r="U650">
        <v>2</v>
      </c>
      <c r="V650" t="s">
        <v>25</v>
      </c>
    </row>
    <row r="651" spans="1:22" x14ac:dyDescent="0.25">
      <c r="A651" t="s">
        <v>93</v>
      </c>
      <c r="B651">
        <v>3</v>
      </c>
      <c r="C651" t="s">
        <v>66</v>
      </c>
      <c r="D651" t="s">
        <v>67</v>
      </c>
      <c r="E651" t="s">
        <v>68</v>
      </c>
      <c r="F651">
        <v>180</v>
      </c>
      <c r="G651">
        <v>1080</v>
      </c>
      <c r="H651">
        <v>-3</v>
      </c>
      <c r="I651">
        <v>1981</v>
      </c>
      <c r="J651" t="s">
        <v>32</v>
      </c>
      <c r="K651">
        <v>1596</v>
      </c>
      <c r="L651">
        <v>17.27</v>
      </c>
      <c r="M651">
        <v>9.01</v>
      </c>
      <c r="N651" s="4">
        <f t="shared" si="20"/>
        <v>2.341285265E-2</v>
      </c>
      <c r="O651" s="4">
        <f t="shared" si="21"/>
        <v>0.21094980237649999</v>
      </c>
      <c r="P651">
        <v>48</v>
      </c>
      <c r="Q651">
        <v>3.5</v>
      </c>
      <c r="R651">
        <v>3</v>
      </c>
      <c r="S651">
        <v>3.3</v>
      </c>
      <c r="T651">
        <v>4</v>
      </c>
      <c r="U651">
        <v>3</v>
      </c>
      <c r="V651" t="s">
        <v>27</v>
      </c>
    </row>
    <row r="652" spans="1:22" x14ac:dyDescent="0.25">
      <c r="A652" t="s">
        <v>93</v>
      </c>
      <c r="B652">
        <v>3</v>
      </c>
      <c r="C652" t="s">
        <v>66</v>
      </c>
      <c r="D652" t="s">
        <v>67</v>
      </c>
      <c r="E652" t="s">
        <v>68</v>
      </c>
      <c r="F652">
        <v>180</v>
      </c>
      <c r="G652">
        <v>1080</v>
      </c>
      <c r="H652">
        <v>-3</v>
      </c>
      <c r="I652">
        <v>1981</v>
      </c>
      <c r="J652" t="s">
        <v>32</v>
      </c>
      <c r="K652">
        <v>2634</v>
      </c>
      <c r="L652">
        <v>11.84</v>
      </c>
      <c r="M652">
        <v>9.1300000000000008</v>
      </c>
      <c r="N652" s="4">
        <f t="shared" si="20"/>
        <v>1.1004569600000002E-2</v>
      </c>
      <c r="O652" s="4">
        <f t="shared" si="21"/>
        <v>0.10047172044800003</v>
      </c>
      <c r="P652">
        <v>18</v>
      </c>
      <c r="Q652">
        <v>2.5</v>
      </c>
      <c r="R652">
        <v>3.5</v>
      </c>
      <c r="S652">
        <v>2.5</v>
      </c>
      <c r="T652">
        <v>3.5</v>
      </c>
      <c r="U652">
        <v>3</v>
      </c>
      <c r="V652" t="s">
        <v>38</v>
      </c>
    </row>
    <row r="653" spans="1:22" x14ac:dyDescent="0.25">
      <c r="A653" t="s">
        <v>93</v>
      </c>
      <c r="B653">
        <v>3</v>
      </c>
      <c r="C653" t="s">
        <v>66</v>
      </c>
      <c r="D653" t="s">
        <v>67</v>
      </c>
      <c r="E653" t="s">
        <v>68</v>
      </c>
      <c r="F653">
        <v>180</v>
      </c>
      <c r="G653">
        <v>1080</v>
      </c>
      <c r="H653">
        <v>-3</v>
      </c>
      <c r="I653">
        <v>1981</v>
      </c>
      <c r="J653" t="s">
        <v>35</v>
      </c>
      <c r="K653">
        <v>1788</v>
      </c>
      <c r="L653">
        <v>9.5399999999999991</v>
      </c>
      <c r="M653">
        <v>6.83</v>
      </c>
      <c r="N653" s="4">
        <f t="shared" si="20"/>
        <v>7.1444105999999979E-3</v>
      </c>
      <c r="O653" s="4">
        <f t="shared" si="21"/>
        <v>4.8796324397999989E-2</v>
      </c>
      <c r="P653">
        <v>13</v>
      </c>
      <c r="Q653">
        <v>2.5</v>
      </c>
      <c r="R653">
        <v>1.8</v>
      </c>
      <c r="S653">
        <v>2.5</v>
      </c>
      <c r="T653">
        <v>4</v>
      </c>
      <c r="U653">
        <v>3</v>
      </c>
      <c r="V653" t="s">
        <v>38</v>
      </c>
    </row>
    <row r="654" spans="1:22" x14ac:dyDescent="0.25">
      <c r="A654" t="s">
        <v>93</v>
      </c>
      <c r="B654">
        <v>3</v>
      </c>
      <c r="C654" t="s">
        <v>66</v>
      </c>
      <c r="D654" t="s">
        <v>67</v>
      </c>
      <c r="E654" t="s">
        <v>68</v>
      </c>
      <c r="F654">
        <v>180</v>
      </c>
      <c r="G654">
        <v>1080</v>
      </c>
      <c r="H654">
        <v>-3</v>
      </c>
      <c r="I654">
        <v>1981</v>
      </c>
      <c r="J654" t="s">
        <v>35</v>
      </c>
      <c r="K654">
        <v>1785</v>
      </c>
      <c r="L654">
        <v>7.89</v>
      </c>
      <c r="M654">
        <v>5.65</v>
      </c>
      <c r="N654" s="4">
        <f t="shared" si="20"/>
        <v>4.88678985E-3</v>
      </c>
      <c r="O654" s="4">
        <f t="shared" si="21"/>
        <v>2.7610362652500001E-2</v>
      </c>
      <c r="P654">
        <v>45</v>
      </c>
      <c r="Q654">
        <v>2.5</v>
      </c>
      <c r="R654">
        <v>2</v>
      </c>
      <c r="S654">
        <v>3</v>
      </c>
      <c r="T654">
        <v>3.3</v>
      </c>
      <c r="U654">
        <v>2.5</v>
      </c>
      <c r="V654" t="s">
        <v>38</v>
      </c>
    </row>
    <row r="655" spans="1:22" x14ac:dyDescent="0.25">
      <c r="A655" t="s">
        <v>93</v>
      </c>
      <c r="B655">
        <v>3</v>
      </c>
      <c r="C655" t="s">
        <v>66</v>
      </c>
      <c r="D655" t="s">
        <v>67</v>
      </c>
      <c r="E655" t="s">
        <v>68</v>
      </c>
      <c r="F655">
        <v>180</v>
      </c>
      <c r="G655">
        <v>1080</v>
      </c>
      <c r="H655">
        <v>-3</v>
      </c>
      <c r="I655">
        <v>1981</v>
      </c>
      <c r="J655" t="s">
        <v>35</v>
      </c>
      <c r="K655">
        <v>2571</v>
      </c>
      <c r="L655">
        <v>12.72</v>
      </c>
      <c r="M655">
        <v>10.6</v>
      </c>
      <c r="N655" s="4">
        <f t="shared" si="20"/>
        <v>1.2701174400000001E-2</v>
      </c>
      <c r="O655" s="4">
        <f t="shared" si="21"/>
        <v>0.13463244864000001</v>
      </c>
      <c r="P655">
        <v>37</v>
      </c>
      <c r="Q655">
        <v>3</v>
      </c>
      <c r="R655">
        <v>2</v>
      </c>
      <c r="S655">
        <v>3.5</v>
      </c>
      <c r="T655">
        <v>4.5</v>
      </c>
      <c r="U655">
        <v>4.3</v>
      </c>
      <c r="V655" t="s">
        <v>27</v>
      </c>
    </row>
    <row r="656" spans="1:22" x14ac:dyDescent="0.25">
      <c r="A656" t="s">
        <v>93</v>
      </c>
      <c r="B656">
        <v>3</v>
      </c>
      <c r="C656" t="s">
        <v>66</v>
      </c>
      <c r="D656" t="s">
        <v>67</v>
      </c>
      <c r="E656" t="s">
        <v>68</v>
      </c>
      <c r="F656">
        <v>180</v>
      </c>
      <c r="G656">
        <v>1080</v>
      </c>
      <c r="H656">
        <v>-3</v>
      </c>
      <c r="I656">
        <v>1981</v>
      </c>
      <c r="J656" t="s">
        <v>35</v>
      </c>
      <c r="K656">
        <v>2622</v>
      </c>
      <c r="L656">
        <v>11.07</v>
      </c>
      <c r="M656">
        <v>8.9499999999999993</v>
      </c>
      <c r="N656" s="4">
        <f t="shared" si="20"/>
        <v>9.6197746500000011E-3</v>
      </c>
      <c r="O656" s="4">
        <f t="shared" si="21"/>
        <v>8.6096983117499998E-2</v>
      </c>
      <c r="P656">
        <v>70</v>
      </c>
      <c r="Q656">
        <v>3</v>
      </c>
      <c r="R656">
        <v>2</v>
      </c>
      <c r="S656">
        <v>2.5</v>
      </c>
      <c r="T656">
        <v>4</v>
      </c>
      <c r="U656">
        <v>3</v>
      </c>
      <c r="V656" t="s">
        <v>25</v>
      </c>
    </row>
    <row r="657" spans="1:22" x14ac:dyDescent="0.25">
      <c r="A657" t="s">
        <v>93</v>
      </c>
      <c r="B657">
        <v>3</v>
      </c>
      <c r="C657" t="s">
        <v>66</v>
      </c>
      <c r="D657" t="s">
        <v>67</v>
      </c>
      <c r="E657" t="s">
        <v>68</v>
      </c>
      <c r="F657">
        <v>180</v>
      </c>
      <c r="G657">
        <v>1080</v>
      </c>
      <c r="H657">
        <v>-3</v>
      </c>
      <c r="I657">
        <v>1981</v>
      </c>
      <c r="J657" t="s">
        <v>62</v>
      </c>
      <c r="K657">
        <v>2431</v>
      </c>
      <c r="L657">
        <v>10.25</v>
      </c>
      <c r="M657">
        <v>10.02</v>
      </c>
      <c r="N657" s="4">
        <f t="shared" si="20"/>
        <v>8.2474062499999987E-3</v>
      </c>
      <c r="O657" s="4">
        <f t="shared" si="21"/>
        <v>8.2639010624999981E-2</v>
      </c>
      <c r="P657">
        <v>36</v>
      </c>
      <c r="Q657">
        <v>3</v>
      </c>
      <c r="R657">
        <v>3</v>
      </c>
      <c r="S657">
        <v>4</v>
      </c>
      <c r="T657">
        <v>4.5</v>
      </c>
      <c r="U657">
        <v>3.5</v>
      </c>
      <c r="V657" t="s">
        <v>38</v>
      </c>
    </row>
    <row r="658" spans="1:22" x14ac:dyDescent="0.25">
      <c r="A658" t="s">
        <v>93</v>
      </c>
      <c r="B658">
        <v>3</v>
      </c>
      <c r="C658" t="s">
        <v>66</v>
      </c>
      <c r="D658" t="s">
        <v>67</v>
      </c>
      <c r="E658" t="s">
        <v>68</v>
      </c>
      <c r="F658">
        <v>180</v>
      </c>
      <c r="G658">
        <v>1080</v>
      </c>
      <c r="H658">
        <v>-3</v>
      </c>
      <c r="I658">
        <v>1981</v>
      </c>
      <c r="J658" t="s">
        <v>62</v>
      </c>
      <c r="K658">
        <v>2432</v>
      </c>
      <c r="L658">
        <v>14.46</v>
      </c>
      <c r="M658">
        <v>11.73</v>
      </c>
      <c r="N658" s="4">
        <f t="shared" si="20"/>
        <v>1.6413690600000003E-2</v>
      </c>
      <c r="O658" s="4">
        <f t="shared" si="21"/>
        <v>0.19253259073800003</v>
      </c>
      <c r="P658">
        <v>60</v>
      </c>
      <c r="Q658">
        <v>4.5</v>
      </c>
      <c r="R658">
        <v>4</v>
      </c>
      <c r="S658">
        <v>3.5</v>
      </c>
      <c r="T658">
        <v>3.5</v>
      </c>
      <c r="U658">
        <v>2.5</v>
      </c>
      <c r="V658" t="s">
        <v>27</v>
      </c>
    </row>
    <row r="659" spans="1:22" x14ac:dyDescent="0.25">
      <c r="A659" t="s">
        <v>93</v>
      </c>
      <c r="B659">
        <v>3</v>
      </c>
      <c r="C659" t="s">
        <v>66</v>
      </c>
      <c r="D659" t="s">
        <v>67</v>
      </c>
      <c r="E659" t="s">
        <v>68</v>
      </c>
      <c r="F659">
        <v>180</v>
      </c>
      <c r="G659">
        <v>1080</v>
      </c>
      <c r="H659">
        <v>-3</v>
      </c>
      <c r="I659">
        <v>1981</v>
      </c>
      <c r="J659" t="s">
        <v>62</v>
      </c>
      <c r="K659">
        <v>2550</v>
      </c>
      <c r="L659">
        <v>15.37</v>
      </c>
      <c r="M659">
        <v>10.82</v>
      </c>
      <c r="N659" s="4">
        <f t="shared" si="20"/>
        <v>1.8544596650000002E-2</v>
      </c>
      <c r="O659" s="4">
        <f t="shared" si="21"/>
        <v>0.20065253575300002</v>
      </c>
      <c r="P659">
        <v>13</v>
      </c>
      <c r="Q659">
        <v>3</v>
      </c>
      <c r="R659">
        <v>2.7</v>
      </c>
      <c r="S659">
        <v>3.5</v>
      </c>
      <c r="T659">
        <v>3.5</v>
      </c>
      <c r="U659">
        <v>3</v>
      </c>
      <c r="V659" t="s">
        <v>38</v>
      </c>
    </row>
    <row r="660" spans="1:22" x14ac:dyDescent="0.25">
      <c r="A660" t="s">
        <v>93</v>
      </c>
      <c r="B660">
        <v>3</v>
      </c>
      <c r="C660" t="s">
        <v>66</v>
      </c>
      <c r="D660" t="s">
        <v>67</v>
      </c>
      <c r="E660" t="s">
        <v>68</v>
      </c>
      <c r="F660">
        <v>180</v>
      </c>
      <c r="G660">
        <v>1080</v>
      </c>
      <c r="H660">
        <v>-3</v>
      </c>
      <c r="I660">
        <v>1981</v>
      </c>
      <c r="J660" t="s">
        <v>62</v>
      </c>
      <c r="K660">
        <v>2553</v>
      </c>
      <c r="L660">
        <v>11.96</v>
      </c>
      <c r="M660">
        <v>9.91</v>
      </c>
      <c r="N660" s="4">
        <f t="shared" si="20"/>
        <v>1.1228765600000003E-2</v>
      </c>
      <c r="O660" s="4">
        <f t="shared" si="21"/>
        <v>0.11127706709600003</v>
      </c>
      <c r="P660">
        <v>33</v>
      </c>
      <c r="Q660">
        <v>4</v>
      </c>
      <c r="R660">
        <v>4</v>
      </c>
      <c r="S660">
        <v>4</v>
      </c>
      <c r="T660">
        <v>4</v>
      </c>
      <c r="U660">
        <v>4</v>
      </c>
      <c r="V660" t="s">
        <v>25</v>
      </c>
    </row>
    <row r="661" spans="1:22" x14ac:dyDescent="0.25">
      <c r="A661" t="s">
        <v>93</v>
      </c>
      <c r="B661">
        <v>3</v>
      </c>
      <c r="C661" t="s">
        <v>66</v>
      </c>
      <c r="D661" t="s">
        <v>67</v>
      </c>
      <c r="E661" t="s">
        <v>68</v>
      </c>
      <c r="F661">
        <v>180</v>
      </c>
      <c r="G661">
        <v>1080</v>
      </c>
      <c r="H661">
        <v>-3</v>
      </c>
      <c r="I661">
        <v>1981</v>
      </c>
      <c r="J661" t="s">
        <v>62</v>
      </c>
      <c r="K661">
        <v>2574</v>
      </c>
      <c r="L661">
        <v>12.41</v>
      </c>
      <c r="M661">
        <v>9.68</v>
      </c>
      <c r="N661" s="4">
        <f t="shared" si="20"/>
        <v>1.2089635850000001E-2</v>
      </c>
      <c r="O661" s="4">
        <f t="shared" si="21"/>
        <v>0.117027675028</v>
      </c>
      <c r="P661">
        <v>67</v>
      </c>
      <c r="Q661">
        <v>4</v>
      </c>
      <c r="R661">
        <v>4</v>
      </c>
      <c r="S661">
        <v>3.5</v>
      </c>
      <c r="T661">
        <v>4</v>
      </c>
      <c r="U661">
        <v>3</v>
      </c>
      <c r="V661" t="s">
        <v>25</v>
      </c>
    </row>
    <row r="662" spans="1:22" x14ac:dyDescent="0.25">
      <c r="A662" t="s">
        <v>93</v>
      </c>
      <c r="B662">
        <v>3</v>
      </c>
      <c r="C662" t="s">
        <v>66</v>
      </c>
      <c r="D662" t="s">
        <v>67</v>
      </c>
      <c r="E662" t="s">
        <v>68</v>
      </c>
      <c r="F662">
        <v>180</v>
      </c>
      <c r="G662">
        <v>1080</v>
      </c>
      <c r="H662">
        <v>-3</v>
      </c>
      <c r="I662">
        <v>1981</v>
      </c>
      <c r="J662" t="s">
        <v>37</v>
      </c>
      <c r="K662">
        <v>2575</v>
      </c>
      <c r="L662">
        <v>7.94</v>
      </c>
      <c r="M662">
        <v>6.16</v>
      </c>
      <c r="N662" s="4">
        <f t="shared" si="20"/>
        <v>4.9489225999999999E-3</v>
      </c>
      <c r="O662" s="4">
        <f t="shared" si="21"/>
        <v>3.0485363216000001E-2</v>
      </c>
      <c r="P662">
        <v>51</v>
      </c>
      <c r="Q662">
        <v>2.5</v>
      </c>
      <c r="R662">
        <v>2</v>
      </c>
      <c r="S662">
        <v>2.5</v>
      </c>
      <c r="T662">
        <v>4.5</v>
      </c>
      <c r="U662">
        <v>4</v>
      </c>
      <c r="V662" t="s">
        <v>38</v>
      </c>
    </row>
    <row r="663" spans="1:22" x14ac:dyDescent="0.25">
      <c r="A663" t="s">
        <v>93</v>
      </c>
      <c r="B663">
        <v>3</v>
      </c>
      <c r="C663" t="s">
        <v>66</v>
      </c>
      <c r="D663" t="s">
        <v>67</v>
      </c>
      <c r="E663" t="s">
        <v>68</v>
      </c>
      <c r="F663">
        <v>180</v>
      </c>
      <c r="G663">
        <v>1080</v>
      </c>
      <c r="H663">
        <v>-3</v>
      </c>
      <c r="I663">
        <v>1981</v>
      </c>
      <c r="J663" t="s">
        <v>57</v>
      </c>
      <c r="K663">
        <v>2621</v>
      </c>
      <c r="L663">
        <v>5.98</v>
      </c>
      <c r="M663">
        <v>4.03</v>
      </c>
      <c r="N663" s="4">
        <f t="shared" si="20"/>
        <v>2.8071914000000007E-3</v>
      </c>
      <c r="O663" s="4">
        <f t="shared" si="21"/>
        <v>1.1312981342000003E-2</v>
      </c>
      <c r="P663">
        <v>43</v>
      </c>
      <c r="Q663">
        <v>2.5</v>
      </c>
      <c r="R663">
        <v>2</v>
      </c>
      <c r="S663">
        <v>3.3</v>
      </c>
      <c r="T663">
        <v>4</v>
      </c>
      <c r="U663">
        <v>3.5</v>
      </c>
      <c r="V663" t="s">
        <v>38</v>
      </c>
    </row>
    <row r="664" spans="1:22" x14ac:dyDescent="0.25">
      <c r="A664" t="s">
        <v>94</v>
      </c>
      <c r="B664">
        <v>1</v>
      </c>
      <c r="C664" t="s">
        <v>21</v>
      </c>
      <c r="D664" t="s">
        <v>95</v>
      </c>
      <c r="E664" t="s">
        <v>96</v>
      </c>
      <c r="F664">
        <v>150</v>
      </c>
      <c r="G664">
        <v>900</v>
      </c>
      <c r="H664">
        <v>-2</v>
      </c>
      <c r="I664">
        <v>1986</v>
      </c>
      <c r="J664" t="s">
        <v>76</v>
      </c>
      <c r="K664">
        <v>3266</v>
      </c>
      <c r="L664">
        <v>21.86</v>
      </c>
      <c r="M664">
        <v>10</v>
      </c>
      <c r="N664" s="4">
        <f t="shared" si="20"/>
        <v>3.7511978599999996E-2</v>
      </c>
      <c r="O664" s="4">
        <f t="shared" si="21"/>
        <v>0.37511978599999996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50</v>
      </c>
    </row>
    <row r="665" spans="1:22" x14ac:dyDescent="0.25">
      <c r="A665" t="s">
        <v>94</v>
      </c>
      <c r="B665">
        <v>1</v>
      </c>
      <c r="C665" t="s">
        <v>21</v>
      </c>
      <c r="D665" t="s">
        <v>95</v>
      </c>
      <c r="E665" t="s">
        <v>96</v>
      </c>
      <c r="F665">
        <v>150</v>
      </c>
      <c r="G665">
        <v>900</v>
      </c>
      <c r="H665">
        <v>-2</v>
      </c>
      <c r="I665">
        <v>1986</v>
      </c>
      <c r="J665" t="s">
        <v>76</v>
      </c>
      <c r="K665">
        <v>3267</v>
      </c>
      <c r="L665">
        <v>33.65</v>
      </c>
      <c r="M665">
        <v>15.36</v>
      </c>
      <c r="N665" s="4">
        <f t="shared" si="20"/>
        <v>8.8887316249999987E-2</v>
      </c>
      <c r="O665" s="4">
        <f t="shared" si="21"/>
        <v>1.3653091775999997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50</v>
      </c>
    </row>
    <row r="666" spans="1:22" x14ac:dyDescent="0.25">
      <c r="A666" t="s">
        <v>94</v>
      </c>
      <c r="B666">
        <v>1</v>
      </c>
      <c r="C666" t="s">
        <v>21</v>
      </c>
      <c r="D666" t="s">
        <v>95</v>
      </c>
      <c r="E666" t="s">
        <v>96</v>
      </c>
      <c r="F666">
        <v>150</v>
      </c>
      <c r="G666">
        <v>900</v>
      </c>
      <c r="H666">
        <v>-2</v>
      </c>
      <c r="I666">
        <v>1986</v>
      </c>
      <c r="J666" t="s">
        <v>76</v>
      </c>
      <c r="K666">
        <v>3268</v>
      </c>
      <c r="L666">
        <v>18.010000000000002</v>
      </c>
      <c r="M666">
        <v>3.26</v>
      </c>
      <c r="N666" s="4">
        <f t="shared" si="20"/>
        <v>2.5462267850000001E-2</v>
      </c>
      <c r="O666" s="4">
        <f t="shared" si="21"/>
        <v>8.3006993190999995E-2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50</v>
      </c>
    </row>
    <row r="667" spans="1:22" x14ac:dyDescent="0.25">
      <c r="A667" t="s">
        <v>94</v>
      </c>
      <c r="B667">
        <v>1</v>
      </c>
      <c r="C667" t="s">
        <v>21</v>
      </c>
      <c r="D667" t="s">
        <v>95</v>
      </c>
      <c r="E667" t="s">
        <v>96</v>
      </c>
      <c r="F667">
        <v>150</v>
      </c>
      <c r="G667">
        <v>900</v>
      </c>
      <c r="H667">
        <v>-2</v>
      </c>
      <c r="I667">
        <v>1986</v>
      </c>
      <c r="J667" t="s">
        <v>76</v>
      </c>
      <c r="K667">
        <v>3269</v>
      </c>
      <c r="L667">
        <v>24.72</v>
      </c>
      <c r="M667">
        <v>11.29</v>
      </c>
      <c r="N667" s="4">
        <f t="shared" si="20"/>
        <v>4.7969654399999992E-2</v>
      </c>
      <c r="O667" s="4">
        <f t="shared" si="21"/>
        <v>0.54157739817599981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50</v>
      </c>
    </row>
    <row r="668" spans="1:22" x14ac:dyDescent="0.25">
      <c r="A668" t="s">
        <v>94</v>
      </c>
      <c r="B668">
        <v>1</v>
      </c>
      <c r="C668" t="s">
        <v>21</v>
      </c>
      <c r="D668" t="s">
        <v>95</v>
      </c>
      <c r="E668" t="s">
        <v>96</v>
      </c>
      <c r="F668">
        <v>150</v>
      </c>
      <c r="G668">
        <v>900</v>
      </c>
      <c r="H668">
        <v>-2</v>
      </c>
      <c r="I668">
        <v>1986</v>
      </c>
      <c r="J668" t="s">
        <v>76</v>
      </c>
      <c r="K668">
        <v>2770</v>
      </c>
      <c r="L668">
        <v>20.85</v>
      </c>
      <c r="M668">
        <v>9.52</v>
      </c>
      <c r="N668" s="4">
        <f t="shared" si="20"/>
        <v>3.4125716250000007E-2</v>
      </c>
      <c r="O668" s="4">
        <f t="shared" si="21"/>
        <v>0.32487681870000007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50</v>
      </c>
    </row>
    <row r="669" spans="1:22" x14ac:dyDescent="0.25">
      <c r="A669" t="s">
        <v>94</v>
      </c>
      <c r="B669">
        <v>1</v>
      </c>
      <c r="C669" t="s">
        <v>21</v>
      </c>
      <c r="D669" t="s">
        <v>95</v>
      </c>
      <c r="E669" t="s">
        <v>96</v>
      </c>
      <c r="F669">
        <v>150</v>
      </c>
      <c r="G669">
        <v>900</v>
      </c>
      <c r="H669">
        <v>-2</v>
      </c>
      <c r="I669">
        <v>1986</v>
      </c>
      <c r="J669" t="s">
        <v>76</v>
      </c>
      <c r="K669">
        <v>2460</v>
      </c>
      <c r="L669">
        <v>29.6</v>
      </c>
      <c r="M669">
        <v>13.52</v>
      </c>
      <c r="N669" s="4">
        <f t="shared" si="20"/>
        <v>6.877856000000003E-2</v>
      </c>
      <c r="O669" s="4">
        <f t="shared" si="21"/>
        <v>0.92988613120000041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50</v>
      </c>
    </row>
    <row r="670" spans="1:22" x14ac:dyDescent="0.25">
      <c r="A670" t="s">
        <v>94</v>
      </c>
      <c r="B670">
        <v>1</v>
      </c>
      <c r="C670" t="s">
        <v>21</v>
      </c>
      <c r="D670" t="s">
        <v>95</v>
      </c>
      <c r="E670" t="s">
        <v>96</v>
      </c>
      <c r="F670">
        <v>150</v>
      </c>
      <c r="G670">
        <v>900</v>
      </c>
      <c r="H670">
        <v>-2</v>
      </c>
      <c r="I670">
        <v>1986</v>
      </c>
      <c r="J670" t="s">
        <v>24</v>
      </c>
      <c r="K670">
        <v>2562</v>
      </c>
      <c r="L670">
        <v>40.44</v>
      </c>
      <c r="M670">
        <v>17.059999999999999</v>
      </c>
      <c r="N670" s="4">
        <f t="shared" si="20"/>
        <v>0.1283783976</v>
      </c>
      <c r="O670" s="4">
        <f t="shared" si="21"/>
        <v>2.1901354630559999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50</v>
      </c>
    </row>
    <row r="671" spans="1:22" x14ac:dyDescent="0.25">
      <c r="A671" t="s">
        <v>94</v>
      </c>
      <c r="B671">
        <v>1</v>
      </c>
      <c r="C671" t="s">
        <v>21</v>
      </c>
      <c r="D671" t="s">
        <v>95</v>
      </c>
      <c r="E671" t="s">
        <v>96</v>
      </c>
      <c r="F671">
        <v>150</v>
      </c>
      <c r="G671">
        <v>900</v>
      </c>
      <c r="H671">
        <v>-2</v>
      </c>
      <c r="I671">
        <v>1986</v>
      </c>
      <c r="J671" t="s">
        <v>32</v>
      </c>
      <c r="K671">
        <v>3270</v>
      </c>
      <c r="L671">
        <v>27.7</v>
      </c>
      <c r="M671">
        <v>12.62</v>
      </c>
      <c r="N671" s="4">
        <f t="shared" si="20"/>
        <v>6.0232264999999986E-2</v>
      </c>
      <c r="O671" s="4">
        <f t="shared" si="21"/>
        <v>0.76013118429999982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50</v>
      </c>
    </row>
    <row r="672" spans="1:22" x14ac:dyDescent="0.25">
      <c r="A672" t="s">
        <v>94</v>
      </c>
      <c r="B672">
        <v>1</v>
      </c>
      <c r="C672" t="s">
        <v>21</v>
      </c>
      <c r="D672" t="s">
        <v>95</v>
      </c>
      <c r="E672" t="s">
        <v>96</v>
      </c>
      <c r="F672">
        <v>150</v>
      </c>
      <c r="G672">
        <v>900</v>
      </c>
      <c r="H672">
        <v>-2</v>
      </c>
      <c r="I672">
        <v>1986</v>
      </c>
      <c r="J672" t="s">
        <v>32</v>
      </c>
      <c r="K672">
        <v>3271</v>
      </c>
      <c r="L672">
        <v>18.73</v>
      </c>
      <c r="M672">
        <v>8.5299999999999994</v>
      </c>
      <c r="N672" s="4">
        <f t="shared" si="20"/>
        <v>2.7538812650000001E-2</v>
      </c>
      <c r="O672" s="4">
        <f t="shared" si="21"/>
        <v>0.2349060719045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50</v>
      </c>
    </row>
    <row r="673" spans="1:22" x14ac:dyDescent="0.25">
      <c r="A673" t="s">
        <v>94</v>
      </c>
      <c r="B673">
        <v>1</v>
      </c>
      <c r="C673" t="s">
        <v>21</v>
      </c>
      <c r="D673" t="s">
        <v>95</v>
      </c>
      <c r="E673" t="s">
        <v>96</v>
      </c>
      <c r="F673">
        <v>150</v>
      </c>
      <c r="G673">
        <v>900</v>
      </c>
      <c r="H673">
        <v>-2</v>
      </c>
      <c r="I673">
        <v>1986</v>
      </c>
      <c r="J673" t="s">
        <v>32</v>
      </c>
      <c r="K673">
        <v>2569</v>
      </c>
      <c r="L673">
        <v>36.65</v>
      </c>
      <c r="M673">
        <v>16.690000000000001</v>
      </c>
      <c r="N673" s="4">
        <f t="shared" si="20"/>
        <v>0.10544296625000001</v>
      </c>
      <c r="O673" s="4">
        <f t="shared" si="21"/>
        <v>1.7598431067125002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50</v>
      </c>
    </row>
    <row r="674" spans="1:22" x14ac:dyDescent="0.25">
      <c r="A674" t="s">
        <v>94</v>
      </c>
      <c r="B674">
        <v>1</v>
      </c>
      <c r="C674" t="s">
        <v>21</v>
      </c>
      <c r="D674" t="s">
        <v>95</v>
      </c>
      <c r="E674" t="s">
        <v>96</v>
      </c>
      <c r="F674">
        <v>150</v>
      </c>
      <c r="G674">
        <v>900</v>
      </c>
      <c r="H674">
        <v>-2</v>
      </c>
      <c r="I674">
        <v>1986</v>
      </c>
      <c r="J674" t="s">
        <v>32</v>
      </c>
      <c r="K674">
        <v>1596</v>
      </c>
      <c r="L674">
        <v>25.84</v>
      </c>
      <c r="M674">
        <v>11.76</v>
      </c>
      <c r="N674" s="4">
        <f t="shared" si="20"/>
        <v>5.2414889600000007E-2</v>
      </c>
      <c r="O674" s="4">
        <f t="shared" si="21"/>
        <v>0.6163991016960001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50</v>
      </c>
    </row>
    <row r="675" spans="1:22" x14ac:dyDescent="0.25">
      <c r="A675" t="s">
        <v>94</v>
      </c>
      <c r="B675">
        <v>1</v>
      </c>
      <c r="C675" t="s">
        <v>21</v>
      </c>
      <c r="D675" t="s">
        <v>95</v>
      </c>
      <c r="E675" t="s">
        <v>96</v>
      </c>
      <c r="F675">
        <v>150</v>
      </c>
      <c r="G675">
        <v>900</v>
      </c>
      <c r="H675">
        <v>-2</v>
      </c>
      <c r="I675">
        <v>1986</v>
      </c>
      <c r="J675" t="s">
        <v>32</v>
      </c>
      <c r="K675">
        <v>3068</v>
      </c>
      <c r="L675">
        <v>4.1399999999999997</v>
      </c>
      <c r="M675">
        <v>1.89</v>
      </c>
      <c r="N675" s="4">
        <f t="shared" si="20"/>
        <v>1.3454586000000001E-3</v>
      </c>
      <c r="O675" s="4">
        <f t="shared" si="21"/>
        <v>2.5429167540000001E-3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50</v>
      </c>
    </row>
    <row r="676" spans="1:22" x14ac:dyDescent="0.25">
      <c r="A676" t="s">
        <v>94</v>
      </c>
      <c r="B676">
        <v>1</v>
      </c>
      <c r="C676" t="s">
        <v>21</v>
      </c>
      <c r="D676" t="s">
        <v>95</v>
      </c>
      <c r="E676" t="s">
        <v>96</v>
      </c>
      <c r="F676">
        <v>150</v>
      </c>
      <c r="G676">
        <v>900</v>
      </c>
      <c r="H676">
        <v>-2</v>
      </c>
      <c r="I676">
        <v>1986</v>
      </c>
      <c r="J676" t="s">
        <v>36</v>
      </c>
      <c r="K676">
        <v>3272</v>
      </c>
      <c r="L676">
        <v>26.63</v>
      </c>
      <c r="M676">
        <v>11.4</v>
      </c>
      <c r="N676" s="4">
        <f t="shared" si="20"/>
        <v>5.5668816649999994E-2</v>
      </c>
      <c r="O676" s="4">
        <f t="shared" si="21"/>
        <v>0.63462450980999996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50</v>
      </c>
    </row>
    <row r="677" spans="1:22" x14ac:dyDescent="0.25">
      <c r="A677" t="s">
        <v>94</v>
      </c>
      <c r="B677">
        <v>1</v>
      </c>
      <c r="C677" t="s">
        <v>21</v>
      </c>
      <c r="D677" t="s">
        <v>95</v>
      </c>
      <c r="E677" t="s">
        <v>96</v>
      </c>
      <c r="F677">
        <v>150</v>
      </c>
      <c r="G677">
        <v>900</v>
      </c>
      <c r="H677">
        <v>-2</v>
      </c>
      <c r="I677">
        <v>1986</v>
      </c>
      <c r="J677" t="s">
        <v>36</v>
      </c>
      <c r="K677">
        <v>3273</v>
      </c>
      <c r="L677">
        <v>10.1</v>
      </c>
      <c r="M677">
        <v>4.32</v>
      </c>
      <c r="N677" s="4">
        <f t="shared" si="20"/>
        <v>8.0077849999999982E-3</v>
      </c>
      <c r="O677" s="4">
        <f t="shared" si="21"/>
        <v>3.4593631199999995E-2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50</v>
      </c>
    </row>
    <row r="678" spans="1:22" x14ac:dyDescent="0.25">
      <c r="A678" t="s">
        <v>94</v>
      </c>
      <c r="B678">
        <v>1</v>
      </c>
      <c r="C678" t="s">
        <v>21</v>
      </c>
      <c r="D678" t="s">
        <v>95</v>
      </c>
      <c r="E678" t="s">
        <v>96</v>
      </c>
      <c r="F678">
        <v>150</v>
      </c>
      <c r="G678">
        <v>900</v>
      </c>
      <c r="H678">
        <v>-2</v>
      </c>
      <c r="I678">
        <v>1986</v>
      </c>
      <c r="J678" t="s">
        <v>36</v>
      </c>
      <c r="K678">
        <v>2573</v>
      </c>
      <c r="L678">
        <v>23.62</v>
      </c>
      <c r="M678">
        <v>10.11</v>
      </c>
      <c r="N678" s="4">
        <f t="shared" si="20"/>
        <v>4.3795495400000009E-2</v>
      </c>
      <c r="O678" s="4">
        <f t="shared" si="21"/>
        <v>0.44277245849400004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50</v>
      </c>
    </row>
    <row r="679" spans="1:22" x14ac:dyDescent="0.25">
      <c r="A679" t="s">
        <v>94</v>
      </c>
      <c r="B679">
        <v>1</v>
      </c>
      <c r="C679" t="s">
        <v>21</v>
      </c>
      <c r="D679" t="s">
        <v>95</v>
      </c>
      <c r="E679" t="s">
        <v>96</v>
      </c>
      <c r="F679">
        <v>150</v>
      </c>
      <c r="G679">
        <v>900</v>
      </c>
      <c r="H679">
        <v>-2</v>
      </c>
      <c r="I679">
        <v>1986</v>
      </c>
      <c r="J679" t="s">
        <v>97</v>
      </c>
      <c r="K679">
        <v>1257</v>
      </c>
      <c r="L679">
        <v>21.07</v>
      </c>
      <c r="M679">
        <v>9.6199999999999992</v>
      </c>
      <c r="N679" s="4">
        <f t="shared" si="20"/>
        <v>3.4849674650000002E-2</v>
      </c>
      <c r="O679" s="4">
        <f t="shared" si="21"/>
        <v>0.33525387013300001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50</v>
      </c>
    </row>
    <row r="680" spans="1:22" x14ac:dyDescent="0.25">
      <c r="A680" t="s">
        <v>94</v>
      </c>
      <c r="B680">
        <v>1</v>
      </c>
      <c r="C680" t="s">
        <v>21</v>
      </c>
      <c r="D680" t="s">
        <v>95</v>
      </c>
      <c r="E680" t="s">
        <v>96</v>
      </c>
      <c r="F680">
        <v>150</v>
      </c>
      <c r="G680">
        <v>900</v>
      </c>
      <c r="H680">
        <v>-2</v>
      </c>
      <c r="I680">
        <v>1986</v>
      </c>
      <c r="J680" t="s">
        <v>97</v>
      </c>
      <c r="K680">
        <v>1825</v>
      </c>
      <c r="L680">
        <v>19.809999999999999</v>
      </c>
      <c r="M680">
        <v>9.0500000000000007</v>
      </c>
      <c r="N680" s="4">
        <f t="shared" si="20"/>
        <v>3.080623385E-2</v>
      </c>
      <c r="O680" s="4">
        <f t="shared" si="21"/>
        <v>0.27879641634250002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50</v>
      </c>
    </row>
    <row r="681" spans="1:22" x14ac:dyDescent="0.25">
      <c r="A681" t="s">
        <v>94</v>
      </c>
      <c r="B681">
        <v>1</v>
      </c>
      <c r="C681" t="s">
        <v>21</v>
      </c>
      <c r="D681" t="s">
        <v>95</v>
      </c>
      <c r="E681" t="s">
        <v>96</v>
      </c>
      <c r="F681">
        <v>150</v>
      </c>
      <c r="G681">
        <v>900</v>
      </c>
      <c r="H681">
        <v>-2</v>
      </c>
      <c r="I681">
        <v>1986</v>
      </c>
      <c r="J681" t="s">
        <v>98</v>
      </c>
      <c r="K681">
        <v>2768</v>
      </c>
      <c r="L681">
        <v>32.090000000000003</v>
      </c>
      <c r="M681">
        <v>12.03</v>
      </c>
      <c r="N681" s="4">
        <f t="shared" si="20"/>
        <v>8.0836795850000018E-2</v>
      </c>
      <c r="O681" s="4">
        <f t="shared" si="21"/>
        <v>0.97246665407550015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50</v>
      </c>
    </row>
    <row r="682" spans="1:22" x14ac:dyDescent="0.25">
      <c r="A682" t="s">
        <v>94</v>
      </c>
      <c r="B682">
        <v>1</v>
      </c>
      <c r="C682" t="s">
        <v>21</v>
      </c>
      <c r="D682" t="s">
        <v>95</v>
      </c>
      <c r="E682" t="s">
        <v>96</v>
      </c>
      <c r="F682">
        <v>150</v>
      </c>
      <c r="G682">
        <v>900</v>
      </c>
      <c r="H682">
        <v>-2</v>
      </c>
      <c r="I682">
        <v>1986</v>
      </c>
      <c r="J682" t="s">
        <v>98</v>
      </c>
      <c r="K682">
        <v>1609</v>
      </c>
      <c r="L682">
        <v>33.99</v>
      </c>
      <c r="M682">
        <v>12.75</v>
      </c>
      <c r="N682" s="4">
        <f t="shared" si="20"/>
        <v>9.0692627850000013E-2</v>
      </c>
      <c r="O682" s="4">
        <f t="shared" si="21"/>
        <v>1.1563310050875002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50</v>
      </c>
    </row>
    <row r="683" spans="1:22" x14ac:dyDescent="0.25">
      <c r="A683" t="s">
        <v>94</v>
      </c>
      <c r="B683">
        <v>1</v>
      </c>
      <c r="C683" t="s">
        <v>21</v>
      </c>
      <c r="D683" t="s">
        <v>95</v>
      </c>
      <c r="E683" t="s">
        <v>96</v>
      </c>
      <c r="F683">
        <v>150</v>
      </c>
      <c r="G683">
        <v>900</v>
      </c>
      <c r="H683">
        <v>-2</v>
      </c>
      <c r="I683">
        <v>1986</v>
      </c>
      <c r="J683" t="s">
        <v>98</v>
      </c>
      <c r="K683">
        <v>3275</v>
      </c>
      <c r="L683">
        <v>15.25</v>
      </c>
      <c r="M683">
        <v>5.72</v>
      </c>
      <c r="N683" s="4">
        <f t="shared" si="20"/>
        <v>1.8256156249999999E-2</v>
      </c>
      <c r="O683" s="4">
        <f t="shared" si="21"/>
        <v>0.10442521375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50</v>
      </c>
    </row>
    <row r="684" spans="1:22" x14ac:dyDescent="0.25">
      <c r="A684" t="s">
        <v>94</v>
      </c>
      <c r="B684">
        <v>1</v>
      </c>
      <c r="C684" t="s">
        <v>21</v>
      </c>
      <c r="D684" t="s">
        <v>95</v>
      </c>
      <c r="E684" t="s">
        <v>96</v>
      </c>
      <c r="F684">
        <v>150</v>
      </c>
      <c r="G684">
        <v>900</v>
      </c>
      <c r="H684">
        <v>-2</v>
      </c>
      <c r="I684">
        <v>1986</v>
      </c>
      <c r="J684" t="s">
        <v>98</v>
      </c>
      <c r="K684">
        <v>3274</v>
      </c>
      <c r="L684">
        <v>26.87</v>
      </c>
      <c r="M684">
        <v>10.08</v>
      </c>
      <c r="N684" s="4">
        <f t="shared" si="20"/>
        <v>5.667675665E-2</v>
      </c>
      <c r="O684" s="4">
        <f t="shared" si="21"/>
        <v>0.57130170703200001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50</v>
      </c>
    </row>
    <row r="685" spans="1:22" x14ac:dyDescent="0.25">
      <c r="A685" t="s">
        <v>94</v>
      </c>
      <c r="B685">
        <v>2</v>
      </c>
      <c r="C685" t="s">
        <v>21</v>
      </c>
      <c r="D685" t="s">
        <v>95</v>
      </c>
      <c r="E685" t="s">
        <v>96</v>
      </c>
      <c r="F685">
        <v>150</v>
      </c>
      <c r="G685">
        <v>900</v>
      </c>
      <c r="H685">
        <v>-2</v>
      </c>
      <c r="I685">
        <v>1986</v>
      </c>
      <c r="J685" t="s">
        <v>76</v>
      </c>
      <c r="K685">
        <v>3266</v>
      </c>
      <c r="L685">
        <v>25.73</v>
      </c>
      <c r="M685">
        <v>11.75</v>
      </c>
      <c r="N685" s="4">
        <f t="shared" si="20"/>
        <v>5.1969582650000012E-2</v>
      </c>
      <c r="O685" s="4">
        <f t="shared" si="21"/>
        <v>0.61064259613750016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50</v>
      </c>
    </row>
    <row r="686" spans="1:22" x14ac:dyDescent="0.25">
      <c r="A686" t="s">
        <v>94</v>
      </c>
      <c r="B686">
        <v>2</v>
      </c>
      <c r="C686" t="s">
        <v>21</v>
      </c>
      <c r="D686" t="s">
        <v>95</v>
      </c>
      <c r="E686" t="s">
        <v>96</v>
      </c>
      <c r="F686">
        <v>150</v>
      </c>
      <c r="G686">
        <v>900</v>
      </c>
      <c r="H686">
        <v>-2</v>
      </c>
      <c r="I686">
        <v>1986</v>
      </c>
      <c r="J686" t="s">
        <v>76</v>
      </c>
      <c r="K686">
        <v>3267</v>
      </c>
      <c r="L686">
        <v>19.91</v>
      </c>
      <c r="M686">
        <v>13.63</v>
      </c>
      <c r="N686" s="4">
        <f t="shared" si="20"/>
        <v>3.111803585E-2</v>
      </c>
      <c r="O686" s="4">
        <f t="shared" si="21"/>
        <v>0.42413882863550001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50</v>
      </c>
    </row>
    <row r="687" spans="1:22" x14ac:dyDescent="0.25">
      <c r="A687" t="s">
        <v>94</v>
      </c>
      <c r="B687">
        <v>2</v>
      </c>
      <c r="C687" t="s">
        <v>21</v>
      </c>
      <c r="D687" t="s">
        <v>95</v>
      </c>
      <c r="E687" t="s">
        <v>96</v>
      </c>
      <c r="F687">
        <v>150</v>
      </c>
      <c r="G687">
        <v>900</v>
      </c>
      <c r="H687">
        <v>-2</v>
      </c>
      <c r="I687">
        <v>1986</v>
      </c>
      <c r="J687" t="s">
        <v>76</v>
      </c>
      <c r="K687">
        <v>3268</v>
      </c>
      <c r="L687">
        <v>17.690000000000001</v>
      </c>
      <c r="M687">
        <v>8.08</v>
      </c>
      <c r="N687" s="4">
        <f t="shared" si="20"/>
        <v>2.456548385E-2</v>
      </c>
      <c r="O687" s="4">
        <f t="shared" si="21"/>
        <v>0.198489109508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50</v>
      </c>
    </row>
    <row r="688" spans="1:22" x14ac:dyDescent="0.25">
      <c r="A688" t="s">
        <v>94</v>
      </c>
      <c r="B688">
        <v>2</v>
      </c>
      <c r="C688" t="s">
        <v>21</v>
      </c>
      <c r="D688" t="s">
        <v>95</v>
      </c>
      <c r="E688" t="s">
        <v>96</v>
      </c>
      <c r="F688">
        <v>150</v>
      </c>
      <c r="G688">
        <v>900</v>
      </c>
      <c r="H688">
        <v>-2</v>
      </c>
      <c r="I688">
        <v>1986</v>
      </c>
      <c r="J688" t="s">
        <v>76</v>
      </c>
      <c r="K688">
        <v>3269</v>
      </c>
      <c r="L688">
        <v>25.71</v>
      </c>
      <c r="M688">
        <v>11.74</v>
      </c>
      <c r="N688" s="4">
        <f t="shared" si="20"/>
        <v>5.1888821850000003E-2</v>
      </c>
      <c r="O688" s="4">
        <f t="shared" si="21"/>
        <v>0.60917476851899999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50</v>
      </c>
    </row>
    <row r="689" spans="1:22" x14ac:dyDescent="0.25">
      <c r="A689" t="s">
        <v>94</v>
      </c>
      <c r="B689">
        <v>2</v>
      </c>
      <c r="C689" t="s">
        <v>21</v>
      </c>
      <c r="D689" t="s">
        <v>95</v>
      </c>
      <c r="E689" t="s">
        <v>96</v>
      </c>
      <c r="F689">
        <v>150</v>
      </c>
      <c r="G689">
        <v>900</v>
      </c>
      <c r="H689">
        <v>-2</v>
      </c>
      <c r="I689">
        <v>1986</v>
      </c>
      <c r="J689" t="s">
        <v>76</v>
      </c>
      <c r="K689">
        <v>2770</v>
      </c>
      <c r="L689">
        <v>11.25</v>
      </c>
      <c r="M689">
        <v>5.14</v>
      </c>
      <c r="N689" s="4">
        <f t="shared" si="20"/>
        <v>9.9351562500000004E-3</v>
      </c>
      <c r="O689" s="4">
        <f t="shared" si="21"/>
        <v>5.1066703125000001E-2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50</v>
      </c>
    </row>
    <row r="690" spans="1:22" x14ac:dyDescent="0.25">
      <c r="A690" t="s">
        <v>94</v>
      </c>
      <c r="B690">
        <v>2</v>
      </c>
      <c r="C690" t="s">
        <v>21</v>
      </c>
      <c r="D690" t="s">
        <v>95</v>
      </c>
      <c r="E690" t="s">
        <v>96</v>
      </c>
      <c r="F690">
        <v>150</v>
      </c>
      <c r="G690">
        <v>900</v>
      </c>
      <c r="H690">
        <v>-2</v>
      </c>
      <c r="I690">
        <v>1986</v>
      </c>
      <c r="J690" t="s">
        <v>76</v>
      </c>
      <c r="K690">
        <v>2460</v>
      </c>
      <c r="L690">
        <v>25.85</v>
      </c>
      <c r="M690">
        <v>11.8</v>
      </c>
      <c r="N690" s="4">
        <f t="shared" si="20"/>
        <v>5.2455466249999999E-2</v>
      </c>
      <c r="O690" s="4">
        <f t="shared" si="21"/>
        <v>0.61897450175000002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50</v>
      </c>
    </row>
    <row r="691" spans="1:22" x14ac:dyDescent="0.25">
      <c r="A691" t="s">
        <v>94</v>
      </c>
      <c r="B691">
        <v>2</v>
      </c>
      <c r="C691" t="s">
        <v>21</v>
      </c>
      <c r="D691" t="s">
        <v>95</v>
      </c>
      <c r="E691" t="s">
        <v>96</v>
      </c>
      <c r="F691">
        <v>150</v>
      </c>
      <c r="G691">
        <v>900</v>
      </c>
      <c r="H691">
        <v>-2</v>
      </c>
      <c r="I691">
        <v>1986</v>
      </c>
      <c r="J691" t="s">
        <v>24</v>
      </c>
      <c r="K691">
        <v>2562</v>
      </c>
      <c r="L691">
        <v>33.6</v>
      </c>
      <c r="M691">
        <v>14.17</v>
      </c>
      <c r="N691" s="4">
        <f t="shared" si="20"/>
        <v>8.8623360000000012E-2</v>
      </c>
      <c r="O691" s="4">
        <f t="shared" si="21"/>
        <v>1.2557930112000002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50</v>
      </c>
    </row>
    <row r="692" spans="1:22" x14ac:dyDescent="0.25">
      <c r="A692" t="s">
        <v>94</v>
      </c>
      <c r="B692">
        <v>2</v>
      </c>
      <c r="C692" t="s">
        <v>21</v>
      </c>
      <c r="D692" t="s">
        <v>95</v>
      </c>
      <c r="E692" t="s">
        <v>96</v>
      </c>
      <c r="F692">
        <v>150</v>
      </c>
      <c r="G692">
        <v>900</v>
      </c>
      <c r="H692">
        <v>-2</v>
      </c>
      <c r="I692">
        <v>1986</v>
      </c>
      <c r="J692" t="s">
        <v>32</v>
      </c>
      <c r="K692">
        <v>3270</v>
      </c>
      <c r="L692">
        <v>35.78</v>
      </c>
      <c r="M692">
        <v>16.29</v>
      </c>
      <c r="N692" s="4">
        <f t="shared" si="20"/>
        <v>0.1004963594</v>
      </c>
      <c r="O692" s="4">
        <f t="shared" si="21"/>
        <v>1.637085694626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50</v>
      </c>
    </row>
    <row r="693" spans="1:22" x14ac:dyDescent="0.25">
      <c r="A693" t="s">
        <v>94</v>
      </c>
      <c r="B693">
        <v>2</v>
      </c>
      <c r="C693" t="s">
        <v>21</v>
      </c>
      <c r="D693" t="s">
        <v>95</v>
      </c>
      <c r="E693" t="s">
        <v>96</v>
      </c>
      <c r="F693">
        <v>150</v>
      </c>
      <c r="G693">
        <v>900</v>
      </c>
      <c r="H693">
        <v>-2</v>
      </c>
      <c r="I693">
        <v>1986</v>
      </c>
      <c r="J693" t="s">
        <v>32</v>
      </c>
      <c r="K693">
        <v>3271</v>
      </c>
      <c r="L693">
        <v>23.46</v>
      </c>
      <c r="M693">
        <v>10.68</v>
      </c>
      <c r="N693" s="4">
        <f t="shared" si="20"/>
        <v>4.3204170600000001E-2</v>
      </c>
      <c r="O693" s="4">
        <f t="shared" si="21"/>
        <v>0.46142054200799998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50</v>
      </c>
    </row>
    <row r="694" spans="1:22" x14ac:dyDescent="0.25">
      <c r="A694" t="s">
        <v>94</v>
      </c>
      <c r="B694">
        <v>2</v>
      </c>
      <c r="C694" t="s">
        <v>21</v>
      </c>
      <c r="D694" t="s">
        <v>95</v>
      </c>
      <c r="E694" t="s">
        <v>96</v>
      </c>
      <c r="F694">
        <v>150</v>
      </c>
      <c r="G694">
        <v>900</v>
      </c>
      <c r="H694">
        <v>-2</v>
      </c>
      <c r="I694">
        <v>1986</v>
      </c>
      <c r="J694" t="s">
        <v>32</v>
      </c>
      <c r="K694">
        <v>2569</v>
      </c>
      <c r="L694">
        <v>27.79</v>
      </c>
      <c r="M694">
        <v>12.65</v>
      </c>
      <c r="N694" s="4">
        <f t="shared" si="20"/>
        <v>6.0624301849999992E-2</v>
      </c>
      <c r="O694" s="4">
        <f t="shared" si="21"/>
        <v>0.76689741840249992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50</v>
      </c>
    </row>
    <row r="695" spans="1:22" x14ac:dyDescent="0.25">
      <c r="A695" t="s">
        <v>94</v>
      </c>
      <c r="B695">
        <v>2</v>
      </c>
      <c r="C695" t="s">
        <v>21</v>
      </c>
      <c r="D695" t="s">
        <v>95</v>
      </c>
      <c r="E695" t="s">
        <v>96</v>
      </c>
      <c r="F695">
        <v>150</v>
      </c>
      <c r="G695">
        <v>900</v>
      </c>
      <c r="H695">
        <v>-2</v>
      </c>
      <c r="I695">
        <v>1986</v>
      </c>
      <c r="J695" t="s">
        <v>32</v>
      </c>
      <c r="K695">
        <v>1596</v>
      </c>
      <c r="L695">
        <v>32.880000000000003</v>
      </c>
      <c r="M695">
        <v>14.98</v>
      </c>
      <c r="N695" s="4">
        <f t="shared" si="20"/>
        <v>8.4865910400000022E-2</v>
      </c>
      <c r="O695" s="4">
        <f t="shared" si="21"/>
        <v>1.2712913377920003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50</v>
      </c>
    </row>
    <row r="696" spans="1:22" x14ac:dyDescent="0.25">
      <c r="A696" t="s">
        <v>94</v>
      </c>
      <c r="B696">
        <v>2</v>
      </c>
      <c r="C696" t="s">
        <v>21</v>
      </c>
      <c r="D696" t="s">
        <v>95</v>
      </c>
      <c r="E696" t="s">
        <v>96</v>
      </c>
      <c r="F696">
        <v>150</v>
      </c>
      <c r="G696">
        <v>900</v>
      </c>
      <c r="H696">
        <v>-2</v>
      </c>
      <c r="I696">
        <v>1986</v>
      </c>
      <c r="J696" t="s">
        <v>32</v>
      </c>
      <c r="K696">
        <v>3068</v>
      </c>
      <c r="L696">
        <v>32.15</v>
      </c>
      <c r="M696">
        <v>14.64</v>
      </c>
      <c r="N696" s="4">
        <f t="shared" si="20"/>
        <v>8.1139366250000011E-2</v>
      </c>
      <c r="O696" s="4">
        <f t="shared" si="21"/>
        <v>1.1878803219000003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50</v>
      </c>
    </row>
    <row r="697" spans="1:22" x14ac:dyDescent="0.25">
      <c r="A697" t="s">
        <v>94</v>
      </c>
      <c r="B697">
        <v>2</v>
      </c>
      <c r="C697" t="s">
        <v>21</v>
      </c>
      <c r="D697" t="s">
        <v>95</v>
      </c>
      <c r="E697" t="s">
        <v>96</v>
      </c>
      <c r="F697">
        <v>150</v>
      </c>
      <c r="G697">
        <v>900</v>
      </c>
      <c r="H697">
        <v>-2</v>
      </c>
      <c r="I697">
        <v>1986</v>
      </c>
      <c r="J697" t="s">
        <v>36</v>
      </c>
      <c r="K697">
        <v>3272</v>
      </c>
      <c r="L697">
        <v>35.369999999999997</v>
      </c>
      <c r="M697">
        <v>15.14</v>
      </c>
      <c r="N697" s="4">
        <f t="shared" si="20"/>
        <v>9.8206396649999972E-2</v>
      </c>
      <c r="O697" s="4">
        <f t="shared" si="21"/>
        <v>1.4868448452809997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50</v>
      </c>
    </row>
    <row r="698" spans="1:22" x14ac:dyDescent="0.25">
      <c r="A698" t="s">
        <v>94</v>
      </c>
      <c r="B698">
        <v>2</v>
      </c>
      <c r="C698" t="s">
        <v>21</v>
      </c>
      <c r="D698" t="s">
        <v>95</v>
      </c>
      <c r="E698" t="s">
        <v>96</v>
      </c>
      <c r="F698">
        <v>150</v>
      </c>
      <c r="G698">
        <v>900</v>
      </c>
      <c r="H698">
        <v>-2</v>
      </c>
      <c r="I698">
        <v>1986</v>
      </c>
      <c r="J698" t="s">
        <v>36</v>
      </c>
      <c r="K698">
        <v>3273</v>
      </c>
      <c r="L698">
        <v>24.72</v>
      </c>
      <c r="M698">
        <v>10.58</v>
      </c>
      <c r="N698" s="4">
        <f t="shared" si="20"/>
        <v>4.7969654399999992E-2</v>
      </c>
      <c r="O698" s="4">
        <f t="shared" si="21"/>
        <v>0.50751894355199989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50</v>
      </c>
    </row>
    <row r="699" spans="1:22" x14ac:dyDescent="0.25">
      <c r="A699" t="s">
        <v>94</v>
      </c>
      <c r="B699">
        <v>2</v>
      </c>
      <c r="C699" t="s">
        <v>21</v>
      </c>
      <c r="D699" t="s">
        <v>95</v>
      </c>
      <c r="E699" t="s">
        <v>96</v>
      </c>
      <c r="F699">
        <v>150</v>
      </c>
      <c r="G699">
        <v>900</v>
      </c>
      <c r="H699">
        <v>-2</v>
      </c>
      <c r="I699">
        <v>1986</v>
      </c>
      <c r="J699" t="s">
        <v>36</v>
      </c>
      <c r="K699">
        <v>2573</v>
      </c>
      <c r="L699">
        <v>27.66</v>
      </c>
      <c r="M699">
        <v>11.83</v>
      </c>
      <c r="N699" s="4">
        <f t="shared" si="20"/>
        <v>6.0058434600000002E-2</v>
      </c>
      <c r="O699" s="4">
        <f t="shared" si="21"/>
        <v>0.71049128131799999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50</v>
      </c>
    </row>
    <row r="700" spans="1:22" x14ac:dyDescent="0.25">
      <c r="A700" t="s">
        <v>94</v>
      </c>
      <c r="B700">
        <v>2</v>
      </c>
      <c r="C700" t="s">
        <v>21</v>
      </c>
      <c r="D700" t="s">
        <v>95</v>
      </c>
      <c r="E700" t="s">
        <v>96</v>
      </c>
      <c r="F700">
        <v>150</v>
      </c>
      <c r="G700">
        <v>900</v>
      </c>
      <c r="H700">
        <v>-2</v>
      </c>
      <c r="I700">
        <v>1986</v>
      </c>
      <c r="J700" t="s">
        <v>97</v>
      </c>
      <c r="K700">
        <v>1257</v>
      </c>
      <c r="L700">
        <v>26.18</v>
      </c>
      <c r="M700">
        <v>11.96</v>
      </c>
      <c r="N700" s="4">
        <f t="shared" si="20"/>
        <v>5.3803303399999995E-2</v>
      </c>
      <c r="O700" s="4">
        <f t="shared" si="21"/>
        <v>0.64348750866399995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50</v>
      </c>
    </row>
    <row r="701" spans="1:22" x14ac:dyDescent="0.25">
      <c r="A701" t="s">
        <v>94</v>
      </c>
      <c r="B701">
        <v>2</v>
      </c>
      <c r="C701" t="s">
        <v>21</v>
      </c>
      <c r="D701" t="s">
        <v>95</v>
      </c>
      <c r="E701" t="s">
        <v>96</v>
      </c>
      <c r="F701">
        <v>150</v>
      </c>
      <c r="G701">
        <v>900</v>
      </c>
      <c r="H701">
        <v>-2</v>
      </c>
      <c r="I701">
        <v>1986</v>
      </c>
      <c r="J701" t="s">
        <v>97</v>
      </c>
      <c r="K701">
        <v>1825</v>
      </c>
      <c r="L701">
        <v>17.5</v>
      </c>
      <c r="M701">
        <v>7.99</v>
      </c>
      <c r="N701" s="4">
        <f t="shared" si="20"/>
        <v>2.4040624999999999E-2</v>
      </c>
      <c r="O701" s="4">
        <f t="shared" si="21"/>
        <v>0.19208459375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50</v>
      </c>
    </row>
    <row r="702" spans="1:22" x14ac:dyDescent="0.25">
      <c r="A702" t="s">
        <v>94</v>
      </c>
      <c r="B702">
        <v>2</v>
      </c>
      <c r="C702" t="s">
        <v>21</v>
      </c>
      <c r="D702" t="s">
        <v>95</v>
      </c>
      <c r="E702" t="s">
        <v>96</v>
      </c>
      <c r="F702">
        <v>150</v>
      </c>
      <c r="G702">
        <v>900</v>
      </c>
      <c r="H702">
        <v>-2</v>
      </c>
      <c r="I702">
        <v>1986</v>
      </c>
      <c r="J702" t="s">
        <v>98</v>
      </c>
      <c r="K702">
        <v>2768</v>
      </c>
      <c r="L702">
        <v>29.91</v>
      </c>
      <c r="M702">
        <v>11.22</v>
      </c>
      <c r="N702" s="4">
        <f t="shared" si="20"/>
        <v>7.0226735849999999E-2</v>
      </c>
      <c r="O702" s="4">
        <f t="shared" si="21"/>
        <v>0.78794397623700008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50</v>
      </c>
    </row>
    <row r="703" spans="1:22" x14ac:dyDescent="0.25">
      <c r="A703" t="s">
        <v>94</v>
      </c>
      <c r="B703">
        <v>2</v>
      </c>
      <c r="C703" t="s">
        <v>21</v>
      </c>
      <c r="D703" t="s">
        <v>95</v>
      </c>
      <c r="E703" t="s">
        <v>96</v>
      </c>
      <c r="F703">
        <v>150</v>
      </c>
      <c r="G703">
        <v>900</v>
      </c>
      <c r="H703">
        <v>-2</v>
      </c>
      <c r="I703">
        <v>1986</v>
      </c>
      <c r="J703" t="s">
        <v>98</v>
      </c>
      <c r="K703">
        <v>1609</v>
      </c>
      <c r="L703">
        <v>21.89</v>
      </c>
      <c r="M703">
        <v>8.2100000000000009</v>
      </c>
      <c r="N703" s="4">
        <f t="shared" si="20"/>
        <v>3.7615009850000006E-2</v>
      </c>
      <c r="O703" s="4">
        <f t="shared" si="21"/>
        <v>0.30881923086850011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50</v>
      </c>
    </row>
    <row r="704" spans="1:22" x14ac:dyDescent="0.25">
      <c r="A704" t="s">
        <v>94</v>
      </c>
      <c r="B704">
        <v>2</v>
      </c>
      <c r="C704" t="s">
        <v>21</v>
      </c>
      <c r="D704" t="s">
        <v>95</v>
      </c>
      <c r="E704" t="s">
        <v>96</v>
      </c>
      <c r="F704">
        <v>150</v>
      </c>
      <c r="G704">
        <v>900</v>
      </c>
      <c r="H704">
        <v>-2</v>
      </c>
      <c r="I704">
        <v>1986</v>
      </c>
      <c r="J704" t="s">
        <v>98</v>
      </c>
      <c r="K704">
        <v>3275</v>
      </c>
      <c r="L704">
        <v>28.19</v>
      </c>
      <c r="M704">
        <v>10.57</v>
      </c>
      <c r="N704" s="4">
        <f t="shared" si="20"/>
        <v>6.2382073850000018E-2</v>
      </c>
      <c r="O704" s="4">
        <f t="shared" si="21"/>
        <v>0.65937852059450019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50</v>
      </c>
    </row>
    <row r="705" spans="1:22" x14ac:dyDescent="0.25">
      <c r="A705" t="s">
        <v>94</v>
      </c>
      <c r="B705">
        <v>2</v>
      </c>
      <c r="C705" t="s">
        <v>21</v>
      </c>
      <c r="D705" t="s">
        <v>95</v>
      </c>
      <c r="E705" t="s">
        <v>96</v>
      </c>
      <c r="F705">
        <v>150</v>
      </c>
      <c r="G705">
        <v>900</v>
      </c>
      <c r="H705">
        <v>-2</v>
      </c>
      <c r="I705">
        <v>1986</v>
      </c>
      <c r="J705" t="s">
        <v>98</v>
      </c>
      <c r="K705">
        <v>3274</v>
      </c>
      <c r="L705">
        <v>19.920000000000002</v>
      </c>
      <c r="M705">
        <v>7.47</v>
      </c>
      <c r="N705" s="4">
        <f t="shared" si="20"/>
        <v>3.1149302400000002E-2</v>
      </c>
      <c r="O705" s="4">
        <f t="shared" si="21"/>
        <v>0.232685288928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50</v>
      </c>
    </row>
    <row r="706" spans="1:22" x14ac:dyDescent="0.25">
      <c r="A706" t="s">
        <v>94</v>
      </c>
      <c r="B706">
        <v>3</v>
      </c>
      <c r="C706" t="s">
        <v>21</v>
      </c>
      <c r="D706" t="s">
        <v>95</v>
      </c>
      <c r="E706" t="s">
        <v>96</v>
      </c>
      <c r="F706">
        <v>150</v>
      </c>
      <c r="G706">
        <v>900</v>
      </c>
      <c r="H706">
        <v>-2</v>
      </c>
      <c r="I706">
        <v>1986</v>
      </c>
      <c r="J706" t="s">
        <v>76</v>
      </c>
      <c r="K706">
        <v>3266</v>
      </c>
      <c r="L706">
        <v>20.16</v>
      </c>
      <c r="M706">
        <v>9.2100000000000009</v>
      </c>
      <c r="N706" s="4">
        <f t="shared" si="20"/>
        <v>3.1904409600000003E-2</v>
      </c>
      <c r="O706" s="4">
        <f t="shared" si="21"/>
        <v>0.29383961241600004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50</v>
      </c>
    </row>
    <row r="707" spans="1:22" x14ac:dyDescent="0.25">
      <c r="A707" t="s">
        <v>94</v>
      </c>
      <c r="B707">
        <v>3</v>
      </c>
      <c r="C707" t="s">
        <v>21</v>
      </c>
      <c r="D707" t="s">
        <v>95</v>
      </c>
      <c r="E707" t="s">
        <v>96</v>
      </c>
      <c r="F707">
        <v>150</v>
      </c>
      <c r="G707">
        <v>900</v>
      </c>
      <c r="H707">
        <v>-2</v>
      </c>
      <c r="I707">
        <v>1986</v>
      </c>
      <c r="J707" t="s">
        <v>76</v>
      </c>
      <c r="K707">
        <v>3267</v>
      </c>
      <c r="L707">
        <v>16.63</v>
      </c>
      <c r="M707">
        <v>7.59</v>
      </c>
      <c r="N707" s="4">
        <f t="shared" ref="N707:N737" si="22">3.14/4*((L707/100)^2)</f>
        <v>2.1709716650000002E-2</v>
      </c>
      <c r="O707" s="4">
        <f t="shared" ref="O707:O737" si="23">3.14/4*((L707/100)^2)*M707</f>
        <v>0.16477674937350001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50</v>
      </c>
    </row>
    <row r="708" spans="1:22" x14ac:dyDescent="0.25">
      <c r="A708" t="s">
        <v>94</v>
      </c>
      <c r="B708">
        <v>3</v>
      </c>
      <c r="C708" t="s">
        <v>21</v>
      </c>
      <c r="D708" t="s">
        <v>95</v>
      </c>
      <c r="E708" t="s">
        <v>96</v>
      </c>
      <c r="F708">
        <v>150</v>
      </c>
      <c r="G708">
        <v>900</v>
      </c>
      <c r="H708">
        <v>-2</v>
      </c>
      <c r="I708">
        <v>1986</v>
      </c>
      <c r="J708" t="s">
        <v>76</v>
      </c>
      <c r="K708">
        <v>3268</v>
      </c>
      <c r="L708">
        <v>14.31</v>
      </c>
      <c r="M708">
        <v>6.53</v>
      </c>
      <c r="N708" s="4">
        <f t="shared" si="22"/>
        <v>1.6074923850000002E-2</v>
      </c>
      <c r="O708" s="4">
        <f t="shared" si="23"/>
        <v>0.10496925274050002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50</v>
      </c>
    </row>
    <row r="709" spans="1:22" x14ac:dyDescent="0.25">
      <c r="A709" t="s">
        <v>94</v>
      </c>
      <c r="B709">
        <v>3</v>
      </c>
      <c r="C709" t="s">
        <v>21</v>
      </c>
      <c r="D709" t="s">
        <v>95</v>
      </c>
      <c r="E709" t="s">
        <v>96</v>
      </c>
      <c r="F709">
        <v>150</v>
      </c>
      <c r="G709">
        <v>900</v>
      </c>
      <c r="H709">
        <v>-2</v>
      </c>
      <c r="I709">
        <v>1986</v>
      </c>
      <c r="J709" t="s">
        <v>76</v>
      </c>
      <c r="K709">
        <v>3269</v>
      </c>
      <c r="L709">
        <v>25.34</v>
      </c>
      <c r="M709">
        <v>11.57</v>
      </c>
      <c r="N709" s="4">
        <f t="shared" si="22"/>
        <v>5.0406074600000003E-2</v>
      </c>
      <c r="O709" s="4">
        <f t="shared" si="23"/>
        <v>0.58319828312200006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50</v>
      </c>
    </row>
    <row r="710" spans="1:22" x14ac:dyDescent="0.25">
      <c r="A710" t="s">
        <v>94</v>
      </c>
      <c r="B710">
        <v>3</v>
      </c>
      <c r="C710" t="s">
        <v>21</v>
      </c>
      <c r="D710" t="s">
        <v>95</v>
      </c>
      <c r="E710" t="s">
        <v>96</v>
      </c>
      <c r="F710">
        <v>150</v>
      </c>
      <c r="G710">
        <v>900</v>
      </c>
      <c r="H710">
        <v>-2</v>
      </c>
      <c r="I710">
        <v>1986</v>
      </c>
      <c r="J710" t="s">
        <v>76</v>
      </c>
      <c r="K710">
        <v>2770</v>
      </c>
      <c r="L710">
        <v>15.23</v>
      </c>
      <c r="M710">
        <v>6.96</v>
      </c>
      <c r="N710" s="4">
        <f t="shared" si="22"/>
        <v>1.8208302649999997E-2</v>
      </c>
      <c r="O710" s="4">
        <f t="shared" si="23"/>
        <v>0.12672978644399999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50</v>
      </c>
    </row>
    <row r="711" spans="1:22" x14ac:dyDescent="0.25">
      <c r="A711" t="s">
        <v>94</v>
      </c>
      <c r="B711">
        <v>3</v>
      </c>
      <c r="C711" t="s">
        <v>21</v>
      </c>
      <c r="D711" t="s">
        <v>95</v>
      </c>
      <c r="E711" t="s">
        <v>96</v>
      </c>
      <c r="F711">
        <v>150</v>
      </c>
      <c r="G711">
        <v>900</v>
      </c>
      <c r="H711">
        <v>-2</v>
      </c>
      <c r="I711">
        <v>1986</v>
      </c>
      <c r="J711" t="s">
        <v>76</v>
      </c>
      <c r="K711">
        <v>2460</v>
      </c>
      <c r="L711">
        <v>24.16</v>
      </c>
      <c r="M711">
        <v>11.03</v>
      </c>
      <c r="N711" s="4">
        <f t="shared" si="22"/>
        <v>4.5820889600000005E-2</v>
      </c>
      <c r="O711" s="4">
        <f t="shared" si="23"/>
        <v>0.50540441228800004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50</v>
      </c>
    </row>
    <row r="712" spans="1:22" x14ac:dyDescent="0.25">
      <c r="A712" t="s">
        <v>94</v>
      </c>
      <c r="B712">
        <v>3</v>
      </c>
      <c r="C712" t="s">
        <v>21</v>
      </c>
      <c r="D712" t="s">
        <v>95</v>
      </c>
      <c r="E712" t="s">
        <v>96</v>
      </c>
      <c r="F712">
        <v>150</v>
      </c>
      <c r="G712">
        <v>900</v>
      </c>
      <c r="H712">
        <v>-2</v>
      </c>
      <c r="I712">
        <v>1986</v>
      </c>
      <c r="J712" t="s">
        <v>24</v>
      </c>
      <c r="K712">
        <v>2562</v>
      </c>
      <c r="L712">
        <v>29.11</v>
      </c>
      <c r="M712">
        <v>12.28</v>
      </c>
      <c r="N712" s="4">
        <f t="shared" si="22"/>
        <v>6.6520279849999989E-2</v>
      </c>
      <c r="O712" s="4">
        <f t="shared" si="23"/>
        <v>0.81686903655799981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50</v>
      </c>
    </row>
    <row r="713" spans="1:22" x14ac:dyDescent="0.25">
      <c r="A713" t="s">
        <v>94</v>
      </c>
      <c r="B713">
        <v>3</v>
      </c>
      <c r="C713" t="s">
        <v>21</v>
      </c>
      <c r="D713" t="s">
        <v>95</v>
      </c>
      <c r="E713" t="s">
        <v>96</v>
      </c>
      <c r="F713">
        <v>150</v>
      </c>
      <c r="G713">
        <v>900</v>
      </c>
      <c r="H713">
        <v>-2</v>
      </c>
      <c r="I713">
        <v>1986</v>
      </c>
      <c r="J713" t="s">
        <v>32</v>
      </c>
      <c r="K713">
        <v>3270</v>
      </c>
      <c r="L713">
        <v>29.29</v>
      </c>
      <c r="M713">
        <v>13.33</v>
      </c>
      <c r="N713" s="4">
        <f t="shared" si="22"/>
        <v>6.7345471850000005E-2</v>
      </c>
      <c r="O713" s="4">
        <f t="shared" si="23"/>
        <v>0.8977151397605001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50</v>
      </c>
    </row>
    <row r="714" spans="1:22" x14ac:dyDescent="0.25">
      <c r="A714" t="s">
        <v>94</v>
      </c>
      <c r="B714">
        <v>3</v>
      </c>
      <c r="C714" t="s">
        <v>21</v>
      </c>
      <c r="D714" t="s">
        <v>95</v>
      </c>
      <c r="E714" t="s">
        <v>96</v>
      </c>
      <c r="F714">
        <v>150</v>
      </c>
      <c r="G714">
        <v>900</v>
      </c>
      <c r="H714">
        <v>-2</v>
      </c>
      <c r="I714">
        <v>1986</v>
      </c>
      <c r="J714" t="s">
        <v>32</v>
      </c>
      <c r="K714">
        <v>3271</v>
      </c>
      <c r="L714">
        <v>12.2</v>
      </c>
      <c r="M714">
        <v>5.56</v>
      </c>
      <c r="N714" s="4">
        <f t="shared" si="22"/>
        <v>1.168394E-2</v>
      </c>
      <c r="O714" s="4">
        <f t="shared" si="23"/>
        <v>6.49627064E-2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50</v>
      </c>
    </row>
    <row r="715" spans="1:22" x14ac:dyDescent="0.25">
      <c r="A715" t="s">
        <v>94</v>
      </c>
      <c r="B715">
        <v>3</v>
      </c>
      <c r="C715" t="s">
        <v>21</v>
      </c>
      <c r="D715" t="s">
        <v>95</v>
      </c>
      <c r="E715" t="s">
        <v>96</v>
      </c>
      <c r="F715">
        <v>150</v>
      </c>
      <c r="G715">
        <v>900</v>
      </c>
      <c r="H715">
        <v>-2</v>
      </c>
      <c r="I715">
        <v>1986</v>
      </c>
      <c r="J715" t="s">
        <v>32</v>
      </c>
      <c r="K715">
        <v>2569</v>
      </c>
      <c r="L715">
        <v>22.89</v>
      </c>
      <c r="M715">
        <v>10.42</v>
      </c>
      <c r="N715" s="4">
        <f t="shared" si="22"/>
        <v>4.113023985E-2</v>
      </c>
      <c r="O715" s="4">
        <f t="shared" si="23"/>
        <v>0.42857709923699999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50</v>
      </c>
    </row>
    <row r="716" spans="1:22" x14ac:dyDescent="0.25">
      <c r="A716" t="s">
        <v>94</v>
      </c>
      <c r="B716">
        <v>3</v>
      </c>
      <c r="C716" t="s">
        <v>21</v>
      </c>
      <c r="D716" t="s">
        <v>95</v>
      </c>
      <c r="E716" t="s">
        <v>96</v>
      </c>
      <c r="F716">
        <v>150</v>
      </c>
      <c r="G716">
        <v>900</v>
      </c>
      <c r="H716">
        <v>-2</v>
      </c>
      <c r="I716">
        <v>1986</v>
      </c>
      <c r="J716" t="s">
        <v>32</v>
      </c>
      <c r="K716">
        <v>1596</v>
      </c>
      <c r="L716">
        <v>30.15</v>
      </c>
      <c r="M716">
        <v>13.73</v>
      </c>
      <c r="N716" s="4">
        <f t="shared" si="22"/>
        <v>7.1358266249999996E-2</v>
      </c>
      <c r="O716" s="4">
        <f t="shared" si="23"/>
        <v>0.97974899561249995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50</v>
      </c>
    </row>
    <row r="717" spans="1:22" x14ac:dyDescent="0.25">
      <c r="A717" t="s">
        <v>94</v>
      </c>
      <c r="B717">
        <v>3</v>
      </c>
      <c r="C717" t="s">
        <v>21</v>
      </c>
      <c r="D717" t="s">
        <v>95</v>
      </c>
      <c r="E717" t="s">
        <v>96</v>
      </c>
      <c r="F717">
        <v>150</v>
      </c>
      <c r="G717">
        <v>900</v>
      </c>
      <c r="H717">
        <v>-2</v>
      </c>
      <c r="I717">
        <v>1986</v>
      </c>
      <c r="J717" t="s">
        <v>32</v>
      </c>
      <c r="K717">
        <v>3068</v>
      </c>
      <c r="L717">
        <v>29.76</v>
      </c>
      <c r="M717">
        <v>13.55</v>
      </c>
      <c r="N717" s="4">
        <f t="shared" si="22"/>
        <v>6.9524121600000016E-2</v>
      </c>
      <c r="O717" s="4">
        <f t="shared" si="23"/>
        <v>0.94205184768000028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50</v>
      </c>
    </row>
    <row r="718" spans="1:22" x14ac:dyDescent="0.25">
      <c r="A718" t="s">
        <v>94</v>
      </c>
      <c r="B718">
        <v>3</v>
      </c>
      <c r="C718" t="s">
        <v>21</v>
      </c>
      <c r="D718" t="s">
        <v>95</v>
      </c>
      <c r="E718" t="s">
        <v>96</v>
      </c>
      <c r="F718">
        <v>150</v>
      </c>
      <c r="G718">
        <v>900</v>
      </c>
      <c r="H718">
        <v>-2</v>
      </c>
      <c r="I718">
        <v>1986</v>
      </c>
      <c r="J718" t="s">
        <v>36</v>
      </c>
      <c r="K718">
        <v>3272</v>
      </c>
      <c r="L718">
        <v>33.68</v>
      </c>
      <c r="M718">
        <v>14.41</v>
      </c>
      <c r="N718" s="4">
        <f t="shared" si="22"/>
        <v>8.90458784E-2</v>
      </c>
      <c r="O718" s="4">
        <f t="shared" si="23"/>
        <v>1.2831511077440001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50</v>
      </c>
    </row>
    <row r="719" spans="1:22" x14ac:dyDescent="0.25">
      <c r="A719" t="s">
        <v>94</v>
      </c>
      <c r="B719">
        <v>3</v>
      </c>
      <c r="C719" t="s">
        <v>21</v>
      </c>
      <c r="D719" t="s">
        <v>95</v>
      </c>
      <c r="E719" t="s">
        <v>96</v>
      </c>
      <c r="F719">
        <v>150</v>
      </c>
      <c r="G719">
        <v>900</v>
      </c>
      <c r="H719">
        <v>-2</v>
      </c>
      <c r="I719">
        <v>1986</v>
      </c>
      <c r="J719" t="s">
        <v>36</v>
      </c>
      <c r="K719">
        <v>3273</v>
      </c>
      <c r="L719">
        <v>25.85</v>
      </c>
      <c r="M719">
        <v>11.06</v>
      </c>
      <c r="N719" s="4">
        <f t="shared" si="22"/>
        <v>5.2455466249999999E-2</v>
      </c>
      <c r="O719" s="4">
        <f t="shared" si="23"/>
        <v>0.58015745672499996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50</v>
      </c>
    </row>
    <row r="720" spans="1:22" x14ac:dyDescent="0.25">
      <c r="A720" t="s">
        <v>94</v>
      </c>
      <c r="B720">
        <v>3</v>
      </c>
      <c r="C720" t="s">
        <v>21</v>
      </c>
      <c r="D720" t="s">
        <v>95</v>
      </c>
      <c r="E720" t="s">
        <v>96</v>
      </c>
      <c r="F720">
        <v>150</v>
      </c>
      <c r="G720">
        <v>900</v>
      </c>
      <c r="H720">
        <v>-2</v>
      </c>
      <c r="I720">
        <v>1986</v>
      </c>
      <c r="J720" t="s">
        <v>36</v>
      </c>
      <c r="K720">
        <v>2573</v>
      </c>
      <c r="L720">
        <v>20.72</v>
      </c>
      <c r="M720">
        <v>8.8699999999999992</v>
      </c>
      <c r="N720" s="4">
        <f t="shared" si="22"/>
        <v>3.3701494400000004E-2</v>
      </c>
      <c r="O720" s="4">
        <f t="shared" si="23"/>
        <v>0.298932255328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50</v>
      </c>
    </row>
    <row r="721" spans="1:22" x14ac:dyDescent="0.25">
      <c r="A721" t="s">
        <v>94</v>
      </c>
      <c r="B721">
        <v>3</v>
      </c>
      <c r="C721" t="s">
        <v>21</v>
      </c>
      <c r="D721" t="s">
        <v>95</v>
      </c>
      <c r="E721" t="s">
        <v>96</v>
      </c>
      <c r="F721">
        <v>150</v>
      </c>
      <c r="G721">
        <v>900</v>
      </c>
      <c r="H721">
        <v>-2</v>
      </c>
      <c r="I721">
        <v>1986</v>
      </c>
      <c r="J721" t="s">
        <v>97</v>
      </c>
      <c r="K721">
        <v>1257</v>
      </c>
      <c r="L721">
        <v>21.27</v>
      </c>
      <c r="M721">
        <v>9.7200000000000006</v>
      </c>
      <c r="N721" s="4">
        <f t="shared" si="22"/>
        <v>3.5514412650000007E-2</v>
      </c>
      <c r="O721" s="4">
        <f t="shared" si="23"/>
        <v>0.34520009095800008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50</v>
      </c>
    </row>
    <row r="722" spans="1:22" x14ac:dyDescent="0.25">
      <c r="A722" t="s">
        <v>94</v>
      </c>
      <c r="B722">
        <v>3</v>
      </c>
      <c r="C722" t="s">
        <v>21</v>
      </c>
      <c r="D722" t="s">
        <v>95</v>
      </c>
      <c r="E722" t="s">
        <v>96</v>
      </c>
      <c r="F722">
        <v>150</v>
      </c>
      <c r="G722">
        <v>900</v>
      </c>
      <c r="H722">
        <v>-2</v>
      </c>
      <c r="I722">
        <v>1986</v>
      </c>
      <c r="J722" t="s">
        <v>97</v>
      </c>
      <c r="K722">
        <v>1825</v>
      </c>
      <c r="L722">
        <v>19.63</v>
      </c>
      <c r="M722">
        <v>8.9700000000000006</v>
      </c>
      <c r="N722" s="4">
        <f t="shared" si="22"/>
        <v>3.0248946650000004E-2</v>
      </c>
      <c r="O722" s="4">
        <f t="shared" si="23"/>
        <v>0.27133305145050007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50</v>
      </c>
    </row>
    <row r="723" spans="1:22" x14ac:dyDescent="0.25">
      <c r="A723" t="s">
        <v>94</v>
      </c>
      <c r="B723">
        <v>3</v>
      </c>
      <c r="C723" t="s">
        <v>21</v>
      </c>
      <c r="D723" t="s">
        <v>95</v>
      </c>
      <c r="E723" t="s">
        <v>96</v>
      </c>
      <c r="F723">
        <v>150</v>
      </c>
      <c r="G723">
        <v>900</v>
      </c>
      <c r="H723">
        <v>-2</v>
      </c>
      <c r="I723">
        <v>1986</v>
      </c>
      <c r="J723" t="s">
        <v>98</v>
      </c>
      <c r="K723">
        <v>2768</v>
      </c>
      <c r="L723">
        <v>26.37</v>
      </c>
      <c r="M723">
        <v>9.89</v>
      </c>
      <c r="N723" s="4">
        <f t="shared" si="22"/>
        <v>5.4587086649999998E-2</v>
      </c>
      <c r="O723" s="4">
        <f t="shared" si="23"/>
        <v>0.53986628696850003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50</v>
      </c>
    </row>
    <row r="724" spans="1:22" x14ac:dyDescent="0.25">
      <c r="A724" t="s">
        <v>94</v>
      </c>
      <c r="B724">
        <v>3</v>
      </c>
      <c r="C724" t="s">
        <v>21</v>
      </c>
      <c r="D724" t="s">
        <v>95</v>
      </c>
      <c r="E724" t="s">
        <v>96</v>
      </c>
      <c r="F724">
        <v>150</v>
      </c>
      <c r="G724">
        <v>900</v>
      </c>
      <c r="H724">
        <v>-2</v>
      </c>
      <c r="I724">
        <v>1986</v>
      </c>
      <c r="J724" t="s">
        <v>98</v>
      </c>
      <c r="K724">
        <v>1609</v>
      </c>
      <c r="L724">
        <v>26.19</v>
      </c>
      <c r="M724">
        <v>9.82</v>
      </c>
      <c r="N724" s="4">
        <f t="shared" si="22"/>
        <v>5.3844413850000009E-2</v>
      </c>
      <c r="O724" s="4">
        <f t="shared" si="23"/>
        <v>0.5287521440070001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50</v>
      </c>
    </row>
    <row r="725" spans="1:22" x14ac:dyDescent="0.25">
      <c r="A725" t="s">
        <v>94</v>
      </c>
      <c r="B725">
        <v>3</v>
      </c>
      <c r="C725" t="s">
        <v>21</v>
      </c>
      <c r="D725" t="s">
        <v>95</v>
      </c>
      <c r="E725" t="s">
        <v>96</v>
      </c>
      <c r="F725">
        <v>150</v>
      </c>
      <c r="G725">
        <v>900</v>
      </c>
      <c r="H725">
        <v>-2</v>
      </c>
      <c r="I725">
        <v>1986</v>
      </c>
      <c r="J725" t="s">
        <v>98</v>
      </c>
      <c r="K725">
        <v>3275</v>
      </c>
      <c r="L725">
        <v>17.350000000000001</v>
      </c>
      <c r="M725">
        <v>6.51</v>
      </c>
      <c r="N725" s="4">
        <f t="shared" si="22"/>
        <v>2.3630266250000004E-2</v>
      </c>
      <c r="O725" s="4">
        <f t="shared" si="23"/>
        <v>0.15383303328750003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50</v>
      </c>
    </row>
    <row r="726" spans="1:22" x14ac:dyDescent="0.25">
      <c r="A726" t="s">
        <v>94</v>
      </c>
      <c r="B726">
        <v>3</v>
      </c>
      <c r="C726" t="s">
        <v>21</v>
      </c>
      <c r="D726" t="s">
        <v>95</v>
      </c>
      <c r="E726" t="s">
        <v>96</v>
      </c>
      <c r="F726">
        <v>150</v>
      </c>
      <c r="G726">
        <v>900</v>
      </c>
      <c r="H726">
        <v>-2</v>
      </c>
      <c r="I726">
        <v>1986</v>
      </c>
      <c r="J726" t="s">
        <v>98</v>
      </c>
      <c r="K726">
        <v>3274</v>
      </c>
      <c r="L726">
        <v>20.57</v>
      </c>
      <c r="M726">
        <v>7.71</v>
      </c>
      <c r="N726" s="4">
        <f t="shared" si="22"/>
        <v>3.3215304649999999E-2</v>
      </c>
      <c r="O726" s="4">
        <f t="shared" si="23"/>
        <v>0.25608999885149997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50</v>
      </c>
    </row>
    <row r="727" spans="1:22" x14ac:dyDescent="0.25">
      <c r="A727" t="s">
        <v>99</v>
      </c>
      <c r="B727">
        <v>1</v>
      </c>
      <c r="C727" t="s">
        <v>100</v>
      </c>
      <c r="D727" t="s">
        <v>101</v>
      </c>
      <c r="E727" t="s">
        <v>102</v>
      </c>
      <c r="F727">
        <v>150</v>
      </c>
      <c r="G727">
        <v>1750</v>
      </c>
      <c r="H727">
        <v>-2</v>
      </c>
      <c r="I727">
        <v>1986</v>
      </c>
      <c r="J727" t="s">
        <v>76</v>
      </c>
      <c r="K727" t="s">
        <v>44</v>
      </c>
      <c r="L727">
        <v>27.68</v>
      </c>
      <c r="M727">
        <v>12.64</v>
      </c>
      <c r="N727" s="4">
        <f t="shared" si="22"/>
        <v>6.0145318399999995E-2</v>
      </c>
      <c r="O727" s="4">
        <f t="shared" si="23"/>
        <v>0.76023682457599995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50</v>
      </c>
    </row>
    <row r="728" spans="1:22" x14ac:dyDescent="0.25">
      <c r="A728" t="s">
        <v>99</v>
      </c>
      <c r="B728">
        <v>1</v>
      </c>
      <c r="C728" t="s">
        <v>100</v>
      </c>
      <c r="D728" t="s">
        <v>101</v>
      </c>
      <c r="E728" t="s">
        <v>102</v>
      </c>
      <c r="F728">
        <v>150</v>
      </c>
      <c r="G728">
        <v>1750</v>
      </c>
      <c r="H728">
        <v>-2</v>
      </c>
      <c r="I728">
        <v>1986</v>
      </c>
      <c r="J728" t="s">
        <v>24</v>
      </c>
      <c r="K728" t="s">
        <v>44</v>
      </c>
      <c r="L728">
        <v>30.93</v>
      </c>
      <c r="M728">
        <v>13.05</v>
      </c>
      <c r="N728" s="4">
        <f t="shared" si="22"/>
        <v>7.5098194650000005E-2</v>
      </c>
      <c r="O728" s="4">
        <f t="shared" si="23"/>
        <v>0.9800314401825001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50</v>
      </c>
    </row>
    <row r="729" spans="1:22" x14ac:dyDescent="0.25">
      <c r="A729" t="s">
        <v>99</v>
      </c>
      <c r="B729">
        <v>1</v>
      </c>
      <c r="C729" t="s">
        <v>100</v>
      </c>
      <c r="D729" t="s">
        <v>101</v>
      </c>
      <c r="E729" t="s">
        <v>102</v>
      </c>
      <c r="F729">
        <v>150</v>
      </c>
      <c r="G729">
        <v>1750</v>
      </c>
      <c r="H729">
        <v>-2</v>
      </c>
      <c r="I729">
        <v>1986</v>
      </c>
      <c r="J729" t="s">
        <v>32</v>
      </c>
      <c r="K729" t="s">
        <v>44</v>
      </c>
      <c r="L729">
        <v>26.16</v>
      </c>
      <c r="M729">
        <v>11.89</v>
      </c>
      <c r="N729" s="4">
        <f t="shared" si="22"/>
        <v>5.3721129600000007E-2</v>
      </c>
      <c r="O729" s="4">
        <f t="shared" si="23"/>
        <v>0.63874423094400012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50</v>
      </c>
    </row>
    <row r="730" spans="1:22" x14ac:dyDescent="0.25">
      <c r="A730" t="s">
        <v>99</v>
      </c>
      <c r="B730">
        <v>1</v>
      </c>
      <c r="C730" t="s">
        <v>100</v>
      </c>
      <c r="D730" t="s">
        <v>101</v>
      </c>
      <c r="E730" t="s">
        <v>102</v>
      </c>
      <c r="F730">
        <v>150</v>
      </c>
      <c r="G730">
        <v>1750</v>
      </c>
      <c r="H730">
        <v>-2</v>
      </c>
      <c r="I730">
        <v>1986</v>
      </c>
      <c r="J730" t="s">
        <v>36</v>
      </c>
      <c r="K730" t="s">
        <v>44</v>
      </c>
      <c r="L730">
        <v>38.51</v>
      </c>
      <c r="M730">
        <v>16.46</v>
      </c>
      <c r="N730" s="4">
        <f t="shared" si="22"/>
        <v>0.11641707785000001</v>
      </c>
      <c r="O730" s="4">
        <f t="shared" si="23"/>
        <v>1.9162251014110003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50</v>
      </c>
    </row>
    <row r="731" spans="1:22" x14ac:dyDescent="0.25">
      <c r="A731" t="s">
        <v>99</v>
      </c>
      <c r="B731">
        <v>1</v>
      </c>
      <c r="C731" t="s">
        <v>100</v>
      </c>
      <c r="D731" t="s">
        <v>101</v>
      </c>
      <c r="E731" t="s">
        <v>102</v>
      </c>
      <c r="F731">
        <v>150</v>
      </c>
      <c r="G731">
        <v>1750</v>
      </c>
      <c r="H731">
        <v>-2</v>
      </c>
      <c r="I731">
        <v>1986</v>
      </c>
      <c r="J731" t="s">
        <v>97</v>
      </c>
      <c r="K731" t="s">
        <v>44</v>
      </c>
      <c r="L731">
        <v>24</v>
      </c>
      <c r="M731">
        <v>10.96</v>
      </c>
      <c r="N731" s="4">
        <f t="shared" si="22"/>
        <v>4.5215999999999999E-2</v>
      </c>
      <c r="O731" s="4">
        <f t="shared" si="23"/>
        <v>0.49556736000000001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50</v>
      </c>
    </row>
    <row r="732" spans="1:22" x14ac:dyDescent="0.25">
      <c r="A732" t="s">
        <v>99</v>
      </c>
      <c r="B732">
        <v>1</v>
      </c>
      <c r="C732" t="s">
        <v>100</v>
      </c>
      <c r="D732" t="s">
        <v>101</v>
      </c>
      <c r="E732" t="s">
        <v>102</v>
      </c>
      <c r="F732">
        <v>150</v>
      </c>
      <c r="G732">
        <v>1750</v>
      </c>
      <c r="H732">
        <v>-2</v>
      </c>
      <c r="I732">
        <v>1986</v>
      </c>
      <c r="J732" t="s">
        <v>98</v>
      </c>
      <c r="K732" t="s">
        <v>44</v>
      </c>
      <c r="L732">
        <v>29.02</v>
      </c>
      <c r="M732">
        <v>10.87</v>
      </c>
      <c r="N732" s="4">
        <f t="shared" si="22"/>
        <v>6.6109591400000001E-2</v>
      </c>
      <c r="O732" s="4">
        <f t="shared" si="23"/>
        <v>0.71861125851800001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50</v>
      </c>
    </row>
    <row r="733" spans="1:22" x14ac:dyDescent="0.25">
      <c r="A733" t="s">
        <v>103</v>
      </c>
      <c r="B733">
        <v>1</v>
      </c>
      <c r="C733" t="s">
        <v>47</v>
      </c>
      <c r="D733" t="s">
        <v>104</v>
      </c>
      <c r="E733" t="s">
        <v>79</v>
      </c>
      <c r="F733">
        <v>100</v>
      </c>
      <c r="G733">
        <v>1250</v>
      </c>
      <c r="H733">
        <v>-2</v>
      </c>
      <c r="I733">
        <v>1983</v>
      </c>
      <c r="J733" t="s">
        <v>59</v>
      </c>
      <c r="K733">
        <v>2548</v>
      </c>
      <c r="L733">
        <v>41.63</v>
      </c>
      <c r="M733">
        <v>12.64</v>
      </c>
      <c r="N733" s="4">
        <f t="shared" si="22"/>
        <v>0.13604496665000002</v>
      </c>
      <c r="O733" s="4">
        <f t="shared" si="23"/>
        <v>1.7196083784560003</v>
      </c>
      <c r="P733">
        <v>28</v>
      </c>
      <c r="Q733">
        <v>4.2</v>
      </c>
      <c r="R733">
        <v>3.2</v>
      </c>
      <c r="S733">
        <v>2.2999999999999998</v>
      </c>
      <c r="T733">
        <v>1.9</v>
      </c>
      <c r="U733">
        <v>1.7</v>
      </c>
      <c r="V733" t="s">
        <v>38</v>
      </c>
    </row>
    <row r="734" spans="1:22" x14ac:dyDescent="0.25">
      <c r="A734" t="s">
        <v>103</v>
      </c>
      <c r="B734">
        <v>1</v>
      </c>
      <c r="C734" t="s">
        <v>47</v>
      </c>
      <c r="D734" t="s">
        <v>104</v>
      </c>
      <c r="E734" t="s">
        <v>79</v>
      </c>
      <c r="F734">
        <v>100</v>
      </c>
      <c r="G734">
        <v>1250</v>
      </c>
      <c r="H734">
        <v>-2</v>
      </c>
      <c r="I734">
        <v>1983</v>
      </c>
      <c r="J734" t="s">
        <v>26</v>
      </c>
      <c r="K734">
        <v>2552</v>
      </c>
      <c r="L734">
        <v>33.35</v>
      </c>
      <c r="M734">
        <v>10.61</v>
      </c>
      <c r="N734" s="4">
        <f t="shared" si="22"/>
        <v>8.7309466250000009E-2</v>
      </c>
      <c r="O734" s="4">
        <f t="shared" si="23"/>
        <v>0.92635343691250005</v>
      </c>
      <c r="P734">
        <v>33</v>
      </c>
      <c r="Q734">
        <v>4.5</v>
      </c>
      <c r="R734">
        <v>4</v>
      </c>
      <c r="S734">
        <v>2.8</v>
      </c>
      <c r="T734">
        <v>3</v>
      </c>
      <c r="U734">
        <v>1.5</v>
      </c>
      <c r="V734" t="s">
        <v>25</v>
      </c>
    </row>
    <row r="735" spans="1:22" x14ac:dyDescent="0.25">
      <c r="A735" t="s">
        <v>103</v>
      </c>
      <c r="B735">
        <v>1</v>
      </c>
      <c r="C735" t="s">
        <v>47</v>
      </c>
      <c r="D735" t="s">
        <v>104</v>
      </c>
      <c r="E735" t="s">
        <v>79</v>
      </c>
      <c r="F735">
        <v>100</v>
      </c>
      <c r="G735">
        <v>1250</v>
      </c>
      <c r="H735">
        <v>-2</v>
      </c>
      <c r="I735">
        <v>1983</v>
      </c>
      <c r="J735" t="s">
        <v>33</v>
      </c>
      <c r="K735">
        <v>2568</v>
      </c>
      <c r="L735">
        <v>28.21</v>
      </c>
      <c r="M735">
        <v>9.4700000000000006</v>
      </c>
      <c r="N735" s="4">
        <f t="shared" si="22"/>
        <v>6.2470621850000005E-2</v>
      </c>
      <c r="O735" s="4">
        <f t="shared" si="23"/>
        <v>0.59159678891950007</v>
      </c>
      <c r="P735">
        <v>94</v>
      </c>
      <c r="Q735">
        <v>4.5999999999999996</v>
      </c>
      <c r="R735">
        <v>3</v>
      </c>
      <c r="S735">
        <v>2</v>
      </c>
      <c r="T735">
        <v>1.8</v>
      </c>
      <c r="U735">
        <v>1.2</v>
      </c>
      <c r="V735" t="s">
        <v>25</v>
      </c>
    </row>
    <row r="736" spans="1:22" x14ac:dyDescent="0.25">
      <c r="A736" t="s">
        <v>103</v>
      </c>
      <c r="B736">
        <v>1</v>
      </c>
      <c r="C736" t="s">
        <v>47</v>
      </c>
      <c r="D736" t="s">
        <v>104</v>
      </c>
      <c r="E736" t="s">
        <v>79</v>
      </c>
      <c r="F736">
        <v>100</v>
      </c>
      <c r="G736">
        <v>1250</v>
      </c>
      <c r="H736">
        <v>-2</v>
      </c>
      <c r="I736">
        <v>1983</v>
      </c>
      <c r="J736" t="s">
        <v>34</v>
      </c>
      <c r="K736">
        <v>1522</v>
      </c>
      <c r="L736">
        <v>27.36</v>
      </c>
      <c r="M736">
        <v>11.49</v>
      </c>
      <c r="N736" s="4">
        <f t="shared" si="22"/>
        <v>5.8762713600000002E-2</v>
      </c>
      <c r="O736" s="4">
        <f t="shared" si="23"/>
        <v>0.67518357926400008</v>
      </c>
      <c r="P736">
        <v>67</v>
      </c>
      <c r="Q736">
        <v>4.7</v>
      </c>
      <c r="R736">
        <v>3.3</v>
      </c>
      <c r="S736">
        <v>3.4</v>
      </c>
      <c r="T736">
        <v>3.4</v>
      </c>
      <c r="U736">
        <v>3</v>
      </c>
      <c r="V736" t="s">
        <v>25</v>
      </c>
    </row>
    <row r="737" spans="1:22" x14ac:dyDescent="0.25">
      <c r="A737" t="s">
        <v>103</v>
      </c>
      <c r="B737">
        <v>1</v>
      </c>
      <c r="C737" t="s">
        <v>47</v>
      </c>
      <c r="D737" t="s">
        <v>104</v>
      </c>
      <c r="E737" t="s">
        <v>79</v>
      </c>
      <c r="F737">
        <v>100</v>
      </c>
      <c r="G737">
        <v>1250</v>
      </c>
      <c r="H737">
        <v>-2</v>
      </c>
      <c r="I737">
        <v>1983</v>
      </c>
      <c r="J737" t="s">
        <v>62</v>
      </c>
      <c r="K737" t="s">
        <v>44</v>
      </c>
      <c r="L737">
        <v>22.34</v>
      </c>
      <c r="M737">
        <v>8.84</v>
      </c>
      <c r="N737" s="4">
        <f t="shared" si="22"/>
        <v>3.9177434599999998E-2</v>
      </c>
      <c r="O737" s="4">
        <f t="shared" si="23"/>
        <v>0.34632852186399998</v>
      </c>
      <c r="P737">
        <v>25</v>
      </c>
      <c r="Q737">
        <v>3.8</v>
      </c>
      <c r="R737">
        <v>3.5</v>
      </c>
      <c r="S737">
        <v>3</v>
      </c>
      <c r="T737">
        <v>3.5</v>
      </c>
      <c r="U737">
        <v>3</v>
      </c>
      <c r="V737" t="s">
        <v>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9"/>
  <sheetViews>
    <sheetView tabSelected="1" workbookViewId="0">
      <pane ySplit="1" topLeftCell="A731" activePane="bottomLeft" state="frozen"/>
      <selection activeCell="O1" sqref="O1"/>
      <selection pane="bottomLeft" activeCell="J745" sqref="J745"/>
    </sheetView>
  </sheetViews>
  <sheetFormatPr baseColWidth="10" defaultColWidth="9.140625" defaultRowHeight="15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5" width="6" style="4" customWidth="1"/>
    <col min="16" max="16" width="4.85546875" bestFit="1" customWidth="1"/>
    <col min="17" max="17" width="4" bestFit="1" customWidth="1"/>
    <col min="18" max="18" width="7.28515625" bestFit="1" customWidth="1"/>
    <col min="19" max="19" width="9.28515625" bestFit="1" customWidth="1"/>
    <col min="20" max="20" width="10.42578125" bestFit="1" customWidth="1"/>
    <col min="21" max="21" width="9.7109375" bestFit="1" customWidth="1"/>
    <col min="22" max="22" width="8" bestFit="1" customWidth="1"/>
    <col min="23" max="23" width="3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105</v>
      </c>
      <c r="O1" s="3" t="s">
        <v>106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5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 s="4">
        <f>3.14/4*((L2/100)^2)</f>
        <v>2.6721596250000004E-2</v>
      </c>
      <c r="O2" s="4">
        <f>3.14/4*((L2/100)^2)*M2</f>
        <v>0.26614709865000008</v>
      </c>
      <c r="P2">
        <v>40</v>
      </c>
      <c r="Q2">
        <v>4</v>
      </c>
      <c r="R2">
        <v>3</v>
      </c>
      <c r="S2">
        <v>3.5</v>
      </c>
      <c r="T2">
        <v>4</v>
      </c>
      <c r="U2">
        <v>3.5</v>
      </c>
      <c r="V2" t="s">
        <v>25</v>
      </c>
    </row>
    <row r="3" spans="1:25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 s="4">
        <f t="shared" ref="N3:N66" si="0">3.14/4*((L3/100)^2)</f>
        <v>1.3574416250000002E-2</v>
      </c>
      <c r="O3" s="4">
        <f t="shared" ref="O3:O66" si="1">3.14/4*((L3/100)^2)*M3</f>
        <v>0.13099311681250003</v>
      </c>
      <c r="P3">
        <v>90</v>
      </c>
      <c r="Q3">
        <v>4.5</v>
      </c>
      <c r="R3">
        <v>4</v>
      </c>
      <c r="S3">
        <v>3.5</v>
      </c>
      <c r="T3">
        <v>3.5</v>
      </c>
      <c r="U3">
        <v>3</v>
      </c>
      <c r="V3" t="s">
        <v>27</v>
      </c>
      <c r="X3" s="2"/>
    </row>
    <row r="4" spans="1:25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 s="4">
        <f t="shared" si="0"/>
        <v>8.3604383999999997E-3</v>
      </c>
      <c r="O4" s="4">
        <f t="shared" si="1"/>
        <v>5.43428496E-2</v>
      </c>
      <c r="P4">
        <v>50</v>
      </c>
      <c r="Q4">
        <v>2.2999999999999998</v>
      </c>
      <c r="R4">
        <v>2.5</v>
      </c>
      <c r="S4">
        <v>3</v>
      </c>
      <c r="T4">
        <v>3.5</v>
      </c>
      <c r="U4">
        <v>3</v>
      </c>
      <c r="V4" t="s">
        <v>30</v>
      </c>
      <c r="X4" s="2"/>
      <c r="Y4" s="2"/>
    </row>
    <row r="5" spans="1:25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 s="4">
        <f t="shared" si="0"/>
        <v>1.7194640000000008E-2</v>
      </c>
      <c r="O5" s="4">
        <f t="shared" si="1"/>
        <v>0.16300518720000007</v>
      </c>
      <c r="P5">
        <v>70</v>
      </c>
      <c r="Q5">
        <v>3.7</v>
      </c>
      <c r="R5">
        <v>3</v>
      </c>
      <c r="S5">
        <v>3.3</v>
      </c>
      <c r="T5">
        <v>4</v>
      </c>
      <c r="U5">
        <v>3.5</v>
      </c>
      <c r="V5" t="s">
        <v>25</v>
      </c>
      <c r="X5" s="2"/>
    </row>
    <row r="6" spans="1:25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 s="4">
        <f t="shared" si="0"/>
        <v>1.6504624999999998E-2</v>
      </c>
      <c r="O6" s="4">
        <f t="shared" si="1"/>
        <v>0.17791985749999997</v>
      </c>
      <c r="P6">
        <v>90</v>
      </c>
      <c r="Q6">
        <v>4</v>
      </c>
      <c r="R6">
        <v>2.7</v>
      </c>
      <c r="S6">
        <v>3.3</v>
      </c>
      <c r="T6">
        <v>3</v>
      </c>
      <c r="U6">
        <v>3</v>
      </c>
      <c r="V6" t="s">
        <v>25</v>
      </c>
    </row>
    <row r="7" spans="1:25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 s="4">
        <f t="shared" si="0"/>
        <v>2.2713197850000009E-2</v>
      </c>
      <c r="O7" s="4">
        <f t="shared" si="1"/>
        <v>0.27891806959800008</v>
      </c>
      <c r="P7">
        <v>70</v>
      </c>
      <c r="Q7">
        <v>5</v>
      </c>
      <c r="R7">
        <v>4</v>
      </c>
      <c r="S7">
        <v>5</v>
      </c>
      <c r="T7">
        <v>4</v>
      </c>
      <c r="U7">
        <v>4.5</v>
      </c>
      <c r="V7" t="s">
        <v>27</v>
      </c>
    </row>
    <row r="8" spans="1:25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 s="4">
        <f t="shared" si="0"/>
        <v>1.5232524650000002E-2</v>
      </c>
      <c r="O8" s="4">
        <f t="shared" si="1"/>
        <v>0.14882176583050002</v>
      </c>
      <c r="P8">
        <v>80</v>
      </c>
      <c r="Q8">
        <v>4</v>
      </c>
      <c r="R8">
        <v>2</v>
      </c>
      <c r="S8">
        <v>3</v>
      </c>
      <c r="T8">
        <v>3</v>
      </c>
      <c r="U8">
        <v>3</v>
      </c>
      <c r="V8" t="s">
        <v>25</v>
      </c>
    </row>
    <row r="9" spans="1:25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 s="4">
        <f t="shared" si="0"/>
        <v>2.8487846250000004E-2</v>
      </c>
      <c r="O9" s="4">
        <f t="shared" si="1"/>
        <v>0.32077314877500002</v>
      </c>
      <c r="P9">
        <v>100</v>
      </c>
      <c r="Q9">
        <v>5</v>
      </c>
      <c r="R9">
        <v>4.5</v>
      </c>
      <c r="S9">
        <v>3.5</v>
      </c>
      <c r="T9">
        <v>4</v>
      </c>
      <c r="U9">
        <v>2</v>
      </c>
      <c r="V9" t="s">
        <v>27</v>
      </c>
    </row>
    <row r="10" spans="1:25" x14ac:dyDescent="0.25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 s="4">
        <f t="shared" si="0"/>
        <v>4.5580554000000002E-3</v>
      </c>
      <c r="O10" s="4">
        <f t="shared" si="1"/>
        <v>3.0037585086000001E-2</v>
      </c>
      <c r="P10">
        <v>80</v>
      </c>
      <c r="Q10">
        <v>2.5</v>
      </c>
      <c r="R10">
        <v>2.5</v>
      </c>
      <c r="S10">
        <v>3.3</v>
      </c>
      <c r="T10">
        <v>3.5</v>
      </c>
      <c r="U10">
        <v>3.5</v>
      </c>
      <c r="V10" t="s">
        <v>38</v>
      </c>
    </row>
    <row r="11" spans="1:25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 s="4">
        <f t="shared" si="0"/>
        <v>1.7078656249999997E-2</v>
      </c>
      <c r="O11" s="4">
        <f t="shared" si="1"/>
        <v>0.15592813156249999</v>
      </c>
      <c r="P11">
        <v>50</v>
      </c>
      <c r="Q11">
        <v>4</v>
      </c>
      <c r="R11">
        <v>4</v>
      </c>
      <c r="S11">
        <v>3.3</v>
      </c>
      <c r="T11">
        <v>3</v>
      </c>
      <c r="U11">
        <v>3</v>
      </c>
      <c r="V11" t="s">
        <v>25</v>
      </c>
    </row>
    <row r="12" spans="1:25" x14ac:dyDescent="0.25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 s="4">
        <f t="shared" si="0"/>
        <v>5.2141662500000008E-3</v>
      </c>
      <c r="O12" s="4">
        <f t="shared" si="1"/>
        <v>3.5039197200000004E-2</v>
      </c>
      <c r="P12">
        <v>70</v>
      </c>
      <c r="Q12">
        <v>1.5</v>
      </c>
      <c r="R12">
        <v>3</v>
      </c>
      <c r="S12">
        <v>3</v>
      </c>
      <c r="T12">
        <v>3</v>
      </c>
      <c r="U12">
        <v>3</v>
      </c>
      <c r="V12" t="s">
        <v>30</v>
      </c>
    </row>
    <row r="13" spans="1:25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 s="4">
        <f t="shared" si="0"/>
        <v>1.782773465E-2</v>
      </c>
      <c r="O13" s="4">
        <f t="shared" si="1"/>
        <v>0.12782485744049998</v>
      </c>
      <c r="P13">
        <v>10</v>
      </c>
      <c r="Q13">
        <v>4</v>
      </c>
      <c r="R13">
        <v>4</v>
      </c>
      <c r="S13">
        <v>3.3</v>
      </c>
      <c r="T13">
        <v>3</v>
      </c>
      <c r="U13">
        <v>2</v>
      </c>
      <c r="V13" t="s">
        <v>25</v>
      </c>
    </row>
    <row r="14" spans="1:25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 s="4">
        <f t="shared" si="0"/>
        <v>6.3443778500000009E-3</v>
      </c>
      <c r="O14" s="4">
        <f t="shared" si="1"/>
        <v>3.8383485992500008E-2</v>
      </c>
      <c r="P14">
        <v>60</v>
      </c>
      <c r="Q14">
        <v>2.5</v>
      </c>
      <c r="R14">
        <v>3</v>
      </c>
      <c r="S14">
        <v>3</v>
      </c>
      <c r="T14">
        <v>4</v>
      </c>
      <c r="U14">
        <v>4</v>
      </c>
      <c r="V14" t="s">
        <v>30</v>
      </c>
    </row>
    <row r="15" spans="1:25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 s="4">
        <f t="shared" si="0"/>
        <v>1.3533156649999999E-2</v>
      </c>
      <c r="O15" s="4">
        <f t="shared" si="1"/>
        <v>8.2281592431999992E-2</v>
      </c>
      <c r="P15">
        <v>80</v>
      </c>
      <c r="Q15">
        <v>3.5</v>
      </c>
      <c r="R15">
        <v>4</v>
      </c>
      <c r="S15">
        <v>4</v>
      </c>
      <c r="T15">
        <v>3.5</v>
      </c>
      <c r="U15">
        <v>3.5</v>
      </c>
      <c r="V15" t="s">
        <v>27</v>
      </c>
    </row>
    <row r="16" spans="1:25" x14ac:dyDescent="0.25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 s="4">
        <f t="shared" si="0"/>
        <v>9.1223593999999984E-3</v>
      </c>
      <c r="O16" s="4">
        <f t="shared" si="1"/>
        <v>8.146266944199998E-2</v>
      </c>
      <c r="P16">
        <v>100</v>
      </c>
      <c r="Q16">
        <v>3</v>
      </c>
      <c r="R16">
        <v>2</v>
      </c>
      <c r="S16">
        <v>3</v>
      </c>
      <c r="T16">
        <v>3</v>
      </c>
      <c r="U16">
        <v>3</v>
      </c>
      <c r="V16" t="s">
        <v>25</v>
      </c>
    </row>
    <row r="17" spans="1:22" x14ac:dyDescent="0.25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 s="4">
        <f t="shared" si="0"/>
        <v>1.3430282400000002E-2</v>
      </c>
      <c r="O17" s="4">
        <f t="shared" si="1"/>
        <v>0.131482464696</v>
      </c>
      <c r="P17">
        <v>90</v>
      </c>
      <c r="Q17">
        <v>5</v>
      </c>
      <c r="R17">
        <v>4.5</v>
      </c>
      <c r="S17">
        <v>5</v>
      </c>
      <c r="T17">
        <v>4</v>
      </c>
      <c r="U17">
        <v>4</v>
      </c>
      <c r="V17" t="s">
        <v>27</v>
      </c>
    </row>
    <row r="18" spans="1:22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 s="4">
        <f t="shared" si="0"/>
        <v>8.1991994000000026E-3</v>
      </c>
      <c r="O18" s="4">
        <f t="shared" si="1"/>
        <v>6.8217339008000019E-2</v>
      </c>
      <c r="P18">
        <v>100</v>
      </c>
      <c r="Q18">
        <v>3</v>
      </c>
      <c r="R18">
        <v>1.8</v>
      </c>
      <c r="S18">
        <v>3</v>
      </c>
      <c r="T18">
        <v>3</v>
      </c>
      <c r="U18">
        <v>3</v>
      </c>
      <c r="V18" t="s">
        <v>38</v>
      </c>
    </row>
    <row r="19" spans="1:22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 s="4">
        <f t="shared" si="0"/>
        <v>2.7480031850000006E-2</v>
      </c>
      <c r="O19" s="4">
        <f t="shared" si="1"/>
        <v>0.2995323471650001</v>
      </c>
      <c r="P19">
        <v>100</v>
      </c>
      <c r="Q19">
        <v>4</v>
      </c>
      <c r="R19">
        <v>4</v>
      </c>
      <c r="S19">
        <v>3.3</v>
      </c>
      <c r="T19">
        <v>4</v>
      </c>
      <c r="U19">
        <v>3</v>
      </c>
      <c r="V19" t="s">
        <v>27</v>
      </c>
    </row>
    <row r="20" spans="1:22" x14ac:dyDescent="0.25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 s="4">
        <f t="shared" si="0"/>
        <v>5.3170326500000002E-3</v>
      </c>
      <c r="O20" s="4">
        <f t="shared" si="1"/>
        <v>3.4560712224999998E-2</v>
      </c>
      <c r="P20">
        <v>70</v>
      </c>
      <c r="Q20">
        <v>2</v>
      </c>
      <c r="R20">
        <v>2</v>
      </c>
      <c r="S20">
        <v>3.3</v>
      </c>
      <c r="T20">
        <v>4</v>
      </c>
      <c r="U20">
        <v>3.5</v>
      </c>
      <c r="V20" t="s">
        <v>30</v>
      </c>
    </row>
    <row r="21" spans="1:22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 s="4">
        <f t="shared" si="0"/>
        <v>2.40956064E-2</v>
      </c>
      <c r="O21" s="4">
        <f t="shared" si="1"/>
        <v>0.22216149100800001</v>
      </c>
      <c r="P21">
        <v>60</v>
      </c>
      <c r="Q21">
        <v>4</v>
      </c>
      <c r="R21">
        <v>3</v>
      </c>
      <c r="S21">
        <v>3</v>
      </c>
      <c r="T21">
        <v>3</v>
      </c>
      <c r="U21">
        <v>2</v>
      </c>
      <c r="V21" t="s">
        <v>25</v>
      </c>
    </row>
    <row r="22" spans="1:22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 s="4">
        <f t="shared" si="0"/>
        <v>9.071656249999999E-3</v>
      </c>
      <c r="O22" s="4">
        <f t="shared" si="1"/>
        <v>5.3613488437499995E-2</v>
      </c>
      <c r="P22">
        <v>50</v>
      </c>
      <c r="Q22">
        <v>2.7</v>
      </c>
      <c r="R22">
        <v>4</v>
      </c>
      <c r="S22">
        <v>3.3</v>
      </c>
      <c r="T22">
        <v>3.5</v>
      </c>
      <c r="U22">
        <v>3</v>
      </c>
      <c r="V22" t="s">
        <v>38</v>
      </c>
    </row>
    <row r="23" spans="1:22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 s="4">
        <f t="shared" si="0"/>
        <v>3.6354166399999999E-2</v>
      </c>
      <c r="O23" s="4">
        <f t="shared" si="1"/>
        <v>0.31882603932799997</v>
      </c>
      <c r="P23">
        <v>20</v>
      </c>
      <c r="Q23">
        <v>4</v>
      </c>
      <c r="R23">
        <v>3.5</v>
      </c>
      <c r="S23">
        <v>3</v>
      </c>
      <c r="T23">
        <v>3</v>
      </c>
      <c r="U23">
        <v>1</v>
      </c>
      <c r="V23" t="s">
        <v>38</v>
      </c>
    </row>
    <row r="24" spans="1:22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 s="4">
        <f t="shared" si="0"/>
        <v>1.8184399399999999E-2</v>
      </c>
      <c r="O24" s="4">
        <f t="shared" si="1"/>
        <v>0.1181985961</v>
      </c>
      <c r="P24">
        <v>30</v>
      </c>
      <c r="Q24">
        <v>3</v>
      </c>
      <c r="R24">
        <v>4</v>
      </c>
      <c r="S24">
        <v>3</v>
      </c>
      <c r="T24">
        <v>3</v>
      </c>
      <c r="U24">
        <v>3</v>
      </c>
      <c r="V24" t="s">
        <v>38</v>
      </c>
    </row>
    <row r="25" spans="1:22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 s="4">
        <f t="shared" si="0"/>
        <v>7.4318226500000003E-3</v>
      </c>
      <c r="O25" s="4">
        <f t="shared" si="1"/>
        <v>6.4433902375500007E-2</v>
      </c>
      <c r="P25">
        <v>70</v>
      </c>
      <c r="Q25">
        <v>2.7</v>
      </c>
      <c r="R25">
        <v>4</v>
      </c>
      <c r="S25">
        <v>3.5</v>
      </c>
      <c r="T25">
        <v>3.5</v>
      </c>
      <c r="U25">
        <v>3.5</v>
      </c>
      <c r="V25" t="s">
        <v>25</v>
      </c>
    </row>
    <row r="26" spans="1:22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 s="4">
        <f t="shared" si="0"/>
        <v>2.3088616249999996E-2</v>
      </c>
      <c r="O26" s="4">
        <f t="shared" si="1"/>
        <v>0.18978842557499997</v>
      </c>
      <c r="P26">
        <v>60</v>
      </c>
      <c r="Q26">
        <v>5</v>
      </c>
      <c r="R26">
        <v>2.7</v>
      </c>
      <c r="S26">
        <v>3.5</v>
      </c>
      <c r="T26">
        <v>3</v>
      </c>
      <c r="U26">
        <v>2</v>
      </c>
      <c r="V26" t="s">
        <v>25</v>
      </c>
    </row>
    <row r="27" spans="1:22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 s="4">
        <f t="shared" si="0"/>
        <v>2.042388665E-2</v>
      </c>
      <c r="O27" s="4">
        <f t="shared" si="1"/>
        <v>0.2032176721675</v>
      </c>
      <c r="P27">
        <v>50</v>
      </c>
      <c r="Q27">
        <v>4.3</v>
      </c>
      <c r="R27">
        <v>4.5</v>
      </c>
      <c r="S27">
        <v>3.3</v>
      </c>
      <c r="T27">
        <v>3.5</v>
      </c>
      <c r="U27">
        <v>3</v>
      </c>
      <c r="V27" t="s">
        <v>25</v>
      </c>
    </row>
    <row r="28" spans="1:22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 s="4">
        <f t="shared" si="0"/>
        <v>6.0514393999999989E-3</v>
      </c>
      <c r="O28" s="4">
        <f t="shared" si="1"/>
        <v>3.5037834125999992E-2</v>
      </c>
      <c r="P28">
        <v>50</v>
      </c>
      <c r="Q28">
        <v>2.5</v>
      </c>
      <c r="R28">
        <v>2</v>
      </c>
      <c r="S28">
        <v>3.2</v>
      </c>
      <c r="T28">
        <v>3.3</v>
      </c>
      <c r="U28">
        <v>3</v>
      </c>
      <c r="V28" t="s">
        <v>38</v>
      </c>
    </row>
    <row r="29" spans="1:22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 s="4">
        <f t="shared" si="0"/>
        <v>2.3169463400000003E-2</v>
      </c>
      <c r="O29" s="4">
        <f t="shared" si="1"/>
        <v>0.23146293936600004</v>
      </c>
      <c r="P29">
        <v>90</v>
      </c>
      <c r="Q29">
        <v>4.3</v>
      </c>
      <c r="R29">
        <v>4.5</v>
      </c>
      <c r="S29">
        <v>3.5</v>
      </c>
      <c r="T29">
        <v>4</v>
      </c>
      <c r="U29">
        <v>3.3</v>
      </c>
      <c r="V29" t="s">
        <v>25</v>
      </c>
    </row>
    <row r="30" spans="1:22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 s="4">
        <f t="shared" si="0"/>
        <v>1.2050699850000002E-2</v>
      </c>
      <c r="O30" s="4">
        <f t="shared" si="1"/>
        <v>6.6881384167500016E-2</v>
      </c>
      <c r="P30">
        <v>80</v>
      </c>
      <c r="Q30">
        <v>3</v>
      </c>
      <c r="R30">
        <v>2.5</v>
      </c>
      <c r="S30">
        <v>2</v>
      </c>
      <c r="T30">
        <v>2</v>
      </c>
      <c r="U30">
        <v>2</v>
      </c>
      <c r="V30" t="s">
        <v>38</v>
      </c>
    </row>
    <row r="31" spans="1:22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 s="4">
        <f t="shared" si="0"/>
        <v>1.7078656249999997E-2</v>
      </c>
      <c r="O31" s="4">
        <f t="shared" si="1"/>
        <v>0.13304273218749998</v>
      </c>
      <c r="P31">
        <v>30</v>
      </c>
      <c r="Q31">
        <v>4</v>
      </c>
      <c r="R31">
        <v>4</v>
      </c>
      <c r="S31">
        <v>4</v>
      </c>
      <c r="T31">
        <v>2.5</v>
      </c>
      <c r="U31">
        <v>2</v>
      </c>
      <c r="V31" t="s">
        <v>25</v>
      </c>
    </row>
    <row r="32" spans="1:22" x14ac:dyDescent="0.25">
      <c r="A32" t="s">
        <v>40</v>
      </c>
      <c r="B32">
        <v>1</v>
      </c>
      <c r="C32" t="s">
        <v>41</v>
      </c>
      <c r="D32" t="s">
        <v>42</v>
      </c>
      <c r="E32" t="s">
        <v>43</v>
      </c>
      <c r="F32">
        <v>200</v>
      </c>
      <c r="G32">
        <v>1400</v>
      </c>
      <c r="H32">
        <v>-2</v>
      </c>
      <c r="I32">
        <v>1980</v>
      </c>
      <c r="J32" t="s">
        <v>26</v>
      </c>
      <c r="K32">
        <v>1487</v>
      </c>
      <c r="L32">
        <v>27.98</v>
      </c>
      <c r="M32">
        <v>8.64</v>
      </c>
      <c r="N32" s="4">
        <f t="shared" si="0"/>
        <v>6.1456111399999992E-2</v>
      </c>
      <c r="O32" s="4">
        <f t="shared" si="1"/>
        <v>0.53098080249599999</v>
      </c>
      <c r="P32" t="s">
        <v>44</v>
      </c>
      <c r="Q32">
        <v>2.2999999999999998</v>
      </c>
      <c r="R32">
        <v>4</v>
      </c>
      <c r="S32">
        <v>2</v>
      </c>
      <c r="T32">
        <v>2</v>
      </c>
      <c r="U32">
        <v>2</v>
      </c>
      <c r="V32" t="s">
        <v>30</v>
      </c>
    </row>
    <row r="33" spans="1:22" x14ac:dyDescent="0.25">
      <c r="A33" t="s">
        <v>40</v>
      </c>
      <c r="B33">
        <v>1</v>
      </c>
      <c r="C33" t="s">
        <v>41</v>
      </c>
      <c r="D33" t="s">
        <v>42</v>
      </c>
      <c r="E33" t="s">
        <v>43</v>
      </c>
      <c r="F33">
        <v>200</v>
      </c>
      <c r="G33">
        <v>1400</v>
      </c>
      <c r="H33">
        <v>-2</v>
      </c>
      <c r="I33">
        <v>1980</v>
      </c>
      <c r="J33" t="s">
        <v>32</v>
      </c>
      <c r="K33">
        <v>1596</v>
      </c>
      <c r="L33">
        <v>25.99</v>
      </c>
      <c r="M33">
        <v>9.6</v>
      </c>
      <c r="N33" s="4">
        <f t="shared" si="0"/>
        <v>5.3025187849999982E-2</v>
      </c>
      <c r="O33" s="4">
        <f t="shared" si="1"/>
        <v>0.50904180335999982</v>
      </c>
      <c r="P33" t="s">
        <v>44</v>
      </c>
      <c r="Q33">
        <v>4</v>
      </c>
      <c r="R33">
        <v>4</v>
      </c>
      <c r="S33">
        <v>3</v>
      </c>
      <c r="T33">
        <v>4</v>
      </c>
      <c r="U33">
        <v>2.7</v>
      </c>
      <c r="V33" t="s">
        <v>27</v>
      </c>
    </row>
    <row r="34" spans="1:22" x14ac:dyDescent="0.25">
      <c r="A34" t="s">
        <v>40</v>
      </c>
      <c r="B34">
        <v>1</v>
      </c>
      <c r="C34" t="s">
        <v>41</v>
      </c>
      <c r="D34" t="s">
        <v>42</v>
      </c>
      <c r="E34" t="s">
        <v>43</v>
      </c>
      <c r="F34">
        <v>200</v>
      </c>
      <c r="G34">
        <v>1400</v>
      </c>
      <c r="H34">
        <v>-2</v>
      </c>
      <c r="I34">
        <v>1980</v>
      </c>
      <c r="J34" t="s">
        <v>33</v>
      </c>
      <c r="K34">
        <v>2088</v>
      </c>
      <c r="L34">
        <v>33.409999999999997</v>
      </c>
      <c r="M34">
        <v>8.35</v>
      </c>
      <c r="N34" s="4">
        <f t="shared" si="0"/>
        <v>8.7623905849999989E-2</v>
      </c>
      <c r="O34" s="4">
        <f t="shared" si="1"/>
        <v>0.73165961384749989</v>
      </c>
      <c r="P34" t="s">
        <v>44</v>
      </c>
      <c r="Q34">
        <v>4</v>
      </c>
      <c r="R34">
        <v>2.8</v>
      </c>
      <c r="S34">
        <v>2.5</v>
      </c>
      <c r="T34">
        <v>1.5</v>
      </c>
      <c r="U34">
        <v>1.5</v>
      </c>
      <c r="V34" t="s">
        <v>38</v>
      </c>
    </row>
    <row r="35" spans="1:22" x14ac:dyDescent="0.25">
      <c r="A35" t="s">
        <v>40</v>
      </c>
      <c r="B35">
        <v>1</v>
      </c>
      <c r="C35" t="s">
        <v>41</v>
      </c>
      <c r="D35" t="s">
        <v>42</v>
      </c>
      <c r="E35" t="s">
        <v>43</v>
      </c>
      <c r="F35">
        <v>200</v>
      </c>
      <c r="G35">
        <v>1400</v>
      </c>
      <c r="H35">
        <v>-2</v>
      </c>
      <c r="I35">
        <v>1980</v>
      </c>
      <c r="J35" t="s">
        <v>35</v>
      </c>
      <c r="K35">
        <v>1521</v>
      </c>
      <c r="L35">
        <v>33.299999999999997</v>
      </c>
      <c r="M35">
        <v>13.32</v>
      </c>
      <c r="N35" s="4">
        <f t="shared" si="0"/>
        <v>8.7047864999999988E-2</v>
      </c>
      <c r="O35" s="4">
        <f t="shared" si="1"/>
        <v>1.1594775617999999</v>
      </c>
      <c r="P35" t="s">
        <v>44</v>
      </c>
      <c r="Q35">
        <v>4</v>
      </c>
      <c r="R35">
        <v>2.2999999999999998</v>
      </c>
      <c r="S35">
        <v>3.3</v>
      </c>
      <c r="T35">
        <v>2</v>
      </c>
      <c r="U35">
        <v>1</v>
      </c>
      <c r="V35" t="s">
        <v>25</v>
      </c>
    </row>
    <row r="36" spans="1:22" x14ac:dyDescent="0.25">
      <c r="A36" t="s">
        <v>40</v>
      </c>
      <c r="B36">
        <v>1</v>
      </c>
      <c r="C36" t="s">
        <v>41</v>
      </c>
      <c r="D36" t="s">
        <v>42</v>
      </c>
      <c r="E36" t="s">
        <v>43</v>
      </c>
      <c r="F36">
        <v>200</v>
      </c>
      <c r="G36">
        <v>1400</v>
      </c>
      <c r="H36">
        <v>-2</v>
      </c>
      <c r="I36">
        <v>1980</v>
      </c>
      <c r="J36" t="s">
        <v>36</v>
      </c>
      <c r="K36">
        <v>1523</v>
      </c>
      <c r="L36">
        <v>33.130000000000003</v>
      </c>
      <c r="M36">
        <v>12.33</v>
      </c>
      <c r="N36" s="4">
        <f t="shared" si="0"/>
        <v>8.6161356650000021E-2</v>
      </c>
      <c r="O36" s="4">
        <f t="shared" si="1"/>
        <v>1.0623695274945002</v>
      </c>
      <c r="P36" t="s">
        <v>44</v>
      </c>
      <c r="Q36">
        <v>4</v>
      </c>
      <c r="R36">
        <v>4</v>
      </c>
      <c r="S36">
        <v>3.5</v>
      </c>
      <c r="T36">
        <v>4</v>
      </c>
      <c r="U36">
        <v>2.7</v>
      </c>
      <c r="V36" t="s">
        <v>25</v>
      </c>
    </row>
    <row r="37" spans="1:22" x14ac:dyDescent="0.25">
      <c r="A37" t="s">
        <v>40</v>
      </c>
      <c r="B37">
        <v>1</v>
      </c>
      <c r="C37" t="s">
        <v>41</v>
      </c>
      <c r="D37" t="s">
        <v>42</v>
      </c>
      <c r="E37" t="s">
        <v>43</v>
      </c>
      <c r="F37">
        <v>200</v>
      </c>
      <c r="G37">
        <v>1400</v>
      </c>
      <c r="H37">
        <v>-2</v>
      </c>
      <c r="I37">
        <v>1980</v>
      </c>
      <c r="J37" t="s">
        <v>37</v>
      </c>
      <c r="K37">
        <v>1524</v>
      </c>
      <c r="L37">
        <v>12.79</v>
      </c>
      <c r="M37">
        <v>8.82</v>
      </c>
      <c r="N37" s="4">
        <f t="shared" si="0"/>
        <v>1.2841351849999998E-2</v>
      </c>
      <c r="O37" s="4">
        <f t="shared" si="1"/>
        <v>0.11326072331699999</v>
      </c>
      <c r="P37" t="s">
        <v>44</v>
      </c>
      <c r="Q37">
        <v>2.5</v>
      </c>
      <c r="R37">
        <v>3</v>
      </c>
      <c r="S37">
        <v>3.3</v>
      </c>
      <c r="T37">
        <v>4</v>
      </c>
      <c r="U37">
        <v>4</v>
      </c>
      <c r="V37" t="s">
        <v>30</v>
      </c>
    </row>
    <row r="38" spans="1:22" x14ac:dyDescent="0.25">
      <c r="A38" t="s">
        <v>40</v>
      </c>
      <c r="B38">
        <v>2</v>
      </c>
      <c r="C38" t="s">
        <v>41</v>
      </c>
      <c r="D38" t="s">
        <v>42</v>
      </c>
      <c r="E38" t="s">
        <v>43</v>
      </c>
      <c r="F38">
        <v>200</v>
      </c>
      <c r="G38">
        <v>1400</v>
      </c>
      <c r="H38">
        <v>-2</v>
      </c>
      <c r="I38">
        <v>1980</v>
      </c>
      <c r="J38" t="s">
        <v>24</v>
      </c>
      <c r="K38">
        <v>1520</v>
      </c>
      <c r="L38">
        <v>25.92</v>
      </c>
      <c r="M38">
        <v>12.12</v>
      </c>
      <c r="N38" s="4">
        <f t="shared" si="0"/>
        <v>5.2739942400000017E-2</v>
      </c>
      <c r="O38" s="4">
        <f t="shared" si="1"/>
        <v>0.63920810188800015</v>
      </c>
      <c r="P38" t="s">
        <v>44</v>
      </c>
      <c r="Q38">
        <v>3.3</v>
      </c>
      <c r="R38">
        <v>3</v>
      </c>
      <c r="S38">
        <v>4</v>
      </c>
      <c r="T38">
        <v>3.5</v>
      </c>
      <c r="U38">
        <v>3.5</v>
      </c>
      <c r="V38" t="s">
        <v>25</v>
      </c>
    </row>
    <row r="39" spans="1:22" x14ac:dyDescent="0.25">
      <c r="A39" t="s">
        <v>40</v>
      </c>
      <c r="B39">
        <v>2</v>
      </c>
      <c r="C39" t="s">
        <v>41</v>
      </c>
      <c r="D39" t="s">
        <v>42</v>
      </c>
      <c r="E39" t="s">
        <v>43</v>
      </c>
      <c r="F39">
        <v>200</v>
      </c>
      <c r="G39">
        <v>1400</v>
      </c>
      <c r="H39">
        <v>-2</v>
      </c>
      <c r="I39">
        <v>1980</v>
      </c>
      <c r="J39" t="s">
        <v>26</v>
      </c>
      <c r="K39">
        <v>1487</v>
      </c>
      <c r="L39">
        <v>26.94</v>
      </c>
      <c r="M39">
        <v>9.93</v>
      </c>
      <c r="N39" s="4">
        <f t="shared" si="0"/>
        <v>5.697244260000002E-2</v>
      </c>
      <c r="O39" s="4">
        <f t="shared" si="1"/>
        <v>0.56573635501800024</v>
      </c>
      <c r="P39" t="s">
        <v>44</v>
      </c>
      <c r="Q39">
        <v>3.3</v>
      </c>
      <c r="R39">
        <v>4</v>
      </c>
      <c r="S39">
        <v>3</v>
      </c>
      <c r="T39">
        <v>3.5</v>
      </c>
      <c r="U39">
        <v>3</v>
      </c>
      <c r="V39" t="s">
        <v>25</v>
      </c>
    </row>
    <row r="40" spans="1:22" x14ac:dyDescent="0.25">
      <c r="A40" t="s">
        <v>40</v>
      </c>
      <c r="B40">
        <v>2</v>
      </c>
      <c r="C40" t="s">
        <v>41</v>
      </c>
      <c r="D40" t="s">
        <v>42</v>
      </c>
      <c r="E40" t="s">
        <v>43</v>
      </c>
      <c r="F40">
        <v>200</v>
      </c>
      <c r="G40">
        <v>1400</v>
      </c>
      <c r="H40">
        <v>-2</v>
      </c>
      <c r="I40">
        <v>1980</v>
      </c>
      <c r="J40" t="s">
        <v>45</v>
      </c>
      <c r="K40">
        <v>1362</v>
      </c>
      <c r="L40">
        <v>11.88</v>
      </c>
      <c r="M40">
        <v>8.23</v>
      </c>
      <c r="N40" s="4">
        <f t="shared" si="0"/>
        <v>1.1079050400000002E-2</v>
      </c>
      <c r="O40" s="4">
        <f t="shared" si="1"/>
        <v>9.1180584792000016E-2</v>
      </c>
      <c r="P40" t="s">
        <v>44</v>
      </c>
      <c r="Q40">
        <v>2</v>
      </c>
      <c r="R40">
        <v>4</v>
      </c>
      <c r="S40">
        <v>4</v>
      </c>
      <c r="T40">
        <v>4</v>
      </c>
      <c r="U40">
        <v>4</v>
      </c>
      <c r="V40" t="s">
        <v>30</v>
      </c>
    </row>
    <row r="41" spans="1:22" x14ac:dyDescent="0.25">
      <c r="A41" t="s">
        <v>40</v>
      </c>
      <c r="B41">
        <v>2</v>
      </c>
      <c r="C41" t="s">
        <v>41</v>
      </c>
      <c r="D41" t="s">
        <v>42</v>
      </c>
      <c r="E41" t="s">
        <v>43</v>
      </c>
      <c r="F41">
        <v>200</v>
      </c>
      <c r="G41">
        <v>1400</v>
      </c>
      <c r="H41">
        <v>-2</v>
      </c>
      <c r="I41">
        <v>1980</v>
      </c>
      <c r="J41" t="s">
        <v>32</v>
      </c>
      <c r="K41">
        <v>1596</v>
      </c>
      <c r="L41">
        <v>24.42</v>
      </c>
      <c r="M41">
        <v>10.47</v>
      </c>
      <c r="N41" s="4">
        <f t="shared" si="0"/>
        <v>4.6812407400000013E-2</v>
      </c>
      <c r="O41" s="4">
        <f t="shared" si="1"/>
        <v>0.49012590547800017</v>
      </c>
      <c r="P41" t="s">
        <v>44</v>
      </c>
      <c r="Q41">
        <v>4.5</v>
      </c>
      <c r="R41">
        <v>4</v>
      </c>
      <c r="S41">
        <v>4.3</v>
      </c>
      <c r="T41">
        <v>3.7</v>
      </c>
      <c r="U41">
        <v>3.3</v>
      </c>
      <c r="V41" t="s">
        <v>27</v>
      </c>
    </row>
    <row r="42" spans="1:22" x14ac:dyDescent="0.25">
      <c r="A42" t="s">
        <v>40</v>
      </c>
      <c r="B42">
        <v>2</v>
      </c>
      <c r="C42" t="s">
        <v>41</v>
      </c>
      <c r="D42" t="s">
        <v>42</v>
      </c>
      <c r="E42" t="s">
        <v>43</v>
      </c>
      <c r="F42">
        <v>200</v>
      </c>
      <c r="G42">
        <v>1400</v>
      </c>
      <c r="H42">
        <v>-2</v>
      </c>
      <c r="I42">
        <v>1980</v>
      </c>
      <c r="J42" t="s">
        <v>33</v>
      </c>
      <c r="K42">
        <v>2088</v>
      </c>
      <c r="L42">
        <v>31.74</v>
      </c>
      <c r="M42">
        <v>11.69</v>
      </c>
      <c r="N42" s="4">
        <f t="shared" si="0"/>
        <v>7.9083066599999988E-2</v>
      </c>
      <c r="O42" s="4">
        <f t="shared" si="1"/>
        <v>0.92448104855399982</v>
      </c>
      <c r="P42" t="s">
        <v>44</v>
      </c>
      <c r="Q42">
        <v>4</v>
      </c>
      <c r="R42">
        <v>2.5</v>
      </c>
      <c r="S42">
        <v>3</v>
      </c>
      <c r="T42">
        <v>3</v>
      </c>
      <c r="U42">
        <v>2</v>
      </c>
      <c r="V42" t="s">
        <v>25</v>
      </c>
    </row>
    <row r="43" spans="1:22" x14ac:dyDescent="0.25">
      <c r="A43" t="s">
        <v>40</v>
      </c>
      <c r="B43">
        <v>2</v>
      </c>
      <c r="C43" t="s">
        <v>41</v>
      </c>
      <c r="D43" t="s">
        <v>42</v>
      </c>
      <c r="E43" t="s">
        <v>43</v>
      </c>
      <c r="F43">
        <v>200</v>
      </c>
      <c r="G43">
        <v>1400</v>
      </c>
      <c r="H43">
        <v>-2</v>
      </c>
      <c r="I43">
        <v>1980</v>
      </c>
      <c r="J43" t="s">
        <v>34</v>
      </c>
      <c r="K43">
        <v>1522</v>
      </c>
      <c r="L43">
        <v>39.72</v>
      </c>
      <c r="M43">
        <v>13.82</v>
      </c>
      <c r="N43" s="4">
        <f t="shared" si="0"/>
        <v>0.1238477544</v>
      </c>
      <c r="O43" s="4">
        <f t="shared" si="1"/>
        <v>1.7115759658080001</v>
      </c>
      <c r="P43" t="s">
        <v>44</v>
      </c>
      <c r="Q43">
        <v>5</v>
      </c>
      <c r="R43">
        <v>4</v>
      </c>
      <c r="S43">
        <v>3.3</v>
      </c>
      <c r="T43">
        <v>3</v>
      </c>
      <c r="U43">
        <v>2</v>
      </c>
      <c r="V43" t="s">
        <v>27</v>
      </c>
    </row>
    <row r="44" spans="1:22" x14ac:dyDescent="0.25">
      <c r="A44" t="s">
        <v>40</v>
      </c>
      <c r="B44">
        <v>2</v>
      </c>
      <c r="C44" t="s">
        <v>41</v>
      </c>
      <c r="D44" t="s">
        <v>42</v>
      </c>
      <c r="E44" t="s">
        <v>43</v>
      </c>
      <c r="F44">
        <v>200</v>
      </c>
      <c r="G44">
        <v>1400</v>
      </c>
      <c r="H44">
        <v>-2</v>
      </c>
      <c r="I44">
        <v>1980</v>
      </c>
      <c r="J44" t="s">
        <v>35</v>
      </c>
      <c r="K44">
        <v>1521</v>
      </c>
      <c r="L44">
        <v>31.38</v>
      </c>
      <c r="M44">
        <v>13.32</v>
      </c>
      <c r="N44" s="4">
        <f t="shared" si="0"/>
        <v>7.7299295399999982E-2</v>
      </c>
      <c r="O44" s="4">
        <f t="shared" si="1"/>
        <v>1.0296266147279998</v>
      </c>
      <c r="P44" t="s">
        <v>44</v>
      </c>
      <c r="Q44">
        <v>4.3</v>
      </c>
      <c r="R44">
        <v>2.7</v>
      </c>
      <c r="S44">
        <v>4</v>
      </c>
      <c r="T44">
        <v>3.5</v>
      </c>
      <c r="U44">
        <v>3.3</v>
      </c>
      <c r="V44" t="s">
        <v>27</v>
      </c>
    </row>
    <row r="45" spans="1:22" x14ac:dyDescent="0.25">
      <c r="A45" t="s">
        <v>40</v>
      </c>
      <c r="B45">
        <v>2</v>
      </c>
      <c r="C45" t="s">
        <v>41</v>
      </c>
      <c r="D45" t="s">
        <v>42</v>
      </c>
      <c r="E45" t="s">
        <v>43</v>
      </c>
      <c r="F45">
        <v>200</v>
      </c>
      <c r="G45">
        <v>1400</v>
      </c>
      <c r="H45">
        <v>-2</v>
      </c>
      <c r="I45">
        <v>1980</v>
      </c>
      <c r="J45" t="s">
        <v>36</v>
      </c>
      <c r="K45">
        <v>1523</v>
      </c>
      <c r="L45">
        <v>31.72</v>
      </c>
      <c r="M45">
        <v>9.9600000000000009</v>
      </c>
      <c r="N45" s="4">
        <f t="shared" si="0"/>
        <v>7.8983434399999997E-2</v>
      </c>
      <c r="O45" s="4">
        <f t="shared" si="1"/>
        <v>0.78667500662400003</v>
      </c>
      <c r="P45" t="s">
        <v>44</v>
      </c>
      <c r="Q45">
        <v>4.5</v>
      </c>
      <c r="R45">
        <v>4</v>
      </c>
      <c r="S45">
        <v>3.5</v>
      </c>
      <c r="T45">
        <v>3.5</v>
      </c>
      <c r="U45">
        <v>3</v>
      </c>
      <c r="V45" t="s">
        <v>27</v>
      </c>
    </row>
    <row r="46" spans="1:22" x14ac:dyDescent="0.25">
      <c r="A46" t="s">
        <v>40</v>
      </c>
      <c r="B46">
        <v>2</v>
      </c>
      <c r="C46" t="s">
        <v>41</v>
      </c>
      <c r="D46" t="s">
        <v>42</v>
      </c>
      <c r="E46" t="s">
        <v>43</v>
      </c>
      <c r="F46">
        <v>200</v>
      </c>
      <c r="G46">
        <v>1400</v>
      </c>
      <c r="H46">
        <v>-2</v>
      </c>
      <c r="I46">
        <v>1980</v>
      </c>
      <c r="J46" t="s">
        <v>37</v>
      </c>
      <c r="K46">
        <v>1524</v>
      </c>
      <c r="L46">
        <v>23.36</v>
      </c>
      <c r="M46">
        <v>10.33</v>
      </c>
      <c r="N46" s="4">
        <f t="shared" si="0"/>
        <v>4.28366336E-2</v>
      </c>
      <c r="O46" s="4">
        <f t="shared" si="1"/>
        <v>0.44250242508800003</v>
      </c>
      <c r="P46" t="s">
        <v>44</v>
      </c>
      <c r="Q46">
        <v>3.3</v>
      </c>
      <c r="R46">
        <v>3</v>
      </c>
      <c r="S46">
        <v>3</v>
      </c>
      <c r="T46">
        <v>4</v>
      </c>
      <c r="U46">
        <v>4</v>
      </c>
      <c r="V46" t="s">
        <v>25</v>
      </c>
    </row>
    <row r="47" spans="1:22" x14ac:dyDescent="0.25">
      <c r="A47" t="s">
        <v>40</v>
      </c>
      <c r="B47">
        <v>3</v>
      </c>
      <c r="C47" t="s">
        <v>41</v>
      </c>
      <c r="D47" t="s">
        <v>42</v>
      </c>
      <c r="E47" t="s">
        <v>43</v>
      </c>
      <c r="F47">
        <v>200</v>
      </c>
      <c r="G47">
        <v>1400</v>
      </c>
      <c r="H47">
        <v>-2</v>
      </c>
      <c r="I47">
        <v>1980</v>
      </c>
      <c r="J47" t="s">
        <v>24</v>
      </c>
      <c r="K47">
        <v>1520</v>
      </c>
      <c r="L47">
        <v>13.99</v>
      </c>
      <c r="M47">
        <v>5.59</v>
      </c>
      <c r="N47" s="4">
        <f t="shared" si="0"/>
        <v>1.5364027849999998E-2</v>
      </c>
      <c r="O47" s="4">
        <f t="shared" si="1"/>
        <v>8.5884915681499988E-2</v>
      </c>
      <c r="P47" t="s">
        <v>44</v>
      </c>
      <c r="Q47">
        <v>2</v>
      </c>
      <c r="R47">
        <v>4</v>
      </c>
      <c r="S47">
        <v>3</v>
      </c>
      <c r="T47">
        <v>4</v>
      </c>
      <c r="U47">
        <v>3</v>
      </c>
      <c r="V47" t="s">
        <v>30</v>
      </c>
    </row>
    <row r="48" spans="1:22" x14ac:dyDescent="0.25">
      <c r="A48" t="s">
        <v>40</v>
      </c>
      <c r="B48">
        <v>3</v>
      </c>
      <c r="C48" t="s">
        <v>41</v>
      </c>
      <c r="D48" t="s">
        <v>42</v>
      </c>
      <c r="E48" t="s">
        <v>43</v>
      </c>
      <c r="F48">
        <v>200</v>
      </c>
      <c r="G48">
        <v>1400</v>
      </c>
      <c r="H48">
        <v>-2</v>
      </c>
      <c r="I48">
        <v>1980</v>
      </c>
      <c r="J48" t="s">
        <v>26</v>
      </c>
      <c r="K48">
        <v>1487</v>
      </c>
      <c r="L48">
        <v>3.0720000000000001</v>
      </c>
      <c r="M48">
        <v>9.93</v>
      </c>
      <c r="N48" s="4">
        <f t="shared" si="0"/>
        <v>7.4081894399999999E-4</v>
      </c>
      <c r="O48" s="4">
        <f t="shared" si="1"/>
        <v>7.3563321139199995E-3</v>
      </c>
      <c r="P48" t="s">
        <v>44</v>
      </c>
      <c r="Q48">
        <v>3</v>
      </c>
      <c r="R48">
        <v>4</v>
      </c>
      <c r="S48">
        <v>2</v>
      </c>
      <c r="T48">
        <v>2</v>
      </c>
      <c r="U48">
        <v>1</v>
      </c>
      <c r="V48" t="s">
        <v>25</v>
      </c>
    </row>
    <row r="49" spans="1:22" x14ac:dyDescent="0.25">
      <c r="A49" t="s">
        <v>40</v>
      </c>
      <c r="B49">
        <v>3</v>
      </c>
      <c r="C49" t="s">
        <v>41</v>
      </c>
      <c r="D49" t="s">
        <v>42</v>
      </c>
      <c r="E49" t="s">
        <v>43</v>
      </c>
      <c r="F49">
        <v>200</v>
      </c>
      <c r="G49">
        <v>1400</v>
      </c>
      <c r="H49">
        <v>-2</v>
      </c>
      <c r="I49">
        <v>1980</v>
      </c>
      <c r="J49" t="s">
        <v>45</v>
      </c>
      <c r="K49">
        <v>1362</v>
      </c>
      <c r="L49">
        <v>26.5</v>
      </c>
      <c r="M49">
        <v>10.97</v>
      </c>
      <c r="N49" s="4">
        <f t="shared" si="0"/>
        <v>5.5126625000000012E-2</v>
      </c>
      <c r="O49" s="4">
        <f t="shared" si="1"/>
        <v>0.60473907625000012</v>
      </c>
      <c r="P49" t="s">
        <v>44</v>
      </c>
      <c r="Q49">
        <v>3.5</v>
      </c>
      <c r="R49">
        <v>3.5</v>
      </c>
      <c r="S49">
        <v>3.7</v>
      </c>
      <c r="T49">
        <v>4</v>
      </c>
      <c r="U49">
        <v>3.7</v>
      </c>
      <c r="V49" t="s">
        <v>25</v>
      </c>
    </row>
    <row r="50" spans="1:22" x14ac:dyDescent="0.25">
      <c r="A50" t="s">
        <v>40</v>
      </c>
      <c r="B50">
        <v>3</v>
      </c>
      <c r="C50" t="s">
        <v>41</v>
      </c>
      <c r="D50" t="s">
        <v>42</v>
      </c>
      <c r="E50" t="s">
        <v>43</v>
      </c>
      <c r="F50">
        <v>200</v>
      </c>
      <c r="G50">
        <v>1400</v>
      </c>
      <c r="H50">
        <v>-2</v>
      </c>
      <c r="I50">
        <v>1980</v>
      </c>
      <c r="J50" t="s">
        <v>32</v>
      </c>
      <c r="K50">
        <v>1596</v>
      </c>
      <c r="L50">
        <v>24.42</v>
      </c>
      <c r="M50">
        <v>7.85</v>
      </c>
      <c r="N50" s="4">
        <f t="shared" si="0"/>
        <v>4.6812407400000013E-2</v>
      </c>
      <c r="O50" s="4">
        <f t="shared" si="1"/>
        <v>0.36747739809000007</v>
      </c>
      <c r="P50" t="s">
        <v>44</v>
      </c>
      <c r="Q50">
        <v>3</v>
      </c>
      <c r="R50">
        <v>3.5</v>
      </c>
      <c r="S50">
        <v>3.3</v>
      </c>
      <c r="T50">
        <v>3.3</v>
      </c>
      <c r="U50">
        <v>3.3</v>
      </c>
      <c r="V50" t="s">
        <v>25</v>
      </c>
    </row>
    <row r="51" spans="1:22" x14ac:dyDescent="0.25">
      <c r="A51" t="s">
        <v>40</v>
      </c>
      <c r="B51">
        <v>3</v>
      </c>
      <c r="C51" t="s">
        <v>41</v>
      </c>
      <c r="D51" t="s">
        <v>42</v>
      </c>
      <c r="E51" t="s">
        <v>43</v>
      </c>
      <c r="F51">
        <v>200</v>
      </c>
      <c r="G51">
        <v>1400</v>
      </c>
      <c r="H51">
        <v>-2</v>
      </c>
      <c r="I51">
        <v>1980</v>
      </c>
      <c r="J51" t="s">
        <v>33</v>
      </c>
      <c r="K51">
        <v>2088</v>
      </c>
      <c r="L51">
        <v>32.99</v>
      </c>
      <c r="M51">
        <v>12.53</v>
      </c>
      <c r="N51" s="4">
        <f t="shared" si="0"/>
        <v>8.5434697850000019E-2</v>
      </c>
      <c r="O51" s="4">
        <f t="shared" si="1"/>
        <v>1.0704967640605001</v>
      </c>
      <c r="P51" t="s">
        <v>44</v>
      </c>
      <c r="Q51">
        <v>5</v>
      </c>
      <c r="R51">
        <v>2.5</v>
      </c>
      <c r="S51">
        <v>4</v>
      </c>
      <c r="T51">
        <v>3</v>
      </c>
      <c r="U51">
        <v>2</v>
      </c>
      <c r="V51" t="s">
        <v>25</v>
      </c>
    </row>
    <row r="52" spans="1:22" x14ac:dyDescent="0.25">
      <c r="A52" t="s">
        <v>40</v>
      </c>
      <c r="B52">
        <v>3</v>
      </c>
      <c r="C52" t="s">
        <v>41</v>
      </c>
      <c r="D52" t="s">
        <v>42</v>
      </c>
      <c r="E52" t="s">
        <v>43</v>
      </c>
      <c r="F52">
        <v>200</v>
      </c>
      <c r="G52">
        <v>1400</v>
      </c>
      <c r="H52">
        <v>-2</v>
      </c>
      <c r="I52">
        <v>1980</v>
      </c>
      <c r="J52" t="s">
        <v>34</v>
      </c>
      <c r="K52">
        <v>1522</v>
      </c>
      <c r="L52">
        <v>30.48</v>
      </c>
      <c r="M52">
        <v>12.09</v>
      </c>
      <c r="N52" s="4">
        <f t="shared" si="0"/>
        <v>7.2928886400000004E-2</v>
      </c>
      <c r="O52" s="4">
        <f t="shared" si="1"/>
        <v>0.88171023657600001</v>
      </c>
      <c r="P52" t="s">
        <v>44</v>
      </c>
      <c r="Q52">
        <v>4.5</v>
      </c>
      <c r="R52">
        <v>4</v>
      </c>
      <c r="S52">
        <v>3.5</v>
      </c>
      <c r="T52">
        <v>3.5</v>
      </c>
      <c r="U52">
        <v>2.5</v>
      </c>
      <c r="V52" t="s">
        <v>27</v>
      </c>
    </row>
    <row r="53" spans="1:22" x14ac:dyDescent="0.25">
      <c r="A53" t="s">
        <v>40</v>
      </c>
      <c r="B53">
        <v>3</v>
      </c>
      <c r="C53" t="s">
        <v>41</v>
      </c>
      <c r="D53" t="s">
        <v>42</v>
      </c>
      <c r="E53" t="s">
        <v>43</v>
      </c>
      <c r="F53">
        <v>200</v>
      </c>
      <c r="G53">
        <v>1400</v>
      </c>
      <c r="H53">
        <v>-2</v>
      </c>
      <c r="I53">
        <v>1980</v>
      </c>
      <c r="J53" t="s">
        <v>35</v>
      </c>
      <c r="K53">
        <v>1521</v>
      </c>
      <c r="L53">
        <v>9.99</v>
      </c>
      <c r="M53">
        <v>7.49</v>
      </c>
      <c r="N53" s="4">
        <f t="shared" si="0"/>
        <v>7.8343078500000014E-3</v>
      </c>
      <c r="O53" s="4">
        <f t="shared" si="1"/>
        <v>5.8678965796500011E-2</v>
      </c>
      <c r="P53" t="s">
        <v>44</v>
      </c>
      <c r="Q53">
        <v>2</v>
      </c>
      <c r="R53">
        <v>2</v>
      </c>
      <c r="S53">
        <v>3</v>
      </c>
      <c r="T53">
        <v>4</v>
      </c>
      <c r="U53">
        <v>4</v>
      </c>
      <c r="V53" t="s">
        <v>30</v>
      </c>
    </row>
    <row r="54" spans="1:22" x14ac:dyDescent="0.25">
      <c r="A54" t="s">
        <v>40</v>
      </c>
      <c r="B54">
        <v>3</v>
      </c>
      <c r="C54" t="s">
        <v>41</v>
      </c>
      <c r="D54" t="s">
        <v>42</v>
      </c>
      <c r="E54" t="s">
        <v>43</v>
      </c>
      <c r="F54">
        <v>200</v>
      </c>
      <c r="G54">
        <v>1400</v>
      </c>
      <c r="H54">
        <v>-2</v>
      </c>
      <c r="I54">
        <v>1980</v>
      </c>
      <c r="J54" t="s">
        <v>36</v>
      </c>
      <c r="K54">
        <v>1523</v>
      </c>
      <c r="L54">
        <v>39.65</v>
      </c>
      <c r="M54">
        <v>10.56</v>
      </c>
      <c r="N54" s="4">
        <f t="shared" si="0"/>
        <v>0.12341161624999998</v>
      </c>
      <c r="O54" s="4">
        <f t="shared" si="1"/>
        <v>1.3032266675999999</v>
      </c>
      <c r="P54" t="s">
        <v>44</v>
      </c>
      <c r="Q54">
        <v>4</v>
      </c>
      <c r="R54">
        <v>4.5</v>
      </c>
      <c r="S54">
        <v>3</v>
      </c>
      <c r="T54">
        <v>3</v>
      </c>
      <c r="U54">
        <v>1</v>
      </c>
      <c r="V54" t="s">
        <v>27</v>
      </c>
    </row>
    <row r="55" spans="1:22" x14ac:dyDescent="0.25">
      <c r="A55" t="s">
        <v>40</v>
      </c>
      <c r="B55">
        <v>3</v>
      </c>
      <c r="C55" t="s">
        <v>41</v>
      </c>
      <c r="D55" t="s">
        <v>42</v>
      </c>
      <c r="E55" t="s">
        <v>43</v>
      </c>
      <c r="F55">
        <v>200</v>
      </c>
      <c r="G55">
        <v>1400</v>
      </c>
      <c r="H55">
        <v>-2</v>
      </c>
      <c r="I55">
        <v>1980</v>
      </c>
      <c r="J55" t="s">
        <v>37</v>
      </c>
      <c r="K55">
        <v>1524</v>
      </c>
      <c r="L55">
        <v>22.72</v>
      </c>
      <c r="M55">
        <v>11.52</v>
      </c>
      <c r="N55" s="4">
        <f t="shared" si="0"/>
        <v>4.0521574399999996E-2</v>
      </c>
      <c r="O55" s="4">
        <f t="shared" si="1"/>
        <v>0.46680853708799996</v>
      </c>
      <c r="P55" t="s">
        <v>44</v>
      </c>
      <c r="Q55">
        <v>3</v>
      </c>
      <c r="R55">
        <v>2.5</v>
      </c>
      <c r="S55">
        <v>3.5</v>
      </c>
      <c r="T55">
        <v>3.5</v>
      </c>
      <c r="U55">
        <v>2.8</v>
      </c>
      <c r="V55" t="s">
        <v>25</v>
      </c>
    </row>
    <row r="56" spans="1:22" x14ac:dyDescent="0.25">
      <c r="A56" t="s">
        <v>46</v>
      </c>
      <c r="B56">
        <v>1</v>
      </c>
      <c r="C56" t="s">
        <v>47</v>
      </c>
      <c r="D56" t="s">
        <v>48</v>
      </c>
      <c r="E56" t="s">
        <v>49</v>
      </c>
      <c r="F56">
        <v>130</v>
      </c>
      <c r="G56">
        <v>1000</v>
      </c>
      <c r="H56">
        <v>-3</v>
      </c>
      <c r="I56">
        <v>1980</v>
      </c>
      <c r="J56" t="s">
        <v>24</v>
      </c>
      <c r="K56">
        <v>1520</v>
      </c>
      <c r="L56">
        <v>10.1</v>
      </c>
      <c r="M56">
        <v>8.1999999999999993</v>
      </c>
      <c r="N56" s="4">
        <f t="shared" si="0"/>
        <v>8.0077849999999982E-3</v>
      </c>
      <c r="O56" s="4">
        <f t="shared" si="1"/>
        <v>6.5663836999999975E-2</v>
      </c>
      <c r="P56">
        <v>60</v>
      </c>
      <c r="Q56">
        <v>3</v>
      </c>
      <c r="R56">
        <v>4</v>
      </c>
      <c r="S56">
        <v>3.5</v>
      </c>
      <c r="T56">
        <v>3.5</v>
      </c>
      <c r="U56">
        <v>3.2</v>
      </c>
      <c r="V56" t="s">
        <v>38</v>
      </c>
    </row>
    <row r="57" spans="1:22" x14ac:dyDescent="0.25">
      <c r="A57" t="s">
        <v>46</v>
      </c>
      <c r="B57">
        <v>1</v>
      </c>
      <c r="C57" t="s">
        <v>47</v>
      </c>
      <c r="D57" t="s">
        <v>48</v>
      </c>
      <c r="E57" t="s">
        <v>49</v>
      </c>
      <c r="F57">
        <v>130</v>
      </c>
      <c r="G57">
        <v>1000</v>
      </c>
      <c r="H57">
        <v>-3</v>
      </c>
      <c r="I57">
        <v>1980</v>
      </c>
      <c r="J57" t="s">
        <v>45</v>
      </c>
      <c r="K57">
        <v>1362</v>
      </c>
      <c r="L57">
        <v>4.7</v>
      </c>
      <c r="M57">
        <v>5.5</v>
      </c>
      <c r="N57" s="4">
        <f t="shared" si="0"/>
        <v>1.7340650000000001E-3</v>
      </c>
      <c r="O57" s="4">
        <f t="shared" si="1"/>
        <v>9.5373575000000013E-3</v>
      </c>
      <c r="P57">
        <v>20</v>
      </c>
      <c r="Q57">
        <v>1</v>
      </c>
      <c r="R57">
        <v>1.5</v>
      </c>
      <c r="S57">
        <v>2</v>
      </c>
      <c r="T57">
        <v>3</v>
      </c>
      <c r="U57">
        <v>3</v>
      </c>
      <c r="V57" t="s">
        <v>50</v>
      </c>
    </row>
    <row r="58" spans="1:22" x14ac:dyDescent="0.25">
      <c r="A58" t="s">
        <v>46</v>
      </c>
      <c r="B58">
        <v>1</v>
      </c>
      <c r="C58" t="s">
        <v>47</v>
      </c>
      <c r="D58" t="s">
        <v>48</v>
      </c>
      <c r="E58" t="s">
        <v>49</v>
      </c>
      <c r="F58">
        <v>130</v>
      </c>
      <c r="G58">
        <v>1000</v>
      </c>
      <c r="H58">
        <v>-3</v>
      </c>
      <c r="I58">
        <v>1980</v>
      </c>
      <c r="J58" t="s">
        <v>32</v>
      </c>
      <c r="K58">
        <v>1596</v>
      </c>
      <c r="L58">
        <v>17</v>
      </c>
      <c r="M58">
        <v>12.6</v>
      </c>
      <c r="N58" s="4">
        <f t="shared" si="0"/>
        <v>2.2686500000000005E-2</v>
      </c>
      <c r="O58" s="4">
        <f t="shared" si="1"/>
        <v>0.28584990000000005</v>
      </c>
      <c r="P58">
        <v>50</v>
      </c>
      <c r="Q58">
        <v>4.3</v>
      </c>
      <c r="R58">
        <v>4</v>
      </c>
      <c r="S58">
        <v>3.2</v>
      </c>
      <c r="T58">
        <v>4</v>
      </c>
      <c r="U58">
        <v>3.5</v>
      </c>
      <c r="V58" t="s">
        <v>25</v>
      </c>
    </row>
    <row r="59" spans="1:22" x14ac:dyDescent="0.25">
      <c r="A59" t="s">
        <v>46</v>
      </c>
      <c r="B59">
        <v>1</v>
      </c>
      <c r="C59" t="s">
        <v>47</v>
      </c>
      <c r="D59" t="s">
        <v>48</v>
      </c>
      <c r="E59" t="s">
        <v>49</v>
      </c>
      <c r="F59">
        <v>130</v>
      </c>
      <c r="G59">
        <v>1000</v>
      </c>
      <c r="H59">
        <v>-3</v>
      </c>
      <c r="I59">
        <v>1980</v>
      </c>
      <c r="J59" t="s">
        <v>33</v>
      </c>
      <c r="K59">
        <v>2088</v>
      </c>
      <c r="L59">
        <v>10.3</v>
      </c>
      <c r="M59">
        <v>9.4</v>
      </c>
      <c r="N59" s="4">
        <f t="shared" si="0"/>
        <v>8.3280650000000025E-3</v>
      </c>
      <c r="O59" s="4">
        <f t="shared" si="1"/>
        <v>7.8283811000000023E-2</v>
      </c>
      <c r="P59">
        <v>80</v>
      </c>
      <c r="Q59">
        <v>3</v>
      </c>
      <c r="R59">
        <v>2.5</v>
      </c>
      <c r="S59">
        <v>3</v>
      </c>
      <c r="T59">
        <v>3</v>
      </c>
      <c r="U59">
        <v>3</v>
      </c>
      <c r="V59" t="s">
        <v>25</v>
      </c>
    </row>
    <row r="60" spans="1:22" x14ac:dyDescent="0.25">
      <c r="A60" t="s">
        <v>46</v>
      </c>
      <c r="B60">
        <v>1</v>
      </c>
      <c r="C60" t="s">
        <v>47</v>
      </c>
      <c r="D60" t="s">
        <v>48</v>
      </c>
      <c r="E60" t="s">
        <v>49</v>
      </c>
      <c r="F60">
        <v>130</v>
      </c>
      <c r="G60">
        <v>1000</v>
      </c>
      <c r="H60">
        <v>-3</v>
      </c>
      <c r="I60">
        <v>1980</v>
      </c>
      <c r="J60" t="s">
        <v>34</v>
      </c>
      <c r="K60">
        <v>1522</v>
      </c>
      <c r="L60">
        <v>21.6</v>
      </c>
      <c r="M60">
        <v>12</v>
      </c>
      <c r="N60" s="4">
        <f t="shared" si="0"/>
        <v>3.6624960000000012E-2</v>
      </c>
      <c r="O60" s="4">
        <f t="shared" si="1"/>
        <v>0.43949952000000014</v>
      </c>
      <c r="P60">
        <v>40</v>
      </c>
      <c r="Q60">
        <v>4</v>
      </c>
      <c r="R60">
        <v>3.7</v>
      </c>
      <c r="S60">
        <v>3.5</v>
      </c>
      <c r="T60">
        <v>3.5</v>
      </c>
      <c r="U60">
        <v>3</v>
      </c>
      <c r="V60" t="s">
        <v>25</v>
      </c>
    </row>
    <row r="61" spans="1:22" x14ac:dyDescent="0.25">
      <c r="A61" t="s">
        <v>46</v>
      </c>
      <c r="B61">
        <v>1</v>
      </c>
      <c r="C61" t="s">
        <v>47</v>
      </c>
      <c r="D61" t="s">
        <v>48</v>
      </c>
      <c r="E61" t="s">
        <v>49</v>
      </c>
      <c r="F61">
        <v>130</v>
      </c>
      <c r="G61">
        <v>1000</v>
      </c>
      <c r="H61">
        <v>-3</v>
      </c>
      <c r="I61">
        <v>1980</v>
      </c>
      <c r="J61" t="s">
        <v>35</v>
      </c>
      <c r="K61">
        <v>1521</v>
      </c>
      <c r="L61">
        <v>11.3</v>
      </c>
      <c r="M61">
        <v>10</v>
      </c>
      <c r="N61" s="4">
        <f t="shared" si="0"/>
        <v>1.0023665000000001E-2</v>
      </c>
      <c r="O61" s="4">
        <f t="shared" si="1"/>
        <v>0.10023665000000001</v>
      </c>
      <c r="P61">
        <v>40</v>
      </c>
      <c r="Q61">
        <v>2.7</v>
      </c>
      <c r="R61">
        <v>2</v>
      </c>
      <c r="S61">
        <v>3.2</v>
      </c>
      <c r="T61">
        <v>4</v>
      </c>
      <c r="U61">
        <v>3</v>
      </c>
      <c r="V61" t="s">
        <v>38</v>
      </c>
    </row>
    <row r="62" spans="1:22" x14ac:dyDescent="0.25">
      <c r="A62" t="s">
        <v>46</v>
      </c>
      <c r="B62">
        <v>1</v>
      </c>
      <c r="C62" t="s">
        <v>47</v>
      </c>
      <c r="D62" t="s">
        <v>48</v>
      </c>
      <c r="E62" t="s">
        <v>49</v>
      </c>
      <c r="F62">
        <v>130</v>
      </c>
      <c r="G62">
        <v>1000</v>
      </c>
      <c r="H62">
        <v>-3</v>
      </c>
      <c r="I62">
        <v>1980</v>
      </c>
      <c r="J62" t="s">
        <v>36</v>
      </c>
      <c r="K62">
        <v>1523</v>
      </c>
      <c r="L62">
        <v>12.7</v>
      </c>
      <c r="M62">
        <v>9.3000000000000007</v>
      </c>
      <c r="N62" s="4">
        <f t="shared" si="0"/>
        <v>1.2661265000000001E-2</v>
      </c>
      <c r="O62" s="4">
        <f t="shared" si="1"/>
        <v>0.11774976450000002</v>
      </c>
      <c r="P62">
        <v>80</v>
      </c>
      <c r="Q62">
        <v>2.9</v>
      </c>
      <c r="R62">
        <v>4</v>
      </c>
      <c r="S62">
        <v>3.2</v>
      </c>
      <c r="T62">
        <v>3.9</v>
      </c>
      <c r="U62">
        <v>3.4</v>
      </c>
      <c r="V62" t="s">
        <v>25</v>
      </c>
    </row>
    <row r="63" spans="1:22" x14ac:dyDescent="0.25">
      <c r="A63" t="s">
        <v>46</v>
      </c>
      <c r="B63">
        <v>1</v>
      </c>
      <c r="C63" t="s">
        <v>47</v>
      </c>
      <c r="D63" t="s">
        <v>48</v>
      </c>
      <c r="E63" t="s">
        <v>49</v>
      </c>
      <c r="F63">
        <v>130</v>
      </c>
      <c r="G63">
        <v>1000</v>
      </c>
      <c r="H63">
        <v>-3</v>
      </c>
      <c r="I63">
        <v>1980</v>
      </c>
      <c r="J63" t="s">
        <v>37</v>
      </c>
      <c r="K63">
        <v>1524</v>
      </c>
      <c r="L63">
        <v>5.4</v>
      </c>
      <c r="M63">
        <v>4.5</v>
      </c>
      <c r="N63" s="4">
        <f t="shared" si="0"/>
        <v>2.2890600000000007E-3</v>
      </c>
      <c r="O63" s="4">
        <f t="shared" si="1"/>
        <v>1.0300770000000004E-2</v>
      </c>
      <c r="P63">
        <v>20</v>
      </c>
      <c r="Q63">
        <v>1</v>
      </c>
      <c r="R63">
        <v>2</v>
      </c>
      <c r="S63">
        <v>3</v>
      </c>
      <c r="T63">
        <v>3</v>
      </c>
      <c r="U63">
        <v>3</v>
      </c>
      <c r="V63" t="s">
        <v>50</v>
      </c>
    </row>
    <row r="64" spans="1:22" x14ac:dyDescent="0.25">
      <c r="A64" t="s">
        <v>46</v>
      </c>
      <c r="B64">
        <v>2</v>
      </c>
      <c r="C64" t="s">
        <v>47</v>
      </c>
      <c r="D64" t="s">
        <v>48</v>
      </c>
      <c r="E64" t="s">
        <v>49</v>
      </c>
      <c r="F64">
        <v>130</v>
      </c>
      <c r="G64">
        <v>1000</v>
      </c>
      <c r="H64">
        <v>-3</v>
      </c>
      <c r="I64">
        <v>1980</v>
      </c>
      <c r="J64" t="s">
        <v>24</v>
      </c>
      <c r="K64">
        <v>1520</v>
      </c>
      <c r="L64">
        <v>6.8</v>
      </c>
      <c r="M64">
        <v>5.5</v>
      </c>
      <c r="N64" s="4">
        <f t="shared" si="0"/>
        <v>3.6298400000000005E-3</v>
      </c>
      <c r="O64" s="4">
        <f t="shared" si="1"/>
        <v>1.9964120000000002E-2</v>
      </c>
      <c r="P64">
        <v>60</v>
      </c>
      <c r="Q64">
        <v>2.5</v>
      </c>
      <c r="R64">
        <v>3.5</v>
      </c>
      <c r="S64">
        <v>3.5</v>
      </c>
      <c r="T64">
        <v>3.5</v>
      </c>
      <c r="U64">
        <v>3</v>
      </c>
      <c r="V64" t="s">
        <v>30</v>
      </c>
    </row>
    <row r="65" spans="1:22" x14ac:dyDescent="0.25">
      <c r="A65" t="s">
        <v>46</v>
      </c>
      <c r="B65">
        <v>2</v>
      </c>
      <c r="C65" t="s">
        <v>47</v>
      </c>
      <c r="D65" t="s">
        <v>48</v>
      </c>
      <c r="E65" t="s">
        <v>49</v>
      </c>
      <c r="F65">
        <v>130</v>
      </c>
      <c r="G65">
        <v>1000</v>
      </c>
      <c r="H65">
        <v>-3</v>
      </c>
      <c r="I65">
        <v>1980</v>
      </c>
      <c r="J65" t="s">
        <v>26</v>
      </c>
      <c r="K65">
        <v>1487</v>
      </c>
      <c r="L65">
        <v>17.8</v>
      </c>
      <c r="M65">
        <v>10</v>
      </c>
      <c r="N65" s="4">
        <f t="shared" si="0"/>
        <v>2.4871940000000006E-2</v>
      </c>
      <c r="O65" s="4">
        <f t="shared" si="1"/>
        <v>0.24871940000000006</v>
      </c>
      <c r="P65">
        <v>10</v>
      </c>
      <c r="Q65">
        <v>4</v>
      </c>
      <c r="R65">
        <v>4</v>
      </c>
      <c r="S65">
        <v>3.5</v>
      </c>
      <c r="T65">
        <v>4</v>
      </c>
      <c r="U65">
        <v>2</v>
      </c>
      <c r="V65" t="s">
        <v>25</v>
      </c>
    </row>
    <row r="66" spans="1:22" x14ac:dyDescent="0.25">
      <c r="A66" t="s">
        <v>46</v>
      </c>
      <c r="B66">
        <v>2</v>
      </c>
      <c r="C66" t="s">
        <v>47</v>
      </c>
      <c r="D66" t="s">
        <v>48</v>
      </c>
      <c r="E66" t="s">
        <v>49</v>
      </c>
      <c r="F66">
        <v>130</v>
      </c>
      <c r="G66">
        <v>1000</v>
      </c>
      <c r="H66">
        <v>-3</v>
      </c>
      <c r="I66">
        <v>1980</v>
      </c>
      <c r="J66" t="s">
        <v>32</v>
      </c>
      <c r="K66">
        <v>1596</v>
      </c>
      <c r="L66">
        <v>20.399999999999999</v>
      </c>
      <c r="M66">
        <v>10.199999999999999</v>
      </c>
      <c r="N66" s="4">
        <f t="shared" si="0"/>
        <v>3.2668559999999999E-2</v>
      </c>
      <c r="O66" s="4">
        <f t="shared" si="1"/>
        <v>0.33321931199999999</v>
      </c>
      <c r="P66">
        <v>60</v>
      </c>
      <c r="Q66">
        <v>4</v>
      </c>
      <c r="R66">
        <v>4</v>
      </c>
      <c r="S66">
        <v>3</v>
      </c>
      <c r="T66">
        <v>3</v>
      </c>
      <c r="U66">
        <v>2.5</v>
      </c>
      <c r="V66" t="s">
        <v>25</v>
      </c>
    </row>
    <row r="67" spans="1:22" x14ac:dyDescent="0.25">
      <c r="A67" t="s">
        <v>46</v>
      </c>
      <c r="B67">
        <v>2</v>
      </c>
      <c r="C67" t="s">
        <v>47</v>
      </c>
      <c r="D67" t="s">
        <v>48</v>
      </c>
      <c r="E67" t="s">
        <v>49</v>
      </c>
      <c r="F67">
        <v>130</v>
      </c>
      <c r="G67">
        <v>1000</v>
      </c>
      <c r="H67">
        <v>-3</v>
      </c>
      <c r="I67">
        <v>1980</v>
      </c>
      <c r="J67" t="s">
        <v>33</v>
      </c>
      <c r="K67">
        <v>2088</v>
      </c>
      <c r="L67">
        <v>19.100000000000001</v>
      </c>
      <c r="M67">
        <v>9.6999999999999993</v>
      </c>
      <c r="N67" s="4">
        <f t="shared" ref="N67:N130" si="2">3.14/4*((L67/100)^2)</f>
        <v>2.8637585E-2</v>
      </c>
      <c r="O67" s="4">
        <f t="shared" ref="O67:O130" si="3">3.14/4*((L67/100)^2)*M67</f>
        <v>0.27778457449999999</v>
      </c>
      <c r="P67">
        <v>60</v>
      </c>
      <c r="Q67">
        <v>3.7</v>
      </c>
      <c r="R67">
        <v>3</v>
      </c>
      <c r="S67">
        <v>2</v>
      </c>
      <c r="T67">
        <v>2</v>
      </c>
      <c r="U67">
        <v>1.5</v>
      </c>
      <c r="V67" t="s">
        <v>25</v>
      </c>
    </row>
    <row r="68" spans="1:22" x14ac:dyDescent="0.25">
      <c r="A68" t="s">
        <v>46</v>
      </c>
      <c r="B68">
        <v>2</v>
      </c>
      <c r="C68" t="s">
        <v>47</v>
      </c>
      <c r="D68" t="s">
        <v>48</v>
      </c>
      <c r="E68" t="s">
        <v>49</v>
      </c>
      <c r="F68">
        <v>130</v>
      </c>
      <c r="G68">
        <v>1000</v>
      </c>
      <c r="H68">
        <v>-3</v>
      </c>
      <c r="I68">
        <v>1980</v>
      </c>
      <c r="J68" t="s">
        <v>34</v>
      </c>
      <c r="K68">
        <v>1522</v>
      </c>
      <c r="L68">
        <v>15.5</v>
      </c>
      <c r="M68">
        <v>9.8000000000000007</v>
      </c>
      <c r="N68" s="4">
        <f t="shared" si="2"/>
        <v>1.8859625000000001E-2</v>
      </c>
      <c r="O68" s="4">
        <f t="shared" si="3"/>
        <v>0.18482432500000004</v>
      </c>
      <c r="P68">
        <v>40</v>
      </c>
      <c r="Q68">
        <v>4</v>
      </c>
      <c r="R68">
        <v>3.5</v>
      </c>
      <c r="S68">
        <v>3.5</v>
      </c>
      <c r="T68">
        <v>3.5</v>
      </c>
      <c r="U68">
        <v>3</v>
      </c>
      <c r="V68" t="s">
        <v>25</v>
      </c>
    </row>
    <row r="69" spans="1:22" x14ac:dyDescent="0.25">
      <c r="A69" t="s">
        <v>46</v>
      </c>
      <c r="B69">
        <v>2</v>
      </c>
      <c r="C69" t="s">
        <v>47</v>
      </c>
      <c r="D69" t="s">
        <v>48</v>
      </c>
      <c r="E69" t="s">
        <v>49</v>
      </c>
      <c r="F69">
        <v>130</v>
      </c>
      <c r="G69">
        <v>1000</v>
      </c>
      <c r="H69">
        <v>-3</v>
      </c>
      <c r="I69">
        <v>1980</v>
      </c>
      <c r="J69" t="s">
        <v>35</v>
      </c>
      <c r="K69">
        <v>1521</v>
      </c>
      <c r="L69">
        <v>13.5</v>
      </c>
      <c r="M69">
        <v>7.7</v>
      </c>
      <c r="N69" s="4">
        <f t="shared" si="2"/>
        <v>1.4306625000000002E-2</v>
      </c>
      <c r="O69" s="4">
        <f t="shared" si="3"/>
        <v>0.11016101250000002</v>
      </c>
      <c r="P69">
        <v>30</v>
      </c>
      <c r="Q69">
        <v>3</v>
      </c>
      <c r="R69">
        <v>2</v>
      </c>
      <c r="S69">
        <v>3.3</v>
      </c>
      <c r="T69">
        <v>4</v>
      </c>
      <c r="U69">
        <v>3.5</v>
      </c>
      <c r="V69" t="s">
        <v>25</v>
      </c>
    </row>
    <row r="70" spans="1:22" x14ac:dyDescent="0.25">
      <c r="A70" t="s">
        <v>46</v>
      </c>
      <c r="B70">
        <v>2</v>
      </c>
      <c r="C70" t="s">
        <v>47</v>
      </c>
      <c r="D70" t="s">
        <v>48</v>
      </c>
      <c r="E70" t="s">
        <v>49</v>
      </c>
      <c r="F70">
        <v>130</v>
      </c>
      <c r="G70">
        <v>1000</v>
      </c>
      <c r="H70">
        <v>-3</v>
      </c>
      <c r="I70">
        <v>1980</v>
      </c>
      <c r="J70" t="s">
        <v>36</v>
      </c>
      <c r="K70">
        <v>1523</v>
      </c>
      <c r="L70">
        <v>20.8</v>
      </c>
      <c r="M70">
        <v>12</v>
      </c>
      <c r="N70" s="4">
        <f t="shared" si="2"/>
        <v>3.3962240000000012E-2</v>
      </c>
      <c r="O70" s="4">
        <f t="shared" si="3"/>
        <v>0.40754688000000017</v>
      </c>
      <c r="P70">
        <v>20</v>
      </c>
      <c r="Q70">
        <v>3</v>
      </c>
      <c r="R70">
        <v>4</v>
      </c>
      <c r="S70">
        <v>3</v>
      </c>
      <c r="T70">
        <v>3.5</v>
      </c>
      <c r="U70">
        <v>3</v>
      </c>
      <c r="V70" t="s">
        <v>38</v>
      </c>
    </row>
    <row r="71" spans="1:22" x14ac:dyDescent="0.25">
      <c r="A71" t="s">
        <v>46</v>
      </c>
      <c r="B71">
        <v>2</v>
      </c>
      <c r="C71" t="s">
        <v>47</v>
      </c>
      <c r="D71" t="s">
        <v>48</v>
      </c>
      <c r="E71" t="s">
        <v>49</v>
      </c>
      <c r="F71">
        <v>130</v>
      </c>
      <c r="G71">
        <v>1000</v>
      </c>
      <c r="H71">
        <v>-3</v>
      </c>
      <c r="I71">
        <v>1980</v>
      </c>
      <c r="J71" t="s">
        <v>37</v>
      </c>
      <c r="K71">
        <v>1524</v>
      </c>
      <c r="L71">
        <v>11.5</v>
      </c>
      <c r="M71">
        <v>5.8</v>
      </c>
      <c r="N71" s="4">
        <f t="shared" si="2"/>
        <v>1.0381625E-2</v>
      </c>
      <c r="O71" s="4">
        <f t="shared" si="3"/>
        <v>6.0213425000000001E-2</v>
      </c>
      <c r="P71">
        <v>40</v>
      </c>
      <c r="Q71">
        <v>1.5</v>
      </c>
      <c r="R71">
        <v>2</v>
      </c>
      <c r="S71">
        <v>2.5</v>
      </c>
      <c r="T71">
        <v>3.5</v>
      </c>
      <c r="U71">
        <v>2.5</v>
      </c>
      <c r="V71" t="s">
        <v>50</v>
      </c>
    </row>
    <row r="72" spans="1:22" x14ac:dyDescent="0.25">
      <c r="A72" t="s">
        <v>46</v>
      </c>
      <c r="B72">
        <v>3</v>
      </c>
      <c r="C72" t="s">
        <v>47</v>
      </c>
      <c r="D72" t="s">
        <v>48</v>
      </c>
      <c r="E72" t="s">
        <v>49</v>
      </c>
      <c r="F72">
        <v>130</v>
      </c>
      <c r="G72">
        <v>1000</v>
      </c>
      <c r="H72">
        <v>-3</v>
      </c>
      <c r="I72">
        <v>1980</v>
      </c>
      <c r="J72" t="s">
        <v>26</v>
      </c>
      <c r="K72">
        <v>1487</v>
      </c>
      <c r="L72">
        <v>37.6</v>
      </c>
      <c r="M72">
        <v>13</v>
      </c>
      <c r="N72" s="4">
        <f t="shared" si="2"/>
        <v>0.11098016000000001</v>
      </c>
      <c r="O72" s="4">
        <f t="shared" si="3"/>
        <v>1.4427420800000001</v>
      </c>
      <c r="P72">
        <v>10</v>
      </c>
      <c r="Q72">
        <v>5</v>
      </c>
      <c r="R72">
        <v>4</v>
      </c>
      <c r="S72">
        <v>2</v>
      </c>
      <c r="T72">
        <v>2</v>
      </c>
      <c r="U72">
        <v>1</v>
      </c>
      <c r="V72" t="s">
        <v>25</v>
      </c>
    </row>
    <row r="73" spans="1:22" x14ac:dyDescent="0.25">
      <c r="A73" t="s">
        <v>46</v>
      </c>
      <c r="B73">
        <v>3</v>
      </c>
      <c r="C73" t="s">
        <v>47</v>
      </c>
      <c r="D73" t="s">
        <v>48</v>
      </c>
      <c r="E73" t="s">
        <v>49</v>
      </c>
      <c r="F73">
        <v>130</v>
      </c>
      <c r="G73">
        <v>1000</v>
      </c>
      <c r="H73">
        <v>-3</v>
      </c>
      <c r="I73">
        <v>1980</v>
      </c>
      <c r="J73" t="s">
        <v>32</v>
      </c>
      <c r="K73">
        <v>1596</v>
      </c>
      <c r="L73">
        <v>24.5</v>
      </c>
      <c r="M73">
        <v>12</v>
      </c>
      <c r="N73" s="4">
        <f t="shared" si="2"/>
        <v>4.7119624999999998E-2</v>
      </c>
      <c r="O73" s="4">
        <f t="shared" si="3"/>
        <v>0.56543549999999998</v>
      </c>
      <c r="P73">
        <v>20</v>
      </c>
      <c r="Q73">
        <v>4</v>
      </c>
      <c r="R73">
        <v>4</v>
      </c>
      <c r="S73">
        <v>4</v>
      </c>
      <c r="T73">
        <v>4</v>
      </c>
      <c r="U73">
        <v>2</v>
      </c>
      <c r="V73" t="s">
        <v>25</v>
      </c>
    </row>
    <row r="74" spans="1:22" x14ac:dyDescent="0.25">
      <c r="A74" t="s">
        <v>46</v>
      </c>
      <c r="B74">
        <v>3</v>
      </c>
      <c r="C74" t="s">
        <v>47</v>
      </c>
      <c r="D74" t="s">
        <v>48</v>
      </c>
      <c r="E74" t="s">
        <v>49</v>
      </c>
      <c r="F74">
        <v>130</v>
      </c>
      <c r="G74">
        <v>1000</v>
      </c>
      <c r="H74">
        <v>-3</v>
      </c>
      <c r="I74">
        <v>1980</v>
      </c>
      <c r="J74" t="s">
        <v>33</v>
      </c>
      <c r="K74">
        <v>2088</v>
      </c>
      <c r="L74">
        <v>17.600000000000001</v>
      </c>
      <c r="M74">
        <v>9</v>
      </c>
      <c r="N74" s="4">
        <f t="shared" si="2"/>
        <v>2.4316160000000007E-2</v>
      </c>
      <c r="O74" s="4">
        <f t="shared" si="3"/>
        <v>0.21884544000000006</v>
      </c>
      <c r="P74">
        <v>90</v>
      </c>
      <c r="Q74">
        <v>4.5</v>
      </c>
      <c r="R74">
        <v>2.5</v>
      </c>
      <c r="S74">
        <v>3</v>
      </c>
      <c r="T74">
        <v>2</v>
      </c>
      <c r="U74">
        <v>1.5</v>
      </c>
      <c r="V74" t="s">
        <v>25</v>
      </c>
    </row>
    <row r="75" spans="1:22" x14ac:dyDescent="0.25">
      <c r="A75" t="s">
        <v>46</v>
      </c>
      <c r="B75">
        <v>3</v>
      </c>
      <c r="C75" t="s">
        <v>47</v>
      </c>
      <c r="D75" t="s">
        <v>48</v>
      </c>
      <c r="E75" t="s">
        <v>49</v>
      </c>
      <c r="F75">
        <v>130</v>
      </c>
      <c r="G75">
        <v>1000</v>
      </c>
      <c r="H75">
        <v>-3</v>
      </c>
      <c r="I75">
        <v>1980</v>
      </c>
      <c r="J75" t="s">
        <v>35</v>
      </c>
      <c r="K75">
        <v>1521</v>
      </c>
      <c r="L75">
        <v>16.2</v>
      </c>
      <c r="M75">
        <v>10.199999999999999</v>
      </c>
      <c r="N75" s="4">
        <f t="shared" si="2"/>
        <v>2.0601540000000002E-2</v>
      </c>
      <c r="O75" s="4">
        <f t="shared" si="3"/>
        <v>0.210135708</v>
      </c>
      <c r="P75">
        <v>60</v>
      </c>
      <c r="Q75">
        <v>4</v>
      </c>
      <c r="R75">
        <v>2.2999999999999998</v>
      </c>
      <c r="S75">
        <v>3</v>
      </c>
      <c r="T75">
        <v>3.3</v>
      </c>
      <c r="U75">
        <v>3</v>
      </c>
      <c r="V75" t="s">
        <v>27</v>
      </c>
    </row>
    <row r="76" spans="1:22" x14ac:dyDescent="0.25">
      <c r="A76" t="s">
        <v>46</v>
      </c>
      <c r="B76">
        <v>3</v>
      </c>
      <c r="C76" t="s">
        <v>47</v>
      </c>
      <c r="D76" t="s">
        <v>48</v>
      </c>
      <c r="E76" t="s">
        <v>49</v>
      </c>
      <c r="F76">
        <v>130</v>
      </c>
      <c r="G76">
        <v>1000</v>
      </c>
      <c r="H76">
        <v>-3</v>
      </c>
      <c r="I76">
        <v>1980</v>
      </c>
      <c r="J76" t="s">
        <v>36</v>
      </c>
      <c r="K76">
        <v>1523</v>
      </c>
      <c r="L76">
        <v>11.5</v>
      </c>
      <c r="M76">
        <v>9</v>
      </c>
      <c r="N76" s="4">
        <f t="shared" si="2"/>
        <v>1.0381625E-2</v>
      </c>
      <c r="O76" s="4">
        <f t="shared" si="3"/>
        <v>9.3434625000000007E-2</v>
      </c>
      <c r="P76">
        <v>20</v>
      </c>
      <c r="Q76">
        <v>2.7</v>
      </c>
      <c r="R76">
        <v>3.7</v>
      </c>
      <c r="S76">
        <v>4</v>
      </c>
      <c r="T76">
        <v>4</v>
      </c>
      <c r="U76">
        <v>3</v>
      </c>
      <c r="V76" t="s">
        <v>25</v>
      </c>
    </row>
    <row r="77" spans="1:22" x14ac:dyDescent="0.25">
      <c r="A77" t="s">
        <v>46</v>
      </c>
      <c r="B77">
        <v>3</v>
      </c>
      <c r="C77" t="s">
        <v>47</v>
      </c>
      <c r="D77" t="s">
        <v>48</v>
      </c>
      <c r="E77" t="s">
        <v>49</v>
      </c>
      <c r="F77">
        <v>130</v>
      </c>
      <c r="G77">
        <v>1000</v>
      </c>
      <c r="H77">
        <v>-3</v>
      </c>
      <c r="I77">
        <v>1980</v>
      </c>
      <c r="J77" t="s">
        <v>37</v>
      </c>
      <c r="K77">
        <v>1524</v>
      </c>
      <c r="L77">
        <v>7.6</v>
      </c>
      <c r="M77">
        <v>5.5</v>
      </c>
      <c r="N77" s="4">
        <f t="shared" si="2"/>
        <v>4.5341599999999998E-3</v>
      </c>
      <c r="O77" s="4">
        <f t="shared" si="3"/>
        <v>2.4937879999999999E-2</v>
      </c>
      <c r="P77">
        <v>20</v>
      </c>
      <c r="Q77">
        <v>1</v>
      </c>
      <c r="R77">
        <v>2</v>
      </c>
      <c r="S77">
        <v>2</v>
      </c>
      <c r="T77">
        <v>3</v>
      </c>
      <c r="U77">
        <v>3</v>
      </c>
      <c r="V77" t="s">
        <v>50</v>
      </c>
    </row>
    <row r="78" spans="1:22" x14ac:dyDescent="0.25">
      <c r="A78" t="s">
        <v>51</v>
      </c>
      <c r="B78">
        <v>1</v>
      </c>
      <c r="C78" t="s">
        <v>52</v>
      </c>
      <c r="D78" t="s">
        <v>53</v>
      </c>
      <c r="E78" t="s">
        <v>54</v>
      </c>
      <c r="F78">
        <v>70</v>
      </c>
      <c r="G78">
        <v>1000</v>
      </c>
      <c r="H78">
        <v>-2</v>
      </c>
      <c r="I78">
        <v>1981</v>
      </c>
      <c r="J78" t="s">
        <v>55</v>
      </c>
      <c r="K78">
        <v>1094</v>
      </c>
      <c r="L78">
        <v>3.4</v>
      </c>
      <c r="M78">
        <v>5.5</v>
      </c>
      <c r="N78" s="4">
        <f t="shared" si="2"/>
        <v>9.0746000000000012E-4</v>
      </c>
      <c r="O78" s="4">
        <f t="shared" si="3"/>
        <v>4.9910300000000005E-3</v>
      </c>
      <c r="P78">
        <v>50</v>
      </c>
      <c r="Q78">
        <v>1</v>
      </c>
      <c r="R78">
        <v>1</v>
      </c>
      <c r="S78">
        <v>3</v>
      </c>
      <c r="T78">
        <v>3</v>
      </c>
      <c r="U78">
        <v>3</v>
      </c>
      <c r="V78" t="s">
        <v>50</v>
      </c>
    </row>
    <row r="79" spans="1:22" x14ac:dyDescent="0.25">
      <c r="A79" t="s">
        <v>51</v>
      </c>
      <c r="B79">
        <v>1</v>
      </c>
      <c r="C79" t="s">
        <v>52</v>
      </c>
      <c r="D79" t="s">
        <v>53</v>
      </c>
      <c r="E79" t="s">
        <v>54</v>
      </c>
      <c r="F79">
        <v>70</v>
      </c>
      <c r="G79">
        <v>1000</v>
      </c>
      <c r="H79">
        <v>-2</v>
      </c>
      <c r="I79">
        <v>1981</v>
      </c>
      <c r="J79" t="s">
        <v>56</v>
      </c>
      <c r="K79">
        <v>1111</v>
      </c>
      <c r="L79">
        <v>17.600000000000001</v>
      </c>
      <c r="M79">
        <v>12.6</v>
      </c>
      <c r="N79" s="4">
        <f t="shared" si="2"/>
        <v>2.4316160000000007E-2</v>
      </c>
      <c r="O79" s="4">
        <f t="shared" si="3"/>
        <v>0.30638361600000008</v>
      </c>
      <c r="P79">
        <v>71</v>
      </c>
      <c r="Q79">
        <v>3.5</v>
      </c>
      <c r="R79">
        <v>3</v>
      </c>
      <c r="S79">
        <v>3.3</v>
      </c>
      <c r="T79">
        <v>2.5</v>
      </c>
      <c r="U79">
        <v>2</v>
      </c>
      <c r="V79" t="s">
        <v>25</v>
      </c>
    </row>
    <row r="80" spans="1:22" x14ac:dyDescent="0.25">
      <c r="A80" t="s">
        <v>51</v>
      </c>
      <c r="B80">
        <v>1</v>
      </c>
      <c r="C80" t="s">
        <v>52</v>
      </c>
      <c r="D80" t="s">
        <v>53</v>
      </c>
      <c r="E80" t="s">
        <v>54</v>
      </c>
      <c r="F80">
        <v>70</v>
      </c>
      <c r="G80">
        <v>1000</v>
      </c>
      <c r="H80">
        <v>-2</v>
      </c>
      <c r="I80">
        <v>1981</v>
      </c>
      <c r="J80" t="s">
        <v>57</v>
      </c>
      <c r="K80">
        <v>1112</v>
      </c>
      <c r="L80">
        <v>14</v>
      </c>
      <c r="M80">
        <v>10</v>
      </c>
      <c r="N80" s="4">
        <f t="shared" si="2"/>
        <v>1.5386000000000002E-2</v>
      </c>
      <c r="O80" s="4">
        <f t="shared" si="3"/>
        <v>0.15386000000000002</v>
      </c>
      <c r="P80">
        <v>100</v>
      </c>
      <c r="Q80">
        <v>2.5</v>
      </c>
      <c r="R80">
        <v>1.5</v>
      </c>
      <c r="S80">
        <v>3</v>
      </c>
      <c r="T80">
        <v>4</v>
      </c>
      <c r="U80">
        <v>4</v>
      </c>
      <c r="V80" t="s">
        <v>30</v>
      </c>
    </row>
    <row r="81" spans="1:22" x14ac:dyDescent="0.25">
      <c r="A81" t="s">
        <v>51</v>
      </c>
      <c r="B81">
        <v>1</v>
      </c>
      <c r="C81" t="s">
        <v>52</v>
      </c>
      <c r="D81" t="s">
        <v>53</v>
      </c>
      <c r="E81" t="s">
        <v>54</v>
      </c>
      <c r="F81">
        <v>70</v>
      </c>
      <c r="G81">
        <v>1000</v>
      </c>
      <c r="H81">
        <v>-2</v>
      </c>
      <c r="I81">
        <v>1981</v>
      </c>
      <c r="J81" t="s">
        <v>57</v>
      </c>
      <c r="K81">
        <v>1113</v>
      </c>
      <c r="L81">
        <v>8.8000000000000007</v>
      </c>
      <c r="M81">
        <v>11.4</v>
      </c>
      <c r="N81" s="4">
        <f t="shared" si="2"/>
        <v>6.0790400000000017E-3</v>
      </c>
      <c r="O81" s="4">
        <f t="shared" si="3"/>
        <v>6.9301056000000028E-2</v>
      </c>
      <c r="P81">
        <v>100</v>
      </c>
      <c r="Q81">
        <v>2</v>
      </c>
      <c r="R81">
        <v>2</v>
      </c>
      <c r="S81">
        <v>4</v>
      </c>
      <c r="T81">
        <v>4</v>
      </c>
      <c r="U81">
        <v>4</v>
      </c>
      <c r="V81" t="s">
        <v>30</v>
      </c>
    </row>
    <row r="82" spans="1:22" x14ac:dyDescent="0.25">
      <c r="A82" t="s">
        <v>51</v>
      </c>
      <c r="B82">
        <v>1</v>
      </c>
      <c r="C82" t="s">
        <v>52</v>
      </c>
      <c r="D82" t="s">
        <v>53</v>
      </c>
      <c r="E82" t="s">
        <v>54</v>
      </c>
      <c r="F82">
        <v>70</v>
      </c>
      <c r="G82">
        <v>1000</v>
      </c>
      <c r="H82">
        <v>-2</v>
      </c>
      <c r="I82">
        <v>1981</v>
      </c>
      <c r="J82" t="s">
        <v>58</v>
      </c>
      <c r="K82">
        <v>1338</v>
      </c>
      <c r="L82">
        <v>15.8</v>
      </c>
      <c r="M82">
        <v>10</v>
      </c>
      <c r="N82" s="4">
        <f t="shared" si="2"/>
        <v>1.9596740000000001E-2</v>
      </c>
      <c r="O82" s="4">
        <f t="shared" si="3"/>
        <v>0.19596740000000001</v>
      </c>
      <c r="P82">
        <v>38</v>
      </c>
      <c r="Q82">
        <v>3.5</v>
      </c>
      <c r="R82">
        <v>3.5</v>
      </c>
      <c r="S82">
        <v>3.3</v>
      </c>
      <c r="T82">
        <v>3.5</v>
      </c>
      <c r="U82">
        <v>3</v>
      </c>
      <c r="V82" t="s">
        <v>38</v>
      </c>
    </row>
    <row r="83" spans="1:22" x14ac:dyDescent="0.25">
      <c r="A83" t="s">
        <v>51</v>
      </c>
      <c r="B83">
        <v>1</v>
      </c>
      <c r="C83" t="s">
        <v>52</v>
      </c>
      <c r="D83" t="s">
        <v>53</v>
      </c>
      <c r="E83" t="s">
        <v>54</v>
      </c>
      <c r="F83">
        <v>70</v>
      </c>
      <c r="G83">
        <v>1000</v>
      </c>
      <c r="H83">
        <v>-2</v>
      </c>
      <c r="I83">
        <v>1981</v>
      </c>
      <c r="J83" t="s">
        <v>59</v>
      </c>
      <c r="K83">
        <v>1482</v>
      </c>
      <c r="L83">
        <v>15.5</v>
      </c>
      <c r="M83">
        <v>10.5</v>
      </c>
      <c r="N83" s="4">
        <f t="shared" si="2"/>
        <v>1.8859625000000001E-2</v>
      </c>
      <c r="O83" s="4">
        <f t="shared" si="3"/>
        <v>0.19802606250000002</v>
      </c>
      <c r="P83">
        <v>50</v>
      </c>
      <c r="Q83">
        <v>3</v>
      </c>
      <c r="R83">
        <v>3.3</v>
      </c>
      <c r="S83">
        <v>3.3</v>
      </c>
      <c r="T83">
        <v>3</v>
      </c>
      <c r="U83">
        <v>3</v>
      </c>
      <c r="V83" t="s">
        <v>27</v>
      </c>
    </row>
    <row r="84" spans="1:22" x14ac:dyDescent="0.25">
      <c r="A84" t="s">
        <v>51</v>
      </c>
      <c r="B84">
        <v>1</v>
      </c>
      <c r="C84" t="s">
        <v>52</v>
      </c>
      <c r="D84" t="s">
        <v>53</v>
      </c>
      <c r="E84" t="s">
        <v>54</v>
      </c>
      <c r="F84">
        <v>70</v>
      </c>
      <c r="G84">
        <v>1000</v>
      </c>
      <c r="H84">
        <v>-2</v>
      </c>
      <c r="I84">
        <v>1981</v>
      </c>
      <c r="J84" t="s">
        <v>59</v>
      </c>
      <c r="K84">
        <v>1978</v>
      </c>
      <c r="L84">
        <v>14.6</v>
      </c>
      <c r="M84">
        <v>11.1</v>
      </c>
      <c r="N84" s="4">
        <f t="shared" si="2"/>
        <v>1.6733059999999998E-2</v>
      </c>
      <c r="O84" s="4">
        <f t="shared" si="3"/>
        <v>0.18573696599999998</v>
      </c>
      <c r="P84">
        <v>100</v>
      </c>
      <c r="Q84">
        <v>4</v>
      </c>
      <c r="R84">
        <v>3</v>
      </c>
      <c r="S84">
        <v>3.5</v>
      </c>
      <c r="T84">
        <v>3.5</v>
      </c>
      <c r="U84">
        <v>3.3</v>
      </c>
      <c r="V84" t="s">
        <v>25</v>
      </c>
    </row>
    <row r="85" spans="1:22" x14ac:dyDescent="0.25">
      <c r="A85" t="s">
        <v>51</v>
      </c>
      <c r="B85">
        <v>1</v>
      </c>
      <c r="C85" t="s">
        <v>52</v>
      </c>
      <c r="D85" t="s">
        <v>53</v>
      </c>
      <c r="E85" t="s">
        <v>54</v>
      </c>
      <c r="F85">
        <v>70</v>
      </c>
      <c r="G85">
        <v>1000</v>
      </c>
      <c r="H85">
        <v>-2</v>
      </c>
      <c r="I85">
        <v>1981</v>
      </c>
      <c r="J85" t="s">
        <v>26</v>
      </c>
      <c r="K85">
        <v>1339</v>
      </c>
      <c r="L85">
        <v>17.3</v>
      </c>
      <c r="M85">
        <v>13.2</v>
      </c>
      <c r="N85" s="4">
        <f t="shared" si="2"/>
        <v>2.3494265000000004E-2</v>
      </c>
      <c r="O85" s="4">
        <f t="shared" si="3"/>
        <v>0.31012429800000002</v>
      </c>
      <c r="P85">
        <v>71</v>
      </c>
      <c r="Q85">
        <v>3.3</v>
      </c>
      <c r="R85">
        <v>3</v>
      </c>
      <c r="S85">
        <v>3</v>
      </c>
      <c r="T85">
        <v>3</v>
      </c>
      <c r="U85">
        <v>3</v>
      </c>
      <c r="V85" t="s">
        <v>38</v>
      </c>
    </row>
    <row r="86" spans="1:22" x14ac:dyDescent="0.25">
      <c r="A86" t="s">
        <v>51</v>
      </c>
      <c r="B86">
        <v>1</v>
      </c>
      <c r="C86" t="s">
        <v>52</v>
      </c>
      <c r="D86" t="s">
        <v>53</v>
      </c>
      <c r="E86" t="s">
        <v>54</v>
      </c>
      <c r="F86">
        <v>70</v>
      </c>
      <c r="G86">
        <v>1000</v>
      </c>
      <c r="H86">
        <v>-2</v>
      </c>
      <c r="I86">
        <v>1981</v>
      </c>
      <c r="J86" t="s">
        <v>26</v>
      </c>
      <c r="K86">
        <v>1786</v>
      </c>
      <c r="L86">
        <v>13.3</v>
      </c>
      <c r="M86">
        <v>10.8</v>
      </c>
      <c r="N86" s="4">
        <f t="shared" si="2"/>
        <v>1.3885865000000002E-2</v>
      </c>
      <c r="O86" s="4">
        <f t="shared" si="3"/>
        <v>0.14996734200000003</v>
      </c>
      <c r="P86">
        <v>75</v>
      </c>
      <c r="Q86">
        <v>4</v>
      </c>
      <c r="R86">
        <v>3.8</v>
      </c>
      <c r="S86">
        <v>4</v>
      </c>
      <c r="T86">
        <v>4</v>
      </c>
      <c r="U86">
        <v>4</v>
      </c>
      <c r="V86" t="s">
        <v>27</v>
      </c>
    </row>
    <row r="87" spans="1:22" x14ac:dyDescent="0.25">
      <c r="A87" t="s">
        <v>51</v>
      </c>
      <c r="B87">
        <v>1</v>
      </c>
      <c r="C87" t="s">
        <v>52</v>
      </c>
      <c r="D87" t="s">
        <v>53</v>
      </c>
      <c r="E87" t="s">
        <v>54</v>
      </c>
      <c r="F87">
        <v>70</v>
      </c>
      <c r="G87">
        <v>1000</v>
      </c>
      <c r="H87">
        <v>-2</v>
      </c>
      <c r="I87">
        <v>1981</v>
      </c>
      <c r="J87" t="s">
        <v>26</v>
      </c>
      <c r="K87">
        <v>2447</v>
      </c>
      <c r="L87">
        <v>19.8</v>
      </c>
      <c r="M87">
        <v>10.7</v>
      </c>
      <c r="N87" s="4">
        <f t="shared" si="2"/>
        <v>3.0775140000000003E-2</v>
      </c>
      <c r="O87" s="4">
        <f t="shared" si="3"/>
        <v>0.32929399800000003</v>
      </c>
      <c r="P87">
        <v>75</v>
      </c>
      <c r="Q87">
        <v>4.5</v>
      </c>
      <c r="R87">
        <v>3</v>
      </c>
      <c r="S87">
        <v>3</v>
      </c>
      <c r="T87">
        <v>3</v>
      </c>
      <c r="U87">
        <v>2.5</v>
      </c>
      <c r="V87" t="s">
        <v>25</v>
      </c>
    </row>
    <row r="88" spans="1:22" x14ac:dyDescent="0.25">
      <c r="A88" t="s">
        <v>51</v>
      </c>
      <c r="B88">
        <v>1</v>
      </c>
      <c r="C88" t="s">
        <v>52</v>
      </c>
      <c r="D88" t="s">
        <v>53</v>
      </c>
      <c r="E88" t="s">
        <v>54</v>
      </c>
      <c r="F88">
        <v>70</v>
      </c>
      <c r="G88">
        <v>1000</v>
      </c>
      <c r="H88">
        <v>-2</v>
      </c>
      <c r="I88">
        <v>1981</v>
      </c>
      <c r="J88" t="s">
        <v>60</v>
      </c>
      <c r="K88">
        <v>1595</v>
      </c>
      <c r="L88">
        <v>5.2</v>
      </c>
      <c r="M88">
        <v>4.3</v>
      </c>
      <c r="N88" s="4">
        <f t="shared" si="2"/>
        <v>2.1226400000000007E-3</v>
      </c>
      <c r="O88" s="4">
        <f t="shared" si="3"/>
        <v>9.1273520000000035E-3</v>
      </c>
      <c r="P88">
        <v>75</v>
      </c>
      <c r="Q88">
        <v>0.5</v>
      </c>
      <c r="R88">
        <v>0.5</v>
      </c>
      <c r="S88">
        <v>4</v>
      </c>
      <c r="T88">
        <v>4</v>
      </c>
      <c r="U88">
        <v>4</v>
      </c>
      <c r="V88" t="s">
        <v>50</v>
      </c>
    </row>
    <row r="89" spans="1:22" x14ac:dyDescent="0.25">
      <c r="A89" t="s">
        <v>51</v>
      </c>
      <c r="B89">
        <v>1</v>
      </c>
      <c r="C89" t="s">
        <v>52</v>
      </c>
      <c r="D89" t="s">
        <v>53</v>
      </c>
      <c r="E89" t="s">
        <v>54</v>
      </c>
      <c r="F89">
        <v>70</v>
      </c>
      <c r="G89">
        <v>1000</v>
      </c>
      <c r="H89">
        <v>-2</v>
      </c>
      <c r="I89">
        <v>1981</v>
      </c>
      <c r="J89" t="s">
        <v>61</v>
      </c>
      <c r="K89">
        <v>1171</v>
      </c>
      <c r="L89">
        <v>15</v>
      </c>
      <c r="M89">
        <v>11.3</v>
      </c>
      <c r="N89" s="4">
        <f t="shared" si="2"/>
        <v>1.7662500000000001E-2</v>
      </c>
      <c r="O89" s="4">
        <f t="shared" si="3"/>
        <v>0.19958625000000002</v>
      </c>
      <c r="P89">
        <v>88</v>
      </c>
      <c r="Q89">
        <v>2.2999999999999998</v>
      </c>
      <c r="R89">
        <v>1.7</v>
      </c>
      <c r="S89">
        <v>3</v>
      </c>
      <c r="T89">
        <v>3</v>
      </c>
      <c r="U89">
        <v>2</v>
      </c>
      <c r="V89" t="s">
        <v>30</v>
      </c>
    </row>
    <row r="90" spans="1:22" x14ac:dyDescent="0.25">
      <c r="A90" t="s">
        <v>51</v>
      </c>
      <c r="B90">
        <v>1</v>
      </c>
      <c r="C90" t="s">
        <v>52</v>
      </c>
      <c r="D90" t="s">
        <v>53</v>
      </c>
      <c r="E90" t="s">
        <v>54</v>
      </c>
      <c r="F90">
        <v>70</v>
      </c>
      <c r="G90">
        <v>1000</v>
      </c>
      <c r="H90">
        <v>-2</v>
      </c>
      <c r="I90">
        <v>1981</v>
      </c>
      <c r="J90" t="s">
        <v>32</v>
      </c>
      <c r="K90">
        <v>1596</v>
      </c>
      <c r="L90">
        <v>15.3</v>
      </c>
      <c r="M90">
        <v>10.8</v>
      </c>
      <c r="N90" s="4">
        <f t="shared" si="2"/>
        <v>1.8376065E-2</v>
      </c>
      <c r="O90" s="4">
        <f t="shared" si="3"/>
        <v>0.19846150200000001</v>
      </c>
      <c r="P90">
        <v>75</v>
      </c>
      <c r="Q90">
        <v>3</v>
      </c>
      <c r="R90">
        <v>3</v>
      </c>
      <c r="S90">
        <v>3</v>
      </c>
      <c r="T90">
        <v>4</v>
      </c>
      <c r="U90">
        <v>3.5</v>
      </c>
      <c r="V90" t="s">
        <v>27</v>
      </c>
    </row>
    <row r="91" spans="1:22" x14ac:dyDescent="0.25">
      <c r="A91" t="s">
        <v>51</v>
      </c>
      <c r="B91">
        <v>1</v>
      </c>
      <c r="C91" t="s">
        <v>52</v>
      </c>
      <c r="D91" t="s">
        <v>53</v>
      </c>
      <c r="E91" t="s">
        <v>54</v>
      </c>
      <c r="F91">
        <v>70</v>
      </c>
      <c r="G91">
        <v>1000</v>
      </c>
      <c r="H91">
        <v>-2</v>
      </c>
      <c r="I91">
        <v>1981</v>
      </c>
      <c r="J91" t="s">
        <v>34</v>
      </c>
      <c r="K91">
        <v>2459</v>
      </c>
      <c r="L91">
        <v>19</v>
      </c>
      <c r="M91">
        <v>16</v>
      </c>
      <c r="N91" s="4">
        <f t="shared" si="2"/>
        <v>2.8338500000000003E-2</v>
      </c>
      <c r="O91" s="4">
        <f t="shared" si="3"/>
        <v>0.45341600000000004</v>
      </c>
      <c r="P91">
        <v>88</v>
      </c>
      <c r="Q91">
        <v>4.3</v>
      </c>
      <c r="R91">
        <v>3</v>
      </c>
      <c r="S91">
        <v>4.8</v>
      </c>
      <c r="T91">
        <v>4</v>
      </c>
      <c r="U91">
        <v>4</v>
      </c>
      <c r="V91" t="s">
        <v>27</v>
      </c>
    </row>
    <row r="92" spans="1:22" x14ac:dyDescent="0.25">
      <c r="A92" t="s">
        <v>51</v>
      </c>
      <c r="B92">
        <v>1</v>
      </c>
      <c r="C92" t="s">
        <v>52</v>
      </c>
      <c r="D92" t="s">
        <v>53</v>
      </c>
      <c r="E92" t="s">
        <v>54</v>
      </c>
      <c r="F92">
        <v>70</v>
      </c>
      <c r="G92">
        <v>1000</v>
      </c>
      <c r="H92">
        <v>-2</v>
      </c>
      <c r="I92">
        <v>1981</v>
      </c>
      <c r="J92" t="s">
        <v>35</v>
      </c>
      <c r="K92">
        <v>1785</v>
      </c>
      <c r="L92">
        <v>7.2</v>
      </c>
      <c r="M92">
        <v>6</v>
      </c>
      <c r="N92" s="4">
        <f t="shared" si="2"/>
        <v>4.0694400000000014E-3</v>
      </c>
      <c r="O92" s="4">
        <f t="shared" si="3"/>
        <v>2.441664000000001E-2</v>
      </c>
      <c r="P92">
        <v>50</v>
      </c>
      <c r="Q92">
        <v>1.3</v>
      </c>
      <c r="R92">
        <v>1.3</v>
      </c>
      <c r="S92">
        <v>4</v>
      </c>
      <c r="T92">
        <v>4</v>
      </c>
      <c r="U92">
        <v>4</v>
      </c>
      <c r="V92" t="s">
        <v>50</v>
      </c>
    </row>
    <row r="93" spans="1:22" x14ac:dyDescent="0.25">
      <c r="A93" t="s">
        <v>51</v>
      </c>
      <c r="B93">
        <v>1</v>
      </c>
      <c r="C93" t="s">
        <v>52</v>
      </c>
      <c r="D93" t="s">
        <v>53</v>
      </c>
      <c r="E93" t="s">
        <v>54</v>
      </c>
      <c r="F93">
        <v>70</v>
      </c>
      <c r="G93">
        <v>1000</v>
      </c>
      <c r="H93">
        <v>-2</v>
      </c>
      <c r="I93">
        <v>1981</v>
      </c>
      <c r="J93" t="s">
        <v>36</v>
      </c>
      <c r="K93">
        <v>1598</v>
      </c>
      <c r="L93">
        <v>15.9</v>
      </c>
      <c r="M93">
        <v>12.8</v>
      </c>
      <c r="N93" s="4">
        <f t="shared" si="2"/>
        <v>1.9845585000000002E-2</v>
      </c>
      <c r="O93" s="4">
        <f t="shared" si="3"/>
        <v>0.25402348800000002</v>
      </c>
      <c r="P93">
        <v>100</v>
      </c>
      <c r="Q93">
        <v>4</v>
      </c>
      <c r="R93">
        <v>4</v>
      </c>
      <c r="S93">
        <v>3.3</v>
      </c>
      <c r="T93">
        <v>4</v>
      </c>
      <c r="U93">
        <v>3</v>
      </c>
      <c r="V93" t="s">
        <v>27</v>
      </c>
    </row>
    <row r="94" spans="1:22" x14ac:dyDescent="0.25">
      <c r="A94" t="s">
        <v>51</v>
      </c>
      <c r="B94">
        <v>1</v>
      </c>
      <c r="C94" t="s">
        <v>52</v>
      </c>
      <c r="D94" t="s">
        <v>53</v>
      </c>
      <c r="E94" t="s">
        <v>54</v>
      </c>
      <c r="F94">
        <v>70</v>
      </c>
      <c r="G94">
        <v>1000</v>
      </c>
      <c r="H94">
        <v>-2</v>
      </c>
      <c r="I94">
        <v>1981</v>
      </c>
      <c r="J94" t="s">
        <v>62</v>
      </c>
      <c r="K94">
        <v>1787</v>
      </c>
      <c r="L94">
        <v>18.100000000000001</v>
      </c>
      <c r="M94">
        <v>14.8</v>
      </c>
      <c r="N94" s="4">
        <f t="shared" si="2"/>
        <v>2.5717385000000006E-2</v>
      </c>
      <c r="O94" s="4">
        <f t="shared" si="3"/>
        <v>0.3806172980000001</v>
      </c>
      <c r="P94">
        <v>100</v>
      </c>
      <c r="Q94">
        <v>4.5999999999999996</v>
      </c>
      <c r="R94">
        <v>4</v>
      </c>
      <c r="S94">
        <v>4.3</v>
      </c>
      <c r="T94">
        <v>4.3</v>
      </c>
      <c r="U94">
        <v>4</v>
      </c>
      <c r="V94" t="s">
        <v>27</v>
      </c>
    </row>
    <row r="95" spans="1:22" x14ac:dyDescent="0.25">
      <c r="A95" t="s">
        <v>51</v>
      </c>
      <c r="B95">
        <v>1</v>
      </c>
      <c r="C95" t="s">
        <v>52</v>
      </c>
      <c r="D95" t="s">
        <v>53</v>
      </c>
      <c r="E95" t="s">
        <v>54</v>
      </c>
      <c r="F95">
        <v>70</v>
      </c>
      <c r="G95">
        <v>1000</v>
      </c>
      <c r="H95">
        <v>-2</v>
      </c>
      <c r="I95">
        <v>1981</v>
      </c>
      <c r="J95" t="s">
        <v>62</v>
      </c>
      <c r="K95">
        <v>2482</v>
      </c>
      <c r="L95">
        <v>17</v>
      </c>
      <c r="M95">
        <v>14.1</v>
      </c>
      <c r="N95" s="4">
        <f t="shared" si="2"/>
        <v>2.2686500000000005E-2</v>
      </c>
      <c r="O95" s="4">
        <f t="shared" si="3"/>
        <v>0.31987965000000007</v>
      </c>
      <c r="P95">
        <v>88</v>
      </c>
      <c r="Q95">
        <v>4.5</v>
      </c>
      <c r="R95">
        <v>3</v>
      </c>
      <c r="S95">
        <v>3.7</v>
      </c>
      <c r="T95">
        <v>3.7</v>
      </c>
      <c r="U95">
        <v>3.7</v>
      </c>
      <c r="V95" t="s">
        <v>27</v>
      </c>
    </row>
    <row r="96" spans="1:22" x14ac:dyDescent="0.25">
      <c r="A96" t="s">
        <v>51</v>
      </c>
      <c r="B96">
        <v>1</v>
      </c>
      <c r="C96" t="s">
        <v>52</v>
      </c>
      <c r="D96" t="s">
        <v>53</v>
      </c>
      <c r="E96" t="s">
        <v>54</v>
      </c>
      <c r="F96">
        <v>70</v>
      </c>
      <c r="G96">
        <v>1000</v>
      </c>
      <c r="H96">
        <v>-2</v>
      </c>
      <c r="I96">
        <v>1981</v>
      </c>
      <c r="J96" t="s">
        <v>62</v>
      </c>
      <c r="K96">
        <v>2431</v>
      </c>
      <c r="L96">
        <v>26.1</v>
      </c>
      <c r="M96">
        <v>16</v>
      </c>
      <c r="N96" s="4">
        <f t="shared" si="2"/>
        <v>5.3474985000000003E-2</v>
      </c>
      <c r="O96" s="4">
        <f t="shared" si="3"/>
        <v>0.85559976000000004</v>
      </c>
      <c r="P96">
        <v>38</v>
      </c>
      <c r="Q96">
        <v>5</v>
      </c>
      <c r="R96">
        <v>3</v>
      </c>
      <c r="S96">
        <v>4</v>
      </c>
      <c r="T96">
        <v>4</v>
      </c>
      <c r="U96">
        <v>2.7</v>
      </c>
      <c r="V96" t="s">
        <v>27</v>
      </c>
    </row>
    <row r="97" spans="1:22" x14ac:dyDescent="0.25">
      <c r="A97" t="s">
        <v>51</v>
      </c>
      <c r="B97">
        <v>1</v>
      </c>
      <c r="C97" t="s">
        <v>52</v>
      </c>
      <c r="D97" t="s">
        <v>53</v>
      </c>
      <c r="E97" t="s">
        <v>54</v>
      </c>
      <c r="F97">
        <v>70</v>
      </c>
      <c r="G97">
        <v>1000</v>
      </c>
      <c r="H97">
        <v>-2</v>
      </c>
      <c r="I97">
        <v>1981</v>
      </c>
      <c r="J97" t="s">
        <v>37</v>
      </c>
      <c r="K97">
        <v>1524</v>
      </c>
      <c r="L97">
        <v>12.2</v>
      </c>
      <c r="M97">
        <v>13.8</v>
      </c>
      <c r="N97" s="4">
        <f t="shared" si="2"/>
        <v>1.168394E-2</v>
      </c>
      <c r="O97" s="4">
        <f t="shared" si="3"/>
        <v>0.16123837200000002</v>
      </c>
      <c r="P97">
        <v>50</v>
      </c>
      <c r="Q97">
        <v>2</v>
      </c>
      <c r="R97">
        <v>1.5</v>
      </c>
      <c r="S97">
        <v>3</v>
      </c>
      <c r="T97">
        <v>3</v>
      </c>
      <c r="U97">
        <v>3</v>
      </c>
      <c r="V97" t="s">
        <v>30</v>
      </c>
    </row>
    <row r="98" spans="1:22" x14ac:dyDescent="0.25">
      <c r="A98" t="s">
        <v>51</v>
      </c>
      <c r="B98">
        <v>1</v>
      </c>
      <c r="C98" t="s">
        <v>52</v>
      </c>
      <c r="D98" t="s">
        <v>53</v>
      </c>
      <c r="E98" t="s">
        <v>54</v>
      </c>
      <c r="F98">
        <v>70</v>
      </c>
      <c r="G98">
        <v>1000</v>
      </c>
      <c r="H98">
        <v>-2</v>
      </c>
      <c r="I98">
        <v>1981</v>
      </c>
      <c r="J98" t="s">
        <v>63</v>
      </c>
      <c r="K98">
        <v>1340</v>
      </c>
      <c r="L98">
        <v>9.3000000000000007</v>
      </c>
      <c r="M98">
        <v>4.3</v>
      </c>
      <c r="N98" s="4">
        <f t="shared" si="2"/>
        <v>6.7894650000000023E-3</v>
      </c>
      <c r="O98" s="4">
        <f t="shared" si="3"/>
        <v>2.9194699500000008E-2</v>
      </c>
      <c r="P98">
        <v>63</v>
      </c>
      <c r="Q98">
        <v>1</v>
      </c>
      <c r="R98">
        <v>1.2</v>
      </c>
      <c r="S98">
        <v>1</v>
      </c>
      <c r="T98">
        <v>1</v>
      </c>
      <c r="U98">
        <v>1</v>
      </c>
      <c r="V98" t="s">
        <v>50</v>
      </c>
    </row>
    <row r="99" spans="1:22" x14ac:dyDescent="0.25">
      <c r="A99" t="s">
        <v>51</v>
      </c>
      <c r="B99">
        <v>1</v>
      </c>
      <c r="C99" t="s">
        <v>52</v>
      </c>
      <c r="D99" t="s">
        <v>53</v>
      </c>
      <c r="E99" t="s">
        <v>54</v>
      </c>
      <c r="F99">
        <v>70</v>
      </c>
      <c r="G99">
        <v>1000</v>
      </c>
      <c r="H99">
        <v>-2</v>
      </c>
      <c r="I99">
        <v>1981</v>
      </c>
      <c r="J99" t="s">
        <v>62</v>
      </c>
      <c r="K99">
        <v>2428</v>
      </c>
      <c r="L99">
        <v>22.6</v>
      </c>
      <c r="M99">
        <v>13.4</v>
      </c>
      <c r="N99" s="4">
        <f t="shared" si="2"/>
        <v>4.0094660000000004E-2</v>
      </c>
      <c r="O99" s="4">
        <f t="shared" si="3"/>
        <v>0.53726844400000007</v>
      </c>
      <c r="P99">
        <v>100</v>
      </c>
      <c r="Q99">
        <v>5</v>
      </c>
      <c r="R99">
        <v>3</v>
      </c>
      <c r="S99">
        <v>2.2999999999999998</v>
      </c>
      <c r="T99">
        <v>2.7</v>
      </c>
      <c r="U99">
        <v>2</v>
      </c>
      <c r="V99" t="s">
        <v>27</v>
      </c>
    </row>
    <row r="100" spans="1:22" x14ac:dyDescent="0.25">
      <c r="A100" t="s">
        <v>51</v>
      </c>
      <c r="B100">
        <v>2</v>
      </c>
      <c r="C100" t="s">
        <v>52</v>
      </c>
      <c r="D100" t="s">
        <v>53</v>
      </c>
      <c r="E100" t="s">
        <v>54</v>
      </c>
      <c r="F100">
        <v>70</v>
      </c>
      <c r="G100">
        <v>1000</v>
      </c>
      <c r="H100">
        <v>-2</v>
      </c>
      <c r="I100">
        <v>1981</v>
      </c>
      <c r="J100" t="s">
        <v>55</v>
      </c>
      <c r="K100">
        <v>1094</v>
      </c>
      <c r="L100">
        <v>7.8</v>
      </c>
      <c r="M100">
        <v>7.4</v>
      </c>
      <c r="N100" s="4">
        <f t="shared" si="2"/>
        <v>4.7759400000000002E-3</v>
      </c>
      <c r="O100" s="4">
        <f t="shared" si="3"/>
        <v>3.5341956000000001E-2</v>
      </c>
      <c r="P100">
        <v>63</v>
      </c>
      <c r="Q100">
        <v>1</v>
      </c>
      <c r="R100">
        <v>1</v>
      </c>
      <c r="S100">
        <v>3</v>
      </c>
      <c r="T100">
        <v>3</v>
      </c>
      <c r="U100">
        <v>3</v>
      </c>
      <c r="V100" t="s">
        <v>50</v>
      </c>
    </row>
    <row r="101" spans="1:22" x14ac:dyDescent="0.25">
      <c r="A101" t="s">
        <v>51</v>
      </c>
      <c r="B101">
        <v>2</v>
      </c>
      <c r="C101" t="s">
        <v>52</v>
      </c>
      <c r="D101" t="s">
        <v>53</v>
      </c>
      <c r="E101" t="s">
        <v>54</v>
      </c>
      <c r="F101">
        <v>70</v>
      </c>
      <c r="G101">
        <v>1000</v>
      </c>
      <c r="H101">
        <v>-2</v>
      </c>
      <c r="I101">
        <v>1981</v>
      </c>
      <c r="J101" t="s">
        <v>56</v>
      </c>
      <c r="K101">
        <v>1111</v>
      </c>
      <c r="L101">
        <v>16.399999999999999</v>
      </c>
      <c r="M101">
        <v>13.3</v>
      </c>
      <c r="N101" s="4">
        <f t="shared" si="2"/>
        <v>2.1113359999999994E-2</v>
      </c>
      <c r="O101" s="4">
        <f t="shared" si="3"/>
        <v>0.28080768799999994</v>
      </c>
      <c r="P101">
        <v>100</v>
      </c>
      <c r="Q101">
        <v>4.5</v>
      </c>
      <c r="R101">
        <v>3</v>
      </c>
      <c r="S101">
        <v>3.3</v>
      </c>
      <c r="T101">
        <v>3.3</v>
      </c>
      <c r="U101">
        <v>2.7</v>
      </c>
      <c r="V101" t="s">
        <v>25</v>
      </c>
    </row>
    <row r="102" spans="1:22" x14ac:dyDescent="0.25">
      <c r="A102" t="s">
        <v>51</v>
      </c>
      <c r="B102">
        <v>2</v>
      </c>
      <c r="C102" t="s">
        <v>52</v>
      </c>
      <c r="D102" t="s">
        <v>53</v>
      </c>
      <c r="E102" t="s">
        <v>54</v>
      </c>
      <c r="F102">
        <v>70</v>
      </c>
      <c r="G102">
        <v>1000</v>
      </c>
      <c r="H102">
        <v>-2</v>
      </c>
      <c r="I102">
        <v>1981</v>
      </c>
      <c r="J102" t="s">
        <v>57</v>
      </c>
      <c r="K102">
        <v>1112</v>
      </c>
      <c r="L102">
        <v>11.9</v>
      </c>
      <c r="M102">
        <v>9.6999999999999993</v>
      </c>
      <c r="N102" s="4">
        <f t="shared" si="2"/>
        <v>1.1116385000000001E-2</v>
      </c>
      <c r="O102" s="4">
        <f t="shared" si="3"/>
        <v>0.1078289345</v>
      </c>
      <c r="P102">
        <v>100</v>
      </c>
      <c r="Q102">
        <v>2.2999999999999998</v>
      </c>
      <c r="R102">
        <v>1.8</v>
      </c>
      <c r="S102">
        <v>3</v>
      </c>
      <c r="T102">
        <v>3.5</v>
      </c>
      <c r="U102">
        <v>3.2</v>
      </c>
      <c r="V102" t="s">
        <v>30</v>
      </c>
    </row>
    <row r="103" spans="1:22" x14ac:dyDescent="0.25">
      <c r="A103" t="s">
        <v>51</v>
      </c>
      <c r="B103">
        <v>2</v>
      </c>
      <c r="C103" t="s">
        <v>52</v>
      </c>
      <c r="D103" t="s">
        <v>53</v>
      </c>
      <c r="E103" t="s">
        <v>54</v>
      </c>
      <c r="F103">
        <v>70</v>
      </c>
      <c r="G103">
        <v>1000</v>
      </c>
      <c r="H103">
        <v>-2</v>
      </c>
      <c r="I103">
        <v>1981</v>
      </c>
      <c r="J103" t="s">
        <v>57</v>
      </c>
      <c r="K103">
        <v>1113</v>
      </c>
      <c r="L103">
        <v>10.4</v>
      </c>
      <c r="M103">
        <v>9.4</v>
      </c>
      <c r="N103" s="4">
        <f t="shared" si="2"/>
        <v>8.4905600000000029E-3</v>
      </c>
      <c r="O103" s="4">
        <f t="shared" si="3"/>
        <v>7.9811264000000035E-2</v>
      </c>
      <c r="P103">
        <v>88</v>
      </c>
      <c r="Q103">
        <v>2</v>
      </c>
      <c r="R103">
        <v>1.7</v>
      </c>
      <c r="S103">
        <v>4</v>
      </c>
      <c r="T103">
        <v>4</v>
      </c>
      <c r="U103">
        <v>4</v>
      </c>
      <c r="V103" t="s">
        <v>30</v>
      </c>
    </row>
    <row r="104" spans="1:22" x14ac:dyDescent="0.25">
      <c r="A104" t="s">
        <v>51</v>
      </c>
      <c r="B104">
        <v>2</v>
      </c>
      <c r="C104" t="s">
        <v>52</v>
      </c>
      <c r="D104" t="s">
        <v>53</v>
      </c>
      <c r="E104" t="s">
        <v>54</v>
      </c>
      <c r="F104">
        <v>70</v>
      </c>
      <c r="G104">
        <v>1000</v>
      </c>
      <c r="H104">
        <v>-2</v>
      </c>
      <c r="I104">
        <v>1981</v>
      </c>
      <c r="J104" t="s">
        <v>58</v>
      </c>
      <c r="K104">
        <v>1338</v>
      </c>
      <c r="L104">
        <v>13.5</v>
      </c>
      <c r="M104">
        <v>10</v>
      </c>
      <c r="N104" s="4">
        <f t="shared" si="2"/>
        <v>1.4306625000000002E-2</v>
      </c>
      <c r="O104" s="4">
        <f t="shared" si="3"/>
        <v>0.14306625000000001</v>
      </c>
      <c r="P104">
        <v>13</v>
      </c>
      <c r="Q104">
        <v>3</v>
      </c>
      <c r="R104">
        <v>4</v>
      </c>
      <c r="S104">
        <v>3</v>
      </c>
      <c r="T104">
        <v>4</v>
      </c>
      <c r="U104">
        <v>3.3</v>
      </c>
      <c r="V104" t="s">
        <v>30</v>
      </c>
    </row>
    <row r="105" spans="1:22" x14ac:dyDescent="0.25">
      <c r="A105" t="s">
        <v>51</v>
      </c>
      <c r="B105">
        <v>2</v>
      </c>
      <c r="C105" t="s">
        <v>52</v>
      </c>
      <c r="D105" t="s">
        <v>53</v>
      </c>
      <c r="E105" t="s">
        <v>54</v>
      </c>
      <c r="F105">
        <v>70</v>
      </c>
      <c r="G105">
        <v>1000</v>
      </c>
      <c r="H105">
        <v>-2</v>
      </c>
      <c r="I105">
        <v>1981</v>
      </c>
      <c r="J105" t="s">
        <v>59</v>
      </c>
      <c r="K105">
        <v>1482</v>
      </c>
      <c r="L105">
        <v>23</v>
      </c>
      <c r="M105">
        <v>11</v>
      </c>
      <c r="N105" s="4">
        <f t="shared" si="2"/>
        <v>4.1526500000000001E-2</v>
      </c>
      <c r="O105" s="4">
        <f t="shared" si="3"/>
        <v>0.45679150000000002</v>
      </c>
      <c r="P105">
        <v>13</v>
      </c>
      <c r="Q105">
        <v>3</v>
      </c>
      <c r="R105">
        <v>3.5</v>
      </c>
      <c r="S105">
        <v>2</v>
      </c>
      <c r="T105">
        <v>1</v>
      </c>
      <c r="U105">
        <v>1</v>
      </c>
      <c r="V105" t="s">
        <v>38</v>
      </c>
    </row>
    <row r="106" spans="1:22" x14ac:dyDescent="0.25">
      <c r="A106" t="s">
        <v>51</v>
      </c>
      <c r="B106">
        <v>2</v>
      </c>
      <c r="C106" t="s">
        <v>52</v>
      </c>
      <c r="D106" t="s">
        <v>53</v>
      </c>
      <c r="E106" t="s">
        <v>54</v>
      </c>
      <c r="F106">
        <v>70</v>
      </c>
      <c r="G106">
        <v>1000</v>
      </c>
      <c r="H106">
        <v>-2</v>
      </c>
      <c r="I106">
        <v>1981</v>
      </c>
      <c r="J106" t="s">
        <v>59</v>
      </c>
      <c r="K106">
        <v>1978</v>
      </c>
      <c r="L106">
        <v>23.7</v>
      </c>
      <c r="M106">
        <v>12.6</v>
      </c>
      <c r="N106" s="4">
        <f t="shared" si="2"/>
        <v>4.4092664999999996E-2</v>
      </c>
      <c r="O106" s="4">
        <f t="shared" si="3"/>
        <v>0.55556757899999998</v>
      </c>
      <c r="P106">
        <v>88</v>
      </c>
      <c r="Q106">
        <v>5</v>
      </c>
      <c r="R106">
        <v>3.3</v>
      </c>
      <c r="S106">
        <v>3</v>
      </c>
      <c r="T106">
        <v>2</v>
      </c>
      <c r="U106">
        <v>2</v>
      </c>
      <c r="V106" t="s">
        <v>25</v>
      </c>
    </row>
    <row r="107" spans="1:22" x14ac:dyDescent="0.25">
      <c r="A107" t="s">
        <v>51</v>
      </c>
      <c r="B107">
        <v>2</v>
      </c>
      <c r="C107" t="s">
        <v>52</v>
      </c>
      <c r="D107" t="s">
        <v>53</v>
      </c>
      <c r="E107" t="s">
        <v>54</v>
      </c>
      <c r="F107">
        <v>70</v>
      </c>
      <c r="G107">
        <v>1000</v>
      </c>
      <c r="H107">
        <v>-2</v>
      </c>
      <c r="I107">
        <v>1981</v>
      </c>
      <c r="J107" t="s">
        <v>26</v>
      </c>
      <c r="K107">
        <v>1339</v>
      </c>
      <c r="L107">
        <v>33.799999999999997</v>
      </c>
      <c r="M107">
        <v>16</v>
      </c>
      <c r="N107" s="4">
        <f t="shared" si="2"/>
        <v>8.968153999999999E-2</v>
      </c>
      <c r="O107" s="4">
        <f t="shared" si="3"/>
        <v>1.4349046399999998</v>
      </c>
      <c r="P107">
        <v>50</v>
      </c>
      <c r="Q107">
        <v>5</v>
      </c>
      <c r="R107">
        <v>3</v>
      </c>
      <c r="S107">
        <v>2</v>
      </c>
      <c r="T107">
        <v>2</v>
      </c>
      <c r="U107">
        <v>0.5</v>
      </c>
      <c r="V107" t="s">
        <v>25</v>
      </c>
    </row>
    <row r="108" spans="1:22" x14ac:dyDescent="0.25">
      <c r="A108" t="s">
        <v>51</v>
      </c>
      <c r="B108">
        <v>2</v>
      </c>
      <c r="C108" t="s">
        <v>52</v>
      </c>
      <c r="D108" t="s">
        <v>53</v>
      </c>
      <c r="E108" t="s">
        <v>54</v>
      </c>
      <c r="F108">
        <v>70</v>
      </c>
      <c r="G108">
        <v>1000</v>
      </c>
      <c r="H108">
        <v>-2</v>
      </c>
      <c r="I108">
        <v>1981</v>
      </c>
      <c r="J108" t="s">
        <v>26</v>
      </c>
      <c r="K108">
        <v>1786</v>
      </c>
      <c r="L108">
        <v>17</v>
      </c>
      <c r="M108">
        <v>15.3</v>
      </c>
      <c r="N108" s="4">
        <f t="shared" si="2"/>
        <v>2.2686500000000005E-2</v>
      </c>
      <c r="O108" s="4">
        <f t="shared" si="3"/>
        <v>0.34710345000000009</v>
      </c>
      <c r="P108">
        <v>75</v>
      </c>
      <c r="Q108">
        <v>4.7</v>
      </c>
      <c r="R108">
        <v>4</v>
      </c>
      <c r="S108">
        <v>3.5</v>
      </c>
      <c r="T108">
        <v>4</v>
      </c>
      <c r="U108">
        <v>4</v>
      </c>
      <c r="V108" t="s">
        <v>27</v>
      </c>
    </row>
    <row r="109" spans="1:22" x14ac:dyDescent="0.25">
      <c r="A109" t="s">
        <v>51</v>
      </c>
      <c r="B109">
        <v>2</v>
      </c>
      <c r="C109" t="s">
        <v>52</v>
      </c>
      <c r="D109" t="s">
        <v>53</v>
      </c>
      <c r="E109" t="s">
        <v>54</v>
      </c>
      <c r="F109">
        <v>70</v>
      </c>
      <c r="G109">
        <v>1000</v>
      </c>
      <c r="H109">
        <v>-2</v>
      </c>
      <c r="I109">
        <v>1981</v>
      </c>
      <c r="J109" t="s">
        <v>26</v>
      </c>
      <c r="K109">
        <v>2447</v>
      </c>
      <c r="L109">
        <v>20.8</v>
      </c>
      <c r="M109">
        <v>12.6</v>
      </c>
      <c r="N109" s="4">
        <f t="shared" si="2"/>
        <v>3.3962240000000012E-2</v>
      </c>
      <c r="O109" s="4">
        <f t="shared" si="3"/>
        <v>0.42792422400000013</v>
      </c>
      <c r="P109">
        <v>63</v>
      </c>
      <c r="Q109">
        <v>4</v>
      </c>
      <c r="R109">
        <v>3</v>
      </c>
      <c r="S109">
        <v>3.3</v>
      </c>
      <c r="T109">
        <v>3.5</v>
      </c>
      <c r="U109">
        <v>3.5</v>
      </c>
      <c r="V109" t="s">
        <v>25</v>
      </c>
    </row>
    <row r="110" spans="1:22" x14ac:dyDescent="0.25">
      <c r="A110" t="s">
        <v>51</v>
      </c>
      <c r="B110">
        <v>2</v>
      </c>
      <c r="C110" t="s">
        <v>52</v>
      </c>
      <c r="D110" t="s">
        <v>53</v>
      </c>
      <c r="E110" t="s">
        <v>54</v>
      </c>
      <c r="F110">
        <v>70</v>
      </c>
      <c r="G110">
        <v>1000</v>
      </c>
      <c r="H110">
        <v>-2</v>
      </c>
      <c r="I110">
        <v>1981</v>
      </c>
      <c r="J110" t="s">
        <v>60</v>
      </c>
      <c r="K110">
        <v>1595</v>
      </c>
      <c r="L110">
        <v>6.5</v>
      </c>
      <c r="M110">
        <v>4.4000000000000004</v>
      </c>
      <c r="N110" s="4">
        <f t="shared" si="2"/>
        <v>3.3166250000000006E-3</v>
      </c>
      <c r="O110" s="4">
        <f t="shared" si="3"/>
        <v>1.4593150000000004E-2</v>
      </c>
      <c r="P110">
        <v>63</v>
      </c>
      <c r="Q110">
        <v>0.5</v>
      </c>
      <c r="R110">
        <v>0.5</v>
      </c>
      <c r="S110">
        <v>4</v>
      </c>
      <c r="T110">
        <v>4.5</v>
      </c>
      <c r="U110">
        <v>4</v>
      </c>
      <c r="V110" t="s">
        <v>50</v>
      </c>
    </row>
    <row r="111" spans="1:22" x14ac:dyDescent="0.25">
      <c r="A111" t="s">
        <v>51</v>
      </c>
      <c r="B111">
        <v>2</v>
      </c>
      <c r="C111" t="s">
        <v>52</v>
      </c>
      <c r="D111" t="s">
        <v>53</v>
      </c>
      <c r="E111" t="s">
        <v>54</v>
      </c>
      <c r="F111">
        <v>70</v>
      </c>
      <c r="G111">
        <v>1000</v>
      </c>
      <c r="H111">
        <v>-2</v>
      </c>
      <c r="I111">
        <v>1981</v>
      </c>
      <c r="J111" t="s">
        <v>61</v>
      </c>
      <c r="K111">
        <v>1171</v>
      </c>
      <c r="L111">
        <v>10.4</v>
      </c>
      <c r="M111">
        <v>6.4</v>
      </c>
      <c r="N111" s="4">
        <f t="shared" si="2"/>
        <v>8.4905600000000029E-3</v>
      </c>
      <c r="O111" s="4">
        <f t="shared" si="3"/>
        <v>5.4339584000000024E-2</v>
      </c>
      <c r="P111">
        <v>75</v>
      </c>
      <c r="Q111">
        <v>1.7</v>
      </c>
      <c r="R111">
        <v>1.5</v>
      </c>
      <c r="S111">
        <v>0</v>
      </c>
      <c r="T111">
        <v>0</v>
      </c>
      <c r="U111">
        <v>0</v>
      </c>
      <c r="V111" t="s">
        <v>50</v>
      </c>
    </row>
    <row r="112" spans="1:22" x14ac:dyDescent="0.25">
      <c r="A112" t="s">
        <v>51</v>
      </c>
      <c r="B112">
        <v>2</v>
      </c>
      <c r="C112" t="s">
        <v>52</v>
      </c>
      <c r="D112" t="s">
        <v>53</v>
      </c>
      <c r="E112" t="s">
        <v>54</v>
      </c>
      <c r="F112">
        <v>70</v>
      </c>
      <c r="G112">
        <v>1000</v>
      </c>
      <c r="H112">
        <v>-2</v>
      </c>
      <c r="I112">
        <v>1981</v>
      </c>
      <c r="J112" t="s">
        <v>32</v>
      </c>
      <c r="K112">
        <v>1596</v>
      </c>
      <c r="L112">
        <v>12.6</v>
      </c>
      <c r="M112">
        <v>8</v>
      </c>
      <c r="N112" s="4">
        <f t="shared" si="2"/>
        <v>1.2462660000000002E-2</v>
      </c>
      <c r="O112" s="4">
        <f t="shared" si="3"/>
        <v>9.9701280000000017E-2</v>
      </c>
      <c r="P112">
        <v>37</v>
      </c>
      <c r="Q112">
        <v>2.5</v>
      </c>
      <c r="R112">
        <v>3.5</v>
      </c>
      <c r="S112">
        <v>4</v>
      </c>
      <c r="T112">
        <v>4</v>
      </c>
      <c r="U112">
        <v>4</v>
      </c>
      <c r="V112" t="s">
        <v>38</v>
      </c>
    </row>
    <row r="113" spans="1:22" x14ac:dyDescent="0.25">
      <c r="A113" t="s">
        <v>51</v>
      </c>
      <c r="B113">
        <v>2</v>
      </c>
      <c r="C113" t="s">
        <v>52</v>
      </c>
      <c r="D113" t="s">
        <v>53</v>
      </c>
      <c r="E113" t="s">
        <v>54</v>
      </c>
      <c r="F113">
        <v>70</v>
      </c>
      <c r="G113">
        <v>1000</v>
      </c>
      <c r="H113">
        <v>-2</v>
      </c>
      <c r="I113">
        <v>1981</v>
      </c>
      <c r="J113" t="s">
        <v>34</v>
      </c>
      <c r="K113">
        <v>1337</v>
      </c>
      <c r="L113">
        <v>22.2</v>
      </c>
      <c r="M113">
        <v>14.6</v>
      </c>
      <c r="N113" s="4">
        <f t="shared" si="2"/>
        <v>3.8687940000000004E-2</v>
      </c>
      <c r="O113" s="4">
        <f t="shared" si="3"/>
        <v>0.56484392400000005</v>
      </c>
      <c r="P113">
        <v>63</v>
      </c>
      <c r="Q113">
        <v>5</v>
      </c>
      <c r="R113">
        <v>3</v>
      </c>
      <c r="S113">
        <v>4</v>
      </c>
      <c r="T113">
        <v>4</v>
      </c>
      <c r="U113">
        <v>3.2</v>
      </c>
      <c r="V113" t="s">
        <v>27</v>
      </c>
    </row>
    <row r="114" spans="1:22" x14ac:dyDescent="0.25">
      <c r="A114" t="s">
        <v>51</v>
      </c>
      <c r="B114">
        <v>2</v>
      </c>
      <c r="C114" t="s">
        <v>52</v>
      </c>
      <c r="D114" t="s">
        <v>53</v>
      </c>
      <c r="E114" t="s">
        <v>54</v>
      </c>
      <c r="F114">
        <v>70</v>
      </c>
      <c r="G114">
        <v>1000</v>
      </c>
      <c r="H114">
        <v>-2</v>
      </c>
      <c r="I114">
        <v>1981</v>
      </c>
      <c r="J114" t="s">
        <v>34</v>
      </c>
      <c r="K114">
        <v>2459</v>
      </c>
      <c r="L114">
        <v>19.600000000000001</v>
      </c>
      <c r="M114">
        <v>15.4</v>
      </c>
      <c r="N114" s="4">
        <f t="shared" si="2"/>
        <v>3.0156560000000006E-2</v>
      </c>
      <c r="O114" s="4">
        <f t="shared" si="3"/>
        <v>0.46441102400000012</v>
      </c>
      <c r="P114">
        <v>100</v>
      </c>
      <c r="Q114">
        <v>5</v>
      </c>
      <c r="R114">
        <v>3</v>
      </c>
      <c r="S114">
        <v>5</v>
      </c>
      <c r="T114">
        <v>4.3</v>
      </c>
      <c r="U114">
        <v>3</v>
      </c>
      <c r="V114" t="s">
        <v>27</v>
      </c>
    </row>
    <row r="115" spans="1:22" x14ac:dyDescent="0.25">
      <c r="A115" t="s">
        <v>51</v>
      </c>
      <c r="B115">
        <v>2</v>
      </c>
      <c r="C115" t="s">
        <v>52</v>
      </c>
      <c r="D115" t="s">
        <v>53</v>
      </c>
      <c r="E115" t="s">
        <v>54</v>
      </c>
      <c r="F115">
        <v>70</v>
      </c>
      <c r="G115">
        <v>1000</v>
      </c>
      <c r="H115">
        <v>-2</v>
      </c>
      <c r="I115">
        <v>1981</v>
      </c>
      <c r="J115" t="s">
        <v>35</v>
      </c>
      <c r="K115">
        <v>1785</v>
      </c>
      <c r="L115">
        <v>9.8000000000000007</v>
      </c>
      <c r="M115">
        <v>7.5</v>
      </c>
      <c r="N115" s="4">
        <f t="shared" si="2"/>
        <v>7.5391400000000015E-3</v>
      </c>
      <c r="O115" s="4">
        <f t="shared" si="3"/>
        <v>5.6543550000000012E-2</v>
      </c>
      <c r="P115">
        <v>75</v>
      </c>
      <c r="Q115">
        <v>1.7</v>
      </c>
      <c r="R115">
        <v>1.3</v>
      </c>
      <c r="S115">
        <v>3.3</v>
      </c>
      <c r="T115">
        <v>4</v>
      </c>
      <c r="U115">
        <v>3.5</v>
      </c>
      <c r="V115" t="s">
        <v>30</v>
      </c>
    </row>
    <row r="116" spans="1:22" x14ac:dyDescent="0.25">
      <c r="A116" t="s">
        <v>51</v>
      </c>
      <c r="B116">
        <v>2</v>
      </c>
      <c r="C116" t="s">
        <v>52</v>
      </c>
      <c r="D116" t="s">
        <v>53</v>
      </c>
      <c r="E116" t="s">
        <v>54</v>
      </c>
      <c r="F116">
        <v>70</v>
      </c>
      <c r="G116">
        <v>1000</v>
      </c>
      <c r="H116">
        <v>-2</v>
      </c>
      <c r="I116">
        <v>1981</v>
      </c>
      <c r="J116" t="s">
        <v>36</v>
      </c>
      <c r="K116">
        <v>1598</v>
      </c>
      <c r="L116">
        <v>15.2</v>
      </c>
      <c r="M116">
        <v>14.4</v>
      </c>
      <c r="N116" s="4">
        <f t="shared" si="2"/>
        <v>1.8136639999999999E-2</v>
      </c>
      <c r="O116" s="4">
        <f t="shared" si="3"/>
        <v>0.26116761599999999</v>
      </c>
      <c r="P116">
        <v>100</v>
      </c>
      <c r="Q116">
        <v>4.5</v>
      </c>
      <c r="R116">
        <v>4</v>
      </c>
      <c r="S116">
        <v>3</v>
      </c>
      <c r="T116">
        <v>4</v>
      </c>
      <c r="U116">
        <v>3</v>
      </c>
      <c r="V116" t="s">
        <v>25</v>
      </c>
    </row>
    <row r="117" spans="1:22" x14ac:dyDescent="0.25">
      <c r="A117" t="s">
        <v>51</v>
      </c>
      <c r="B117">
        <v>2</v>
      </c>
      <c r="C117" t="s">
        <v>52</v>
      </c>
      <c r="D117" t="s">
        <v>53</v>
      </c>
      <c r="E117" t="s">
        <v>54</v>
      </c>
      <c r="F117">
        <v>70</v>
      </c>
      <c r="G117">
        <v>1000</v>
      </c>
      <c r="H117">
        <v>-2</v>
      </c>
      <c r="I117">
        <v>1981</v>
      </c>
      <c r="J117" t="s">
        <v>62</v>
      </c>
      <c r="K117">
        <v>1787</v>
      </c>
      <c r="L117">
        <v>19.600000000000001</v>
      </c>
      <c r="M117">
        <v>16.600000000000001</v>
      </c>
      <c r="N117" s="4">
        <f t="shared" si="2"/>
        <v>3.0156560000000006E-2</v>
      </c>
      <c r="O117" s="4">
        <f t="shared" si="3"/>
        <v>0.50059889600000018</v>
      </c>
      <c r="P117">
        <v>100</v>
      </c>
      <c r="Q117">
        <v>5</v>
      </c>
      <c r="R117">
        <v>3</v>
      </c>
      <c r="S117">
        <v>4</v>
      </c>
      <c r="T117">
        <v>4</v>
      </c>
      <c r="U117">
        <v>3</v>
      </c>
      <c r="V117" t="s">
        <v>27</v>
      </c>
    </row>
    <row r="118" spans="1:22" x14ac:dyDescent="0.25">
      <c r="A118" t="s">
        <v>51</v>
      </c>
      <c r="B118">
        <v>2</v>
      </c>
      <c r="C118" t="s">
        <v>52</v>
      </c>
      <c r="D118" t="s">
        <v>53</v>
      </c>
      <c r="E118" t="s">
        <v>54</v>
      </c>
      <c r="F118">
        <v>70</v>
      </c>
      <c r="G118">
        <v>1000</v>
      </c>
      <c r="H118">
        <v>-2</v>
      </c>
      <c r="I118">
        <v>1981</v>
      </c>
      <c r="J118" t="s">
        <v>62</v>
      </c>
      <c r="K118">
        <v>2482</v>
      </c>
      <c r="L118">
        <v>17</v>
      </c>
      <c r="M118">
        <v>14.1</v>
      </c>
      <c r="N118" s="4">
        <f t="shared" si="2"/>
        <v>2.2686500000000005E-2</v>
      </c>
      <c r="O118" s="4">
        <f t="shared" si="3"/>
        <v>0.31987965000000007</v>
      </c>
      <c r="P118">
        <v>88</v>
      </c>
      <c r="Q118">
        <v>4.5</v>
      </c>
      <c r="R118">
        <v>3</v>
      </c>
      <c r="S118">
        <v>3.7</v>
      </c>
      <c r="T118">
        <v>3.7</v>
      </c>
      <c r="U118">
        <v>3.7</v>
      </c>
      <c r="V118" t="s">
        <v>27</v>
      </c>
    </row>
    <row r="119" spans="1:22" x14ac:dyDescent="0.25">
      <c r="A119" t="s">
        <v>51</v>
      </c>
      <c r="B119">
        <v>2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62</v>
      </c>
      <c r="K119">
        <v>2431</v>
      </c>
      <c r="L119">
        <v>26</v>
      </c>
      <c r="M119">
        <v>14</v>
      </c>
      <c r="N119" s="4">
        <f t="shared" si="2"/>
        <v>5.3066000000000009E-2</v>
      </c>
      <c r="O119" s="4">
        <f t="shared" si="3"/>
        <v>0.74292400000000014</v>
      </c>
      <c r="P119">
        <v>88</v>
      </c>
      <c r="Q119">
        <v>5</v>
      </c>
      <c r="R119">
        <v>3.5</v>
      </c>
      <c r="S119">
        <v>3.5</v>
      </c>
      <c r="T119">
        <v>4</v>
      </c>
      <c r="U119">
        <v>3.3</v>
      </c>
      <c r="V119" t="s">
        <v>27</v>
      </c>
    </row>
    <row r="120" spans="1:22" x14ac:dyDescent="0.25">
      <c r="A120" t="s">
        <v>51</v>
      </c>
      <c r="B120">
        <v>2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64</v>
      </c>
      <c r="K120">
        <v>1192</v>
      </c>
      <c r="L120">
        <v>8.9</v>
      </c>
      <c r="M120">
        <v>5.2</v>
      </c>
      <c r="N120" s="4">
        <f t="shared" si="2"/>
        <v>6.2179850000000014E-3</v>
      </c>
      <c r="O120" s="4">
        <f t="shared" si="3"/>
        <v>3.233352200000001E-2</v>
      </c>
      <c r="P120">
        <v>63</v>
      </c>
      <c r="Q120">
        <v>2.5</v>
      </c>
      <c r="R120">
        <v>1.8</v>
      </c>
      <c r="S120">
        <v>3</v>
      </c>
      <c r="T120">
        <v>3</v>
      </c>
      <c r="U120">
        <v>3</v>
      </c>
      <c r="V120" t="s">
        <v>50</v>
      </c>
    </row>
    <row r="121" spans="1:22" x14ac:dyDescent="0.25">
      <c r="A121" t="s">
        <v>51</v>
      </c>
      <c r="B121">
        <v>2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37</v>
      </c>
      <c r="K121">
        <v>1524</v>
      </c>
      <c r="L121">
        <v>10.3</v>
      </c>
      <c r="M121">
        <v>7.8</v>
      </c>
      <c r="N121" s="4">
        <f t="shared" si="2"/>
        <v>8.3280650000000025E-3</v>
      </c>
      <c r="O121" s="4">
        <f t="shared" si="3"/>
        <v>6.4958907000000024E-2</v>
      </c>
      <c r="P121">
        <v>100</v>
      </c>
      <c r="Q121">
        <v>2.2999999999999998</v>
      </c>
      <c r="R121">
        <v>2</v>
      </c>
      <c r="S121">
        <v>3</v>
      </c>
      <c r="T121">
        <v>3</v>
      </c>
      <c r="U121">
        <v>3</v>
      </c>
      <c r="V121" t="s">
        <v>30</v>
      </c>
    </row>
    <row r="122" spans="1:22" x14ac:dyDescent="0.25">
      <c r="A122" t="s">
        <v>51</v>
      </c>
      <c r="B122">
        <v>22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39</v>
      </c>
      <c r="K122">
        <v>2435</v>
      </c>
      <c r="L122">
        <v>19.600000000000001</v>
      </c>
      <c r="M122">
        <v>12.3</v>
      </c>
      <c r="N122" s="4">
        <f t="shared" si="2"/>
        <v>3.0156560000000006E-2</v>
      </c>
      <c r="O122" s="4">
        <f t="shared" si="3"/>
        <v>0.37092568800000009</v>
      </c>
      <c r="P122">
        <v>75</v>
      </c>
      <c r="Q122">
        <v>3.3</v>
      </c>
      <c r="R122">
        <v>3</v>
      </c>
      <c r="S122">
        <v>3.3</v>
      </c>
      <c r="T122">
        <v>3.5</v>
      </c>
      <c r="U122">
        <v>3.5</v>
      </c>
      <c r="V122" t="s">
        <v>27</v>
      </c>
    </row>
    <row r="123" spans="1:22" x14ac:dyDescent="0.25">
      <c r="A123" t="s">
        <v>51</v>
      </c>
      <c r="B123">
        <v>2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63</v>
      </c>
      <c r="K123">
        <v>1340</v>
      </c>
      <c r="L123">
        <v>20.100000000000001</v>
      </c>
      <c r="M123">
        <v>6.9</v>
      </c>
      <c r="N123" s="4">
        <f t="shared" si="2"/>
        <v>3.1714785000000009E-2</v>
      </c>
      <c r="O123" s="4">
        <f t="shared" si="3"/>
        <v>0.21883201650000009</v>
      </c>
      <c r="P123">
        <v>88</v>
      </c>
      <c r="Q123">
        <v>3</v>
      </c>
      <c r="R123">
        <v>2.5</v>
      </c>
      <c r="S123">
        <v>1</v>
      </c>
      <c r="T123">
        <v>0.5</v>
      </c>
      <c r="U123">
        <v>0</v>
      </c>
      <c r="V123" t="s">
        <v>30</v>
      </c>
    </row>
    <row r="124" spans="1:22" x14ac:dyDescent="0.25">
      <c r="A124" t="s">
        <v>51</v>
      </c>
      <c r="B124">
        <v>3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55</v>
      </c>
      <c r="K124">
        <v>1094</v>
      </c>
      <c r="L124">
        <v>13.5</v>
      </c>
      <c r="M124">
        <v>4</v>
      </c>
      <c r="N124" s="4">
        <f t="shared" si="2"/>
        <v>1.4306625000000002E-2</v>
      </c>
      <c r="O124" s="4">
        <f t="shared" si="3"/>
        <v>5.7226500000000007E-2</v>
      </c>
      <c r="P124">
        <v>13</v>
      </c>
      <c r="Q124">
        <v>0.5</v>
      </c>
      <c r="R124">
        <v>0</v>
      </c>
      <c r="S124">
        <v>1</v>
      </c>
      <c r="T124">
        <v>1</v>
      </c>
      <c r="U124">
        <v>1</v>
      </c>
      <c r="V124" t="s">
        <v>50</v>
      </c>
    </row>
    <row r="125" spans="1:22" x14ac:dyDescent="0.25">
      <c r="A125" t="s">
        <v>51</v>
      </c>
      <c r="B125">
        <v>3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56</v>
      </c>
      <c r="K125">
        <v>1111</v>
      </c>
      <c r="L125">
        <v>14.2</v>
      </c>
      <c r="M125">
        <v>10.8</v>
      </c>
      <c r="N125" s="4">
        <f t="shared" si="2"/>
        <v>1.5828739999999997E-2</v>
      </c>
      <c r="O125" s="4">
        <f t="shared" si="3"/>
        <v>0.17095039199999998</v>
      </c>
      <c r="P125">
        <v>100</v>
      </c>
      <c r="Q125">
        <v>3</v>
      </c>
      <c r="R125">
        <v>2.8</v>
      </c>
      <c r="S125">
        <v>3.3</v>
      </c>
      <c r="T125">
        <v>3.3</v>
      </c>
      <c r="U125">
        <v>3</v>
      </c>
      <c r="V125" t="s">
        <v>25</v>
      </c>
    </row>
    <row r="126" spans="1:22" x14ac:dyDescent="0.25">
      <c r="A126" t="s">
        <v>51</v>
      </c>
      <c r="B126">
        <v>3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57</v>
      </c>
      <c r="K126">
        <v>1112</v>
      </c>
      <c r="L126">
        <v>13.1</v>
      </c>
      <c r="M126">
        <v>10.6</v>
      </c>
      <c r="N126" s="4">
        <f t="shared" si="2"/>
        <v>1.3471385000000002E-2</v>
      </c>
      <c r="O126" s="4">
        <f t="shared" si="3"/>
        <v>0.14279668100000001</v>
      </c>
      <c r="P126">
        <v>88</v>
      </c>
      <c r="Q126">
        <v>2</v>
      </c>
      <c r="R126">
        <v>2</v>
      </c>
      <c r="S126">
        <v>3</v>
      </c>
      <c r="T126">
        <v>3</v>
      </c>
      <c r="U126">
        <v>3</v>
      </c>
      <c r="V126" t="s">
        <v>50</v>
      </c>
    </row>
    <row r="127" spans="1:22" x14ac:dyDescent="0.25">
      <c r="A127" t="s">
        <v>51</v>
      </c>
      <c r="B127">
        <v>3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57</v>
      </c>
      <c r="K127">
        <v>1113</v>
      </c>
      <c r="L127">
        <v>9.6</v>
      </c>
      <c r="M127">
        <v>7</v>
      </c>
      <c r="N127" s="4">
        <f t="shared" si="2"/>
        <v>7.2345600000000001E-3</v>
      </c>
      <c r="O127" s="4">
        <f t="shared" si="3"/>
        <v>5.064192E-2</v>
      </c>
      <c r="P127">
        <v>100</v>
      </c>
      <c r="Q127">
        <v>2.6</v>
      </c>
      <c r="R127">
        <v>2</v>
      </c>
      <c r="S127">
        <v>3</v>
      </c>
      <c r="T127">
        <v>3</v>
      </c>
      <c r="U127">
        <v>3</v>
      </c>
      <c r="V127" t="s">
        <v>30</v>
      </c>
    </row>
    <row r="128" spans="1:22" x14ac:dyDescent="0.25">
      <c r="A128" t="s">
        <v>51</v>
      </c>
      <c r="B128">
        <v>3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58</v>
      </c>
      <c r="K128">
        <v>1338</v>
      </c>
      <c r="L128">
        <v>18.899999999999999</v>
      </c>
      <c r="M128">
        <v>9</v>
      </c>
      <c r="N128" s="4">
        <f t="shared" si="2"/>
        <v>2.8040984999999994E-2</v>
      </c>
      <c r="O128" s="4">
        <f t="shared" si="3"/>
        <v>0.25236886499999994</v>
      </c>
      <c r="P128">
        <v>13</v>
      </c>
      <c r="Q128">
        <v>2</v>
      </c>
      <c r="R128">
        <v>3.5</v>
      </c>
      <c r="S128">
        <v>3</v>
      </c>
      <c r="T128">
        <v>3.5</v>
      </c>
      <c r="U128">
        <v>3</v>
      </c>
      <c r="V128" t="s">
        <v>50</v>
      </c>
    </row>
    <row r="129" spans="1:22" x14ac:dyDescent="0.25">
      <c r="A129" t="s">
        <v>51</v>
      </c>
      <c r="B129">
        <v>3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59</v>
      </c>
      <c r="K129">
        <v>1482</v>
      </c>
      <c r="L129">
        <v>20</v>
      </c>
      <c r="M129">
        <v>13.2</v>
      </c>
      <c r="N129" s="4">
        <f t="shared" si="2"/>
        <v>3.1400000000000004E-2</v>
      </c>
      <c r="O129" s="4">
        <f t="shared" si="3"/>
        <v>0.41448000000000002</v>
      </c>
      <c r="P129">
        <v>75</v>
      </c>
      <c r="Q129">
        <v>4.5</v>
      </c>
      <c r="R129">
        <v>3</v>
      </c>
      <c r="S129">
        <v>4</v>
      </c>
      <c r="T129">
        <v>4</v>
      </c>
      <c r="U129">
        <v>4</v>
      </c>
      <c r="V129" t="s">
        <v>27</v>
      </c>
    </row>
    <row r="130" spans="1:22" x14ac:dyDescent="0.25">
      <c r="A130" t="s">
        <v>51</v>
      </c>
      <c r="B130">
        <v>3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59</v>
      </c>
      <c r="K130">
        <v>1978</v>
      </c>
      <c r="L130">
        <v>26.6</v>
      </c>
      <c r="M130">
        <v>13.5</v>
      </c>
      <c r="N130" s="4">
        <f t="shared" si="2"/>
        <v>5.554346000000001E-2</v>
      </c>
      <c r="O130" s="4">
        <f t="shared" si="3"/>
        <v>0.74983671000000018</v>
      </c>
      <c r="P130">
        <v>75</v>
      </c>
      <c r="Q130">
        <v>5</v>
      </c>
      <c r="R130">
        <v>3</v>
      </c>
      <c r="S130">
        <v>2.5</v>
      </c>
      <c r="T130">
        <v>2</v>
      </c>
      <c r="U130">
        <v>1</v>
      </c>
      <c r="V130" t="s">
        <v>25</v>
      </c>
    </row>
    <row r="131" spans="1:22" x14ac:dyDescent="0.25">
      <c r="A131" t="s">
        <v>51</v>
      </c>
      <c r="B131">
        <v>3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26</v>
      </c>
      <c r="K131">
        <v>1339</v>
      </c>
      <c r="L131">
        <v>23.9</v>
      </c>
      <c r="M131">
        <v>12.7</v>
      </c>
      <c r="N131" s="4">
        <f t="shared" ref="N131:N194" si="4">3.14/4*((L131/100)^2)</f>
        <v>4.4839984999999999E-2</v>
      </c>
      <c r="O131" s="4">
        <f t="shared" ref="O131:O194" si="5">3.14/4*((L131/100)^2)*M131</f>
        <v>0.56946780949999998</v>
      </c>
      <c r="P131">
        <v>37</v>
      </c>
      <c r="Q131">
        <v>4</v>
      </c>
      <c r="R131">
        <v>3</v>
      </c>
      <c r="S131">
        <v>3</v>
      </c>
      <c r="T131">
        <v>3</v>
      </c>
      <c r="U131">
        <v>3</v>
      </c>
      <c r="V131" t="s">
        <v>25</v>
      </c>
    </row>
    <row r="132" spans="1:22" x14ac:dyDescent="0.25">
      <c r="A132" t="s">
        <v>51</v>
      </c>
      <c r="B132">
        <v>3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26</v>
      </c>
      <c r="K132">
        <v>1786</v>
      </c>
      <c r="L132">
        <v>17.8</v>
      </c>
      <c r="M132">
        <v>12.2</v>
      </c>
      <c r="N132" s="4">
        <f t="shared" si="4"/>
        <v>2.4871940000000006E-2</v>
      </c>
      <c r="O132" s="4">
        <f t="shared" si="5"/>
        <v>0.30343766800000005</v>
      </c>
      <c r="P132">
        <v>63</v>
      </c>
      <c r="Q132">
        <v>4.7</v>
      </c>
      <c r="R132">
        <v>3.1</v>
      </c>
      <c r="S132">
        <v>3</v>
      </c>
      <c r="T132">
        <v>3</v>
      </c>
      <c r="U132">
        <v>3</v>
      </c>
      <c r="V132" t="s">
        <v>25</v>
      </c>
    </row>
    <row r="133" spans="1:22" x14ac:dyDescent="0.25">
      <c r="A133" t="s">
        <v>51</v>
      </c>
      <c r="B133">
        <v>3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26</v>
      </c>
      <c r="K133">
        <v>2447</v>
      </c>
      <c r="L133">
        <v>21.4</v>
      </c>
      <c r="M133">
        <v>12.7</v>
      </c>
      <c r="N133" s="4">
        <f t="shared" si="4"/>
        <v>3.594986E-2</v>
      </c>
      <c r="O133" s="4">
        <f t="shared" si="5"/>
        <v>0.45656322199999999</v>
      </c>
      <c r="P133">
        <v>75</v>
      </c>
      <c r="Q133">
        <v>4.5999999999999996</v>
      </c>
      <c r="R133">
        <v>4</v>
      </c>
      <c r="S133">
        <v>3</v>
      </c>
      <c r="T133">
        <v>3</v>
      </c>
      <c r="U133">
        <v>3</v>
      </c>
      <c r="V133" t="s">
        <v>27</v>
      </c>
    </row>
    <row r="134" spans="1:22" x14ac:dyDescent="0.25">
      <c r="A134" t="s">
        <v>51</v>
      </c>
      <c r="B134">
        <v>3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60</v>
      </c>
      <c r="K134">
        <v>1595</v>
      </c>
      <c r="L134">
        <v>7.8</v>
      </c>
      <c r="M134">
        <v>5.3</v>
      </c>
      <c r="N134" s="4">
        <f t="shared" si="4"/>
        <v>4.7759400000000002E-3</v>
      </c>
      <c r="O134" s="4">
        <f t="shared" si="5"/>
        <v>2.5312482000000001E-2</v>
      </c>
      <c r="P134">
        <v>50</v>
      </c>
      <c r="Q134">
        <v>1</v>
      </c>
      <c r="R134">
        <v>1.5</v>
      </c>
      <c r="S134">
        <v>4</v>
      </c>
      <c r="T134">
        <v>4</v>
      </c>
      <c r="U134">
        <v>4</v>
      </c>
      <c r="V134" t="s">
        <v>50</v>
      </c>
    </row>
    <row r="135" spans="1:22" x14ac:dyDescent="0.25">
      <c r="A135" t="s">
        <v>51</v>
      </c>
      <c r="B135">
        <v>3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61</v>
      </c>
      <c r="K135">
        <v>1171</v>
      </c>
      <c r="L135">
        <v>13.1</v>
      </c>
      <c r="M135">
        <v>10.1</v>
      </c>
      <c r="N135" s="4">
        <f t="shared" si="4"/>
        <v>1.3471385000000002E-2</v>
      </c>
      <c r="O135" s="4">
        <f t="shared" si="5"/>
        <v>0.13606098850000001</v>
      </c>
      <c r="P135">
        <v>100</v>
      </c>
      <c r="Q135">
        <v>2</v>
      </c>
      <c r="R135">
        <v>2</v>
      </c>
      <c r="S135">
        <v>2</v>
      </c>
      <c r="T135">
        <v>2</v>
      </c>
      <c r="U135">
        <v>2</v>
      </c>
      <c r="V135" t="s">
        <v>30</v>
      </c>
    </row>
    <row r="136" spans="1:22" x14ac:dyDescent="0.25">
      <c r="A136" t="s">
        <v>51</v>
      </c>
      <c r="B136">
        <v>3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32</v>
      </c>
      <c r="K136">
        <v>1596</v>
      </c>
      <c r="L136">
        <v>15.1</v>
      </c>
      <c r="M136">
        <v>12.3</v>
      </c>
      <c r="N136" s="4">
        <f t="shared" si="4"/>
        <v>1.7898785E-2</v>
      </c>
      <c r="O136" s="4">
        <f t="shared" si="5"/>
        <v>0.22015505550000003</v>
      </c>
      <c r="P136">
        <v>88</v>
      </c>
      <c r="Q136">
        <v>3.5</v>
      </c>
      <c r="R136">
        <v>3</v>
      </c>
      <c r="S136">
        <v>3.3</v>
      </c>
      <c r="T136">
        <v>4</v>
      </c>
      <c r="U136">
        <v>4</v>
      </c>
      <c r="V136" t="s">
        <v>27</v>
      </c>
    </row>
    <row r="137" spans="1:22" x14ac:dyDescent="0.25">
      <c r="A137" t="s">
        <v>51</v>
      </c>
      <c r="B137">
        <v>3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34</v>
      </c>
      <c r="K137">
        <v>1337</v>
      </c>
      <c r="L137">
        <v>24.5</v>
      </c>
      <c r="M137">
        <v>13.5</v>
      </c>
      <c r="N137" s="4">
        <f t="shared" si="4"/>
        <v>4.7119624999999998E-2</v>
      </c>
      <c r="O137" s="4">
        <f t="shared" si="5"/>
        <v>0.63611493749999992</v>
      </c>
      <c r="P137">
        <v>75</v>
      </c>
      <c r="Q137">
        <v>5</v>
      </c>
      <c r="R137">
        <v>3</v>
      </c>
      <c r="S137">
        <v>4</v>
      </c>
      <c r="T137">
        <v>4</v>
      </c>
      <c r="U137">
        <v>2.5</v>
      </c>
      <c r="V137" t="s">
        <v>27</v>
      </c>
    </row>
    <row r="138" spans="1:22" x14ac:dyDescent="0.25">
      <c r="A138" t="s">
        <v>51</v>
      </c>
      <c r="B138">
        <v>3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34</v>
      </c>
      <c r="K138">
        <v>2459</v>
      </c>
      <c r="L138">
        <v>23.7</v>
      </c>
      <c r="M138">
        <v>13.3</v>
      </c>
      <c r="N138" s="4">
        <f t="shared" si="4"/>
        <v>4.4092664999999996E-2</v>
      </c>
      <c r="O138" s="4">
        <f t="shared" si="5"/>
        <v>0.58643244449999998</v>
      </c>
      <c r="P138">
        <v>88</v>
      </c>
      <c r="Q138">
        <v>5</v>
      </c>
      <c r="R138">
        <v>3</v>
      </c>
      <c r="S138">
        <v>3.5</v>
      </c>
      <c r="T138">
        <v>3.5</v>
      </c>
      <c r="U138">
        <v>2.5</v>
      </c>
      <c r="V138" t="s">
        <v>27</v>
      </c>
    </row>
    <row r="139" spans="1:22" x14ac:dyDescent="0.25">
      <c r="A139" t="s">
        <v>51</v>
      </c>
      <c r="B139">
        <v>3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35</v>
      </c>
      <c r="K139">
        <v>1785</v>
      </c>
      <c r="L139">
        <v>10.5</v>
      </c>
      <c r="M139">
        <v>7.6</v>
      </c>
      <c r="N139" s="4">
        <f t="shared" si="4"/>
        <v>8.6546249999999991E-3</v>
      </c>
      <c r="O139" s="4">
        <f t="shared" si="5"/>
        <v>6.5775149999999991E-2</v>
      </c>
      <c r="P139">
        <v>88</v>
      </c>
      <c r="Q139">
        <v>2.2999999999999998</v>
      </c>
      <c r="R139">
        <v>2</v>
      </c>
      <c r="S139">
        <v>3</v>
      </c>
      <c r="T139">
        <v>3.5</v>
      </c>
      <c r="U139">
        <v>3</v>
      </c>
      <c r="V139" t="s">
        <v>30</v>
      </c>
    </row>
    <row r="140" spans="1:22" x14ac:dyDescent="0.25">
      <c r="A140" t="s">
        <v>51</v>
      </c>
      <c r="B140">
        <v>3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36</v>
      </c>
      <c r="K140">
        <v>1598</v>
      </c>
      <c r="L140">
        <v>14</v>
      </c>
      <c r="M140">
        <v>10.3</v>
      </c>
      <c r="N140" s="4">
        <f t="shared" si="4"/>
        <v>1.5386000000000002E-2</v>
      </c>
      <c r="O140" s="4">
        <f t="shared" si="5"/>
        <v>0.15847580000000003</v>
      </c>
      <c r="P140">
        <v>100</v>
      </c>
      <c r="Q140">
        <v>3.5</v>
      </c>
      <c r="R140">
        <v>4</v>
      </c>
      <c r="S140">
        <v>2</v>
      </c>
      <c r="T140">
        <v>3</v>
      </c>
      <c r="U140">
        <v>2</v>
      </c>
      <c r="V140" t="s">
        <v>38</v>
      </c>
    </row>
    <row r="141" spans="1:22" x14ac:dyDescent="0.25">
      <c r="A141" t="s">
        <v>51</v>
      </c>
      <c r="B141">
        <v>3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62</v>
      </c>
      <c r="K141">
        <v>1787</v>
      </c>
      <c r="L141">
        <v>21.8</v>
      </c>
      <c r="M141">
        <v>13.8</v>
      </c>
      <c r="N141" s="4">
        <f t="shared" si="4"/>
        <v>3.730634E-2</v>
      </c>
      <c r="O141" s="4">
        <f t="shared" si="5"/>
        <v>0.514827492</v>
      </c>
      <c r="P141">
        <v>100</v>
      </c>
      <c r="Q141">
        <v>5</v>
      </c>
      <c r="R141">
        <v>3</v>
      </c>
      <c r="S141">
        <v>3</v>
      </c>
      <c r="T141">
        <v>3</v>
      </c>
      <c r="U141">
        <v>2</v>
      </c>
      <c r="V141" t="s">
        <v>27</v>
      </c>
    </row>
    <row r="142" spans="1:22" x14ac:dyDescent="0.25">
      <c r="A142" t="s">
        <v>51</v>
      </c>
      <c r="B142">
        <v>3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62</v>
      </c>
      <c r="K142">
        <v>2482</v>
      </c>
      <c r="L142">
        <v>16.399999999999999</v>
      </c>
      <c r="M142">
        <v>12.1</v>
      </c>
      <c r="N142" s="4">
        <f t="shared" si="4"/>
        <v>2.1113359999999994E-2</v>
      </c>
      <c r="O142" s="4">
        <f t="shared" si="5"/>
        <v>0.25547165599999994</v>
      </c>
      <c r="P142">
        <v>88</v>
      </c>
      <c r="Q142">
        <v>4.8</v>
      </c>
      <c r="R142">
        <v>3</v>
      </c>
      <c r="S142">
        <v>3.3</v>
      </c>
      <c r="T142">
        <v>3.5</v>
      </c>
      <c r="U142">
        <v>2</v>
      </c>
      <c r="V142" t="s">
        <v>27</v>
      </c>
    </row>
    <row r="143" spans="1:22" x14ac:dyDescent="0.25">
      <c r="A143" t="s">
        <v>51</v>
      </c>
      <c r="B143">
        <v>3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62</v>
      </c>
      <c r="K143">
        <v>2431</v>
      </c>
      <c r="L143">
        <v>17.600000000000001</v>
      </c>
      <c r="M143">
        <v>12.4</v>
      </c>
      <c r="N143" s="4">
        <f t="shared" si="4"/>
        <v>2.4316160000000007E-2</v>
      </c>
      <c r="O143" s="4">
        <f t="shared" si="5"/>
        <v>0.30152038400000009</v>
      </c>
      <c r="P143">
        <v>100</v>
      </c>
      <c r="Q143">
        <v>3.5</v>
      </c>
      <c r="R143">
        <v>3.3</v>
      </c>
      <c r="S143">
        <v>3</v>
      </c>
      <c r="T143">
        <v>3</v>
      </c>
      <c r="U143">
        <v>2</v>
      </c>
      <c r="V143" t="s">
        <v>25</v>
      </c>
    </row>
    <row r="144" spans="1:22" x14ac:dyDescent="0.25">
      <c r="A144" t="s">
        <v>51</v>
      </c>
      <c r="B144">
        <v>3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64</v>
      </c>
      <c r="K144">
        <v>1192</v>
      </c>
      <c r="L144">
        <v>12.2</v>
      </c>
      <c r="M144">
        <v>4.4000000000000004</v>
      </c>
      <c r="N144" s="4">
        <f t="shared" si="4"/>
        <v>1.168394E-2</v>
      </c>
      <c r="O144" s="4">
        <f t="shared" si="5"/>
        <v>5.1409336000000007E-2</v>
      </c>
      <c r="P144">
        <v>75</v>
      </c>
      <c r="Q144">
        <v>3</v>
      </c>
      <c r="R144">
        <v>2</v>
      </c>
      <c r="S144">
        <v>3</v>
      </c>
      <c r="T144">
        <v>2.5</v>
      </c>
      <c r="U144">
        <v>2.5</v>
      </c>
      <c r="V144" t="s">
        <v>30</v>
      </c>
    </row>
    <row r="145" spans="1:22" x14ac:dyDescent="0.25">
      <c r="A145" t="s">
        <v>51</v>
      </c>
      <c r="B145">
        <v>3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37</v>
      </c>
      <c r="K145">
        <v>1524</v>
      </c>
      <c r="L145">
        <v>9</v>
      </c>
      <c r="M145">
        <v>6.8</v>
      </c>
      <c r="N145" s="4">
        <f t="shared" si="4"/>
        <v>6.3584999999999996E-3</v>
      </c>
      <c r="O145" s="4">
        <f t="shared" si="5"/>
        <v>4.3237799999999993E-2</v>
      </c>
      <c r="P145">
        <v>100</v>
      </c>
      <c r="Q145">
        <v>2</v>
      </c>
      <c r="R145">
        <v>1.5</v>
      </c>
      <c r="S145">
        <v>2</v>
      </c>
      <c r="T145">
        <v>4</v>
      </c>
      <c r="U145">
        <v>3.5</v>
      </c>
      <c r="V145" t="s">
        <v>50</v>
      </c>
    </row>
    <row r="146" spans="1:22" x14ac:dyDescent="0.25">
      <c r="A146" t="s">
        <v>51</v>
      </c>
      <c r="B146">
        <v>3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39</v>
      </c>
      <c r="K146">
        <v>2435</v>
      </c>
      <c r="L146">
        <v>20.3</v>
      </c>
      <c r="M146">
        <v>13.6</v>
      </c>
      <c r="N146" s="4">
        <f t="shared" si="4"/>
        <v>3.2349065000000003E-2</v>
      </c>
      <c r="O146" s="4">
        <f t="shared" si="5"/>
        <v>0.43994728400000005</v>
      </c>
      <c r="P146">
        <v>63</v>
      </c>
      <c r="Q146">
        <v>4</v>
      </c>
      <c r="R146">
        <v>2.7</v>
      </c>
      <c r="S146">
        <v>3</v>
      </c>
      <c r="T146">
        <v>2.5</v>
      </c>
      <c r="U146">
        <v>2</v>
      </c>
      <c r="V146" t="s">
        <v>25</v>
      </c>
    </row>
    <row r="147" spans="1:22" x14ac:dyDescent="0.25">
      <c r="A147" t="s">
        <v>51</v>
      </c>
      <c r="B147">
        <v>3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63</v>
      </c>
      <c r="K147">
        <v>1340</v>
      </c>
      <c r="L147">
        <v>8.8000000000000007</v>
      </c>
      <c r="M147">
        <v>6.3</v>
      </c>
      <c r="N147" s="4">
        <f t="shared" si="4"/>
        <v>6.0790400000000017E-3</v>
      </c>
      <c r="O147" s="4">
        <f t="shared" si="5"/>
        <v>3.829795200000001E-2</v>
      </c>
      <c r="P147">
        <v>100</v>
      </c>
      <c r="Q147">
        <v>2</v>
      </c>
      <c r="R147">
        <v>2</v>
      </c>
      <c r="S147">
        <v>1</v>
      </c>
      <c r="T147">
        <v>2</v>
      </c>
      <c r="U147">
        <v>2</v>
      </c>
      <c r="V147" t="s">
        <v>50</v>
      </c>
    </row>
    <row r="148" spans="1:22" x14ac:dyDescent="0.25">
      <c r="A148" t="s">
        <v>65</v>
      </c>
      <c r="B148">
        <v>1</v>
      </c>
      <c r="C148" t="s">
        <v>66</v>
      </c>
      <c r="D148" t="s">
        <v>67</v>
      </c>
      <c r="E148" t="s">
        <v>68</v>
      </c>
      <c r="F148">
        <v>180</v>
      </c>
      <c r="G148">
        <v>1080</v>
      </c>
      <c r="H148">
        <v>-3</v>
      </c>
      <c r="I148">
        <v>1981</v>
      </c>
      <c r="J148" t="s">
        <v>55</v>
      </c>
      <c r="K148">
        <v>1094</v>
      </c>
      <c r="L148">
        <v>2.86</v>
      </c>
      <c r="M148">
        <v>3.2</v>
      </c>
      <c r="N148" s="4">
        <f t="shared" si="4"/>
        <v>6.4209860000000011E-4</v>
      </c>
      <c r="O148" s="4">
        <f t="shared" si="5"/>
        <v>2.0547155200000005E-3</v>
      </c>
      <c r="P148">
        <v>25</v>
      </c>
      <c r="Q148">
        <v>2</v>
      </c>
      <c r="R148">
        <v>2</v>
      </c>
      <c r="S148">
        <v>2</v>
      </c>
      <c r="T148">
        <v>2</v>
      </c>
      <c r="U148">
        <v>2</v>
      </c>
      <c r="V148" t="s">
        <v>50</v>
      </c>
    </row>
    <row r="149" spans="1:22" x14ac:dyDescent="0.25">
      <c r="A149" t="s">
        <v>65</v>
      </c>
      <c r="B149">
        <v>1</v>
      </c>
      <c r="C149" t="s">
        <v>66</v>
      </c>
      <c r="D149" t="s">
        <v>67</v>
      </c>
      <c r="E149" t="s">
        <v>68</v>
      </c>
      <c r="F149">
        <v>180</v>
      </c>
      <c r="G149">
        <v>1080</v>
      </c>
      <c r="H149">
        <v>-3</v>
      </c>
      <c r="I149">
        <v>1981</v>
      </c>
      <c r="J149" t="s">
        <v>56</v>
      </c>
      <c r="K149">
        <v>1111</v>
      </c>
      <c r="L149">
        <v>4.49</v>
      </c>
      <c r="M149">
        <v>4.1100000000000003</v>
      </c>
      <c r="N149" s="4">
        <f t="shared" si="4"/>
        <v>1.5825678500000003E-3</v>
      </c>
      <c r="O149" s="4">
        <f t="shared" si="5"/>
        <v>6.5043538635000016E-3</v>
      </c>
      <c r="P149">
        <v>44</v>
      </c>
      <c r="Q149">
        <v>2.5</v>
      </c>
      <c r="R149">
        <v>3</v>
      </c>
      <c r="S149">
        <v>3</v>
      </c>
      <c r="T149">
        <v>3</v>
      </c>
      <c r="U149">
        <v>3</v>
      </c>
      <c r="V149" t="s">
        <v>30</v>
      </c>
    </row>
    <row r="150" spans="1:22" x14ac:dyDescent="0.25">
      <c r="A150" t="s">
        <v>65</v>
      </c>
      <c r="B150">
        <v>1</v>
      </c>
      <c r="C150" t="s">
        <v>66</v>
      </c>
      <c r="D150" t="s">
        <v>67</v>
      </c>
      <c r="E150" t="s">
        <v>68</v>
      </c>
      <c r="F150">
        <v>180</v>
      </c>
      <c r="G150">
        <v>1080</v>
      </c>
      <c r="H150">
        <v>-3</v>
      </c>
      <c r="I150">
        <v>1981</v>
      </c>
      <c r="J150" t="s">
        <v>57</v>
      </c>
      <c r="K150">
        <v>1112</v>
      </c>
      <c r="L150">
        <v>9.89</v>
      </c>
      <c r="M150">
        <v>6.68</v>
      </c>
      <c r="N150" s="4">
        <f t="shared" si="4"/>
        <v>7.6782498500000008E-3</v>
      </c>
      <c r="O150" s="4">
        <f t="shared" si="5"/>
        <v>5.1290708998000006E-2</v>
      </c>
      <c r="P150">
        <v>100</v>
      </c>
      <c r="Q150">
        <v>3.5</v>
      </c>
      <c r="R150">
        <v>2</v>
      </c>
      <c r="S150">
        <v>3</v>
      </c>
      <c r="T150">
        <v>4</v>
      </c>
      <c r="U150">
        <v>3</v>
      </c>
      <c r="V150" t="s">
        <v>27</v>
      </c>
    </row>
    <row r="151" spans="1:22" x14ac:dyDescent="0.25">
      <c r="A151" t="s">
        <v>65</v>
      </c>
      <c r="B151">
        <v>1</v>
      </c>
      <c r="C151" t="s">
        <v>66</v>
      </c>
      <c r="D151" t="s">
        <v>67</v>
      </c>
      <c r="E151" t="s">
        <v>68</v>
      </c>
      <c r="F151">
        <v>180</v>
      </c>
      <c r="G151">
        <v>1080</v>
      </c>
      <c r="H151">
        <v>-3</v>
      </c>
      <c r="I151">
        <v>1981</v>
      </c>
      <c r="J151" t="s">
        <v>60</v>
      </c>
      <c r="K151">
        <v>1595</v>
      </c>
      <c r="L151">
        <v>5.34</v>
      </c>
      <c r="M151">
        <v>3.05</v>
      </c>
      <c r="N151" s="4">
        <f t="shared" si="4"/>
        <v>2.2384745999999996E-3</v>
      </c>
      <c r="O151" s="4">
        <f t="shared" si="5"/>
        <v>6.8273475299999989E-3</v>
      </c>
      <c r="P151">
        <v>75</v>
      </c>
      <c r="Q151">
        <v>2.7</v>
      </c>
      <c r="R151">
        <v>1</v>
      </c>
      <c r="S151">
        <v>3</v>
      </c>
      <c r="T151">
        <v>4</v>
      </c>
      <c r="U151">
        <v>4</v>
      </c>
      <c r="V151" t="s">
        <v>30</v>
      </c>
    </row>
    <row r="152" spans="1:22" x14ac:dyDescent="0.25">
      <c r="A152" t="s">
        <v>65</v>
      </c>
      <c r="B152">
        <v>1</v>
      </c>
      <c r="C152" t="s">
        <v>66</v>
      </c>
      <c r="D152" t="s">
        <v>67</v>
      </c>
      <c r="E152" t="s">
        <v>68</v>
      </c>
      <c r="F152">
        <v>180</v>
      </c>
      <c r="G152">
        <v>1080</v>
      </c>
      <c r="H152">
        <v>-3</v>
      </c>
      <c r="I152">
        <v>1981</v>
      </c>
      <c r="J152" t="s">
        <v>26</v>
      </c>
      <c r="K152">
        <v>1339</v>
      </c>
      <c r="L152">
        <v>3.28</v>
      </c>
      <c r="M152">
        <v>4.07</v>
      </c>
      <c r="N152" s="4">
        <f t="shared" si="4"/>
        <v>8.4453439999999989E-4</v>
      </c>
      <c r="O152" s="4">
        <f t="shared" si="5"/>
        <v>3.4372550079999997E-3</v>
      </c>
      <c r="P152">
        <v>75</v>
      </c>
      <c r="Q152">
        <v>2</v>
      </c>
      <c r="R152">
        <v>3</v>
      </c>
      <c r="S152">
        <v>3</v>
      </c>
      <c r="T152">
        <v>3</v>
      </c>
      <c r="U152">
        <v>3</v>
      </c>
      <c r="V152" t="s">
        <v>30</v>
      </c>
    </row>
    <row r="153" spans="1:22" x14ac:dyDescent="0.25">
      <c r="A153" t="s">
        <v>65</v>
      </c>
      <c r="B153">
        <v>1</v>
      </c>
      <c r="C153" t="s">
        <v>66</v>
      </c>
      <c r="D153" t="s">
        <v>67</v>
      </c>
      <c r="E153" t="s">
        <v>68</v>
      </c>
      <c r="F153">
        <v>180</v>
      </c>
      <c r="G153">
        <v>1080</v>
      </c>
      <c r="H153">
        <v>-3</v>
      </c>
      <c r="I153">
        <v>1981</v>
      </c>
      <c r="J153" t="s">
        <v>26</v>
      </c>
      <c r="K153">
        <v>2447</v>
      </c>
      <c r="L153">
        <v>7.62</v>
      </c>
      <c r="M153">
        <v>5.39</v>
      </c>
      <c r="N153" s="4">
        <f t="shared" si="4"/>
        <v>4.5580554000000002E-3</v>
      </c>
      <c r="O153" s="4">
        <f t="shared" si="5"/>
        <v>2.4567918606000001E-2</v>
      </c>
      <c r="P153">
        <v>100</v>
      </c>
      <c r="Q153">
        <v>3</v>
      </c>
      <c r="R153">
        <v>3</v>
      </c>
      <c r="S153">
        <v>3</v>
      </c>
      <c r="T153">
        <v>3.5</v>
      </c>
      <c r="U153">
        <v>3</v>
      </c>
      <c r="V153" t="s">
        <v>25</v>
      </c>
    </row>
    <row r="154" spans="1:22" x14ac:dyDescent="0.25">
      <c r="A154" t="s">
        <v>65</v>
      </c>
      <c r="B154">
        <v>1</v>
      </c>
      <c r="C154" t="s">
        <v>66</v>
      </c>
      <c r="D154" t="s">
        <v>67</v>
      </c>
      <c r="E154" t="s">
        <v>68</v>
      </c>
      <c r="F154">
        <v>180</v>
      </c>
      <c r="G154">
        <v>1080</v>
      </c>
      <c r="H154">
        <v>-3</v>
      </c>
      <c r="I154">
        <v>1981</v>
      </c>
      <c r="J154" t="s">
        <v>26</v>
      </c>
      <c r="K154">
        <v>1786</v>
      </c>
      <c r="L154">
        <v>6.05</v>
      </c>
      <c r="M154">
        <v>5.39</v>
      </c>
      <c r="N154" s="4">
        <f t="shared" si="4"/>
        <v>2.8732962499999999E-3</v>
      </c>
      <c r="O154" s="4">
        <f t="shared" si="5"/>
        <v>1.5487066787499998E-2</v>
      </c>
      <c r="P154">
        <v>88</v>
      </c>
      <c r="Q154">
        <v>4</v>
      </c>
      <c r="R154">
        <v>4</v>
      </c>
      <c r="S154">
        <v>3.5</v>
      </c>
      <c r="T154">
        <v>3.5</v>
      </c>
      <c r="U154">
        <v>3.5</v>
      </c>
      <c r="V154" t="s">
        <v>25</v>
      </c>
    </row>
    <row r="155" spans="1:22" x14ac:dyDescent="0.25">
      <c r="A155" t="s">
        <v>65</v>
      </c>
      <c r="B155">
        <v>1</v>
      </c>
      <c r="C155" t="s">
        <v>66</v>
      </c>
      <c r="D155" t="s">
        <v>67</v>
      </c>
      <c r="E155" t="s">
        <v>68</v>
      </c>
      <c r="F155">
        <v>180</v>
      </c>
      <c r="G155">
        <v>1080</v>
      </c>
      <c r="H155">
        <v>-3</v>
      </c>
      <c r="I155">
        <v>1981</v>
      </c>
      <c r="J155" t="s">
        <v>32</v>
      </c>
      <c r="K155">
        <v>1596</v>
      </c>
      <c r="L155">
        <v>6.38</v>
      </c>
      <c r="M155">
        <v>5.07</v>
      </c>
      <c r="N155" s="4">
        <f t="shared" si="4"/>
        <v>3.1952954E-3</v>
      </c>
      <c r="O155" s="4">
        <f t="shared" si="5"/>
        <v>1.6200147678000001E-2</v>
      </c>
      <c r="P155">
        <v>88</v>
      </c>
      <c r="Q155">
        <v>3</v>
      </c>
      <c r="R155">
        <v>4</v>
      </c>
      <c r="S155">
        <v>3.5</v>
      </c>
      <c r="T155">
        <v>4</v>
      </c>
      <c r="U155">
        <v>4</v>
      </c>
      <c r="V155" t="s">
        <v>27</v>
      </c>
    </row>
    <row r="156" spans="1:22" x14ac:dyDescent="0.25">
      <c r="A156" t="s">
        <v>65</v>
      </c>
      <c r="B156">
        <v>1</v>
      </c>
      <c r="C156" t="s">
        <v>66</v>
      </c>
      <c r="D156" t="s">
        <v>67</v>
      </c>
      <c r="E156" t="s">
        <v>68</v>
      </c>
      <c r="F156">
        <v>180</v>
      </c>
      <c r="G156">
        <v>1080</v>
      </c>
      <c r="H156">
        <v>-3</v>
      </c>
      <c r="I156">
        <v>1981</v>
      </c>
      <c r="J156" t="s">
        <v>61</v>
      </c>
      <c r="K156">
        <v>1171</v>
      </c>
      <c r="L156">
        <v>6.16</v>
      </c>
      <c r="M156">
        <v>4.3</v>
      </c>
      <c r="N156" s="4">
        <f t="shared" si="4"/>
        <v>2.9787296000000005E-3</v>
      </c>
      <c r="O156" s="4">
        <f t="shared" si="5"/>
        <v>1.2808537280000001E-2</v>
      </c>
      <c r="P156">
        <v>40</v>
      </c>
      <c r="Q156">
        <v>3</v>
      </c>
      <c r="R156">
        <v>2</v>
      </c>
      <c r="S156">
        <v>1</v>
      </c>
      <c r="T156">
        <v>1</v>
      </c>
      <c r="U156">
        <v>1</v>
      </c>
      <c r="V156" t="s">
        <v>30</v>
      </c>
    </row>
    <row r="157" spans="1:22" x14ac:dyDescent="0.25">
      <c r="A157" t="s">
        <v>65</v>
      </c>
      <c r="B157">
        <v>1</v>
      </c>
      <c r="C157" t="s">
        <v>66</v>
      </c>
      <c r="D157" t="s">
        <v>67</v>
      </c>
      <c r="E157" t="s">
        <v>68</v>
      </c>
      <c r="F157">
        <v>180</v>
      </c>
      <c r="G157">
        <v>1080</v>
      </c>
      <c r="H157">
        <v>-3</v>
      </c>
      <c r="I157">
        <v>1981</v>
      </c>
      <c r="J157" t="s">
        <v>34</v>
      </c>
      <c r="K157">
        <v>2469</v>
      </c>
      <c r="L157">
        <v>19.920000000000002</v>
      </c>
      <c r="M157">
        <v>7.37</v>
      </c>
      <c r="N157" s="4">
        <f t="shared" si="4"/>
        <v>3.1149302400000002E-2</v>
      </c>
      <c r="O157" s="4">
        <f t="shared" si="5"/>
        <v>0.22957035868800002</v>
      </c>
      <c r="P157">
        <v>13</v>
      </c>
      <c r="Q157">
        <v>2</v>
      </c>
      <c r="R157">
        <v>2.5</v>
      </c>
      <c r="S157">
        <v>3</v>
      </c>
      <c r="T157">
        <v>3</v>
      </c>
      <c r="U157">
        <v>3</v>
      </c>
      <c r="V157" t="s">
        <v>30</v>
      </c>
    </row>
    <row r="158" spans="1:22" x14ac:dyDescent="0.25">
      <c r="A158" t="s">
        <v>65</v>
      </c>
      <c r="B158">
        <v>1</v>
      </c>
      <c r="C158" t="s">
        <v>66</v>
      </c>
      <c r="D158" t="s">
        <v>67</v>
      </c>
      <c r="E158" t="s">
        <v>68</v>
      </c>
      <c r="F158">
        <v>180</v>
      </c>
      <c r="G158">
        <v>1080</v>
      </c>
      <c r="H158">
        <v>-3</v>
      </c>
      <c r="I158">
        <v>1981</v>
      </c>
      <c r="J158" t="s">
        <v>35</v>
      </c>
      <c r="K158">
        <v>1785</v>
      </c>
      <c r="L158">
        <v>3.91</v>
      </c>
      <c r="M158">
        <v>3.91</v>
      </c>
      <c r="N158" s="4">
        <f t="shared" si="4"/>
        <v>1.2001158500000002E-3</v>
      </c>
      <c r="O158" s="4">
        <f t="shared" si="5"/>
        <v>4.6924529735000008E-3</v>
      </c>
      <c r="P158">
        <v>63</v>
      </c>
      <c r="Q158">
        <v>2.5</v>
      </c>
      <c r="R158">
        <v>1.5</v>
      </c>
      <c r="S158">
        <v>3</v>
      </c>
      <c r="T158">
        <v>4</v>
      </c>
      <c r="U158">
        <v>3</v>
      </c>
      <c r="V158" t="s">
        <v>38</v>
      </c>
    </row>
    <row r="159" spans="1:22" x14ac:dyDescent="0.25">
      <c r="A159" t="s">
        <v>65</v>
      </c>
      <c r="B159">
        <v>1</v>
      </c>
      <c r="C159" t="s">
        <v>66</v>
      </c>
      <c r="D159" t="s">
        <v>67</v>
      </c>
      <c r="E159" t="s">
        <v>68</v>
      </c>
      <c r="F159">
        <v>180</v>
      </c>
      <c r="G159">
        <v>1080</v>
      </c>
      <c r="H159">
        <v>-3</v>
      </c>
      <c r="I159">
        <v>1981</v>
      </c>
      <c r="J159" t="s">
        <v>36</v>
      </c>
      <c r="K159">
        <v>1598</v>
      </c>
      <c r="L159">
        <v>10.75</v>
      </c>
      <c r="M159">
        <v>9.26</v>
      </c>
      <c r="N159" s="4">
        <f t="shared" si="4"/>
        <v>9.071656249999999E-3</v>
      </c>
      <c r="O159" s="4">
        <f t="shared" si="5"/>
        <v>8.4003536874999993E-2</v>
      </c>
      <c r="P159">
        <v>88</v>
      </c>
      <c r="Q159">
        <v>4</v>
      </c>
      <c r="R159">
        <v>4</v>
      </c>
      <c r="S159">
        <v>4</v>
      </c>
      <c r="T159">
        <v>4</v>
      </c>
      <c r="U159">
        <v>4</v>
      </c>
      <c r="V159" t="s">
        <v>27</v>
      </c>
    </row>
    <row r="160" spans="1:22" x14ac:dyDescent="0.25">
      <c r="A160" t="s">
        <v>65</v>
      </c>
      <c r="B160">
        <v>1</v>
      </c>
      <c r="C160" t="s">
        <v>66</v>
      </c>
      <c r="D160" t="s">
        <v>67</v>
      </c>
      <c r="E160" t="s">
        <v>68</v>
      </c>
      <c r="F160">
        <v>180</v>
      </c>
      <c r="G160">
        <v>1080</v>
      </c>
      <c r="H160">
        <v>-3</v>
      </c>
      <c r="I160">
        <v>1981</v>
      </c>
      <c r="J160" t="s">
        <v>62</v>
      </c>
      <c r="K160">
        <v>2428</v>
      </c>
      <c r="L160">
        <v>3.63</v>
      </c>
      <c r="M160">
        <v>5.0199999999999996</v>
      </c>
      <c r="N160" s="4">
        <f t="shared" si="4"/>
        <v>1.03438665E-3</v>
      </c>
      <c r="O160" s="4">
        <f t="shared" si="5"/>
        <v>5.1926209829999993E-3</v>
      </c>
      <c r="P160">
        <v>63</v>
      </c>
      <c r="Q160">
        <v>4</v>
      </c>
      <c r="R160">
        <v>3.5</v>
      </c>
      <c r="S160">
        <v>4</v>
      </c>
      <c r="T160">
        <v>4</v>
      </c>
      <c r="U160">
        <v>3.5</v>
      </c>
      <c r="V160" t="s">
        <v>25</v>
      </c>
    </row>
    <row r="161" spans="1:22" x14ac:dyDescent="0.25">
      <c r="A161" t="s">
        <v>65</v>
      </c>
      <c r="B161">
        <v>1</v>
      </c>
      <c r="C161" t="s">
        <v>66</v>
      </c>
      <c r="D161" t="s">
        <v>67</v>
      </c>
      <c r="E161" t="s">
        <v>68</v>
      </c>
      <c r="F161">
        <v>180</v>
      </c>
      <c r="G161">
        <v>1080</v>
      </c>
      <c r="H161">
        <v>-3</v>
      </c>
      <c r="I161">
        <v>1981</v>
      </c>
      <c r="J161" t="s">
        <v>62</v>
      </c>
      <c r="K161">
        <v>2431</v>
      </c>
      <c r="L161">
        <v>6.14</v>
      </c>
      <c r="M161">
        <v>5.86</v>
      </c>
      <c r="N161" s="4">
        <f t="shared" si="4"/>
        <v>2.9594185999999999E-3</v>
      </c>
      <c r="O161" s="4">
        <f t="shared" si="5"/>
        <v>1.7342192996000001E-2</v>
      </c>
      <c r="P161">
        <v>75</v>
      </c>
      <c r="Q161">
        <v>4</v>
      </c>
      <c r="R161">
        <v>3</v>
      </c>
      <c r="S161">
        <v>4</v>
      </c>
      <c r="T161">
        <v>4</v>
      </c>
      <c r="U161">
        <v>4</v>
      </c>
      <c r="V161" t="s">
        <v>27</v>
      </c>
    </row>
    <row r="162" spans="1:22" x14ac:dyDescent="0.25">
      <c r="A162" t="s">
        <v>65</v>
      </c>
      <c r="B162">
        <v>1</v>
      </c>
      <c r="C162" t="s">
        <v>66</v>
      </c>
      <c r="D162" t="s">
        <v>67</v>
      </c>
      <c r="E162" t="s">
        <v>68</v>
      </c>
      <c r="F162">
        <v>180</v>
      </c>
      <c r="G162">
        <v>1080</v>
      </c>
      <c r="H162">
        <v>-3</v>
      </c>
      <c r="I162">
        <v>1981</v>
      </c>
      <c r="J162" t="s">
        <v>62</v>
      </c>
      <c r="K162">
        <v>1787</v>
      </c>
      <c r="L162">
        <v>5.3</v>
      </c>
      <c r="M162">
        <v>4.88</v>
      </c>
      <c r="N162" s="4">
        <f t="shared" si="4"/>
        <v>2.205065E-3</v>
      </c>
      <c r="O162" s="4">
        <f t="shared" si="5"/>
        <v>1.07607172E-2</v>
      </c>
      <c r="P162">
        <v>38</v>
      </c>
      <c r="Q162">
        <v>3.5</v>
      </c>
      <c r="R162">
        <v>3</v>
      </c>
      <c r="S162">
        <v>4</v>
      </c>
      <c r="T162">
        <v>4</v>
      </c>
      <c r="U162">
        <v>4</v>
      </c>
      <c r="V162" t="s">
        <v>25</v>
      </c>
    </row>
    <row r="163" spans="1:22" x14ac:dyDescent="0.25">
      <c r="A163" t="s">
        <v>65</v>
      </c>
      <c r="B163">
        <v>1</v>
      </c>
      <c r="C163" t="s">
        <v>66</v>
      </c>
      <c r="D163" t="s">
        <v>67</v>
      </c>
      <c r="E163" t="s">
        <v>68</v>
      </c>
      <c r="F163">
        <v>180</v>
      </c>
      <c r="G163">
        <v>1080</v>
      </c>
      <c r="H163">
        <v>-3</v>
      </c>
      <c r="I163">
        <v>1981</v>
      </c>
      <c r="J163" t="s">
        <v>39</v>
      </c>
      <c r="K163">
        <v>2435</v>
      </c>
      <c r="L163">
        <v>14.93</v>
      </c>
      <c r="M163">
        <v>9.39</v>
      </c>
      <c r="N163" s="4">
        <f t="shared" si="4"/>
        <v>1.7498034649999997E-2</v>
      </c>
      <c r="O163" s="4">
        <f t="shared" si="5"/>
        <v>0.16430654536349998</v>
      </c>
      <c r="P163">
        <v>63</v>
      </c>
      <c r="Q163">
        <v>4</v>
      </c>
      <c r="R163">
        <v>3</v>
      </c>
      <c r="S163">
        <v>3</v>
      </c>
      <c r="T163">
        <v>2.5</v>
      </c>
      <c r="U163">
        <v>2.5</v>
      </c>
      <c r="V163" t="s">
        <v>25</v>
      </c>
    </row>
    <row r="164" spans="1:22" x14ac:dyDescent="0.25">
      <c r="A164" t="s">
        <v>65</v>
      </c>
      <c r="B164">
        <v>1</v>
      </c>
      <c r="C164" t="s">
        <v>66</v>
      </c>
      <c r="D164" t="s">
        <v>67</v>
      </c>
      <c r="E164" t="s">
        <v>68</v>
      </c>
      <c r="F164">
        <v>180</v>
      </c>
      <c r="G164">
        <v>1080</v>
      </c>
      <c r="H164">
        <v>-3</v>
      </c>
      <c r="I164">
        <v>1981</v>
      </c>
      <c r="J164" t="s">
        <v>37</v>
      </c>
      <c r="K164">
        <v>1524</v>
      </c>
      <c r="L164">
        <v>3.21</v>
      </c>
      <c r="M164">
        <v>3.72</v>
      </c>
      <c r="N164" s="4">
        <f t="shared" si="4"/>
        <v>8.0887184999999993E-4</v>
      </c>
      <c r="O164" s="4">
        <f t="shared" si="5"/>
        <v>3.0090032819999999E-3</v>
      </c>
      <c r="P164">
        <v>50</v>
      </c>
      <c r="Q164">
        <v>1.5</v>
      </c>
      <c r="R164">
        <v>2</v>
      </c>
      <c r="S164">
        <v>2</v>
      </c>
      <c r="T164">
        <v>4</v>
      </c>
      <c r="U164">
        <v>4</v>
      </c>
      <c r="V164" t="s">
        <v>30</v>
      </c>
    </row>
    <row r="165" spans="1:22" x14ac:dyDescent="0.25">
      <c r="A165" t="s">
        <v>65</v>
      </c>
      <c r="B165">
        <v>1</v>
      </c>
      <c r="C165" t="s">
        <v>66</v>
      </c>
      <c r="D165" t="s">
        <v>67</v>
      </c>
      <c r="E165" t="s">
        <v>68</v>
      </c>
      <c r="F165">
        <v>180</v>
      </c>
      <c r="G165">
        <v>1080</v>
      </c>
      <c r="H165">
        <v>-3</v>
      </c>
      <c r="I165">
        <v>1981</v>
      </c>
      <c r="J165" t="s">
        <v>63</v>
      </c>
      <c r="K165">
        <v>1340</v>
      </c>
      <c r="L165">
        <v>5.93</v>
      </c>
      <c r="M165">
        <v>6.48</v>
      </c>
      <c r="N165" s="4">
        <f t="shared" si="4"/>
        <v>2.7604446499999999E-3</v>
      </c>
      <c r="O165" s="4">
        <f t="shared" si="5"/>
        <v>1.7887681331999999E-2</v>
      </c>
      <c r="P165">
        <v>100</v>
      </c>
      <c r="Q165">
        <v>1.8</v>
      </c>
      <c r="R165">
        <v>1.8</v>
      </c>
      <c r="S165">
        <v>2</v>
      </c>
      <c r="T165">
        <v>2</v>
      </c>
      <c r="U165">
        <v>3</v>
      </c>
      <c r="V165" t="s">
        <v>30</v>
      </c>
    </row>
    <row r="166" spans="1:22" x14ac:dyDescent="0.25">
      <c r="A166" t="s">
        <v>65</v>
      </c>
      <c r="B166">
        <v>1</v>
      </c>
      <c r="C166" t="s">
        <v>66</v>
      </c>
      <c r="D166" t="s">
        <v>67</v>
      </c>
      <c r="E166" t="s">
        <v>68</v>
      </c>
      <c r="F166">
        <v>180</v>
      </c>
      <c r="G166">
        <v>1080</v>
      </c>
      <c r="H166">
        <v>-3</v>
      </c>
      <c r="I166">
        <v>1981</v>
      </c>
      <c r="J166" t="s">
        <v>69</v>
      </c>
      <c r="K166">
        <v>1780</v>
      </c>
      <c r="L166">
        <v>6.24</v>
      </c>
      <c r="M166">
        <v>4.8499999999999996</v>
      </c>
      <c r="N166" s="4">
        <f t="shared" si="4"/>
        <v>3.0566016000000006E-3</v>
      </c>
      <c r="O166" s="4">
        <f t="shared" si="5"/>
        <v>1.4824517760000001E-2</v>
      </c>
      <c r="P166">
        <v>25</v>
      </c>
      <c r="Q166">
        <v>2.5</v>
      </c>
      <c r="R166">
        <v>4</v>
      </c>
      <c r="S166">
        <v>3</v>
      </c>
      <c r="T166">
        <v>3</v>
      </c>
      <c r="U166">
        <v>3</v>
      </c>
      <c r="V166" t="s">
        <v>30</v>
      </c>
    </row>
    <row r="167" spans="1:22" x14ac:dyDescent="0.25">
      <c r="A167" t="s">
        <v>65</v>
      </c>
      <c r="B167">
        <v>2</v>
      </c>
      <c r="C167" t="s">
        <v>66</v>
      </c>
      <c r="D167" t="s">
        <v>67</v>
      </c>
      <c r="E167" t="s">
        <v>68</v>
      </c>
      <c r="F167">
        <v>180</v>
      </c>
      <c r="G167">
        <v>1080</v>
      </c>
      <c r="H167">
        <v>-3</v>
      </c>
      <c r="I167">
        <v>1981</v>
      </c>
      <c r="J167" t="s">
        <v>55</v>
      </c>
      <c r="K167">
        <v>1094</v>
      </c>
      <c r="L167">
        <v>1.03</v>
      </c>
      <c r="M167">
        <v>2.17</v>
      </c>
      <c r="N167" s="4">
        <f t="shared" si="4"/>
        <v>8.3280650000000007E-5</v>
      </c>
      <c r="O167" s="4">
        <f t="shared" si="5"/>
        <v>1.8071901050000001E-4</v>
      </c>
      <c r="P167">
        <v>13</v>
      </c>
      <c r="Q167">
        <v>2</v>
      </c>
      <c r="R167">
        <v>2</v>
      </c>
      <c r="S167">
        <v>2</v>
      </c>
      <c r="T167">
        <v>2</v>
      </c>
      <c r="U167">
        <v>2</v>
      </c>
      <c r="V167" t="s">
        <v>50</v>
      </c>
    </row>
    <row r="168" spans="1:22" x14ac:dyDescent="0.25">
      <c r="A168" t="s">
        <v>65</v>
      </c>
      <c r="B168">
        <v>2</v>
      </c>
      <c r="C168" t="s">
        <v>66</v>
      </c>
      <c r="D168" t="s">
        <v>67</v>
      </c>
      <c r="E168" t="s">
        <v>68</v>
      </c>
      <c r="F168">
        <v>180</v>
      </c>
      <c r="G168">
        <v>1080</v>
      </c>
      <c r="H168">
        <v>-3</v>
      </c>
      <c r="I168">
        <v>1981</v>
      </c>
      <c r="J168" t="s">
        <v>56</v>
      </c>
      <c r="K168">
        <v>1111</v>
      </c>
      <c r="L168">
        <v>6.29</v>
      </c>
      <c r="M168">
        <v>4.62</v>
      </c>
      <c r="N168" s="4">
        <f t="shared" si="4"/>
        <v>3.1057818499999998E-3</v>
      </c>
      <c r="O168" s="4">
        <f t="shared" si="5"/>
        <v>1.4348712147E-2</v>
      </c>
      <c r="P168">
        <v>100</v>
      </c>
      <c r="Q168">
        <v>3</v>
      </c>
      <c r="R168">
        <v>2.5</v>
      </c>
      <c r="S168">
        <v>2</v>
      </c>
      <c r="T168">
        <v>2</v>
      </c>
      <c r="U168">
        <v>2.5</v>
      </c>
      <c r="V168" t="s">
        <v>38</v>
      </c>
    </row>
    <row r="169" spans="1:22" x14ac:dyDescent="0.25">
      <c r="A169" t="s">
        <v>65</v>
      </c>
      <c r="B169">
        <v>2</v>
      </c>
      <c r="C169" t="s">
        <v>66</v>
      </c>
      <c r="D169" t="s">
        <v>67</v>
      </c>
      <c r="E169" t="s">
        <v>68</v>
      </c>
      <c r="F169">
        <v>180</v>
      </c>
      <c r="G169">
        <v>1080</v>
      </c>
      <c r="H169">
        <v>-3</v>
      </c>
      <c r="I169">
        <v>1981</v>
      </c>
      <c r="J169" t="s">
        <v>57</v>
      </c>
      <c r="K169">
        <v>1112</v>
      </c>
      <c r="L169">
        <v>11.43</v>
      </c>
      <c r="M169">
        <v>7.83</v>
      </c>
      <c r="N169" s="4">
        <f t="shared" si="4"/>
        <v>1.025562465E-2</v>
      </c>
      <c r="O169" s="4">
        <f t="shared" si="5"/>
        <v>8.0301541009500002E-2</v>
      </c>
      <c r="P169">
        <v>88</v>
      </c>
      <c r="Q169">
        <v>3</v>
      </c>
      <c r="R169">
        <v>2</v>
      </c>
      <c r="S169">
        <v>3.5</v>
      </c>
      <c r="T169">
        <v>4</v>
      </c>
      <c r="U169">
        <v>4</v>
      </c>
      <c r="V169" t="s">
        <v>27</v>
      </c>
    </row>
    <row r="170" spans="1:22" x14ac:dyDescent="0.25">
      <c r="A170" t="s">
        <v>65</v>
      </c>
      <c r="B170">
        <v>2</v>
      </c>
      <c r="C170" t="s">
        <v>66</v>
      </c>
      <c r="D170" t="s">
        <v>67</v>
      </c>
      <c r="E170" t="s">
        <v>68</v>
      </c>
      <c r="F170">
        <v>180</v>
      </c>
      <c r="G170">
        <v>1080</v>
      </c>
      <c r="H170">
        <v>-3</v>
      </c>
      <c r="I170">
        <v>1981</v>
      </c>
      <c r="J170" t="s">
        <v>57</v>
      </c>
      <c r="K170">
        <v>1113</v>
      </c>
      <c r="L170">
        <v>3.98</v>
      </c>
      <c r="M170">
        <v>3.98</v>
      </c>
      <c r="N170" s="4">
        <f t="shared" si="4"/>
        <v>1.2434714E-3</v>
      </c>
      <c r="O170" s="4">
        <f t="shared" si="5"/>
        <v>4.9490161719999998E-3</v>
      </c>
      <c r="P170">
        <v>75</v>
      </c>
      <c r="Q170">
        <v>3</v>
      </c>
      <c r="R170">
        <v>2</v>
      </c>
      <c r="S170">
        <v>3</v>
      </c>
      <c r="T170">
        <v>4</v>
      </c>
      <c r="U170">
        <v>3</v>
      </c>
      <c r="V170" t="s">
        <v>38</v>
      </c>
    </row>
    <row r="171" spans="1:22" x14ac:dyDescent="0.25">
      <c r="A171" t="s">
        <v>65</v>
      </c>
      <c r="B171">
        <v>2</v>
      </c>
      <c r="C171" t="s">
        <v>66</v>
      </c>
      <c r="D171" t="s">
        <v>67</v>
      </c>
      <c r="E171" t="s">
        <v>68</v>
      </c>
      <c r="F171">
        <v>180</v>
      </c>
      <c r="G171">
        <v>1080</v>
      </c>
      <c r="H171">
        <v>-3</v>
      </c>
      <c r="I171">
        <v>1981</v>
      </c>
      <c r="J171" t="s">
        <v>60</v>
      </c>
      <c r="K171">
        <v>1595</v>
      </c>
      <c r="L171">
        <v>2.8</v>
      </c>
      <c r="M171">
        <v>2.92</v>
      </c>
      <c r="N171" s="4">
        <f t="shared" si="4"/>
        <v>6.1543999999999987E-4</v>
      </c>
      <c r="O171" s="4">
        <f t="shared" si="5"/>
        <v>1.7970847999999996E-3</v>
      </c>
      <c r="P171">
        <v>75</v>
      </c>
      <c r="Q171">
        <v>2.5</v>
      </c>
      <c r="R171">
        <v>1.8</v>
      </c>
      <c r="S171">
        <v>3.2</v>
      </c>
      <c r="T171">
        <v>3.5</v>
      </c>
      <c r="U171">
        <v>3.5</v>
      </c>
      <c r="V171" t="s">
        <v>30</v>
      </c>
    </row>
    <row r="172" spans="1:22" x14ac:dyDescent="0.25">
      <c r="A172" t="s">
        <v>65</v>
      </c>
      <c r="B172">
        <v>2</v>
      </c>
      <c r="C172" t="s">
        <v>66</v>
      </c>
      <c r="D172" t="s">
        <v>67</v>
      </c>
      <c r="E172" t="s">
        <v>68</v>
      </c>
      <c r="F172">
        <v>180</v>
      </c>
      <c r="G172">
        <v>1080</v>
      </c>
      <c r="H172">
        <v>-3</v>
      </c>
      <c r="I172">
        <v>1981</v>
      </c>
      <c r="J172" t="s">
        <v>58</v>
      </c>
      <c r="K172">
        <v>1338</v>
      </c>
      <c r="L172">
        <v>6.07</v>
      </c>
      <c r="M172">
        <v>5.89</v>
      </c>
      <c r="N172" s="4">
        <f t="shared" si="4"/>
        <v>2.8923246500000004E-3</v>
      </c>
      <c r="O172" s="4">
        <f t="shared" si="5"/>
        <v>1.7035792188500001E-2</v>
      </c>
      <c r="P172">
        <v>63</v>
      </c>
      <c r="Q172">
        <v>3</v>
      </c>
      <c r="R172">
        <v>3</v>
      </c>
      <c r="S172">
        <v>2</v>
      </c>
      <c r="T172">
        <v>2</v>
      </c>
      <c r="U172">
        <v>2.5</v>
      </c>
      <c r="V172" t="s">
        <v>30</v>
      </c>
    </row>
    <row r="173" spans="1:22" x14ac:dyDescent="0.25">
      <c r="A173" t="s">
        <v>65</v>
      </c>
      <c r="B173">
        <v>2</v>
      </c>
      <c r="C173" t="s">
        <v>66</v>
      </c>
      <c r="D173" t="s">
        <v>67</v>
      </c>
      <c r="E173" t="s">
        <v>68</v>
      </c>
      <c r="F173">
        <v>180</v>
      </c>
      <c r="G173">
        <v>1080</v>
      </c>
      <c r="H173">
        <v>-3</v>
      </c>
      <c r="I173">
        <v>1981</v>
      </c>
      <c r="J173" t="s">
        <v>59</v>
      </c>
      <c r="K173">
        <v>1978</v>
      </c>
      <c r="L173">
        <v>4.04</v>
      </c>
      <c r="M173">
        <v>4.66</v>
      </c>
      <c r="N173" s="4">
        <f t="shared" si="4"/>
        <v>1.2812456000000001E-3</v>
      </c>
      <c r="O173" s="4">
        <f t="shared" si="5"/>
        <v>5.9706044960000006E-3</v>
      </c>
      <c r="P173">
        <v>50</v>
      </c>
      <c r="Q173">
        <v>2.5</v>
      </c>
      <c r="R173">
        <v>3</v>
      </c>
      <c r="S173">
        <v>3.5</v>
      </c>
      <c r="T173">
        <v>3.5</v>
      </c>
      <c r="U173">
        <v>3.5</v>
      </c>
      <c r="V173" t="s">
        <v>38</v>
      </c>
    </row>
    <row r="174" spans="1:22" x14ac:dyDescent="0.25">
      <c r="A174" t="s">
        <v>65</v>
      </c>
      <c r="B174">
        <v>2</v>
      </c>
      <c r="C174" t="s">
        <v>66</v>
      </c>
      <c r="D174" t="s">
        <v>67</v>
      </c>
      <c r="E174" t="s">
        <v>68</v>
      </c>
      <c r="F174">
        <v>180</v>
      </c>
      <c r="G174">
        <v>1080</v>
      </c>
      <c r="H174">
        <v>-3</v>
      </c>
      <c r="I174">
        <v>1981</v>
      </c>
      <c r="J174" t="s">
        <v>59</v>
      </c>
      <c r="K174">
        <v>1482</v>
      </c>
      <c r="L174">
        <v>11.03</v>
      </c>
      <c r="M174">
        <v>6.25</v>
      </c>
      <c r="N174" s="4">
        <f t="shared" si="4"/>
        <v>9.5503806499999989E-3</v>
      </c>
      <c r="O174" s="4">
        <f t="shared" si="5"/>
        <v>5.9689879062499993E-2</v>
      </c>
      <c r="P174">
        <v>38</v>
      </c>
      <c r="Q174">
        <v>3.5</v>
      </c>
      <c r="R174">
        <v>3.5</v>
      </c>
      <c r="S174">
        <v>3</v>
      </c>
      <c r="T174">
        <v>2.5</v>
      </c>
      <c r="U174">
        <v>2</v>
      </c>
      <c r="V174" t="s">
        <v>38</v>
      </c>
    </row>
    <row r="175" spans="1:22" x14ac:dyDescent="0.25">
      <c r="A175" t="s">
        <v>65</v>
      </c>
      <c r="B175">
        <v>2</v>
      </c>
      <c r="C175" t="s">
        <v>66</v>
      </c>
      <c r="D175" t="s">
        <v>67</v>
      </c>
      <c r="E175" t="s">
        <v>68</v>
      </c>
      <c r="F175">
        <v>180</v>
      </c>
      <c r="G175">
        <v>1080</v>
      </c>
      <c r="H175">
        <v>-3</v>
      </c>
      <c r="I175">
        <v>1981</v>
      </c>
      <c r="J175" t="s">
        <v>26</v>
      </c>
      <c r="K175">
        <v>1339</v>
      </c>
      <c r="L175">
        <v>12.49</v>
      </c>
      <c r="M175">
        <v>10.119999999999999</v>
      </c>
      <c r="N175" s="4">
        <f t="shared" si="4"/>
        <v>1.2246007850000001E-2</v>
      </c>
      <c r="O175" s="4">
        <f t="shared" si="5"/>
        <v>0.12392959944199999</v>
      </c>
      <c r="P175">
        <v>63</v>
      </c>
      <c r="Q175">
        <v>4.5</v>
      </c>
      <c r="R175">
        <v>3</v>
      </c>
      <c r="S175">
        <v>3.5</v>
      </c>
      <c r="T175">
        <v>3.5</v>
      </c>
      <c r="U175">
        <v>3.5</v>
      </c>
      <c r="V175" t="s">
        <v>27</v>
      </c>
    </row>
    <row r="176" spans="1:22" x14ac:dyDescent="0.25">
      <c r="A176" t="s">
        <v>65</v>
      </c>
      <c r="B176">
        <v>2</v>
      </c>
      <c r="C176" t="s">
        <v>66</v>
      </c>
      <c r="D176" t="s">
        <v>67</v>
      </c>
      <c r="E176" t="s">
        <v>68</v>
      </c>
      <c r="F176">
        <v>180</v>
      </c>
      <c r="G176">
        <v>1080</v>
      </c>
      <c r="H176">
        <v>-3</v>
      </c>
      <c r="I176">
        <v>1981</v>
      </c>
      <c r="J176" t="s">
        <v>26</v>
      </c>
      <c r="K176">
        <v>2447</v>
      </c>
      <c r="L176">
        <v>9.99</v>
      </c>
      <c r="M176">
        <v>6.83</v>
      </c>
      <c r="N176" s="4">
        <f t="shared" si="4"/>
        <v>7.8343078500000014E-3</v>
      </c>
      <c r="O176" s="4">
        <f t="shared" si="5"/>
        <v>5.3508322615500009E-2</v>
      </c>
      <c r="P176">
        <v>88</v>
      </c>
      <c r="Q176">
        <v>4</v>
      </c>
      <c r="R176">
        <v>3</v>
      </c>
      <c r="S176">
        <v>3.5</v>
      </c>
      <c r="T176">
        <v>3</v>
      </c>
      <c r="U176">
        <v>2.5</v>
      </c>
      <c r="V176" t="s">
        <v>25</v>
      </c>
    </row>
    <row r="177" spans="1:22" x14ac:dyDescent="0.25">
      <c r="A177" t="s">
        <v>65</v>
      </c>
      <c r="B177">
        <v>2</v>
      </c>
      <c r="C177" t="s">
        <v>66</v>
      </c>
      <c r="D177" t="s">
        <v>67</v>
      </c>
      <c r="E177" t="s">
        <v>68</v>
      </c>
      <c r="F177">
        <v>180</v>
      </c>
      <c r="G177">
        <v>1080</v>
      </c>
      <c r="H177">
        <v>-3</v>
      </c>
      <c r="I177">
        <v>1981</v>
      </c>
      <c r="J177" t="s">
        <v>26</v>
      </c>
      <c r="K177">
        <v>1786</v>
      </c>
      <c r="L177">
        <v>17.739999999999998</v>
      </c>
      <c r="M177">
        <v>9.99</v>
      </c>
      <c r="N177" s="4">
        <f t="shared" si="4"/>
        <v>2.4704546599999995E-2</v>
      </c>
      <c r="O177" s="4">
        <f t="shared" si="5"/>
        <v>0.24679842053399995</v>
      </c>
      <c r="P177">
        <v>100</v>
      </c>
      <c r="Q177">
        <v>5</v>
      </c>
      <c r="R177">
        <v>3</v>
      </c>
      <c r="S177">
        <v>3</v>
      </c>
      <c r="T177">
        <v>2.5</v>
      </c>
      <c r="U177">
        <v>2</v>
      </c>
      <c r="V177" t="s">
        <v>27</v>
      </c>
    </row>
    <row r="178" spans="1:22" x14ac:dyDescent="0.25">
      <c r="A178" t="s">
        <v>65</v>
      </c>
      <c r="B178">
        <v>2</v>
      </c>
      <c r="C178" t="s">
        <v>66</v>
      </c>
      <c r="D178" t="s">
        <v>67</v>
      </c>
      <c r="E178" t="s">
        <v>68</v>
      </c>
      <c r="F178">
        <v>180</v>
      </c>
      <c r="G178">
        <v>1080</v>
      </c>
      <c r="H178">
        <v>-3</v>
      </c>
      <c r="I178">
        <v>1981</v>
      </c>
      <c r="J178" t="s">
        <v>32</v>
      </c>
      <c r="K178">
        <v>1596</v>
      </c>
      <c r="L178">
        <v>2.73</v>
      </c>
      <c r="M178">
        <v>3.77</v>
      </c>
      <c r="N178" s="4">
        <f t="shared" si="4"/>
        <v>5.8505265000000008E-4</v>
      </c>
      <c r="O178" s="4">
        <f t="shared" si="5"/>
        <v>2.2056484905000001E-3</v>
      </c>
      <c r="P178">
        <v>100</v>
      </c>
      <c r="Q178">
        <v>2.5</v>
      </c>
      <c r="R178">
        <v>4</v>
      </c>
      <c r="S178">
        <v>3.5</v>
      </c>
      <c r="T178">
        <v>4.5</v>
      </c>
      <c r="U178">
        <v>4</v>
      </c>
      <c r="V178" t="s">
        <v>25</v>
      </c>
    </row>
    <row r="179" spans="1:22" x14ac:dyDescent="0.25">
      <c r="A179" t="s">
        <v>65</v>
      </c>
      <c r="B179">
        <v>2</v>
      </c>
      <c r="C179" t="s">
        <v>66</v>
      </c>
      <c r="D179" t="s">
        <v>67</v>
      </c>
      <c r="E179" t="s">
        <v>68</v>
      </c>
      <c r="F179">
        <v>180</v>
      </c>
      <c r="G179">
        <v>1080</v>
      </c>
      <c r="H179">
        <v>-3</v>
      </c>
      <c r="I179">
        <v>1981</v>
      </c>
      <c r="J179" t="s">
        <v>61</v>
      </c>
      <c r="K179">
        <v>1171</v>
      </c>
      <c r="L179">
        <v>2.79</v>
      </c>
      <c r="M179">
        <v>2.9</v>
      </c>
      <c r="N179" s="4">
        <f t="shared" si="4"/>
        <v>6.1105185000000012E-4</v>
      </c>
      <c r="O179" s="4">
        <f t="shared" si="5"/>
        <v>1.7720503650000003E-3</v>
      </c>
      <c r="P179">
        <v>75</v>
      </c>
      <c r="Q179">
        <v>2</v>
      </c>
      <c r="R179">
        <v>2</v>
      </c>
      <c r="S179">
        <v>2</v>
      </c>
      <c r="T179">
        <v>2</v>
      </c>
      <c r="U179">
        <v>3</v>
      </c>
      <c r="V179" t="s">
        <v>30</v>
      </c>
    </row>
    <row r="180" spans="1:22" x14ac:dyDescent="0.25">
      <c r="A180" t="s">
        <v>65</v>
      </c>
      <c r="B180">
        <v>2</v>
      </c>
      <c r="C180" t="s">
        <v>66</v>
      </c>
      <c r="D180" t="s">
        <v>67</v>
      </c>
      <c r="E180" t="s">
        <v>68</v>
      </c>
      <c r="F180">
        <v>180</v>
      </c>
      <c r="G180">
        <v>1080</v>
      </c>
      <c r="H180">
        <v>-3</v>
      </c>
      <c r="I180">
        <v>1981</v>
      </c>
      <c r="J180" t="s">
        <v>34</v>
      </c>
      <c r="K180">
        <v>2469</v>
      </c>
      <c r="L180">
        <v>9.8800000000000008</v>
      </c>
      <c r="M180">
        <v>8.94</v>
      </c>
      <c r="N180" s="4">
        <f t="shared" si="4"/>
        <v>7.6627304000000031E-3</v>
      </c>
      <c r="O180" s="4">
        <f t="shared" si="5"/>
        <v>6.8504809776000028E-2</v>
      </c>
      <c r="P180">
        <v>88</v>
      </c>
      <c r="Q180">
        <v>4</v>
      </c>
      <c r="R180">
        <v>3</v>
      </c>
      <c r="S180">
        <v>3.5</v>
      </c>
      <c r="T180">
        <v>3.5</v>
      </c>
      <c r="U180">
        <v>3.5</v>
      </c>
      <c r="V180" t="s">
        <v>25</v>
      </c>
    </row>
    <row r="181" spans="1:22" x14ac:dyDescent="0.25">
      <c r="A181" t="s">
        <v>65</v>
      </c>
      <c r="B181">
        <v>2</v>
      </c>
      <c r="C181" t="s">
        <v>66</v>
      </c>
      <c r="D181" t="s">
        <v>67</v>
      </c>
      <c r="E181" t="s">
        <v>68</v>
      </c>
      <c r="F181">
        <v>180</v>
      </c>
      <c r="G181">
        <v>1080</v>
      </c>
      <c r="H181">
        <v>-3</v>
      </c>
      <c r="I181">
        <v>1981</v>
      </c>
      <c r="J181" t="s">
        <v>34</v>
      </c>
      <c r="K181">
        <v>1337</v>
      </c>
      <c r="L181">
        <v>8.6300000000000008</v>
      </c>
      <c r="M181">
        <v>8.2100000000000009</v>
      </c>
      <c r="N181" s="4">
        <f t="shared" si="4"/>
        <v>5.84643665E-3</v>
      </c>
      <c r="O181" s="4">
        <f t="shared" si="5"/>
        <v>4.7999244896500003E-2</v>
      </c>
      <c r="P181">
        <v>100</v>
      </c>
      <c r="Q181">
        <v>4</v>
      </c>
      <c r="R181">
        <v>3</v>
      </c>
      <c r="S181">
        <v>3.5</v>
      </c>
      <c r="T181">
        <v>3.5</v>
      </c>
      <c r="U181">
        <v>3.5</v>
      </c>
      <c r="V181" t="s">
        <v>25</v>
      </c>
    </row>
    <row r="182" spans="1:22" x14ac:dyDescent="0.25">
      <c r="A182" t="s">
        <v>65</v>
      </c>
      <c r="B182">
        <v>2</v>
      </c>
      <c r="C182" t="s">
        <v>66</v>
      </c>
      <c r="D182" t="s">
        <v>67</v>
      </c>
      <c r="E182" t="s">
        <v>68</v>
      </c>
      <c r="F182">
        <v>180</v>
      </c>
      <c r="G182">
        <v>1080</v>
      </c>
      <c r="H182">
        <v>-3</v>
      </c>
      <c r="I182">
        <v>1981</v>
      </c>
      <c r="J182" t="s">
        <v>35</v>
      </c>
      <c r="K182">
        <v>1785</v>
      </c>
      <c r="L182">
        <v>4.3899999999999997</v>
      </c>
      <c r="M182">
        <v>4.03</v>
      </c>
      <c r="N182" s="4">
        <f t="shared" si="4"/>
        <v>1.5128598499999997E-3</v>
      </c>
      <c r="O182" s="4">
        <f t="shared" si="5"/>
        <v>6.0968251954999992E-3</v>
      </c>
      <c r="P182">
        <v>88</v>
      </c>
      <c r="Q182">
        <v>1.5</v>
      </c>
      <c r="R182">
        <v>1.5</v>
      </c>
      <c r="S182">
        <v>2</v>
      </c>
      <c r="T182">
        <v>2</v>
      </c>
      <c r="U182">
        <v>3</v>
      </c>
      <c r="V182" t="s">
        <v>50</v>
      </c>
    </row>
    <row r="183" spans="1:22" x14ac:dyDescent="0.25">
      <c r="A183" t="s">
        <v>65</v>
      </c>
      <c r="B183">
        <v>2</v>
      </c>
      <c r="C183" t="s">
        <v>66</v>
      </c>
      <c r="D183" t="s">
        <v>67</v>
      </c>
      <c r="E183" t="s">
        <v>68</v>
      </c>
      <c r="F183">
        <v>180</v>
      </c>
      <c r="G183">
        <v>1080</v>
      </c>
      <c r="H183">
        <v>-3</v>
      </c>
      <c r="I183">
        <v>1981</v>
      </c>
      <c r="J183" t="s">
        <v>36</v>
      </c>
      <c r="K183">
        <v>1598</v>
      </c>
      <c r="L183">
        <v>7.94</v>
      </c>
      <c r="M183">
        <v>7.77</v>
      </c>
      <c r="N183" s="4">
        <f t="shared" si="4"/>
        <v>4.9489225999999999E-3</v>
      </c>
      <c r="O183" s="4">
        <f t="shared" si="5"/>
        <v>3.8453128601999995E-2</v>
      </c>
      <c r="P183">
        <v>100</v>
      </c>
      <c r="Q183">
        <v>3.5</v>
      </c>
      <c r="R183">
        <v>4</v>
      </c>
      <c r="S183">
        <v>2.5</v>
      </c>
      <c r="T183">
        <v>4</v>
      </c>
      <c r="U183">
        <v>3.3</v>
      </c>
      <c r="V183" t="s">
        <v>27</v>
      </c>
    </row>
    <row r="184" spans="1:22" x14ac:dyDescent="0.25">
      <c r="A184" t="s">
        <v>65</v>
      </c>
      <c r="B184">
        <v>2</v>
      </c>
      <c r="C184" t="s">
        <v>66</v>
      </c>
      <c r="D184" t="s">
        <v>67</v>
      </c>
      <c r="E184" t="s">
        <v>68</v>
      </c>
      <c r="F184">
        <v>180</v>
      </c>
      <c r="G184">
        <v>1080</v>
      </c>
      <c r="H184">
        <v>-3</v>
      </c>
      <c r="I184">
        <v>1981</v>
      </c>
      <c r="J184" t="s">
        <v>62</v>
      </c>
      <c r="K184">
        <v>2428</v>
      </c>
      <c r="L184">
        <v>6.48</v>
      </c>
      <c r="M184">
        <v>6.42</v>
      </c>
      <c r="N184" s="4">
        <f t="shared" si="4"/>
        <v>3.2962464000000011E-3</v>
      </c>
      <c r="O184" s="4">
        <f t="shared" si="5"/>
        <v>2.1161901888000007E-2</v>
      </c>
      <c r="P184">
        <v>38</v>
      </c>
      <c r="Q184">
        <v>4</v>
      </c>
      <c r="R184">
        <v>3.5</v>
      </c>
      <c r="S184">
        <v>4</v>
      </c>
      <c r="T184">
        <v>4</v>
      </c>
      <c r="U184">
        <v>3.5</v>
      </c>
      <c r="V184" t="s">
        <v>25</v>
      </c>
    </row>
    <row r="185" spans="1:22" x14ac:dyDescent="0.25">
      <c r="A185" t="s">
        <v>65</v>
      </c>
      <c r="B185">
        <v>2</v>
      </c>
      <c r="C185" t="s">
        <v>66</v>
      </c>
      <c r="D185" t="s">
        <v>67</v>
      </c>
      <c r="E185" t="s">
        <v>68</v>
      </c>
      <c r="F185">
        <v>180</v>
      </c>
      <c r="G185">
        <v>1080</v>
      </c>
      <c r="H185">
        <v>-3</v>
      </c>
      <c r="I185">
        <v>1981</v>
      </c>
      <c r="J185" t="s">
        <v>62</v>
      </c>
      <c r="K185">
        <v>2431</v>
      </c>
      <c r="L185">
        <v>6.28</v>
      </c>
      <c r="M185">
        <v>6.7</v>
      </c>
      <c r="N185" s="4">
        <f t="shared" si="4"/>
        <v>3.0959144000000014E-3</v>
      </c>
      <c r="O185" s="4">
        <f t="shared" si="5"/>
        <v>2.0742626480000009E-2</v>
      </c>
      <c r="P185">
        <v>100</v>
      </c>
      <c r="Q185">
        <v>4</v>
      </c>
      <c r="R185">
        <v>3</v>
      </c>
      <c r="S185">
        <v>4</v>
      </c>
      <c r="T185">
        <v>4</v>
      </c>
      <c r="U185">
        <v>3.5</v>
      </c>
      <c r="V185" t="s">
        <v>25</v>
      </c>
    </row>
    <row r="186" spans="1:22" x14ac:dyDescent="0.25">
      <c r="A186" t="s">
        <v>65</v>
      </c>
      <c r="B186">
        <v>2</v>
      </c>
      <c r="C186" t="s">
        <v>66</v>
      </c>
      <c r="D186" t="s">
        <v>67</v>
      </c>
      <c r="E186" t="s">
        <v>68</v>
      </c>
      <c r="F186">
        <v>180</v>
      </c>
      <c r="G186">
        <v>1080</v>
      </c>
      <c r="H186">
        <v>-3</v>
      </c>
      <c r="I186">
        <v>1981</v>
      </c>
      <c r="J186" t="s">
        <v>62</v>
      </c>
      <c r="K186">
        <v>1787</v>
      </c>
      <c r="L186">
        <v>11.58</v>
      </c>
      <c r="M186">
        <v>8.3699999999999992</v>
      </c>
      <c r="N186" s="4">
        <f t="shared" si="4"/>
        <v>1.0526567400000001E-2</v>
      </c>
      <c r="O186" s="4">
        <f t="shared" si="5"/>
        <v>8.8107369137999991E-2</v>
      </c>
      <c r="P186">
        <v>63</v>
      </c>
      <c r="Q186">
        <v>4</v>
      </c>
      <c r="R186">
        <v>3.5</v>
      </c>
      <c r="S186">
        <v>4</v>
      </c>
      <c r="T186">
        <v>4</v>
      </c>
      <c r="U186">
        <v>3.5</v>
      </c>
      <c r="V186" t="s">
        <v>27</v>
      </c>
    </row>
    <row r="187" spans="1:22" x14ac:dyDescent="0.25">
      <c r="A187" t="s">
        <v>65</v>
      </c>
      <c r="B187">
        <v>2</v>
      </c>
      <c r="C187" t="s">
        <v>66</v>
      </c>
      <c r="D187" t="s">
        <v>67</v>
      </c>
      <c r="E187" t="s">
        <v>68</v>
      </c>
      <c r="F187">
        <v>180</v>
      </c>
      <c r="G187">
        <v>1080</v>
      </c>
      <c r="H187">
        <v>-3</v>
      </c>
      <c r="I187">
        <v>1981</v>
      </c>
      <c r="J187" t="s">
        <v>39</v>
      </c>
      <c r="K187">
        <v>2435</v>
      </c>
      <c r="L187">
        <v>3.56</v>
      </c>
      <c r="M187">
        <v>4.2699999999999996</v>
      </c>
      <c r="N187" s="4">
        <f t="shared" si="4"/>
        <v>9.948775999999999E-4</v>
      </c>
      <c r="O187" s="4">
        <f t="shared" si="5"/>
        <v>4.2481273519999994E-3</v>
      </c>
      <c r="P187">
        <v>25</v>
      </c>
      <c r="Q187">
        <v>3</v>
      </c>
      <c r="R187">
        <v>3</v>
      </c>
      <c r="S187">
        <v>3</v>
      </c>
      <c r="T187">
        <v>3</v>
      </c>
      <c r="U187">
        <v>3</v>
      </c>
      <c r="V187" t="s">
        <v>38</v>
      </c>
    </row>
    <row r="188" spans="1:22" x14ac:dyDescent="0.25">
      <c r="A188" t="s">
        <v>65</v>
      </c>
      <c r="B188">
        <v>2</v>
      </c>
      <c r="C188" t="s">
        <v>66</v>
      </c>
      <c r="D188" t="s">
        <v>67</v>
      </c>
      <c r="E188" t="s">
        <v>68</v>
      </c>
      <c r="F188">
        <v>180</v>
      </c>
      <c r="G188">
        <v>1080</v>
      </c>
      <c r="H188">
        <v>-3</v>
      </c>
      <c r="I188">
        <v>1981</v>
      </c>
      <c r="J188" t="s">
        <v>37</v>
      </c>
      <c r="K188">
        <v>1524</v>
      </c>
      <c r="L188">
        <v>2.57</v>
      </c>
      <c r="M188">
        <v>3.08</v>
      </c>
      <c r="N188" s="4">
        <f t="shared" si="4"/>
        <v>5.1848464999999994E-4</v>
      </c>
      <c r="O188" s="4">
        <f t="shared" si="5"/>
        <v>1.5969327219999998E-3</v>
      </c>
      <c r="P188">
        <v>75</v>
      </c>
      <c r="Q188">
        <v>2</v>
      </c>
      <c r="R188">
        <v>2</v>
      </c>
      <c r="S188">
        <v>2</v>
      </c>
      <c r="T188">
        <v>4</v>
      </c>
      <c r="U188">
        <v>3</v>
      </c>
      <c r="V188" t="s">
        <v>30</v>
      </c>
    </row>
    <row r="189" spans="1:22" x14ac:dyDescent="0.25">
      <c r="A189" t="s">
        <v>65</v>
      </c>
      <c r="B189">
        <v>2</v>
      </c>
      <c r="C189" t="s">
        <v>66</v>
      </c>
      <c r="D189" t="s">
        <v>67</v>
      </c>
      <c r="E189" t="s">
        <v>68</v>
      </c>
      <c r="F189">
        <v>180</v>
      </c>
      <c r="G189">
        <v>1080</v>
      </c>
      <c r="H189">
        <v>-3</v>
      </c>
      <c r="I189">
        <v>1981</v>
      </c>
      <c r="J189" t="s">
        <v>63</v>
      </c>
      <c r="K189">
        <v>1340</v>
      </c>
      <c r="L189">
        <v>5.37</v>
      </c>
      <c r="M189">
        <v>5.74</v>
      </c>
      <c r="N189" s="4">
        <f t="shared" si="4"/>
        <v>2.2636966499999999E-3</v>
      </c>
      <c r="O189" s="4">
        <f t="shared" si="5"/>
        <v>1.2993618771E-2</v>
      </c>
      <c r="P189">
        <v>100</v>
      </c>
      <c r="Q189">
        <v>1.5</v>
      </c>
      <c r="R189">
        <v>1</v>
      </c>
      <c r="S189">
        <v>1.5</v>
      </c>
      <c r="T189">
        <v>1.5</v>
      </c>
      <c r="U189">
        <v>2</v>
      </c>
      <c r="V189" t="s">
        <v>50</v>
      </c>
    </row>
    <row r="190" spans="1:22" x14ac:dyDescent="0.25">
      <c r="A190" t="s">
        <v>65</v>
      </c>
      <c r="B190">
        <v>2</v>
      </c>
      <c r="C190" t="s">
        <v>66</v>
      </c>
      <c r="D190" t="s">
        <v>67</v>
      </c>
      <c r="E190" t="s">
        <v>68</v>
      </c>
      <c r="F190">
        <v>180</v>
      </c>
      <c r="G190">
        <v>1080</v>
      </c>
      <c r="H190">
        <v>-3</v>
      </c>
      <c r="I190">
        <v>1981</v>
      </c>
      <c r="J190" t="s">
        <v>69</v>
      </c>
      <c r="K190">
        <v>1780</v>
      </c>
      <c r="L190">
        <v>2.6</v>
      </c>
      <c r="M190">
        <v>3.64</v>
      </c>
      <c r="N190" s="4">
        <f t="shared" si="4"/>
        <v>5.3066000000000018E-4</v>
      </c>
      <c r="O190" s="4">
        <f t="shared" si="5"/>
        <v>1.9316024000000007E-3</v>
      </c>
      <c r="P190">
        <v>38</v>
      </c>
      <c r="Q190">
        <v>1</v>
      </c>
      <c r="R190">
        <v>2</v>
      </c>
      <c r="S190">
        <v>2</v>
      </c>
      <c r="T190">
        <v>2</v>
      </c>
      <c r="U190">
        <v>3</v>
      </c>
      <c r="V190" t="s">
        <v>50</v>
      </c>
    </row>
    <row r="191" spans="1:22" x14ac:dyDescent="0.25">
      <c r="A191" t="s">
        <v>65</v>
      </c>
      <c r="B191">
        <v>3</v>
      </c>
      <c r="C191" t="s">
        <v>66</v>
      </c>
      <c r="D191" t="s">
        <v>67</v>
      </c>
      <c r="E191" t="s">
        <v>68</v>
      </c>
      <c r="F191">
        <v>180</v>
      </c>
      <c r="G191">
        <v>1080</v>
      </c>
      <c r="H191">
        <v>-3</v>
      </c>
      <c r="I191">
        <v>1981</v>
      </c>
      <c r="J191" t="s">
        <v>55</v>
      </c>
      <c r="K191">
        <v>1094</v>
      </c>
      <c r="L191">
        <v>5.26</v>
      </c>
      <c r="M191">
        <v>5.48</v>
      </c>
      <c r="N191" s="4">
        <f t="shared" si="4"/>
        <v>2.1719066000000001E-3</v>
      </c>
      <c r="O191" s="4">
        <f t="shared" si="5"/>
        <v>1.1902048168000001E-2</v>
      </c>
      <c r="P191">
        <v>63</v>
      </c>
      <c r="Q191">
        <v>2</v>
      </c>
      <c r="R191">
        <v>1.5</v>
      </c>
      <c r="S191">
        <v>2</v>
      </c>
      <c r="T191">
        <v>2</v>
      </c>
      <c r="U191">
        <v>2</v>
      </c>
      <c r="V191" t="s">
        <v>50</v>
      </c>
    </row>
    <row r="192" spans="1:22" x14ac:dyDescent="0.25">
      <c r="A192" t="s">
        <v>65</v>
      </c>
      <c r="B192">
        <v>3</v>
      </c>
      <c r="C192" t="s">
        <v>66</v>
      </c>
      <c r="D192" t="s">
        <v>67</v>
      </c>
      <c r="E192" t="s">
        <v>68</v>
      </c>
      <c r="F192">
        <v>180</v>
      </c>
      <c r="G192">
        <v>1080</v>
      </c>
      <c r="H192">
        <v>-3</v>
      </c>
      <c r="I192">
        <v>1981</v>
      </c>
      <c r="J192" t="s">
        <v>56</v>
      </c>
      <c r="K192">
        <v>1111</v>
      </c>
      <c r="L192">
        <v>4.88</v>
      </c>
      <c r="M192">
        <v>4.1100000000000003</v>
      </c>
      <c r="N192" s="4">
        <f t="shared" si="4"/>
        <v>1.8694303999999995E-3</v>
      </c>
      <c r="O192" s="4">
        <f t="shared" si="5"/>
        <v>7.6833589439999983E-3</v>
      </c>
      <c r="P192">
        <v>88</v>
      </c>
      <c r="Q192">
        <v>3.5</v>
      </c>
      <c r="R192">
        <v>2.5</v>
      </c>
      <c r="S192">
        <v>2</v>
      </c>
      <c r="T192">
        <v>2</v>
      </c>
      <c r="U192">
        <v>2</v>
      </c>
      <c r="V192" t="s">
        <v>38</v>
      </c>
    </row>
    <row r="193" spans="1:22" x14ac:dyDescent="0.25">
      <c r="A193" t="s">
        <v>65</v>
      </c>
      <c r="B193">
        <v>3</v>
      </c>
      <c r="C193" t="s">
        <v>66</v>
      </c>
      <c r="D193" t="s">
        <v>67</v>
      </c>
      <c r="E193" t="s">
        <v>68</v>
      </c>
      <c r="F193">
        <v>180</v>
      </c>
      <c r="G193">
        <v>1080</v>
      </c>
      <c r="H193">
        <v>-3</v>
      </c>
      <c r="I193">
        <v>1981</v>
      </c>
      <c r="J193" t="s">
        <v>57</v>
      </c>
      <c r="K193">
        <v>1112</v>
      </c>
      <c r="L193">
        <v>7.83</v>
      </c>
      <c r="M193">
        <v>6.68</v>
      </c>
      <c r="N193" s="4">
        <f t="shared" si="4"/>
        <v>4.8127486499999995E-3</v>
      </c>
      <c r="O193" s="4">
        <f t="shared" si="5"/>
        <v>3.2149160981999998E-2</v>
      </c>
      <c r="P193">
        <v>100</v>
      </c>
      <c r="Q193">
        <v>3</v>
      </c>
      <c r="R193">
        <v>1.8</v>
      </c>
      <c r="S193">
        <v>3.5</v>
      </c>
      <c r="T193">
        <v>4</v>
      </c>
      <c r="U193">
        <v>4</v>
      </c>
      <c r="V193" t="s">
        <v>25</v>
      </c>
    </row>
    <row r="194" spans="1:22" x14ac:dyDescent="0.25">
      <c r="A194" t="s">
        <v>65</v>
      </c>
      <c r="B194">
        <v>3</v>
      </c>
      <c r="C194" t="s">
        <v>66</v>
      </c>
      <c r="D194" t="s">
        <v>67</v>
      </c>
      <c r="E194" t="s">
        <v>68</v>
      </c>
      <c r="F194">
        <v>180</v>
      </c>
      <c r="G194">
        <v>1080</v>
      </c>
      <c r="H194">
        <v>-3</v>
      </c>
      <c r="I194">
        <v>1981</v>
      </c>
      <c r="J194" t="s">
        <v>57</v>
      </c>
      <c r="K194">
        <v>1113</v>
      </c>
      <c r="L194">
        <v>4.62</v>
      </c>
      <c r="M194">
        <v>4.1100000000000003</v>
      </c>
      <c r="N194" s="4">
        <f t="shared" si="4"/>
        <v>1.6755353999999998E-3</v>
      </c>
      <c r="O194" s="4">
        <f t="shared" si="5"/>
        <v>6.8864504939999995E-3</v>
      </c>
      <c r="P194">
        <v>88</v>
      </c>
      <c r="Q194">
        <v>3</v>
      </c>
      <c r="R194">
        <v>2</v>
      </c>
      <c r="S194">
        <v>2.5</v>
      </c>
      <c r="T194">
        <v>3.5</v>
      </c>
      <c r="U194">
        <v>3</v>
      </c>
      <c r="V194" t="s">
        <v>38</v>
      </c>
    </row>
    <row r="195" spans="1:22" x14ac:dyDescent="0.25">
      <c r="A195" t="s">
        <v>65</v>
      </c>
      <c r="B195">
        <v>3</v>
      </c>
      <c r="C195" t="s">
        <v>66</v>
      </c>
      <c r="D195" t="s">
        <v>67</v>
      </c>
      <c r="E195" t="s">
        <v>68</v>
      </c>
      <c r="F195">
        <v>180</v>
      </c>
      <c r="G195">
        <v>1080</v>
      </c>
      <c r="H195">
        <v>-3</v>
      </c>
      <c r="I195">
        <v>1981</v>
      </c>
      <c r="J195" t="s">
        <v>60</v>
      </c>
      <c r="K195">
        <v>1595</v>
      </c>
      <c r="L195">
        <v>2.29</v>
      </c>
      <c r="M195">
        <v>2.67</v>
      </c>
      <c r="N195" s="4">
        <f t="shared" ref="N195:N258" si="6">3.14/4*((L195/100)^2)</f>
        <v>4.1166185000000003E-4</v>
      </c>
      <c r="O195" s="4">
        <f t="shared" ref="O195:O258" si="7">3.14/4*((L195/100)^2)*M195</f>
        <v>1.0991371395000001E-3</v>
      </c>
      <c r="P195">
        <v>75</v>
      </c>
      <c r="Q195">
        <v>2.5</v>
      </c>
      <c r="R195">
        <v>1.5</v>
      </c>
      <c r="S195">
        <v>3</v>
      </c>
      <c r="T195">
        <v>4</v>
      </c>
      <c r="U195">
        <v>4</v>
      </c>
      <c r="V195" t="s">
        <v>30</v>
      </c>
    </row>
    <row r="196" spans="1:22" x14ac:dyDescent="0.25">
      <c r="A196" t="s">
        <v>65</v>
      </c>
      <c r="B196">
        <v>3</v>
      </c>
      <c r="C196" t="s">
        <v>66</v>
      </c>
      <c r="D196" t="s">
        <v>67</v>
      </c>
      <c r="E196" t="s">
        <v>68</v>
      </c>
      <c r="F196">
        <v>180</v>
      </c>
      <c r="G196">
        <v>1080</v>
      </c>
      <c r="H196">
        <v>-3</v>
      </c>
      <c r="I196">
        <v>1981</v>
      </c>
      <c r="J196" t="s">
        <v>58</v>
      </c>
      <c r="K196">
        <v>1338</v>
      </c>
      <c r="L196">
        <v>7.28</v>
      </c>
      <c r="M196">
        <v>7.45</v>
      </c>
      <c r="N196" s="4">
        <f t="shared" si="6"/>
        <v>4.1603744000000007E-3</v>
      </c>
      <c r="O196" s="4">
        <f t="shared" si="7"/>
        <v>3.0994789280000004E-2</v>
      </c>
      <c r="P196">
        <v>63</v>
      </c>
      <c r="Q196">
        <v>4</v>
      </c>
      <c r="R196">
        <v>3</v>
      </c>
      <c r="S196">
        <v>3.3</v>
      </c>
      <c r="T196">
        <v>3.3</v>
      </c>
      <c r="U196">
        <v>3</v>
      </c>
      <c r="V196" t="s">
        <v>25</v>
      </c>
    </row>
    <row r="197" spans="1:22" x14ac:dyDescent="0.25">
      <c r="A197" t="s">
        <v>65</v>
      </c>
      <c r="B197">
        <v>3</v>
      </c>
      <c r="C197" t="s">
        <v>66</v>
      </c>
      <c r="D197" t="s">
        <v>67</v>
      </c>
      <c r="E197" t="s">
        <v>68</v>
      </c>
      <c r="F197">
        <v>180</v>
      </c>
      <c r="G197">
        <v>1080</v>
      </c>
      <c r="H197">
        <v>-3</v>
      </c>
      <c r="I197">
        <v>1981</v>
      </c>
      <c r="J197" t="s">
        <v>59</v>
      </c>
      <c r="K197">
        <v>1978</v>
      </c>
      <c r="L197">
        <v>16.54</v>
      </c>
      <c r="M197">
        <v>9.93</v>
      </c>
      <c r="N197" s="4">
        <f t="shared" si="6"/>
        <v>2.1475370599999998E-2</v>
      </c>
      <c r="O197" s="4">
        <f t="shared" si="7"/>
        <v>0.21325043005799998</v>
      </c>
      <c r="P197">
        <v>100</v>
      </c>
      <c r="Q197">
        <v>5</v>
      </c>
      <c r="R197">
        <v>3.3</v>
      </c>
      <c r="S197">
        <v>3.3</v>
      </c>
      <c r="T197">
        <v>2.5</v>
      </c>
      <c r="U197">
        <v>2</v>
      </c>
      <c r="V197" t="s">
        <v>27</v>
      </c>
    </row>
    <row r="198" spans="1:22" x14ac:dyDescent="0.25">
      <c r="A198" t="s">
        <v>65</v>
      </c>
      <c r="B198">
        <v>3</v>
      </c>
      <c r="C198" t="s">
        <v>66</v>
      </c>
      <c r="D198" t="s">
        <v>67</v>
      </c>
      <c r="E198" t="s">
        <v>68</v>
      </c>
      <c r="F198">
        <v>180</v>
      </c>
      <c r="G198">
        <v>1080</v>
      </c>
      <c r="H198">
        <v>-3</v>
      </c>
      <c r="I198">
        <v>1981</v>
      </c>
      <c r="J198" t="s">
        <v>59</v>
      </c>
      <c r="K198">
        <v>1482</v>
      </c>
      <c r="L198">
        <v>10.54</v>
      </c>
      <c r="M198">
        <v>7.84</v>
      </c>
      <c r="N198" s="4">
        <f t="shared" si="6"/>
        <v>8.720690599999999E-3</v>
      </c>
      <c r="O198" s="4">
        <f t="shared" si="7"/>
        <v>6.837021430399999E-2</v>
      </c>
      <c r="P198">
        <v>88</v>
      </c>
      <c r="Q198">
        <v>4</v>
      </c>
      <c r="R198">
        <v>3.3</v>
      </c>
      <c r="S198">
        <v>3.3</v>
      </c>
      <c r="T198">
        <v>3.5</v>
      </c>
      <c r="U198">
        <v>3.5</v>
      </c>
      <c r="V198" t="s">
        <v>25</v>
      </c>
    </row>
    <row r="199" spans="1:22" x14ac:dyDescent="0.25">
      <c r="A199" t="s">
        <v>65</v>
      </c>
      <c r="B199">
        <v>3</v>
      </c>
      <c r="C199" t="s">
        <v>66</v>
      </c>
      <c r="D199" t="s">
        <v>67</v>
      </c>
      <c r="E199" t="s">
        <v>68</v>
      </c>
      <c r="F199">
        <v>180</v>
      </c>
      <c r="G199">
        <v>1080</v>
      </c>
      <c r="H199">
        <v>-3</v>
      </c>
      <c r="I199">
        <v>1981</v>
      </c>
      <c r="J199" t="s">
        <v>26</v>
      </c>
      <c r="K199">
        <v>1339</v>
      </c>
      <c r="L199">
        <v>3.81</v>
      </c>
      <c r="M199">
        <v>4.7300000000000004</v>
      </c>
      <c r="N199" s="4">
        <f t="shared" si="6"/>
        <v>1.1395138500000001E-3</v>
      </c>
      <c r="O199" s="4">
        <f t="shared" si="7"/>
        <v>5.3899005105000003E-3</v>
      </c>
      <c r="P199">
        <v>100</v>
      </c>
      <c r="Q199">
        <v>3</v>
      </c>
      <c r="R199">
        <v>2.7</v>
      </c>
      <c r="S199">
        <v>3</v>
      </c>
      <c r="T199">
        <v>3</v>
      </c>
      <c r="U199">
        <v>3.5</v>
      </c>
      <c r="V199" t="s">
        <v>25</v>
      </c>
    </row>
    <row r="200" spans="1:22" x14ac:dyDescent="0.25">
      <c r="A200" t="s">
        <v>65</v>
      </c>
      <c r="B200">
        <v>3</v>
      </c>
      <c r="C200" t="s">
        <v>66</v>
      </c>
      <c r="D200" t="s">
        <v>67</v>
      </c>
      <c r="E200" t="s">
        <v>68</v>
      </c>
      <c r="F200">
        <v>180</v>
      </c>
      <c r="G200">
        <v>1080</v>
      </c>
      <c r="H200">
        <v>-3</v>
      </c>
      <c r="I200">
        <v>1981</v>
      </c>
      <c r="J200" t="s">
        <v>26</v>
      </c>
      <c r="K200">
        <v>2447</v>
      </c>
      <c r="L200">
        <v>11.57</v>
      </c>
      <c r="M200">
        <v>8.41</v>
      </c>
      <c r="N200" s="4">
        <f t="shared" si="6"/>
        <v>1.0508394649999999E-2</v>
      </c>
      <c r="O200" s="4">
        <f t="shared" si="7"/>
        <v>8.8375599006499994E-2</v>
      </c>
      <c r="P200">
        <v>100</v>
      </c>
      <c r="Q200">
        <v>4</v>
      </c>
      <c r="R200">
        <v>3</v>
      </c>
      <c r="S200">
        <v>3.5</v>
      </c>
      <c r="T200">
        <v>3.5</v>
      </c>
      <c r="U200">
        <v>3.5</v>
      </c>
      <c r="V200" t="s">
        <v>27</v>
      </c>
    </row>
    <row r="201" spans="1:22" x14ac:dyDescent="0.25">
      <c r="A201" t="s">
        <v>65</v>
      </c>
      <c r="B201">
        <v>3</v>
      </c>
      <c r="C201" t="s">
        <v>66</v>
      </c>
      <c r="D201" t="s">
        <v>67</v>
      </c>
      <c r="E201" t="s">
        <v>68</v>
      </c>
      <c r="F201">
        <v>180</v>
      </c>
      <c r="G201">
        <v>1080</v>
      </c>
      <c r="H201">
        <v>-3</v>
      </c>
      <c r="I201">
        <v>1981</v>
      </c>
      <c r="J201" t="s">
        <v>26</v>
      </c>
      <c r="K201">
        <v>1786</v>
      </c>
      <c r="L201">
        <v>13.67</v>
      </c>
      <c r="M201">
        <v>8.81</v>
      </c>
      <c r="N201" s="4">
        <f t="shared" si="6"/>
        <v>1.466920865E-2</v>
      </c>
      <c r="O201" s="4">
        <f t="shared" si="7"/>
        <v>0.12923572820650001</v>
      </c>
      <c r="P201">
        <v>100</v>
      </c>
      <c r="Q201">
        <v>4.8</v>
      </c>
      <c r="R201">
        <v>3</v>
      </c>
      <c r="S201">
        <v>3.5</v>
      </c>
      <c r="T201">
        <v>3.5</v>
      </c>
      <c r="U201">
        <v>3</v>
      </c>
      <c r="V201" t="s">
        <v>27</v>
      </c>
    </row>
    <row r="202" spans="1:22" x14ac:dyDescent="0.25">
      <c r="A202" t="s">
        <v>65</v>
      </c>
      <c r="B202">
        <v>3</v>
      </c>
      <c r="C202" t="s">
        <v>66</v>
      </c>
      <c r="D202" t="s">
        <v>67</v>
      </c>
      <c r="E202" t="s">
        <v>68</v>
      </c>
      <c r="F202">
        <v>180</v>
      </c>
      <c r="G202">
        <v>1080</v>
      </c>
      <c r="H202">
        <v>-3</v>
      </c>
      <c r="I202">
        <v>1981</v>
      </c>
      <c r="J202" t="s">
        <v>32</v>
      </c>
      <c r="K202">
        <v>1596</v>
      </c>
      <c r="L202">
        <v>7.03</v>
      </c>
      <c r="M202">
        <v>5.99</v>
      </c>
      <c r="N202" s="4">
        <f t="shared" si="6"/>
        <v>3.8795406500000008E-3</v>
      </c>
      <c r="O202" s="4">
        <f t="shared" si="7"/>
        <v>2.3238448493500007E-2</v>
      </c>
      <c r="P202">
        <v>88</v>
      </c>
      <c r="Q202">
        <v>3.5</v>
      </c>
      <c r="R202">
        <v>2.7</v>
      </c>
      <c r="S202">
        <v>3.5</v>
      </c>
      <c r="T202">
        <v>4</v>
      </c>
      <c r="U202">
        <v>4</v>
      </c>
      <c r="V202" t="s">
        <v>27</v>
      </c>
    </row>
    <row r="203" spans="1:22" x14ac:dyDescent="0.25">
      <c r="A203" t="s">
        <v>65</v>
      </c>
      <c r="B203">
        <v>3</v>
      </c>
      <c r="C203" t="s">
        <v>66</v>
      </c>
      <c r="D203" t="s">
        <v>67</v>
      </c>
      <c r="E203" t="s">
        <v>68</v>
      </c>
      <c r="F203">
        <v>180</v>
      </c>
      <c r="G203">
        <v>1080</v>
      </c>
      <c r="H203">
        <v>-3</v>
      </c>
      <c r="I203">
        <v>1981</v>
      </c>
      <c r="J203" t="s">
        <v>61</v>
      </c>
      <c r="K203">
        <v>1171</v>
      </c>
      <c r="L203">
        <v>0</v>
      </c>
      <c r="M203">
        <v>0</v>
      </c>
      <c r="N203" s="4">
        <f t="shared" si="6"/>
        <v>0</v>
      </c>
      <c r="O203" s="4">
        <f t="shared" si="7"/>
        <v>0</v>
      </c>
      <c r="P203" t="s">
        <v>44</v>
      </c>
      <c r="Q203">
        <v>2.5</v>
      </c>
      <c r="R203">
        <v>2</v>
      </c>
      <c r="S203">
        <v>1</v>
      </c>
      <c r="T203">
        <v>1</v>
      </c>
      <c r="U203">
        <v>1</v>
      </c>
      <c r="V203" t="s">
        <v>50</v>
      </c>
    </row>
    <row r="204" spans="1:22" x14ac:dyDescent="0.25">
      <c r="A204" t="s">
        <v>65</v>
      </c>
      <c r="B204">
        <v>3</v>
      </c>
      <c r="C204" t="s">
        <v>66</v>
      </c>
      <c r="D204" t="s">
        <v>67</v>
      </c>
      <c r="E204" t="s">
        <v>68</v>
      </c>
      <c r="F204">
        <v>180</v>
      </c>
      <c r="G204">
        <v>1080</v>
      </c>
      <c r="H204">
        <v>-3</v>
      </c>
      <c r="I204">
        <v>1981</v>
      </c>
      <c r="J204" t="s">
        <v>34</v>
      </c>
      <c r="K204">
        <v>2469</v>
      </c>
      <c r="L204">
        <v>7.68</v>
      </c>
      <c r="M204">
        <v>8</v>
      </c>
      <c r="N204" s="4">
        <f t="shared" si="6"/>
        <v>4.6301183999999992E-3</v>
      </c>
      <c r="O204" s="4">
        <f t="shared" si="7"/>
        <v>3.7040947199999993E-2</v>
      </c>
      <c r="P204">
        <v>88</v>
      </c>
      <c r="Q204">
        <v>4.5</v>
      </c>
      <c r="R204">
        <v>3</v>
      </c>
      <c r="S204">
        <v>4</v>
      </c>
      <c r="T204">
        <v>4</v>
      </c>
      <c r="U204">
        <v>4</v>
      </c>
      <c r="V204" t="s">
        <v>27</v>
      </c>
    </row>
    <row r="205" spans="1:22" x14ac:dyDescent="0.25">
      <c r="A205" t="s">
        <v>65</v>
      </c>
      <c r="B205">
        <v>3</v>
      </c>
      <c r="C205" t="s">
        <v>66</v>
      </c>
      <c r="D205" t="s">
        <v>67</v>
      </c>
      <c r="E205" t="s">
        <v>68</v>
      </c>
      <c r="F205">
        <v>180</v>
      </c>
      <c r="G205">
        <v>1080</v>
      </c>
      <c r="H205">
        <v>-3</v>
      </c>
      <c r="I205">
        <v>1981</v>
      </c>
      <c r="J205" t="s">
        <v>35</v>
      </c>
      <c r="K205">
        <v>1785</v>
      </c>
      <c r="L205">
        <v>3.2</v>
      </c>
      <c r="M205">
        <v>3.56</v>
      </c>
      <c r="N205" s="4">
        <f t="shared" si="6"/>
        <v>8.0384E-4</v>
      </c>
      <c r="O205" s="4">
        <f t="shared" si="7"/>
        <v>2.8616703999999999E-3</v>
      </c>
      <c r="P205">
        <v>88</v>
      </c>
      <c r="Q205">
        <v>1.5</v>
      </c>
      <c r="R205">
        <v>1.8</v>
      </c>
      <c r="S205">
        <v>2.5</v>
      </c>
      <c r="T205">
        <v>3.3</v>
      </c>
      <c r="U205">
        <v>3.5</v>
      </c>
      <c r="V205" t="s">
        <v>30</v>
      </c>
    </row>
    <row r="206" spans="1:22" x14ac:dyDescent="0.25">
      <c r="A206" t="s">
        <v>65</v>
      </c>
      <c r="B206">
        <v>3</v>
      </c>
      <c r="C206" t="s">
        <v>66</v>
      </c>
      <c r="D206" t="s">
        <v>67</v>
      </c>
      <c r="E206" t="s">
        <v>68</v>
      </c>
      <c r="F206">
        <v>180</v>
      </c>
      <c r="G206">
        <v>1080</v>
      </c>
      <c r="H206">
        <v>-3</v>
      </c>
      <c r="I206">
        <v>1981</v>
      </c>
      <c r="J206" t="s">
        <v>36</v>
      </c>
      <c r="K206">
        <v>1598</v>
      </c>
      <c r="L206">
        <v>6.78</v>
      </c>
      <c r="M206">
        <v>5.62</v>
      </c>
      <c r="N206" s="4">
        <f t="shared" si="6"/>
        <v>3.6085193999999998E-3</v>
      </c>
      <c r="O206" s="4">
        <f t="shared" si="7"/>
        <v>2.0279879027999999E-2</v>
      </c>
      <c r="P206">
        <v>63</v>
      </c>
      <c r="Q206">
        <v>3</v>
      </c>
      <c r="R206">
        <v>4</v>
      </c>
      <c r="S206">
        <v>2.5</v>
      </c>
      <c r="T206">
        <v>3</v>
      </c>
      <c r="U206">
        <v>2</v>
      </c>
      <c r="V206" t="s">
        <v>38</v>
      </c>
    </row>
    <row r="207" spans="1:22" x14ac:dyDescent="0.25">
      <c r="A207" t="s">
        <v>65</v>
      </c>
      <c r="B207">
        <v>3</v>
      </c>
      <c r="C207" t="s">
        <v>66</v>
      </c>
      <c r="D207" t="s">
        <v>67</v>
      </c>
      <c r="E207" t="s">
        <v>68</v>
      </c>
      <c r="F207">
        <v>180</v>
      </c>
      <c r="G207">
        <v>1080</v>
      </c>
      <c r="H207">
        <v>-3</v>
      </c>
      <c r="I207">
        <v>1981</v>
      </c>
      <c r="J207" t="s">
        <v>62</v>
      </c>
      <c r="K207">
        <v>2428</v>
      </c>
      <c r="L207">
        <v>5.16</v>
      </c>
      <c r="M207">
        <v>5.86</v>
      </c>
      <c r="N207" s="4">
        <f t="shared" si="6"/>
        <v>2.0901095999999999E-3</v>
      </c>
      <c r="O207" s="4">
        <f t="shared" si="7"/>
        <v>1.2248042256E-2</v>
      </c>
      <c r="P207">
        <v>75</v>
      </c>
      <c r="Q207">
        <v>4</v>
      </c>
      <c r="R207">
        <v>3</v>
      </c>
      <c r="S207">
        <v>4</v>
      </c>
      <c r="T207">
        <v>4</v>
      </c>
      <c r="U207">
        <v>4</v>
      </c>
      <c r="V207" t="s">
        <v>27</v>
      </c>
    </row>
    <row r="208" spans="1:22" x14ac:dyDescent="0.25">
      <c r="A208" t="s">
        <v>65</v>
      </c>
      <c r="B208">
        <v>3</v>
      </c>
      <c r="C208" t="s">
        <v>66</v>
      </c>
      <c r="D208" t="s">
        <v>67</v>
      </c>
      <c r="E208" t="s">
        <v>68</v>
      </c>
      <c r="F208">
        <v>180</v>
      </c>
      <c r="G208">
        <v>1080</v>
      </c>
      <c r="H208">
        <v>-3</v>
      </c>
      <c r="I208">
        <v>1981</v>
      </c>
      <c r="J208" t="s">
        <v>62</v>
      </c>
      <c r="K208">
        <v>2431</v>
      </c>
      <c r="L208">
        <v>3.35</v>
      </c>
      <c r="M208">
        <v>5.16</v>
      </c>
      <c r="N208" s="4">
        <f t="shared" si="6"/>
        <v>8.8096625000000015E-4</v>
      </c>
      <c r="O208" s="4">
        <f t="shared" si="7"/>
        <v>4.545785850000001E-3</v>
      </c>
      <c r="P208">
        <v>100</v>
      </c>
      <c r="Q208">
        <v>3</v>
      </c>
      <c r="R208">
        <v>3</v>
      </c>
      <c r="S208">
        <v>4.5</v>
      </c>
      <c r="T208">
        <v>4</v>
      </c>
      <c r="U208">
        <v>4</v>
      </c>
      <c r="V208" t="s">
        <v>25</v>
      </c>
    </row>
    <row r="209" spans="1:22" x14ac:dyDescent="0.25">
      <c r="A209" t="s">
        <v>65</v>
      </c>
      <c r="B209">
        <v>3</v>
      </c>
      <c r="C209" t="s">
        <v>66</v>
      </c>
      <c r="D209" t="s">
        <v>67</v>
      </c>
      <c r="E209" t="s">
        <v>68</v>
      </c>
      <c r="F209">
        <v>180</v>
      </c>
      <c r="G209">
        <v>1080</v>
      </c>
      <c r="H209">
        <v>-3</v>
      </c>
      <c r="I209">
        <v>1981</v>
      </c>
      <c r="J209" t="s">
        <v>62</v>
      </c>
      <c r="K209">
        <v>1787</v>
      </c>
      <c r="L209">
        <v>3.77</v>
      </c>
      <c r="M209">
        <v>4.88</v>
      </c>
      <c r="N209" s="4">
        <f t="shared" si="6"/>
        <v>1.1157126499999998E-3</v>
      </c>
      <c r="O209" s="4">
        <f t="shared" si="7"/>
        <v>5.444677731999999E-3</v>
      </c>
      <c r="P209">
        <v>88</v>
      </c>
      <c r="Q209">
        <v>4</v>
      </c>
      <c r="R209">
        <v>3.5</v>
      </c>
      <c r="S209">
        <v>4</v>
      </c>
      <c r="T209">
        <v>4</v>
      </c>
      <c r="U209">
        <v>4</v>
      </c>
      <c r="V209" t="s">
        <v>27</v>
      </c>
    </row>
    <row r="210" spans="1:22" x14ac:dyDescent="0.25">
      <c r="A210" t="s">
        <v>65</v>
      </c>
      <c r="B210">
        <v>3</v>
      </c>
      <c r="C210" t="s">
        <v>66</v>
      </c>
      <c r="D210" t="s">
        <v>67</v>
      </c>
      <c r="E210" t="s">
        <v>68</v>
      </c>
      <c r="F210">
        <v>180</v>
      </c>
      <c r="G210">
        <v>1080</v>
      </c>
      <c r="H210">
        <v>-3</v>
      </c>
      <c r="I210">
        <v>1981</v>
      </c>
      <c r="J210" t="s">
        <v>37</v>
      </c>
      <c r="K210">
        <v>1524</v>
      </c>
      <c r="L210">
        <v>4.49</v>
      </c>
      <c r="M210">
        <v>4.49</v>
      </c>
      <c r="N210" s="4">
        <f t="shared" si="6"/>
        <v>1.5825678500000003E-3</v>
      </c>
      <c r="O210" s="4">
        <f t="shared" si="7"/>
        <v>7.1057296465000018E-3</v>
      </c>
      <c r="P210">
        <v>88</v>
      </c>
      <c r="Q210">
        <v>2.2999999999999998</v>
      </c>
      <c r="R210">
        <v>2</v>
      </c>
      <c r="S210">
        <v>2.5</v>
      </c>
      <c r="T210">
        <v>4</v>
      </c>
      <c r="U210">
        <v>3</v>
      </c>
      <c r="V210" t="s">
        <v>30</v>
      </c>
    </row>
    <row r="211" spans="1:22" x14ac:dyDescent="0.25">
      <c r="A211" t="s">
        <v>65</v>
      </c>
      <c r="B211">
        <v>3</v>
      </c>
      <c r="C211" t="s">
        <v>66</v>
      </c>
      <c r="D211" t="s">
        <v>67</v>
      </c>
      <c r="E211" t="s">
        <v>68</v>
      </c>
      <c r="F211">
        <v>180</v>
      </c>
      <c r="G211">
        <v>1080</v>
      </c>
      <c r="H211">
        <v>-3</v>
      </c>
      <c r="I211">
        <v>1981</v>
      </c>
      <c r="J211" t="s">
        <v>63</v>
      </c>
      <c r="K211">
        <v>1340</v>
      </c>
      <c r="L211">
        <v>6.11</v>
      </c>
      <c r="M211">
        <v>5.74</v>
      </c>
      <c r="N211" s="4">
        <f t="shared" si="6"/>
        <v>2.9305698500000001E-3</v>
      </c>
      <c r="O211" s="4">
        <f t="shared" si="7"/>
        <v>1.6821470939000001E-2</v>
      </c>
      <c r="P211">
        <v>100</v>
      </c>
      <c r="Q211">
        <v>2.5</v>
      </c>
      <c r="R211">
        <v>1.5</v>
      </c>
      <c r="S211">
        <v>1.5</v>
      </c>
      <c r="T211">
        <v>1</v>
      </c>
      <c r="U211">
        <v>1</v>
      </c>
      <c r="V211" t="s">
        <v>30</v>
      </c>
    </row>
    <row r="212" spans="1:22" x14ac:dyDescent="0.25">
      <c r="A212" t="s">
        <v>65</v>
      </c>
      <c r="B212">
        <v>3</v>
      </c>
      <c r="C212" t="s">
        <v>66</v>
      </c>
      <c r="D212" t="s">
        <v>67</v>
      </c>
      <c r="E212" t="s">
        <v>68</v>
      </c>
      <c r="F212">
        <v>180</v>
      </c>
      <c r="G212">
        <v>1080</v>
      </c>
      <c r="H212">
        <v>-3</v>
      </c>
      <c r="I212">
        <v>1981</v>
      </c>
      <c r="J212" t="s">
        <v>69</v>
      </c>
      <c r="K212">
        <v>1780</v>
      </c>
      <c r="L212">
        <v>3.51</v>
      </c>
      <c r="M212">
        <v>4.68</v>
      </c>
      <c r="N212" s="4">
        <f t="shared" si="6"/>
        <v>9.6712784999999999E-4</v>
      </c>
      <c r="O212" s="4">
        <f t="shared" si="7"/>
        <v>4.5261583379999993E-3</v>
      </c>
      <c r="P212">
        <v>25</v>
      </c>
      <c r="Q212">
        <v>1.5</v>
      </c>
      <c r="R212">
        <v>1.5</v>
      </c>
      <c r="S212">
        <v>2</v>
      </c>
      <c r="T212">
        <v>2</v>
      </c>
      <c r="U212">
        <v>3</v>
      </c>
      <c r="V212" t="s">
        <v>30</v>
      </c>
    </row>
    <row r="213" spans="1:22" x14ac:dyDescent="0.25">
      <c r="A213" t="s">
        <v>70</v>
      </c>
      <c r="B213">
        <v>1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12</v>
      </c>
      <c r="M213">
        <v>10.3</v>
      </c>
      <c r="N213" s="4">
        <f t="shared" si="6"/>
        <v>1.1304E-2</v>
      </c>
      <c r="O213" s="4">
        <f t="shared" si="7"/>
        <v>0.11643120000000001</v>
      </c>
      <c r="P213">
        <v>38</v>
      </c>
      <c r="Q213">
        <v>2.8</v>
      </c>
      <c r="R213">
        <v>3.2</v>
      </c>
      <c r="S213">
        <v>2.8</v>
      </c>
      <c r="T213">
        <v>3.2</v>
      </c>
      <c r="U213">
        <v>3</v>
      </c>
      <c r="V213" t="s">
        <v>30</v>
      </c>
    </row>
    <row r="214" spans="1:22" x14ac:dyDescent="0.25">
      <c r="A214" t="s">
        <v>70</v>
      </c>
      <c r="B214">
        <v>1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15</v>
      </c>
      <c r="M214">
        <v>8.4</v>
      </c>
      <c r="N214" s="4">
        <f t="shared" si="6"/>
        <v>1.7662500000000001E-2</v>
      </c>
      <c r="O214" s="4">
        <f t="shared" si="7"/>
        <v>0.14836500000000002</v>
      </c>
      <c r="P214">
        <v>88</v>
      </c>
      <c r="Q214">
        <v>3</v>
      </c>
      <c r="R214">
        <v>3</v>
      </c>
      <c r="S214">
        <v>3</v>
      </c>
      <c r="T214">
        <v>3</v>
      </c>
      <c r="U214">
        <v>2</v>
      </c>
      <c r="V214" t="s">
        <v>38</v>
      </c>
    </row>
    <row r="215" spans="1:22" x14ac:dyDescent="0.25">
      <c r="A215" t="s">
        <v>70</v>
      </c>
      <c r="B215">
        <v>1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13</v>
      </c>
      <c r="M215">
        <v>11.1</v>
      </c>
      <c r="N215" s="4">
        <f t="shared" si="6"/>
        <v>1.3266500000000002E-2</v>
      </c>
      <c r="O215" s="4">
        <f t="shared" si="7"/>
        <v>0.14725815000000003</v>
      </c>
      <c r="P215">
        <v>100</v>
      </c>
      <c r="Q215">
        <v>3</v>
      </c>
      <c r="R215">
        <v>2</v>
      </c>
      <c r="S215">
        <v>3.5</v>
      </c>
      <c r="T215">
        <v>3</v>
      </c>
      <c r="U215">
        <v>3</v>
      </c>
      <c r="V215" t="s">
        <v>38</v>
      </c>
    </row>
    <row r="216" spans="1:22" x14ac:dyDescent="0.25">
      <c r="A216" t="s">
        <v>70</v>
      </c>
      <c r="B216">
        <v>1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8.6</v>
      </c>
      <c r="M216">
        <v>9.5</v>
      </c>
      <c r="N216" s="4">
        <f t="shared" si="6"/>
        <v>5.8058599999999995E-3</v>
      </c>
      <c r="O216" s="4">
        <f t="shared" si="7"/>
        <v>5.5155669999999997E-2</v>
      </c>
      <c r="P216">
        <v>100</v>
      </c>
      <c r="Q216">
        <v>2</v>
      </c>
      <c r="R216">
        <v>1.5</v>
      </c>
      <c r="S216">
        <v>4</v>
      </c>
      <c r="T216">
        <v>4</v>
      </c>
      <c r="U216">
        <v>4</v>
      </c>
      <c r="V216" t="s">
        <v>30</v>
      </c>
    </row>
    <row r="217" spans="1:22" x14ac:dyDescent="0.25">
      <c r="A217" t="s">
        <v>70</v>
      </c>
      <c r="B217">
        <v>1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8.1999999999999993</v>
      </c>
      <c r="M217">
        <v>6.6</v>
      </c>
      <c r="N217" s="4">
        <f t="shared" si="6"/>
        <v>5.2783399999999986E-3</v>
      </c>
      <c r="O217" s="4">
        <f t="shared" si="7"/>
        <v>3.4837043999999991E-2</v>
      </c>
      <c r="P217">
        <v>63</v>
      </c>
      <c r="Q217">
        <v>4</v>
      </c>
      <c r="R217">
        <v>4</v>
      </c>
      <c r="S217">
        <v>3</v>
      </c>
      <c r="T217">
        <v>3</v>
      </c>
      <c r="U217">
        <v>3</v>
      </c>
      <c r="V217" t="s">
        <v>38</v>
      </c>
    </row>
    <row r="218" spans="1:22" x14ac:dyDescent="0.25">
      <c r="A218" t="s">
        <v>70</v>
      </c>
      <c r="B218">
        <v>1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15.7</v>
      </c>
      <c r="M218">
        <v>10</v>
      </c>
      <c r="N218" s="4">
        <f t="shared" si="6"/>
        <v>1.9349465E-2</v>
      </c>
      <c r="O218" s="4">
        <f t="shared" si="7"/>
        <v>0.19349464999999999</v>
      </c>
      <c r="P218">
        <v>100</v>
      </c>
      <c r="Q218">
        <v>4</v>
      </c>
      <c r="R218">
        <v>3</v>
      </c>
      <c r="S218">
        <v>2.5</v>
      </c>
      <c r="T218">
        <v>2.5</v>
      </c>
      <c r="U218">
        <v>2.5</v>
      </c>
      <c r="V218" t="s">
        <v>25</v>
      </c>
    </row>
    <row r="219" spans="1:22" x14ac:dyDescent="0.25">
      <c r="A219" t="s">
        <v>70</v>
      </c>
      <c r="B219">
        <v>1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15.9</v>
      </c>
      <c r="M219">
        <v>8.8000000000000007</v>
      </c>
      <c r="N219" s="4">
        <f t="shared" si="6"/>
        <v>1.9845585000000002E-2</v>
      </c>
      <c r="O219" s="4">
        <f t="shared" si="7"/>
        <v>0.17464114800000002</v>
      </c>
      <c r="P219">
        <v>75</v>
      </c>
      <c r="Q219">
        <v>4</v>
      </c>
      <c r="R219">
        <v>3</v>
      </c>
      <c r="S219">
        <v>3</v>
      </c>
      <c r="T219">
        <v>2</v>
      </c>
      <c r="U219">
        <v>2.5</v>
      </c>
      <c r="V219" t="s">
        <v>25</v>
      </c>
    </row>
    <row r="220" spans="1:22" x14ac:dyDescent="0.25">
      <c r="A220" t="s">
        <v>70</v>
      </c>
      <c r="B220">
        <v>1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13.7</v>
      </c>
      <c r="M220">
        <v>9.9</v>
      </c>
      <c r="N220" s="4">
        <f t="shared" si="6"/>
        <v>1.4733664999999996E-2</v>
      </c>
      <c r="O220" s="4">
        <f t="shared" si="7"/>
        <v>0.14586328349999997</v>
      </c>
      <c r="P220">
        <v>88</v>
      </c>
      <c r="Q220">
        <v>4</v>
      </c>
      <c r="R220">
        <v>3</v>
      </c>
      <c r="S220">
        <v>2.5</v>
      </c>
      <c r="T220">
        <v>2.5</v>
      </c>
      <c r="U220">
        <v>2.5</v>
      </c>
      <c r="V220" t="s">
        <v>38</v>
      </c>
    </row>
    <row r="221" spans="1:22" x14ac:dyDescent="0.25">
      <c r="A221" t="s">
        <v>70</v>
      </c>
      <c r="B221">
        <v>1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11.2</v>
      </c>
      <c r="M221">
        <v>9.1</v>
      </c>
      <c r="N221" s="4">
        <f t="shared" si="6"/>
        <v>9.8470399999999979E-3</v>
      </c>
      <c r="O221" s="4">
        <f t="shared" si="7"/>
        <v>8.9608063999999973E-2</v>
      </c>
      <c r="P221">
        <v>88</v>
      </c>
      <c r="Q221">
        <v>4</v>
      </c>
      <c r="R221">
        <v>3.5</v>
      </c>
      <c r="S221">
        <v>3</v>
      </c>
      <c r="T221">
        <v>3.5</v>
      </c>
      <c r="U221">
        <v>3</v>
      </c>
      <c r="V221" t="s">
        <v>25</v>
      </c>
    </row>
    <row r="222" spans="1:22" x14ac:dyDescent="0.25">
      <c r="A222" t="s">
        <v>70</v>
      </c>
      <c r="B222">
        <v>1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18.899999999999999</v>
      </c>
      <c r="M222">
        <v>11.8</v>
      </c>
      <c r="N222" s="4">
        <f t="shared" si="6"/>
        <v>2.8040984999999994E-2</v>
      </c>
      <c r="O222" s="4">
        <f t="shared" si="7"/>
        <v>0.33088362299999996</v>
      </c>
      <c r="P222">
        <v>75</v>
      </c>
      <c r="Q222">
        <v>5</v>
      </c>
      <c r="R222">
        <v>3</v>
      </c>
      <c r="S222">
        <v>2.5</v>
      </c>
      <c r="T222">
        <v>2.5</v>
      </c>
      <c r="U222">
        <v>2</v>
      </c>
      <c r="V222" t="s">
        <v>38</v>
      </c>
    </row>
    <row r="223" spans="1:22" x14ac:dyDescent="0.25">
      <c r="A223" t="s">
        <v>70</v>
      </c>
      <c r="B223">
        <v>1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11.6</v>
      </c>
      <c r="M223">
        <v>8.9</v>
      </c>
      <c r="N223" s="4">
        <f t="shared" si="6"/>
        <v>1.0562959999999998E-2</v>
      </c>
      <c r="O223" s="4">
        <f t="shared" si="7"/>
        <v>9.4010343999999982E-2</v>
      </c>
      <c r="P223">
        <v>100</v>
      </c>
      <c r="Q223">
        <v>4</v>
      </c>
      <c r="R223">
        <v>3</v>
      </c>
      <c r="S223">
        <v>4</v>
      </c>
      <c r="T223">
        <v>4</v>
      </c>
      <c r="U223">
        <v>4</v>
      </c>
      <c r="V223" t="s">
        <v>27</v>
      </c>
    </row>
    <row r="224" spans="1:22" x14ac:dyDescent="0.25">
      <c r="A224" t="s">
        <v>70</v>
      </c>
      <c r="B224">
        <v>1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8.6</v>
      </c>
      <c r="M224">
        <v>8.9</v>
      </c>
      <c r="N224" s="4">
        <f t="shared" si="6"/>
        <v>5.8058599999999995E-3</v>
      </c>
      <c r="O224" s="4">
        <f t="shared" si="7"/>
        <v>5.1672153999999998E-2</v>
      </c>
      <c r="P224">
        <v>100</v>
      </c>
      <c r="Q224">
        <v>3</v>
      </c>
      <c r="R224">
        <v>2.5</v>
      </c>
      <c r="S224">
        <v>2.8</v>
      </c>
      <c r="T224">
        <v>3</v>
      </c>
      <c r="U224">
        <v>2.8</v>
      </c>
      <c r="V224" t="s">
        <v>30</v>
      </c>
    </row>
    <row r="225" spans="1:22" x14ac:dyDescent="0.25">
      <c r="A225" t="s">
        <v>70</v>
      </c>
      <c r="B225">
        <v>1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13.4</v>
      </c>
      <c r="M225">
        <v>12.3</v>
      </c>
      <c r="N225" s="4">
        <f t="shared" si="6"/>
        <v>1.4095460000000002E-2</v>
      </c>
      <c r="O225" s="4">
        <f t="shared" si="7"/>
        <v>0.17337415800000003</v>
      </c>
      <c r="P225">
        <v>88</v>
      </c>
      <c r="Q225">
        <v>4</v>
      </c>
      <c r="R225">
        <v>3</v>
      </c>
      <c r="S225">
        <v>3.5</v>
      </c>
      <c r="T225">
        <v>3</v>
      </c>
      <c r="U225">
        <v>2.5</v>
      </c>
      <c r="V225" t="s">
        <v>27</v>
      </c>
    </row>
    <row r="226" spans="1:22" x14ac:dyDescent="0.25">
      <c r="A226" t="s">
        <v>70</v>
      </c>
      <c r="B226">
        <v>1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19.600000000000001</v>
      </c>
      <c r="M226">
        <v>11.8</v>
      </c>
      <c r="N226" s="4">
        <f t="shared" si="6"/>
        <v>3.0156560000000006E-2</v>
      </c>
      <c r="O226" s="4">
        <f t="shared" si="7"/>
        <v>0.35584740800000009</v>
      </c>
      <c r="P226">
        <v>63</v>
      </c>
      <c r="Q226">
        <v>5</v>
      </c>
      <c r="R226">
        <v>3</v>
      </c>
      <c r="S226">
        <v>3.5</v>
      </c>
      <c r="T226">
        <v>3</v>
      </c>
      <c r="U226">
        <v>2</v>
      </c>
      <c r="V226" t="s">
        <v>27</v>
      </c>
    </row>
    <row r="227" spans="1:22" x14ac:dyDescent="0.25">
      <c r="A227" t="s">
        <v>70</v>
      </c>
      <c r="B227">
        <v>1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11.1</v>
      </c>
      <c r="M227">
        <v>8.6999999999999993</v>
      </c>
      <c r="N227" s="4">
        <f t="shared" si="6"/>
        <v>9.671985000000001E-3</v>
      </c>
      <c r="O227" s="4">
        <f t="shared" si="7"/>
        <v>8.4146269499999996E-2</v>
      </c>
      <c r="P227">
        <v>88</v>
      </c>
      <c r="Q227">
        <v>3</v>
      </c>
      <c r="R227">
        <v>2</v>
      </c>
      <c r="S227">
        <v>3</v>
      </c>
      <c r="T227">
        <v>4</v>
      </c>
      <c r="U227">
        <v>4</v>
      </c>
      <c r="V227" t="s">
        <v>25</v>
      </c>
    </row>
    <row r="228" spans="1:22" x14ac:dyDescent="0.25">
      <c r="A228" t="s">
        <v>70</v>
      </c>
      <c r="B228">
        <v>1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10.8</v>
      </c>
      <c r="M228">
        <v>10</v>
      </c>
      <c r="N228" s="4">
        <f t="shared" si="6"/>
        <v>9.156240000000003E-3</v>
      </c>
      <c r="O228" s="4">
        <f t="shared" si="7"/>
        <v>9.156240000000003E-2</v>
      </c>
      <c r="P228">
        <v>75</v>
      </c>
      <c r="Q228">
        <v>3</v>
      </c>
      <c r="R228">
        <v>4</v>
      </c>
      <c r="S228">
        <v>3</v>
      </c>
      <c r="T228">
        <v>4</v>
      </c>
      <c r="U228">
        <v>3</v>
      </c>
      <c r="V228" t="s">
        <v>25</v>
      </c>
    </row>
    <row r="229" spans="1:22" x14ac:dyDescent="0.25">
      <c r="A229" t="s">
        <v>70</v>
      </c>
      <c r="B229">
        <v>1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11.2</v>
      </c>
      <c r="M229">
        <v>12.2</v>
      </c>
      <c r="N229" s="4">
        <f t="shared" si="6"/>
        <v>9.8470399999999979E-3</v>
      </c>
      <c r="O229" s="4">
        <f t="shared" si="7"/>
        <v>0.12013388799999997</v>
      </c>
      <c r="P229">
        <v>75</v>
      </c>
      <c r="Q229">
        <v>5</v>
      </c>
      <c r="R229">
        <v>3</v>
      </c>
      <c r="S229">
        <v>4</v>
      </c>
      <c r="T229">
        <v>3.5</v>
      </c>
      <c r="U229">
        <v>3.5</v>
      </c>
      <c r="V229" t="s">
        <v>25</v>
      </c>
    </row>
    <row r="230" spans="1:22" x14ac:dyDescent="0.25">
      <c r="A230" t="s">
        <v>70</v>
      </c>
      <c r="B230">
        <v>1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14</v>
      </c>
      <c r="M230">
        <v>13</v>
      </c>
      <c r="N230" s="4">
        <f t="shared" si="6"/>
        <v>1.5386000000000002E-2</v>
      </c>
      <c r="O230" s="4">
        <f t="shared" si="7"/>
        <v>0.20001800000000003</v>
      </c>
      <c r="P230">
        <v>63</v>
      </c>
      <c r="Q230">
        <v>5</v>
      </c>
      <c r="R230">
        <v>3</v>
      </c>
      <c r="S230">
        <v>3</v>
      </c>
      <c r="T230">
        <v>2</v>
      </c>
      <c r="U230">
        <v>2.5</v>
      </c>
      <c r="V230" t="s">
        <v>25</v>
      </c>
    </row>
    <row r="231" spans="1:22" x14ac:dyDescent="0.25">
      <c r="A231" t="s">
        <v>70</v>
      </c>
      <c r="B231">
        <v>1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9</v>
      </c>
      <c r="M231">
        <v>9.6</v>
      </c>
      <c r="N231" s="4">
        <f t="shared" si="6"/>
        <v>6.3584999999999996E-3</v>
      </c>
      <c r="O231" s="4">
        <f t="shared" si="7"/>
        <v>6.1041599999999994E-2</v>
      </c>
      <c r="P231">
        <v>75</v>
      </c>
      <c r="Q231">
        <v>4</v>
      </c>
      <c r="R231">
        <v>3</v>
      </c>
      <c r="S231">
        <v>4</v>
      </c>
      <c r="T231">
        <v>3</v>
      </c>
      <c r="U231">
        <v>2.5</v>
      </c>
      <c r="V231" t="s">
        <v>25</v>
      </c>
    </row>
    <row r="232" spans="1:22" x14ac:dyDescent="0.25">
      <c r="A232" t="s">
        <v>70</v>
      </c>
      <c r="B232">
        <v>1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14.4</v>
      </c>
      <c r="M232">
        <v>12.9</v>
      </c>
      <c r="N232" s="4">
        <f t="shared" si="6"/>
        <v>1.6277760000000006E-2</v>
      </c>
      <c r="O232" s="4">
        <f t="shared" si="7"/>
        <v>0.20998310400000009</v>
      </c>
      <c r="P232">
        <v>88</v>
      </c>
      <c r="Q232">
        <v>5</v>
      </c>
      <c r="R232">
        <v>3</v>
      </c>
      <c r="S232">
        <v>3</v>
      </c>
      <c r="T232">
        <v>3</v>
      </c>
      <c r="U232">
        <v>2.5</v>
      </c>
      <c r="V232" t="s">
        <v>25</v>
      </c>
    </row>
    <row r="233" spans="1:22" x14ac:dyDescent="0.25">
      <c r="A233" t="s">
        <v>70</v>
      </c>
      <c r="B233">
        <v>1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8.8000000000000007</v>
      </c>
      <c r="M233">
        <v>5.3</v>
      </c>
      <c r="N233" s="4">
        <f t="shared" si="6"/>
        <v>6.0790400000000017E-3</v>
      </c>
      <c r="O233" s="4">
        <f t="shared" si="7"/>
        <v>3.2218912000000009E-2</v>
      </c>
      <c r="P233">
        <v>63</v>
      </c>
      <c r="Q233">
        <v>3</v>
      </c>
      <c r="R233">
        <v>3</v>
      </c>
      <c r="S233">
        <v>3</v>
      </c>
      <c r="T233">
        <v>4</v>
      </c>
      <c r="U233">
        <v>4</v>
      </c>
      <c r="V233" t="s">
        <v>38</v>
      </c>
    </row>
    <row r="234" spans="1:22" x14ac:dyDescent="0.25">
      <c r="A234" t="s">
        <v>70</v>
      </c>
      <c r="B234">
        <v>1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37</v>
      </c>
      <c r="K234">
        <v>1524</v>
      </c>
      <c r="L234">
        <v>6.5</v>
      </c>
      <c r="M234">
        <v>7</v>
      </c>
      <c r="N234" s="4">
        <f t="shared" si="6"/>
        <v>3.3166250000000006E-3</v>
      </c>
      <c r="O234" s="4">
        <f t="shared" si="7"/>
        <v>2.3216375000000004E-2</v>
      </c>
      <c r="P234">
        <v>50</v>
      </c>
      <c r="Q234">
        <v>2.5</v>
      </c>
      <c r="R234">
        <v>2.5</v>
      </c>
      <c r="S234">
        <v>3</v>
      </c>
      <c r="T234">
        <v>3</v>
      </c>
      <c r="U234">
        <v>3</v>
      </c>
      <c r="V234" t="s">
        <v>30</v>
      </c>
    </row>
    <row r="235" spans="1:22" x14ac:dyDescent="0.25">
      <c r="A235" t="s">
        <v>70</v>
      </c>
      <c r="B235">
        <v>1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63</v>
      </c>
      <c r="K235">
        <v>1340</v>
      </c>
      <c r="L235">
        <v>5.7</v>
      </c>
      <c r="M235">
        <v>5.7</v>
      </c>
      <c r="N235" s="4">
        <f t="shared" si="6"/>
        <v>2.550465E-3</v>
      </c>
      <c r="O235" s="4">
        <f t="shared" si="7"/>
        <v>1.4537650500000001E-2</v>
      </c>
      <c r="P235">
        <v>100</v>
      </c>
      <c r="Q235">
        <v>3</v>
      </c>
      <c r="R235">
        <v>2</v>
      </c>
      <c r="S235">
        <v>3</v>
      </c>
      <c r="T235">
        <v>3</v>
      </c>
      <c r="U235">
        <v>3</v>
      </c>
      <c r="V235" t="s">
        <v>30</v>
      </c>
    </row>
    <row r="236" spans="1:22" x14ac:dyDescent="0.25">
      <c r="A236" t="s">
        <v>70</v>
      </c>
      <c r="B236">
        <v>1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60</v>
      </c>
      <c r="K236">
        <v>1595</v>
      </c>
      <c r="L236">
        <v>8</v>
      </c>
      <c r="M236">
        <v>4.9000000000000004</v>
      </c>
      <c r="N236" s="4">
        <f t="shared" si="6"/>
        <v>5.0240000000000007E-3</v>
      </c>
      <c r="O236" s="4">
        <f t="shared" si="7"/>
        <v>2.4617600000000007E-2</v>
      </c>
      <c r="P236">
        <v>88</v>
      </c>
      <c r="Q236">
        <v>3.5</v>
      </c>
      <c r="R236">
        <v>1.5</v>
      </c>
      <c r="S236">
        <v>4</v>
      </c>
      <c r="T236">
        <v>4</v>
      </c>
      <c r="U236">
        <v>4</v>
      </c>
      <c r="V236" t="s">
        <v>38</v>
      </c>
    </row>
    <row r="237" spans="1:22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55</v>
      </c>
      <c r="K237">
        <v>1094</v>
      </c>
      <c r="L237">
        <v>7.3</v>
      </c>
      <c r="M237">
        <v>6.8</v>
      </c>
      <c r="N237" s="4">
        <f t="shared" si="6"/>
        <v>4.1832649999999994E-3</v>
      </c>
      <c r="O237" s="4">
        <f t="shared" si="7"/>
        <v>2.8446201999999993E-2</v>
      </c>
      <c r="P237">
        <v>2.5</v>
      </c>
      <c r="Q237">
        <v>3.5</v>
      </c>
      <c r="R237">
        <v>3.5</v>
      </c>
      <c r="S237">
        <v>3.5</v>
      </c>
      <c r="T237">
        <v>3.5</v>
      </c>
      <c r="U237">
        <v>1.5</v>
      </c>
      <c r="V237" t="s">
        <v>50</v>
      </c>
    </row>
    <row r="238" spans="1:22" x14ac:dyDescent="0.25">
      <c r="A238" t="s">
        <v>70</v>
      </c>
      <c r="B238">
        <v>2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56</v>
      </c>
      <c r="K238">
        <v>1111</v>
      </c>
      <c r="L238">
        <v>6.9</v>
      </c>
      <c r="M238">
        <v>5.6</v>
      </c>
      <c r="N238" s="4">
        <f t="shared" si="6"/>
        <v>3.7373850000000006E-3</v>
      </c>
      <c r="O238" s="4">
        <f t="shared" si="7"/>
        <v>2.0929356000000003E-2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2</v>
      </c>
      <c r="V238" t="s">
        <v>50</v>
      </c>
    </row>
    <row r="239" spans="1:22" x14ac:dyDescent="0.25">
      <c r="A239" t="s">
        <v>70</v>
      </c>
      <c r="B239">
        <v>2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57</v>
      </c>
      <c r="K239">
        <v>1112</v>
      </c>
      <c r="L239">
        <v>7.4</v>
      </c>
      <c r="M239">
        <v>6.6</v>
      </c>
      <c r="N239" s="4">
        <f t="shared" si="6"/>
        <v>4.2986600000000019E-3</v>
      </c>
      <c r="O239" s="4">
        <f t="shared" si="7"/>
        <v>2.8371156000000012E-2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1</v>
      </c>
      <c r="V239" t="s">
        <v>50</v>
      </c>
    </row>
    <row r="240" spans="1:22" x14ac:dyDescent="0.25">
      <c r="A240" t="s">
        <v>70</v>
      </c>
      <c r="B240">
        <v>2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1113</v>
      </c>
      <c r="L240">
        <v>6.6</v>
      </c>
      <c r="M240">
        <v>5.4</v>
      </c>
      <c r="N240" s="4">
        <f t="shared" si="6"/>
        <v>3.4194600000000005E-3</v>
      </c>
      <c r="O240" s="4">
        <f t="shared" si="7"/>
        <v>1.8465084000000003E-2</v>
      </c>
      <c r="P240">
        <v>3</v>
      </c>
      <c r="Q240">
        <v>2</v>
      </c>
      <c r="R240">
        <v>3</v>
      </c>
      <c r="S240">
        <v>3</v>
      </c>
      <c r="T240">
        <v>3.5</v>
      </c>
      <c r="U240">
        <v>1.5</v>
      </c>
      <c r="V240" t="s">
        <v>50</v>
      </c>
    </row>
    <row r="241" spans="1:22" x14ac:dyDescent="0.25">
      <c r="A241" t="s">
        <v>70</v>
      </c>
      <c r="B241">
        <v>2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58</v>
      </c>
      <c r="K241">
        <v>1338</v>
      </c>
      <c r="L241">
        <v>7.3</v>
      </c>
      <c r="M241">
        <v>5.6</v>
      </c>
      <c r="N241" s="4">
        <f t="shared" si="6"/>
        <v>4.1832649999999994E-3</v>
      </c>
      <c r="O241" s="4">
        <f t="shared" si="7"/>
        <v>2.3426283999999995E-2</v>
      </c>
      <c r="P241">
        <v>3.5</v>
      </c>
      <c r="Q241">
        <v>3</v>
      </c>
      <c r="R241">
        <v>2.5</v>
      </c>
      <c r="S241">
        <v>2.5</v>
      </c>
      <c r="T241">
        <v>2.5</v>
      </c>
      <c r="U241">
        <v>1.5</v>
      </c>
      <c r="V241" t="s">
        <v>50</v>
      </c>
    </row>
    <row r="242" spans="1:22" x14ac:dyDescent="0.25">
      <c r="A242" t="s">
        <v>70</v>
      </c>
      <c r="B242">
        <v>2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59</v>
      </c>
      <c r="K242">
        <v>1978</v>
      </c>
      <c r="L242">
        <v>19.600000000000001</v>
      </c>
      <c r="M242">
        <v>10.3</v>
      </c>
      <c r="N242" s="4">
        <f t="shared" si="6"/>
        <v>3.0156560000000006E-2</v>
      </c>
      <c r="O242" s="4">
        <f t="shared" si="7"/>
        <v>0.31061256800000009</v>
      </c>
      <c r="P242">
        <v>3</v>
      </c>
      <c r="Q242">
        <v>3</v>
      </c>
      <c r="R242">
        <v>2.5</v>
      </c>
      <c r="S242">
        <v>2.5</v>
      </c>
      <c r="T242">
        <v>2</v>
      </c>
      <c r="U242">
        <v>2</v>
      </c>
      <c r="V242" t="s">
        <v>50</v>
      </c>
    </row>
    <row r="243" spans="1:22" x14ac:dyDescent="0.25">
      <c r="A243" t="s">
        <v>70</v>
      </c>
      <c r="B243">
        <v>2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1482</v>
      </c>
      <c r="L243">
        <v>15.4</v>
      </c>
      <c r="M243">
        <v>15.8</v>
      </c>
      <c r="N243" s="4">
        <f t="shared" si="6"/>
        <v>1.8617060000000001E-2</v>
      </c>
      <c r="O243" s="4">
        <f t="shared" si="7"/>
        <v>0.29414954800000004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3</v>
      </c>
      <c r="V243" t="s">
        <v>50</v>
      </c>
    </row>
    <row r="244" spans="1:22" x14ac:dyDescent="0.25">
      <c r="A244" t="s">
        <v>70</v>
      </c>
      <c r="B244">
        <v>2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26</v>
      </c>
      <c r="K244">
        <v>1339</v>
      </c>
      <c r="L244">
        <v>15</v>
      </c>
      <c r="M244">
        <v>11.6</v>
      </c>
      <c r="N244" s="4">
        <f t="shared" si="6"/>
        <v>1.7662500000000001E-2</v>
      </c>
      <c r="O244" s="4">
        <f t="shared" si="7"/>
        <v>0.20488500000000001</v>
      </c>
      <c r="P244">
        <v>4</v>
      </c>
      <c r="Q244">
        <v>3</v>
      </c>
      <c r="R244">
        <v>2</v>
      </c>
      <c r="S244">
        <v>2</v>
      </c>
      <c r="T244">
        <v>2</v>
      </c>
      <c r="U244">
        <v>3</v>
      </c>
      <c r="V244" t="s">
        <v>50</v>
      </c>
    </row>
    <row r="245" spans="1:22" x14ac:dyDescent="0.25">
      <c r="A245" t="s">
        <v>70</v>
      </c>
      <c r="B245">
        <v>2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2447</v>
      </c>
      <c r="L245">
        <v>13.9</v>
      </c>
      <c r="M245">
        <v>11.1</v>
      </c>
      <c r="N245" s="4">
        <f t="shared" si="6"/>
        <v>1.5166985000000004E-2</v>
      </c>
      <c r="O245" s="4">
        <f t="shared" si="7"/>
        <v>0.16835353350000004</v>
      </c>
      <c r="P245">
        <v>5</v>
      </c>
      <c r="Q245">
        <v>3</v>
      </c>
      <c r="R245">
        <v>3</v>
      </c>
      <c r="S245">
        <v>2.5</v>
      </c>
      <c r="T245">
        <v>2</v>
      </c>
      <c r="U245">
        <v>3</v>
      </c>
      <c r="V245" t="s">
        <v>50</v>
      </c>
    </row>
    <row r="246" spans="1:22" x14ac:dyDescent="0.25">
      <c r="A246" t="s">
        <v>70</v>
      </c>
      <c r="B246">
        <v>2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1786</v>
      </c>
      <c r="L246">
        <v>15.6</v>
      </c>
      <c r="M246">
        <v>12.1</v>
      </c>
      <c r="N246" s="4">
        <f t="shared" si="6"/>
        <v>1.9103760000000001E-2</v>
      </c>
      <c r="O246" s="4">
        <f t="shared" si="7"/>
        <v>0.23115549600000002</v>
      </c>
      <c r="P246">
        <v>4</v>
      </c>
      <c r="Q246">
        <v>3</v>
      </c>
      <c r="R246">
        <v>3.5</v>
      </c>
      <c r="S246">
        <v>3</v>
      </c>
      <c r="T246">
        <v>2</v>
      </c>
      <c r="U246">
        <v>3</v>
      </c>
      <c r="V246" t="s">
        <v>50</v>
      </c>
    </row>
    <row r="247" spans="1:22" x14ac:dyDescent="0.25">
      <c r="A247" t="s">
        <v>70</v>
      </c>
      <c r="B247">
        <v>2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32</v>
      </c>
      <c r="K247">
        <v>1596</v>
      </c>
      <c r="L247">
        <v>7.9</v>
      </c>
      <c r="M247">
        <v>8.6</v>
      </c>
      <c r="N247" s="4">
        <f t="shared" si="6"/>
        <v>4.8991850000000003E-3</v>
      </c>
      <c r="O247" s="4">
        <f t="shared" si="7"/>
        <v>4.2132991000000002E-2</v>
      </c>
      <c r="P247">
        <v>2.5</v>
      </c>
      <c r="Q247">
        <v>3</v>
      </c>
      <c r="R247">
        <v>2.5</v>
      </c>
      <c r="S247">
        <v>4</v>
      </c>
      <c r="T247">
        <v>3.5</v>
      </c>
      <c r="U247">
        <v>1</v>
      </c>
      <c r="V247" t="s">
        <v>50</v>
      </c>
    </row>
    <row r="248" spans="1:22" x14ac:dyDescent="0.25">
      <c r="A248" t="s">
        <v>70</v>
      </c>
      <c r="B248">
        <v>2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61</v>
      </c>
      <c r="K248">
        <v>1171</v>
      </c>
      <c r="L248">
        <v>6.6</v>
      </c>
      <c r="M248">
        <v>5.8</v>
      </c>
      <c r="N248" s="4">
        <f t="shared" si="6"/>
        <v>3.4194600000000005E-3</v>
      </c>
      <c r="O248" s="4">
        <f t="shared" si="7"/>
        <v>1.9832868000000003E-2</v>
      </c>
      <c r="P248">
        <v>2</v>
      </c>
      <c r="Q248">
        <v>3</v>
      </c>
      <c r="R248">
        <v>2.5</v>
      </c>
      <c r="S248">
        <v>2.5</v>
      </c>
      <c r="T248">
        <v>3</v>
      </c>
      <c r="U248">
        <v>0.5</v>
      </c>
      <c r="V248" t="s">
        <v>50</v>
      </c>
    </row>
    <row r="249" spans="1:22" x14ac:dyDescent="0.25">
      <c r="A249" t="s">
        <v>70</v>
      </c>
      <c r="B249">
        <v>2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34</v>
      </c>
      <c r="K249">
        <v>2469</v>
      </c>
      <c r="L249">
        <v>15.2</v>
      </c>
      <c r="M249">
        <v>12.3</v>
      </c>
      <c r="N249" s="4">
        <f t="shared" si="6"/>
        <v>1.8136639999999999E-2</v>
      </c>
      <c r="O249" s="4">
        <f t="shared" si="7"/>
        <v>0.22308067200000001</v>
      </c>
      <c r="P249">
        <v>5</v>
      </c>
      <c r="Q249">
        <v>3</v>
      </c>
      <c r="R249">
        <v>4</v>
      </c>
      <c r="S249">
        <v>3.5</v>
      </c>
      <c r="T249">
        <v>3</v>
      </c>
      <c r="U249">
        <v>4</v>
      </c>
      <c r="V249" t="s">
        <v>50</v>
      </c>
    </row>
    <row r="250" spans="1:22" x14ac:dyDescent="0.25">
      <c r="A250" t="s">
        <v>70</v>
      </c>
      <c r="B250">
        <v>2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1337</v>
      </c>
      <c r="L250">
        <v>17.100000000000001</v>
      </c>
      <c r="M250">
        <v>12.1</v>
      </c>
      <c r="N250" s="4">
        <f t="shared" si="6"/>
        <v>2.2954185000000002E-2</v>
      </c>
      <c r="O250" s="4">
        <f t="shared" si="7"/>
        <v>0.2777456385</v>
      </c>
      <c r="P250">
        <v>5</v>
      </c>
      <c r="Q250">
        <v>3</v>
      </c>
      <c r="R250">
        <v>3.5</v>
      </c>
      <c r="S250">
        <v>3</v>
      </c>
      <c r="T250">
        <v>3</v>
      </c>
      <c r="U250">
        <v>4</v>
      </c>
      <c r="V250" t="s">
        <v>50</v>
      </c>
    </row>
    <row r="251" spans="1:22" x14ac:dyDescent="0.25">
      <c r="A251" t="s">
        <v>70</v>
      </c>
      <c r="B251">
        <v>2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35</v>
      </c>
      <c r="K251">
        <v>1785</v>
      </c>
      <c r="L251">
        <v>5.5</v>
      </c>
      <c r="M251">
        <v>3.4</v>
      </c>
      <c r="N251" s="4">
        <f t="shared" si="6"/>
        <v>2.374625E-3</v>
      </c>
      <c r="O251" s="4">
        <f t="shared" si="7"/>
        <v>8.0737250000000003E-3</v>
      </c>
      <c r="P251">
        <v>2</v>
      </c>
      <c r="Q251">
        <v>1</v>
      </c>
      <c r="R251">
        <v>3</v>
      </c>
      <c r="S251">
        <v>2.5</v>
      </c>
      <c r="T251">
        <v>3</v>
      </c>
      <c r="U251">
        <v>1</v>
      </c>
      <c r="V251" t="s">
        <v>50</v>
      </c>
    </row>
    <row r="252" spans="1:22" x14ac:dyDescent="0.25">
      <c r="A252" t="s">
        <v>70</v>
      </c>
      <c r="B252">
        <v>2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36</v>
      </c>
      <c r="K252">
        <v>1598</v>
      </c>
      <c r="L252">
        <v>15.3</v>
      </c>
      <c r="M252">
        <v>12.7</v>
      </c>
      <c r="N252" s="4">
        <f t="shared" si="6"/>
        <v>1.8376065E-2</v>
      </c>
      <c r="O252" s="4">
        <f t="shared" si="7"/>
        <v>0.2333760255</v>
      </c>
      <c r="P252">
        <v>3</v>
      </c>
      <c r="Q252">
        <v>4</v>
      </c>
      <c r="R252">
        <v>2.5</v>
      </c>
      <c r="S252">
        <v>3</v>
      </c>
      <c r="T252">
        <v>2</v>
      </c>
      <c r="U252">
        <v>3</v>
      </c>
      <c r="V252" t="s">
        <v>50</v>
      </c>
    </row>
    <row r="253" spans="1:22" x14ac:dyDescent="0.25">
      <c r="A253" t="s">
        <v>70</v>
      </c>
      <c r="B253">
        <v>2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62</v>
      </c>
      <c r="K253">
        <v>2428</v>
      </c>
      <c r="L253">
        <v>10.9</v>
      </c>
      <c r="M253">
        <v>9.8000000000000007</v>
      </c>
      <c r="N253" s="4">
        <f t="shared" si="6"/>
        <v>9.3265850000000001E-3</v>
      </c>
      <c r="O253" s="4">
        <f t="shared" si="7"/>
        <v>9.1400533000000006E-2</v>
      </c>
      <c r="P253">
        <v>4</v>
      </c>
      <c r="Q253">
        <v>3</v>
      </c>
      <c r="R253">
        <v>2.5</v>
      </c>
      <c r="S253">
        <v>2</v>
      </c>
      <c r="T253">
        <v>3</v>
      </c>
      <c r="U253">
        <v>4</v>
      </c>
      <c r="V253" t="s">
        <v>50</v>
      </c>
    </row>
    <row r="254" spans="1:22" x14ac:dyDescent="0.25">
      <c r="A254" t="s">
        <v>70</v>
      </c>
      <c r="B254">
        <v>2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2430</v>
      </c>
      <c r="L254">
        <v>13</v>
      </c>
      <c r="M254">
        <v>10.4</v>
      </c>
      <c r="N254" s="4">
        <f t="shared" si="6"/>
        <v>1.3266500000000002E-2</v>
      </c>
      <c r="O254" s="4">
        <f t="shared" si="7"/>
        <v>0.13797160000000003</v>
      </c>
      <c r="P254">
        <v>4</v>
      </c>
      <c r="Q254">
        <v>3</v>
      </c>
      <c r="R254">
        <v>3.5</v>
      </c>
      <c r="S254">
        <v>2.5</v>
      </c>
      <c r="T254">
        <v>2</v>
      </c>
      <c r="U254">
        <v>4</v>
      </c>
      <c r="V254" t="s">
        <v>50</v>
      </c>
    </row>
    <row r="255" spans="1:22" x14ac:dyDescent="0.25">
      <c r="A255" t="s">
        <v>70</v>
      </c>
      <c r="B255">
        <v>2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2431</v>
      </c>
      <c r="L255">
        <v>10.6</v>
      </c>
      <c r="M255">
        <v>10.199999999999999</v>
      </c>
      <c r="N255" s="4">
        <f t="shared" si="6"/>
        <v>8.8202599999999999E-3</v>
      </c>
      <c r="O255" s="4">
        <f t="shared" si="7"/>
        <v>8.9966651999999994E-2</v>
      </c>
      <c r="P255">
        <v>4</v>
      </c>
      <c r="Q255">
        <v>3</v>
      </c>
      <c r="R255">
        <v>3.5</v>
      </c>
      <c r="S255">
        <v>2.5</v>
      </c>
      <c r="T255">
        <v>3</v>
      </c>
      <c r="U255">
        <v>3</v>
      </c>
      <c r="V255" t="s">
        <v>50</v>
      </c>
    </row>
    <row r="256" spans="1:22" x14ac:dyDescent="0.25">
      <c r="A256" t="s">
        <v>70</v>
      </c>
      <c r="B256">
        <v>2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10.3</v>
      </c>
      <c r="M256">
        <v>10</v>
      </c>
      <c r="N256" s="4">
        <f t="shared" si="6"/>
        <v>8.3280650000000025E-3</v>
      </c>
      <c r="O256" s="4">
        <f t="shared" si="7"/>
        <v>8.3280650000000025E-2</v>
      </c>
      <c r="P256">
        <v>4</v>
      </c>
      <c r="Q256">
        <v>3</v>
      </c>
      <c r="R256">
        <v>4</v>
      </c>
      <c r="S256">
        <v>3</v>
      </c>
      <c r="T256">
        <v>3</v>
      </c>
      <c r="U256">
        <v>3</v>
      </c>
      <c r="V256" t="s">
        <v>50</v>
      </c>
    </row>
    <row r="257" spans="1:22" x14ac:dyDescent="0.25">
      <c r="A257" t="s">
        <v>70</v>
      </c>
      <c r="B257">
        <v>2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3.2</v>
      </c>
      <c r="M257">
        <v>5.9</v>
      </c>
      <c r="N257" s="4">
        <f t="shared" si="6"/>
        <v>8.0384E-4</v>
      </c>
      <c r="O257" s="4">
        <f t="shared" si="7"/>
        <v>4.7426560000000005E-3</v>
      </c>
      <c r="P257">
        <v>1.5</v>
      </c>
      <c r="Q257">
        <v>3</v>
      </c>
      <c r="R257">
        <v>2</v>
      </c>
      <c r="S257">
        <v>2</v>
      </c>
      <c r="T257">
        <v>2</v>
      </c>
      <c r="U257">
        <v>0</v>
      </c>
      <c r="V257" t="s">
        <v>50</v>
      </c>
    </row>
    <row r="258" spans="1:22" x14ac:dyDescent="0.25">
      <c r="A258" t="s">
        <v>70</v>
      </c>
      <c r="B258">
        <v>2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15</v>
      </c>
      <c r="M258">
        <v>13</v>
      </c>
      <c r="N258" s="4">
        <f t="shared" si="6"/>
        <v>1.7662500000000001E-2</v>
      </c>
      <c r="O258" s="4">
        <f t="shared" si="7"/>
        <v>0.22961250000000002</v>
      </c>
      <c r="P258">
        <v>2.5</v>
      </c>
      <c r="Q258">
        <v>3</v>
      </c>
      <c r="R258">
        <v>4</v>
      </c>
      <c r="S258">
        <v>4</v>
      </c>
      <c r="T258">
        <v>4</v>
      </c>
      <c r="U258">
        <v>2</v>
      </c>
      <c r="V258" t="s">
        <v>50</v>
      </c>
    </row>
    <row r="259" spans="1:22" x14ac:dyDescent="0.25">
      <c r="A259" t="s">
        <v>70</v>
      </c>
      <c r="B259">
        <v>2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6.8</v>
      </c>
      <c r="M259">
        <v>5.6</v>
      </c>
      <c r="N259" s="4">
        <f t="shared" ref="N259:N322" si="8">3.14/4*((L259/100)^2)</f>
        <v>3.6298400000000005E-3</v>
      </c>
      <c r="O259" s="4">
        <f t="shared" ref="O259:O322" si="9">3.14/4*((L259/100)^2)*M259</f>
        <v>2.0327104000000002E-2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0</v>
      </c>
      <c r="V259" t="s">
        <v>50</v>
      </c>
    </row>
    <row r="260" spans="1:22" x14ac:dyDescent="0.25">
      <c r="A260" t="s">
        <v>70</v>
      </c>
      <c r="B260">
        <v>2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7.7</v>
      </c>
      <c r="M260">
        <v>6.1</v>
      </c>
      <c r="N260" s="4">
        <f t="shared" si="8"/>
        <v>4.6542650000000003E-3</v>
      </c>
      <c r="O260" s="4">
        <f t="shared" si="9"/>
        <v>2.8391016500000001E-2</v>
      </c>
      <c r="P260">
        <v>2</v>
      </c>
      <c r="Q260">
        <v>2</v>
      </c>
      <c r="R260">
        <v>2</v>
      </c>
      <c r="S260">
        <v>2</v>
      </c>
      <c r="T260">
        <v>3</v>
      </c>
      <c r="U260">
        <v>0.5</v>
      </c>
      <c r="V260" t="s">
        <v>50</v>
      </c>
    </row>
    <row r="261" spans="1:22" x14ac:dyDescent="0.25">
      <c r="A261" t="s">
        <v>70</v>
      </c>
      <c r="B261">
        <v>2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3.1</v>
      </c>
      <c r="M261">
        <v>2.9</v>
      </c>
      <c r="N261" s="4">
        <f t="shared" si="8"/>
        <v>7.5438499999999999E-4</v>
      </c>
      <c r="O261" s="4">
        <f t="shared" si="9"/>
        <v>2.1877164999999999E-3</v>
      </c>
      <c r="P261">
        <v>2</v>
      </c>
      <c r="Q261">
        <v>1.5</v>
      </c>
      <c r="R261">
        <v>3</v>
      </c>
      <c r="S261">
        <v>3</v>
      </c>
      <c r="T261">
        <v>3.5</v>
      </c>
      <c r="U261">
        <v>1</v>
      </c>
      <c r="V261" t="s">
        <v>50</v>
      </c>
    </row>
    <row r="262" spans="1:22" x14ac:dyDescent="0.25">
      <c r="A262" t="s">
        <v>70</v>
      </c>
      <c r="B262">
        <v>3</v>
      </c>
      <c r="C262" t="s">
        <v>71</v>
      </c>
      <c r="D262" t="s">
        <v>72</v>
      </c>
      <c r="E262" t="s">
        <v>73</v>
      </c>
      <c r="F262">
        <v>160</v>
      </c>
      <c r="G262">
        <v>1000</v>
      </c>
      <c r="H262">
        <v>-3</v>
      </c>
      <c r="I262">
        <v>1981</v>
      </c>
      <c r="J262" t="s">
        <v>55</v>
      </c>
      <c r="K262">
        <v>1094</v>
      </c>
      <c r="L262">
        <v>10.5</v>
      </c>
      <c r="M262">
        <v>6</v>
      </c>
      <c r="N262" s="4">
        <f t="shared" si="8"/>
        <v>8.6546249999999991E-3</v>
      </c>
      <c r="O262" s="4">
        <f t="shared" si="9"/>
        <v>5.1927749999999995E-2</v>
      </c>
      <c r="P262">
        <v>25</v>
      </c>
      <c r="Q262">
        <v>3</v>
      </c>
      <c r="R262">
        <v>3</v>
      </c>
      <c r="S262">
        <v>2</v>
      </c>
      <c r="T262">
        <v>3</v>
      </c>
      <c r="U262">
        <v>2.5</v>
      </c>
      <c r="V262" t="s">
        <v>30</v>
      </c>
    </row>
    <row r="263" spans="1:22" x14ac:dyDescent="0.25">
      <c r="A263" t="s">
        <v>70</v>
      </c>
      <c r="B263">
        <v>3</v>
      </c>
      <c r="C263" t="s">
        <v>71</v>
      </c>
      <c r="D263" t="s">
        <v>72</v>
      </c>
      <c r="E263" t="s">
        <v>73</v>
      </c>
      <c r="F263">
        <v>160</v>
      </c>
      <c r="G263">
        <v>1000</v>
      </c>
      <c r="H263">
        <v>-3</v>
      </c>
      <c r="I263">
        <v>1981</v>
      </c>
      <c r="J263" t="s">
        <v>56</v>
      </c>
      <c r="K263">
        <v>1111</v>
      </c>
      <c r="L263">
        <v>1.6</v>
      </c>
      <c r="M263">
        <v>1.8</v>
      </c>
      <c r="N263" s="4">
        <f t="shared" si="8"/>
        <v>2.0096E-4</v>
      </c>
      <c r="O263" s="4">
        <f t="shared" si="9"/>
        <v>3.6172800000000002E-4</v>
      </c>
      <c r="P263">
        <v>88</v>
      </c>
      <c r="Q263">
        <v>1</v>
      </c>
      <c r="R263">
        <v>2</v>
      </c>
      <c r="S263">
        <v>3</v>
      </c>
      <c r="T263">
        <v>3</v>
      </c>
      <c r="U263">
        <v>3</v>
      </c>
      <c r="V263" t="s">
        <v>50</v>
      </c>
    </row>
    <row r="264" spans="1:22" x14ac:dyDescent="0.25">
      <c r="A264" t="s">
        <v>70</v>
      </c>
      <c r="B264">
        <v>3</v>
      </c>
      <c r="C264" t="s">
        <v>71</v>
      </c>
      <c r="D264" t="s">
        <v>72</v>
      </c>
      <c r="E264" t="s">
        <v>73</v>
      </c>
      <c r="F264">
        <v>160</v>
      </c>
      <c r="G264">
        <v>1000</v>
      </c>
      <c r="H264">
        <v>-3</v>
      </c>
      <c r="I264">
        <v>1981</v>
      </c>
      <c r="J264" t="s">
        <v>57</v>
      </c>
      <c r="K264">
        <v>1112</v>
      </c>
      <c r="L264">
        <v>4</v>
      </c>
      <c r="M264">
        <v>3.2</v>
      </c>
      <c r="N264" s="4">
        <f t="shared" si="8"/>
        <v>1.2560000000000002E-3</v>
      </c>
      <c r="O264" s="4">
        <f t="shared" si="9"/>
        <v>4.0192000000000005E-3</v>
      </c>
      <c r="P264">
        <v>63</v>
      </c>
      <c r="Q264">
        <v>2</v>
      </c>
      <c r="R264">
        <v>1.5</v>
      </c>
      <c r="S264">
        <v>3</v>
      </c>
      <c r="T264">
        <v>3</v>
      </c>
      <c r="U264">
        <v>3</v>
      </c>
      <c r="V264" t="s">
        <v>30</v>
      </c>
    </row>
    <row r="265" spans="1:22" x14ac:dyDescent="0.25">
      <c r="A265" t="s">
        <v>70</v>
      </c>
      <c r="B265">
        <v>3</v>
      </c>
      <c r="C265" t="s">
        <v>71</v>
      </c>
      <c r="D265" t="s">
        <v>72</v>
      </c>
      <c r="E265" t="s">
        <v>73</v>
      </c>
      <c r="F265">
        <v>160</v>
      </c>
      <c r="G265">
        <v>1000</v>
      </c>
      <c r="H265">
        <v>-3</v>
      </c>
      <c r="I265">
        <v>1981</v>
      </c>
      <c r="J265" t="s">
        <v>57</v>
      </c>
      <c r="K265">
        <v>1113</v>
      </c>
      <c r="L265">
        <v>3.3</v>
      </c>
      <c r="M265">
        <v>2.7</v>
      </c>
      <c r="N265" s="4">
        <f t="shared" si="8"/>
        <v>8.5486500000000012E-4</v>
      </c>
      <c r="O265" s="4">
        <f t="shared" si="9"/>
        <v>2.3081355000000004E-3</v>
      </c>
      <c r="P265">
        <v>100</v>
      </c>
      <c r="Q265">
        <v>1.5</v>
      </c>
      <c r="R265">
        <v>1</v>
      </c>
      <c r="S265">
        <v>2</v>
      </c>
      <c r="T265">
        <v>3</v>
      </c>
      <c r="U265">
        <v>3</v>
      </c>
      <c r="V265" t="s">
        <v>50</v>
      </c>
    </row>
    <row r="266" spans="1:22" x14ac:dyDescent="0.25">
      <c r="A266" t="s">
        <v>70</v>
      </c>
      <c r="B266">
        <v>3</v>
      </c>
      <c r="C266" t="s">
        <v>71</v>
      </c>
      <c r="D266" t="s">
        <v>72</v>
      </c>
      <c r="E266" t="s">
        <v>73</v>
      </c>
      <c r="F266">
        <v>160</v>
      </c>
      <c r="G266">
        <v>1000</v>
      </c>
      <c r="H266">
        <v>-3</v>
      </c>
      <c r="I266">
        <v>1981</v>
      </c>
      <c r="J266" t="s">
        <v>58</v>
      </c>
      <c r="K266">
        <v>1338</v>
      </c>
      <c r="L266">
        <v>9.4</v>
      </c>
      <c r="M266">
        <v>8.5</v>
      </c>
      <c r="N266" s="4">
        <f t="shared" si="8"/>
        <v>6.9362600000000005E-3</v>
      </c>
      <c r="O266" s="4">
        <f t="shared" si="9"/>
        <v>5.8958210000000004E-2</v>
      </c>
      <c r="P266">
        <v>38</v>
      </c>
      <c r="Q266">
        <v>3</v>
      </c>
      <c r="R266">
        <v>3</v>
      </c>
      <c r="S266">
        <v>2</v>
      </c>
      <c r="T266">
        <v>1.5</v>
      </c>
      <c r="U266">
        <v>1</v>
      </c>
      <c r="V266" t="s">
        <v>30</v>
      </c>
    </row>
    <row r="267" spans="1:22" x14ac:dyDescent="0.25">
      <c r="A267" t="s">
        <v>70</v>
      </c>
      <c r="B267">
        <v>3</v>
      </c>
      <c r="C267" t="s">
        <v>71</v>
      </c>
      <c r="D267" t="s">
        <v>72</v>
      </c>
      <c r="E267" t="s">
        <v>73</v>
      </c>
      <c r="F267">
        <v>160</v>
      </c>
      <c r="G267">
        <v>1000</v>
      </c>
      <c r="H267">
        <v>-3</v>
      </c>
      <c r="I267">
        <v>1981</v>
      </c>
      <c r="J267" t="s">
        <v>59</v>
      </c>
      <c r="K267">
        <v>1978</v>
      </c>
      <c r="L267">
        <v>11</v>
      </c>
      <c r="M267">
        <v>8.1</v>
      </c>
      <c r="N267" s="4">
        <f t="shared" si="8"/>
        <v>9.4985E-3</v>
      </c>
      <c r="O267" s="4">
        <f t="shared" si="9"/>
        <v>7.6937850000000002E-2</v>
      </c>
      <c r="P267">
        <v>100</v>
      </c>
      <c r="Q267">
        <v>4</v>
      </c>
      <c r="R267">
        <v>3</v>
      </c>
      <c r="S267">
        <v>2</v>
      </c>
      <c r="T267">
        <v>2</v>
      </c>
      <c r="U267">
        <v>2</v>
      </c>
      <c r="V267" t="s">
        <v>27</v>
      </c>
    </row>
    <row r="268" spans="1:22" x14ac:dyDescent="0.25">
      <c r="A268" t="s">
        <v>70</v>
      </c>
      <c r="B268">
        <v>3</v>
      </c>
      <c r="C268" t="s">
        <v>71</v>
      </c>
      <c r="D268" t="s">
        <v>72</v>
      </c>
      <c r="E268" t="s">
        <v>73</v>
      </c>
      <c r="F268">
        <v>160</v>
      </c>
      <c r="G268">
        <v>1000</v>
      </c>
      <c r="H268">
        <v>-3</v>
      </c>
      <c r="I268">
        <v>1981</v>
      </c>
      <c r="J268" t="s">
        <v>59</v>
      </c>
      <c r="K268">
        <v>1482</v>
      </c>
      <c r="L268">
        <v>7.8</v>
      </c>
      <c r="M268">
        <v>5.6</v>
      </c>
      <c r="N268" s="4">
        <f t="shared" si="8"/>
        <v>4.7759400000000002E-3</v>
      </c>
      <c r="O268" s="4">
        <f t="shared" si="9"/>
        <v>2.6745264000000001E-2</v>
      </c>
      <c r="P268">
        <v>88</v>
      </c>
      <c r="Q268">
        <v>3</v>
      </c>
      <c r="R268">
        <v>3</v>
      </c>
      <c r="S268">
        <v>2</v>
      </c>
      <c r="T268">
        <v>2</v>
      </c>
      <c r="U268">
        <v>2</v>
      </c>
      <c r="V268" t="s">
        <v>25</v>
      </c>
    </row>
    <row r="269" spans="1:22" x14ac:dyDescent="0.25">
      <c r="A269" t="s">
        <v>70</v>
      </c>
      <c r="B269">
        <v>3</v>
      </c>
      <c r="C269" t="s">
        <v>71</v>
      </c>
      <c r="D269" t="s">
        <v>72</v>
      </c>
      <c r="E269" t="s">
        <v>73</v>
      </c>
      <c r="F269">
        <v>160</v>
      </c>
      <c r="G269">
        <v>1000</v>
      </c>
      <c r="H269">
        <v>-3</v>
      </c>
      <c r="I269">
        <v>1981</v>
      </c>
      <c r="J269" t="s">
        <v>26</v>
      </c>
      <c r="K269">
        <v>1339</v>
      </c>
      <c r="L269">
        <v>10.1</v>
      </c>
      <c r="M269">
        <v>9.5</v>
      </c>
      <c r="N269" s="4">
        <f t="shared" si="8"/>
        <v>8.0077849999999982E-3</v>
      </c>
      <c r="O269" s="4">
        <f t="shared" si="9"/>
        <v>7.6073957499999983E-2</v>
      </c>
      <c r="P269">
        <v>75</v>
      </c>
      <c r="Q269">
        <v>3</v>
      </c>
      <c r="R269">
        <v>3</v>
      </c>
      <c r="S269">
        <v>2</v>
      </c>
      <c r="T269">
        <v>2</v>
      </c>
      <c r="U269">
        <v>2</v>
      </c>
      <c r="V269" t="s">
        <v>38</v>
      </c>
    </row>
    <row r="270" spans="1:22" x14ac:dyDescent="0.25">
      <c r="A270" t="s">
        <v>70</v>
      </c>
      <c r="B270">
        <v>3</v>
      </c>
      <c r="C270" t="s">
        <v>71</v>
      </c>
      <c r="D270" t="s">
        <v>72</v>
      </c>
      <c r="E270" t="s">
        <v>73</v>
      </c>
      <c r="F270">
        <v>160</v>
      </c>
      <c r="G270">
        <v>1000</v>
      </c>
      <c r="H270">
        <v>-3</v>
      </c>
      <c r="I270">
        <v>1981</v>
      </c>
      <c r="J270" t="s">
        <v>26</v>
      </c>
      <c r="K270">
        <v>2447</v>
      </c>
      <c r="L270">
        <v>6.9</v>
      </c>
      <c r="M270">
        <v>7.3</v>
      </c>
      <c r="N270" s="4">
        <f t="shared" si="8"/>
        <v>3.7373850000000006E-3</v>
      </c>
      <c r="O270" s="4">
        <f t="shared" si="9"/>
        <v>2.7282910500000004E-2</v>
      </c>
      <c r="P270">
        <v>88</v>
      </c>
      <c r="Q270">
        <v>3.5</v>
      </c>
      <c r="R270">
        <v>3</v>
      </c>
      <c r="S270">
        <v>3</v>
      </c>
      <c r="T270">
        <v>3.5</v>
      </c>
      <c r="U270">
        <v>3</v>
      </c>
      <c r="V270" t="s">
        <v>25</v>
      </c>
    </row>
    <row r="271" spans="1:22" x14ac:dyDescent="0.25">
      <c r="A271" t="s">
        <v>70</v>
      </c>
      <c r="B271">
        <v>3</v>
      </c>
      <c r="C271" t="s">
        <v>71</v>
      </c>
      <c r="D271" t="s">
        <v>72</v>
      </c>
      <c r="E271" t="s">
        <v>73</v>
      </c>
      <c r="F271">
        <v>160</v>
      </c>
      <c r="G271">
        <v>1000</v>
      </c>
      <c r="H271">
        <v>-3</v>
      </c>
      <c r="I271">
        <v>1981</v>
      </c>
      <c r="J271" t="s">
        <v>26</v>
      </c>
      <c r="K271">
        <v>1786</v>
      </c>
      <c r="L271">
        <v>11.9</v>
      </c>
      <c r="M271">
        <v>9.6</v>
      </c>
      <c r="N271" s="4">
        <f t="shared" si="8"/>
        <v>1.1116385000000001E-2</v>
      </c>
      <c r="O271" s="4">
        <f t="shared" si="9"/>
        <v>0.106717296</v>
      </c>
      <c r="P271">
        <v>88</v>
      </c>
      <c r="Q271">
        <v>4</v>
      </c>
      <c r="R271">
        <v>3</v>
      </c>
      <c r="S271">
        <v>2.5</v>
      </c>
      <c r="T271">
        <v>2.5</v>
      </c>
      <c r="U271">
        <v>2.5</v>
      </c>
      <c r="V271" t="s">
        <v>25</v>
      </c>
    </row>
    <row r="272" spans="1:22" x14ac:dyDescent="0.25">
      <c r="A272" t="s">
        <v>70</v>
      </c>
      <c r="B272">
        <v>3</v>
      </c>
      <c r="C272" t="s">
        <v>71</v>
      </c>
      <c r="D272" t="s">
        <v>72</v>
      </c>
      <c r="E272" t="s">
        <v>73</v>
      </c>
      <c r="F272">
        <v>160</v>
      </c>
      <c r="G272">
        <v>1000</v>
      </c>
      <c r="H272">
        <v>-3</v>
      </c>
      <c r="I272">
        <v>1981</v>
      </c>
      <c r="J272" t="s">
        <v>32</v>
      </c>
      <c r="K272">
        <v>1596</v>
      </c>
      <c r="L272">
        <v>10.4</v>
      </c>
      <c r="M272">
        <v>9.4</v>
      </c>
      <c r="N272" s="4">
        <f t="shared" si="8"/>
        <v>8.4905600000000029E-3</v>
      </c>
      <c r="O272" s="4">
        <f t="shared" si="9"/>
        <v>7.9811264000000035E-2</v>
      </c>
      <c r="P272">
        <v>100</v>
      </c>
      <c r="Q272">
        <v>4</v>
      </c>
      <c r="R272">
        <v>3</v>
      </c>
      <c r="S272">
        <v>2</v>
      </c>
      <c r="T272">
        <v>3.5</v>
      </c>
      <c r="U272">
        <v>3</v>
      </c>
      <c r="V272" t="s">
        <v>27</v>
      </c>
    </row>
    <row r="273" spans="1:22" x14ac:dyDescent="0.25">
      <c r="A273" t="s">
        <v>70</v>
      </c>
      <c r="B273">
        <v>3</v>
      </c>
      <c r="C273" t="s">
        <v>71</v>
      </c>
      <c r="D273" t="s">
        <v>72</v>
      </c>
      <c r="E273" t="s">
        <v>73</v>
      </c>
      <c r="F273">
        <v>160</v>
      </c>
      <c r="G273">
        <v>1000</v>
      </c>
      <c r="H273">
        <v>-3</v>
      </c>
      <c r="I273">
        <v>1981</v>
      </c>
      <c r="J273" t="s">
        <v>61</v>
      </c>
      <c r="K273">
        <v>1171</v>
      </c>
      <c r="L273">
        <v>3.5</v>
      </c>
      <c r="M273">
        <v>2.9</v>
      </c>
      <c r="N273" s="4">
        <f t="shared" si="8"/>
        <v>9.6162500000000013E-4</v>
      </c>
      <c r="O273" s="4">
        <f t="shared" si="9"/>
        <v>2.7887125000000002E-3</v>
      </c>
      <c r="P273">
        <v>75</v>
      </c>
      <c r="Q273">
        <v>1</v>
      </c>
      <c r="R273">
        <v>1</v>
      </c>
      <c r="S273">
        <v>3</v>
      </c>
      <c r="T273">
        <v>3</v>
      </c>
      <c r="U273">
        <v>3</v>
      </c>
      <c r="V273" t="s">
        <v>50</v>
      </c>
    </row>
    <row r="274" spans="1:22" x14ac:dyDescent="0.25">
      <c r="A274" t="s">
        <v>70</v>
      </c>
      <c r="B274">
        <v>3</v>
      </c>
      <c r="C274" t="s">
        <v>71</v>
      </c>
      <c r="D274" t="s">
        <v>72</v>
      </c>
      <c r="E274" t="s">
        <v>73</v>
      </c>
      <c r="F274">
        <v>160</v>
      </c>
      <c r="G274">
        <v>1000</v>
      </c>
      <c r="H274">
        <v>-3</v>
      </c>
      <c r="I274">
        <v>1981</v>
      </c>
      <c r="J274" t="s">
        <v>34</v>
      </c>
      <c r="K274">
        <v>2469</v>
      </c>
      <c r="L274">
        <v>5.7</v>
      </c>
      <c r="M274">
        <v>5.6</v>
      </c>
      <c r="N274" s="4">
        <f t="shared" si="8"/>
        <v>2.550465E-3</v>
      </c>
      <c r="O274" s="4">
        <f t="shared" si="9"/>
        <v>1.4282603999999999E-2</v>
      </c>
      <c r="P274">
        <v>100</v>
      </c>
      <c r="Q274">
        <v>3</v>
      </c>
      <c r="R274">
        <v>2.5</v>
      </c>
      <c r="S274">
        <v>4</v>
      </c>
      <c r="T274">
        <v>5</v>
      </c>
      <c r="U274">
        <v>4</v>
      </c>
      <c r="V274" t="s">
        <v>25</v>
      </c>
    </row>
    <row r="275" spans="1:22" x14ac:dyDescent="0.25">
      <c r="A275" t="s">
        <v>70</v>
      </c>
      <c r="B275">
        <v>3</v>
      </c>
      <c r="C275" t="s">
        <v>71</v>
      </c>
      <c r="D275" t="s">
        <v>72</v>
      </c>
      <c r="E275" t="s">
        <v>73</v>
      </c>
      <c r="F275">
        <v>160</v>
      </c>
      <c r="G275">
        <v>1000</v>
      </c>
      <c r="H275">
        <v>-3</v>
      </c>
      <c r="I275">
        <v>1981</v>
      </c>
      <c r="J275" t="s">
        <v>34</v>
      </c>
      <c r="K275">
        <v>1337</v>
      </c>
      <c r="L275">
        <v>10.5</v>
      </c>
      <c r="M275">
        <v>7.5</v>
      </c>
      <c r="N275" s="4">
        <f t="shared" si="8"/>
        <v>8.6546249999999991E-3</v>
      </c>
      <c r="O275" s="4">
        <f t="shared" si="9"/>
        <v>6.4909687499999993E-2</v>
      </c>
      <c r="P275">
        <v>63</v>
      </c>
      <c r="Q275">
        <v>3.5</v>
      </c>
      <c r="R275">
        <v>2.5</v>
      </c>
      <c r="S275">
        <v>2.5</v>
      </c>
      <c r="T275">
        <v>2</v>
      </c>
      <c r="U275">
        <v>2.5</v>
      </c>
      <c r="V275" t="s">
        <v>25</v>
      </c>
    </row>
    <row r="276" spans="1:22" x14ac:dyDescent="0.25">
      <c r="A276" t="s">
        <v>70</v>
      </c>
      <c r="B276">
        <v>3</v>
      </c>
      <c r="C276" t="s">
        <v>71</v>
      </c>
      <c r="D276" t="s">
        <v>72</v>
      </c>
      <c r="E276" t="s">
        <v>73</v>
      </c>
      <c r="F276">
        <v>160</v>
      </c>
      <c r="G276">
        <v>1000</v>
      </c>
      <c r="H276">
        <v>-3</v>
      </c>
      <c r="I276">
        <v>1981</v>
      </c>
      <c r="J276" t="s">
        <v>35</v>
      </c>
      <c r="K276">
        <v>1785</v>
      </c>
      <c r="L276">
        <v>4.3</v>
      </c>
      <c r="M276">
        <v>3.2</v>
      </c>
      <c r="N276" s="4">
        <f t="shared" si="8"/>
        <v>1.4514649999999999E-3</v>
      </c>
      <c r="O276" s="4">
        <f t="shared" si="9"/>
        <v>4.6446880000000001E-3</v>
      </c>
      <c r="P276">
        <v>100</v>
      </c>
      <c r="Q276">
        <v>1.5</v>
      </c>
      <c r="R276">
        <v>1</v>
      </c>
      <c r="S276">
        <v>2.5</v>
      </c>
      <c r="T276">
        <v>3.5</v>
      </c>
      <c r="U276">
        <v>3</v>
      </c>
      <c r="V276" t="s">
        <v>50</v>
      </c>
    </row>
    <row r="277" spans="1:22" x14ac:dyDescent="0.25">
      <c r="A277" t="s">
        <v>70</v>
      </c>
      <c r="B277">
        <v>3</v>
      </c>
      <c r="C277" t="s">
        <v>71</v>
      </c>
      <c r="D277" t="s">
        <v>72</v>
      </c>
      <c r="E277" t="s">
        <v>73</v>
      </c>
      <c r="F277">
        <v>160</v>
      </c>
      <c r="G277">
        <v>1000</v>
      </c>
      <c r="H277">
        <v>-3</v>
      </c>
      <c r="I277">
        <v>1981</v>
      </c>
      <c r="J277" t="s">
        <v>36</v>
      </c>
      <c r="K277">
        <v>1598</v>
      </c>
      <c r="L277">
        <v>13.6</v>
      </c>
      <c r="M277">
        <v>7.3</v>
      </c>
      <c r="N277" s="4">
        <f t="shared" si="8"/>
        <v>1.4519360000000002E-2</v>
      </c>
      <c r="O277" s="4">
        <f t="shared" si="9"/>
        <v>0.10599132800000001</v>
      </c>
      <c r="P277">
        <v>38</v>
      </c>
      <c r="Q277">
        <v>3</v>
      </c>
      <c r="R277">
        <v>3</v>
      </c>
      <c r="S277">
        <v>2</v>
      </c>
      <c r="T277">
        <v>2.5</v>
      </c>
      <c r="U277">
        <v>2</v>
      </c>
      <c r="V277" t="s">
        <v>38</v>
      </c>
    </row>
    <row r="278" spans="1:22" x14ac:dyDescent="0.25">
      <c r="A278" t="s">
        <v>70</v>
      </c>
      <c r="B278">
        <v>3</v>
      </c>
      <c r="C278" t="s">
        <v>71</v>
      </c>
      <c r="D278" t="s">
        <v>72</v>
      </c>
      <c r="E278" t="s">
        <v>73</v>
      </c>
      <c r="F278">
        <v>160</v>
      </c>
      <c r="G278">
        <v>1000</v>
      </c>
      <c r="H278">
        <v>-3</v>
      </c>
      <c r="I278">
        <v>1981</v>
      </c>
      <c r="J278" t="s">
        <v>62</v>
      </c>
      <c r="K278">
        <v>2428</v>
      </c>
      <c r="L278">
        <v>12.3</v>
      </c>
      <c r="M278">
        <v>8.1999999999999993</v>
      </c>
      <c r="N278" s="4">
        <f t="shared" si="8"/>
        <v>1.1876265000000004E-2</v>
      </c>
      <c r="O278" s="4">
        <f t="shared" si="9"/>
        <v>9.7385373000000025E-2</v>
      </c>
      <c r="P278">
        <v>75</v>
      </c>
      <c r="Q278">
        <v>4</v>
      </c>
      <c r="R278">
        <v>3</v>
      </c>
      <c r="S278">
        <v>3</v>
      </c>
      <c r="T278">
        <v>2</v>
      </c>
      <c r="U278">
        <v>2</v>
      </c>
      <c r="V278" t="s">
        <v>27</v>
      </c>
    </row>
    <row r="279" spans="1:22" x14ac:dyDescent="0.25">
      <c r="A279" t="s">
        <v>70</v>
      </c>
      <c r="B279">
        <v>3</v>
      </c>
      <c r="C279" t="s">
        <v>71</v>
      </c>
      <c r="D279" t="s">
        <v>72</v>
      </c>
      <c r="E279" t="s">
        <v>73</v>
      </c>
      <c r="F279">
        <v>160</v>
      </c>
      <c r="G279">
        <v>1000</v>
      </c>
      <c r="H279">
        <v>-3</v>
      </c>
      <c r="I279">
        <v>1981</v>
      </c>
      <c r="J279" t="s">
        <v>62</v>
      </c>
      <c r="K279">
        <v>2430</v>
      </c>
      <c r="L279">
        <v>9.6999999999999993</v>
      </c>
      <c r="M279">
        <v>7.1</v>
      </c>
      <c r="N279" s="4">
        <f t="shared" si="8"/>
        <v>7.3860649999999981E-3</v>
      </c>
      <c r="O279" s="4">
        <f t="shared" si="9"/>
        <v>5.2441061499999983E-2</v>
      </c>
      <c r="P279">
        <v>100</v>
      </c>
      <c r="Q279">
        <v>4</v>
      </c>
      <c r="R279">
        <v>3</v>
      </c>
      <c r="S279">
        <v>2</v>
      </c>
      <c r="T279">
        <v>2.5</v>
      </c>
      <c r="U279">
        <v>2.5</v>
      </c>
      <c r="V279" t="s">
        <v>27</v>
      </c>
    </row>
    <row r="280" spans="1:22" x14ac:dyDescent="0.25">
      <c r="A280" t="s">
        <v>70</v>
      </c>
      <c r="B280">
        <v>3</v>
      </c>
      <c r="C280" t="s">
        <v>71</v>
      </c>
      <c r="D280" t="s">
        <v>72</v>
      </c>
      <c r="E280" t="s">
        <v>73</v>
      </c>
      <c r="F280">
        <v>160</v>
      </c>
      <c r="G280">
        <v>1000</v>
      </c>
      <c r="H280">
        <v>-3</v>
      </c>
      <c r="I280">
        <v>1981</v>
      </c>
      <c r="J280" t="s">
        <v>62</v>
      </c>
      <c r="K280">
        <v>1787</v>
      </c>
      <c r="L280">
        <v>13</v>
      </c>
      <c r="M280">
        <v>9</v>
      </c>
      <c r="N280" s="4">
        <f t="shared" si="8"/>
        <v>1.3266500000000002E-2</v>
      </c>
      <c r="O280" s="4">
        <f t="shared" si="9"/>
        <v>0.11939850000000002</v>
      </c>
      <c r="P280">
        <v>88</v>
      </c>
      <c r="Q280">
        <v>4</v>
      </c>
      <c r="R280">
        <v>3</v>
      </c>
      <c r="S280">
        <v>3.5</v>
      </c>
      <c r="T280">
        <v>3</v>
      </c>
      <c r="U280">
        <v>3</v>
      </c>
      <c r="V280" t="s">
        <v>27</v>
      </c>
    </row>
    <row r="281" spans="1:22" x14ac:dyDescent="0.25">
      <c r="A281" t="s">
        <v>70</v>
      </c>
      <c r="B281">
        <v>3</v>
      </c>
      <c r="C281" t="s">
        <v>71</v>
      </c>
      <c r="D281" t="s">
        <v>72</v>
      </c>
      <c r="E281" t="s">
        <v>73</v>
      </c>
      <c r="F281">
        <v>160</v>
      </c>
      <c r="G281">
        <v>1000</v>
      </c>
      <c r="H281">
        <v>-3</v>
      </c>
      <c r="I281">
        <v>1981</v>
      </c>
      <c r="J281" t="s">
        <v>69</v>
      </c>
      <c r="K281">
        <v>1780</v>
      </c>
      <c r="L281">
        <v>4.9000000000000004</v>
      </c>
      <c r="M281">
        <v>2.8</v>
      </c>
      <c r="N281" s="4">
        <f t="shared" si="8"/>
        <v>1.8847850000000004E-3</v>
      </c>
      <c r="O281" s="4">
        <f t="shared" si="9"/>
        <v>5.2773980000000009E-3</v>
      </c>
      <c r="P281">
        <v>63</v>
      </c>
      <c r="Q281">
        <v>2</v>
      </c>
      <c r="R281">
        <v>3</v>
      </c>
      <c r="S281">
        <v>3</v>
      </c>
      <c r="T281">
        <v>3.5</v>
      </c>
      <c r="U281">
        <v>3.5</v>
      </c>
      <c r="V281" t="s">
        <v>30</v>
      </c>
    </row>
    <row r="282" spans="1:22" x14ac:dyDescent="0.25">
      <c r="A282" t="s">
        <v>70</v>
      </c>
      <c r="B282">
        <v>3</v>
      </c>
      <c r="C282" t="s">
        <v>71</v>
      </c>
      <c r="D282" t="s">
        <v>72</v>
      </c>
      <c r="E282" t="s">
        <v>73</v>
      </c>
      <c r="F282">
        <v>160</v>
      </c>
      <c r="G282">
        <v>1000</v>
      </c>
      <c r="H282">
        <v>-3</v>
      </c>
      <c r="I282">
        <v>1981</v>
      </c>
      <c r="J282" t="s">
        <v>39</v>
      </c>
      <c r="K282">
        <v>2435</v>
      </c>
      <c r="L282">
        <v>6</v>
      </c>
      <c r="M282">
        <v>7</v>
      </c>
      <c r="N282" s="4">
        <f t="shared" si="8"/>
        <v>2.826E-3</v>
      </c>
      <c r="O282" s="4">
        <f t="shared" si="9"/>
        <v>1.9782000000000001E-2</v>
      </c>
      <c r="P282">
        <v>13</v>
      </c>
      <c r="Q282">
        <v>3</v>
      </c>
      <c r="R282">
        <v>3</v>
      </c>
      <c r="S282">
        <v>4</v>
      </c>
      <c r="T282">
        <v>4</v>
      </c>
      <c r="U282">
        <v>4</v>
      </c>
      <c r="V282" t="s">
        <v>30</v>
      </c>
    </row>
    <row r="283" spans="1:22" x14ac:dyDescent="0.25">
      <c r="A283" t="s">
        <v>70</v>
      </c>
      <c r="B283">
        <v>3</v>
      </c>
      <c r="C283" t="s">
        <v>71</v>
      </c>
      <c r="D283" t="s">
        <v>72</v>
      </c>
      <c r="E283" t="s">
        <v>73</v>
      </c>
      <c r="F283">
        <v>160</v>
      </c>
      <c r="G283">
        <v>1000</v>
      </c>
      <c r="H283">
        <v>-3</v>
      </c>
      <c r="I283">
        <v>1981</v>
      </c>
      <c r="J283" t="s">
        <v>37</v>
      </c>
      <c r="K283">
        <v>1524</v>
      </c>
      <c r="L283">
        <v>11.8</v>
      </c>
      <c r="M283">
        <v>7.4</v>
      </c>
      <c r="N283" s="4">
        <f t="shared" si="8"/>
        <v>1.0930340000000002E-2</v>
      </c>
      <c r="O283" s="4">
        <f t="shared" si="9"/>
        <v>8.0884516000000017E-2</v>
      </c>
      <c r="P283">
        <v>88</v>
      </c>
      <c r="Q283">
        <v>2.5</v>
      </c>
      <c r="R283">
        <v>2</v>
      </c>
      <c r="S283">
        <v>2.5</v>
      </c>
      <c r="T283">
        <v>3</v>
      </c>
      <c r="U283">
        <v>3</v>
      </c>
      <c r="V283" t="s">
        <v>38</v>
      </c>
    </row>
    <row r="284" spans="1:22" x14ac:dyDescent="0.25">
      <c r="A284" t="s">
        <v>70</v>
      </c>
      <c r="B284">
        <v>3</v>
      </c>
      <c r="C284" t="s">
        <v>71</v>
      </c>
      <c r="D284" t="s">
        <v>72</v>
      </c>
      <c r="E284" t="s">
        <v>73</v>
      </c>
      <c r="F284">
        <v>160</v>
      </c>
      <c r="G284">
        <v>1000</v>
      </c>
      <c r="H284">
        <v>-3</v>
      </c>
      <c r="I284">
        <v>1981</v>
      </c>
      <c r="J284" t="s">
        <v>63</v>
      </c>
      <c r="K284">
        <v>1340</v>
      </c>
      <c r="L284">
        <v>6.2</v>
      </c>
      <c r="M284">
        <v>5.3</v>
      </c>
      <c r="N284" s="4">
        <f t="shared" si="8"/>
        <v>3.01754E-3</v>
      </c>
      <c r="O284" s="4">
        <f t="shared" si="9"/>
        <v>1.5992961999999999E-2</v>
      </c>
      <c r="P284">
        <v>100</v>
      </c>
      <c r="Q284">
        <v>2</v>
      </c>
      <c r="R284">
        <v>2</v>
      </c>
      <c r="S284">
        <v>2.5</v>
      </c>
      <c r="T284">
        <v>2.5</v>
      </c>
      <c r="U284">
        <v>3</v>
      </c>
      <c r="V284" t="s">
        <v>30</v>
      </c>
    </row>
    <row r="285" spans="1:22" x14ac:dyDescent="0.25">
      <c r="A285" t="s">
        <v>70</v>
      </c>
      <c r="B285">
        <v>3</v>
      </c>
      <c r="C285" t="s">
        <v>71</v>
      </c>
      <c r="D285" t="s">
        <v>72</v>
      </c>
      <c r="E285" t="s">
        <v>73</v>
      </c>
      <c r="F285">
        <v>160</v>
      </c>
      <c r="G285">
        <v>1000</v>
      </c>
      <c r="H285">
        <v>-3</v>
      </c>
      <c r="I285">
        <v>1981</v>
      </c>
      <c r="J285" t="s">
        <v>60</v>
      </c>
      <c r="K285">
        <v>1595</v>
      </c>
      <c r="L285">
        <v>1.5</v>
      </c>
      <c r="M285">
        <v>1.8</v>
      </c>
      <c r="N285" s="4">
        <f t="shared" si="8"/>
        <v>1.76625E-4</v>
      </c>
      <c r="O285" s="4">
        <f t="shared" si="9"/>
        <v>3.1792499999999999E-4</v>
      </c>
      <c r="P285">
        <v>88</v>
      </c>
      <c r="Q285">
        <v>1.5</v>
      </c>
      <c r="R285">
        <v>1</v>
      </c>
      <c r="S285">
        <v>3</v>
      </c>
      <c r="T285">
        <v>4</v>
      </c>
      <c r="U285">
        <v>3</v>
      </c>
      <c r="V285" t="s">
        <v>30</v>
      </c>
    </row>
    <row r="286" spans="1:22" x14ac:dyDescent="0.25">
      <c r="A286" t="s">
        <v>74</v>
      </c>
      <c r="B286">
        <v>1</v>
      </c>
      <c r="C286" t="s">
        <v>66</v>
      </c>
      <c r="D286" t="s">
        <v>75</v>
      </c>
      <c r="E286" t="s">
        <v>68</v>
      </c>
      <c r="F286">
        <v>180</v>
      </c>
      <c r="G286">
        <v>1080</v>
      </c>
      <c r="H286">
        <v>-3</v>
      </c>
      <c r="I286">
        <v>1982</v>
      </c>
      <c r="J286" t="s">
        <v>56</v>
      </c>
      <c r="K286">
        <v>1111</v>
      </c>
      <c r="L286">
        <v>6.02</v>
      </c>
      <c r="M286">
        <v>3.63</v>
      </c>
      <c r="N286" s="4">
        <f t="shared" si="8"/>
        <v>2.8448713999999998E-3</v>
      </c>
      <c r="O286" s="4">
        <f t="shared" si="9"/>
        <v>1.0326883181999999E-2</v>
      </c>
      <c r="P286">
        <v>38</v>
      </c>
      <c r="Q286">
        <v>2.5</v>
      </c>
      <c r="R286">
        <v>3</v>
      </c>
      <c r="S286">
        <v>3</v>
      </c>
      <c r="T286">
        <v>3</v>
      </c>
      <c r="U286">
        <v>3</v>
      </c>
      <c r="V286" t="s">
        <v>30</v>
      </c>
    </row>
    <row r="287" spans="1:22" x14ac:dyDescent="0.25">
      <c r="A287" t="s">
        <v>74</v>
      </c>
      <c r="B287">
        <v>1</v>
      </c>
      <c r="C287" t="s">
        <v>66</v>
      </c>
      <c r="D287" t="s">
        <v>75</v>
      </c>
      <c r="E287" t="s">
        <v>68</v>
      </c>
      <c r="F287">
        <v>180</v>
      </c>
      <c r="G287">
        <v>1080</v>
      </c>
      <c r="H287">
        <v>-3</v>
      </c>
      <c r="I287">
        <v>1982</v>
      </c>
      <c r="J287" t="s">
        <v>57</v>
      </c>
      <c r="K287">
        <v>2620</v>
      </c>
      <c r="L287">
        <v>2.29</v>
      </c>
      <c r="M287">
        <v>3.2</v>
      </c>
      <c r="N287" s="4">
        <f t="shared" si="8"/>
        <v>4.1166185000000003E-4</v>
      </c>
      <c r="O287" s="4">
        <f t="shared" si="9"/>
        <v>1.3173179200000002E-3</v>
      </c>
      <c r="P287">
        <v>50</v>
      </c>
      <c r="Q287">
        <v>1</v>
      </c>
      <c r="R287">
        <v>1</v>
      </c>
      <c r="S287">
        <v>3</v>
      </c>
      <c r="T287">
        <v>3</v>
      </c>
      <c r="U287">
        <v>3</v>
      </c>
      <c r="V287" t="s">
        <v>50</v>
      </c>
    </row>
    <row r="288" spans="1:22" x14ac:dyDescent="0.25">
      <c r="A288" t="s">
        <v>74</v>
      </c>
      <c r="B288">
        <v>1</v>
      </c>
      <c r="C288" t="s">
        <v>66</v>
      </c>
      <c r="D288" t="s">
        <v>75</v>
      </c>
      <c r="E288" t="s">
        <v>68</v>
      </c>
      <c r="F288">
        <v>180</v>
      </c>
      <c r="G288">
        <v>1080</v>
      </c>
      <c r="H288">
        <v>-3</v>
      </c>
      <c r="I288">
        <v>1982</v>
      </c>
      <c r="J288" t="s">
        <v>57</v>
      </c>
      <c r="K288">
        <v>2621</v>
      </c>
      <c r="L288">
        <v>3.31</v>
      </c>
      <c r="M288">
        <v>4.34</v>
      </c>
      <c r="N288" s="4">
        <f t="shared" si="8"/>
        <v>8.6005384999999991E-4</v>
      </c>
      <c r="O288" s="4">
        <f t="shared" si="9"/>
        <v>3.7326337089999993E-3</v>
      </c>
      <c r="P288">
        <v>50</v>
      </c>
      <c r="Q288">
        <v>3</v>
      </c>
      <c r="R288">
        <v>2.5</v>
      </c>
      <c r="S288">
        <v>3</v>
      </c>
      <c r="T288">
        <v>3</v>
      </c>
      <c r="U288">
        <v>3</v>
      </c>
      <c r="V288" t="s">
        <v>30</v>
      </c>
    </row>
    <row r="289" spans="1:22" x14ac:dyDescent="0.25">
      <c r="A289" t="s">
        <v>74</v>
      </c>
      <c r="B289">
        <v>1</v>
      </c>
      <c r="C289" t="s">
        <v>66</v>
      </c>
      <c r="D289" t="s">
        <v>75</v>
      </c>
      <c r="E289" t="s">
        <v>68</v>
      </c>
      <c r="F289">
        <v>180</v>
      </c>
      <c r="G289">
        <v>1080</v>
      </c>
      <c r="H289">
        <v>-3</v>
      </c>
      <c r="I289">
        <v>1982</v>
      </c>
      <c r="J289" t="s">
        <v>59</v>
      </c>
      <c r="K289">
        <v>2426</v>
      </c>
      <c r="L289">
        <v>53.86</v>
      </c>
      <c r="M289">
        <v>5.01</v>
      </c>
      <c r="N289" s="4">
        <f t="shared" si="8"/>
        <v>0.22772061859999998</v>
      </c>
      <c r="O289" s="4">
        <f t="shared" si="9"/>
        <v>1.1408802991859999</v>
      </c>
      <c r="P289">
        <v>100</v>
      </c>
      <c r="Q289">
        <v>2.5</v>
      </c>
      <c r="R289">
        <v>3.5</v>
      </c>
      <c r="S289">
        <v>3</v>
      </c>
      <c r="T289">
        <v>3</v>
      </c>
      <c r="U289">
        <v>3</v>
      </c>
      <c r="V289" t="s">
        <v>30</v>
      </c>
    </row>
    <row r="290" spans="1:22" x14ac:dyDescent="0.25">
      <c r="A290" t="s">
        <v>74</v>
      </c>
      <c r="B290">
        <v>1</v>
      </c>
      <c r="C290" t="s">
        <v>66</v>
      </c>
      <c r="D290" t="s">
        <v>75</v>
      </c>
      <c r="E290" t="s">
        <v>68</v>
      </c>
      <c r="F290">
        <v>180</v>
      </c>
      <c r="G290">
        <v>1080</v>
      </c>
      <c r="H290">
        <v>-3</v>
      </c>
      <c r="I290">
        <v>1982</v>
      </c>
      <c r="J290" t="s">
        <v>59</v>
      </c>
      <c r="K290">
        <v>1482</v>
      </c>
      <c r="L290">
        <v>19.66</v>
      </c>
      <c r="M290">
        <v>12.21</v>
      </c>
      <c r="N290" s="4">
        <f t="shared" si="8"/>
        <v>3.0341474600000001E-2</v>
      </c>
      <c r="O290" s="4">
        <f t="shared" si="9"/>
        <v>0.37046940486600005</v>
      </c>
      <c r="P290">
        <v>100</v>
      </c>
      <c r="Q290">
        <v>4.5</v>
      </c>
      <c r="R290">
        <v>4</v>
      </c>
      <c r="S290">
        <v>4</v>
      </c>
      <c r="T290">
        <v>3</v>
      </c>
      <c r="U290">
        <v>2.7</v>
      </c>
      <c r="V290" t="s">
        <v>25</v>
      </c>
    </row>
    <row r="291" spans="1:22" x14ac:dyDescent="0.25">
      <c r="A291" t="s">
        <v>74</v>
      </c>
      <c r="B291">
        <v>1</v>
      </c>
      <c r="C291" t="s">
        <v>66</v>
      </c>
      <c r="D291" t="s">
        <v>75</v>
      </c>
      <c r="E291" t="s">
        <v>68</v>
      </c>
      <c r="F291">
        <v>180</v>
      </c>
      <c r="G291">
        <v>1080</v>
      </c>
      <c r="H291">
        <v>-3</v>
      </c>
      <c r="I291">
        <v>1982</v>
      </c>
      <c r="J291" t="s">
        <v>59</v>
      </c>
      <c r="K291">
        <v>2548</v>
      </c>
      <c r="L291">
        <v>22.23</v>
      </c>
      <c r="M291">
        <v>12.82</v>
      </c>
      <c r="N291" s="4">
        <f t="shared" si="8"/>
        <v>3.8792572649999996E-2</v>
      </c>
      <c r="O291" s="4">
        <f t="shared" si="9"/>
        <v>0.49732078137299995</v>
      </c>
      <c r="P291">
        <v>100</v>
      </c>
      <c r="Q291">
        <v>5</v>
      </c>
      <c r="R291">
        <v>4</v>
      </c>
      <c r="S291">
        <v>3</v>
      </c>
      <c r="T291">
        <v>3</v>
      </c>
      <c r="U291">
        <v>2</v>
      </c>
      <c r="V291" t="s">
        <v>25</v>
      </c>
    </row>
    <row r="292" spans="1:22" x14ac:dyDescent="0.25">
      <c r="A292" t="s">
        <v>74</v>
      </c>
      <c r="B292">
        <v>1</v>
      </c>
      <c r="C292" t="s">
        <v>66</v>
      </c>
      <c r="D292" t="s">
        <v>75</v>
      </c>
      <c r="E292" t="s">
        <v>68</v>
      </c>
      <c r="F292">
        <v>180</v>
      </c>
      <c r="G292">
        <v>1080</v>
      </c>
      <c r="H292">
        <v>-3</v>
      </c>
      <c r="I292">
        <v>1982</v>
      </c>
      <c r="J292" t="s">
        <v>26</v>
      </c>
      <c r="K292">
        <v>2552</v>
      </c>
      <c r="L292">
        <v>1.82</v>
      </c>
      <c r="M292">
        <v>2.4300000000000002</v>
      </c>
      <c r="N292" s="4">
        <f t="shared" si="8"/>
        <v>2.6002340000000004E-4</v>
      </c>
      <c r="O292" s="4">
        <f t="shared" si="9"/>
        <v>6.3185686200000011E-4</v>
      </c>
      <c r="P292">
        <v>13</v>
      </c>
      <c r="Q292">
        <v>1</v>
      </c>
      <c r="R292">
        <v>2.5</v>
      </c>
      <c r="S292">
        <v>3</v>
      </c>
      <c r="T292">
        <v>3</v>
      </c>
      <c r="U292">
        <v>3</v>
      </c>
      <c r="V292" t="s">
        <v>50</v>
      </c>
    </row>
    <row r="293" spans="1:22" x14ac:dyDescent="0.25">
      <c r="A293" t="s">
        <v>74</v>
      </c>
      <c r="B293">
        <v>1</v>
      </c>
      <c r="C293" t="s">
        <v>66</v>
      </c>
      <c r="D293" t="s">
        <v>75</v>
      </c>
      <c r="E293" t="s">
        <v>68</v>
      </c>
      <c r="F293">
        <v>180</v>
      </c>
      <c r="G293">
        <v>1080</v>
      </c>
      <c r="H293">
        <v>-3</v>
      </c>
      <c r="I293">
        <v>1982</v>
      </c>
      <c r="J293" t="s">
        <v>61</v>
      </c>
      <c r="K293">
        <v>2631</v>
      </c>
      <c r="L293">
        <v>6.97</v>
      </c>
      <c r="M293">
        <v>5.23</v>
      </c>
      <c r="N293" s="4">
        <f t="shared" si="8"/>
        <v>3.8136006499999999E-3</v>
      </c>
      <c r="O293" s="4">
        <f t="shared" si="9"/>
        <v>1.99451313995E-2</v>
      </c>
      <c r="P293">
        <v>25</v>
      </c>
      <c r="Q293">
        <v>2</v>
      </c>
      <c r="R293">
        <v>3</v>
      </c>
      <c r="S293">
        <v>2.5</v>
      </c>
      <c r="T293">
        <v>2</v>
      </c>
      <c r="U293">
        <v>3</v>
      </c>
      <c r="V293" t="s">
        <v>50</v>
      </c>
    </row>
    <row r="294" spans="1:22" x14ac:dyDescent="0.25">
      <c r="A294" t="s">
        <v>74</v>
      </c>
      <c r="B294">
        <v>1</v>
      </c>
      <c r="C294" t="s">
        <v>66</v>
      </c>
      <c r="D294" t="s">
        <v>75</v>
      </c>
      <c r="E294" t="s">
        <v>68</v>
      </c>
      <c r="F294">
        <v>180</v>
      </c>
      <c r="G294">
        <v>1080</v>
      </c>
      <c r="H294">
        <v>-3</v>
      </c>
      <c r="I294">
        <v>1982</v>
      </c>
      <c r="J294" t="s">
        <v>32</v>
      </c>
      <c r="K294">
        <v>1596</v>
      </c>
      <c r="L294">
        <v>12.21</v>
      </c>
      <c r="M294">
        <v>8.7200000000000006</v>
      </c>
      <c r="N294" s="4">
        <f t="shared" si="8"/>
        <v>1.1703101850000003E-2</v>
      </c>
      <c r="O294" s="4">
        <f t="shared" si="9"/>
        <v>0.10205104813200004</v>
      </c>
      <c r="P294">
        <v>75</v>
      </c>
      <c r="Q294">
        <v>3.3</v>
      </c>
      <c r="R294">
        <v>3.5</v>
      </c>
      <c r="S294">
        <v>3</v>
      </c>
      <c r="T294">
        <v>4</v>
      </c>
      <c r="U294">
        <v>3.5</v>
      </c>
      <c r="V294" t="s">
        <v>25</v>
      </c>
    </row>
    <row r="295" spans="1:22" x14ac:dyDescent="0.25">
      <c r="A295" t="s">
        <v>74</v>
      </c>
      <c r="B295">
        <v>1</v>
      </c>
      <c r="C295" t="s">
        <v>66</v>
      </c>
      <c r="D295" t="s">
        <v>75</v>
      </c>
      <c r="E295" t="s">
        <v>68</v>
      </c>
      <c r="F295">
        <v>180</v>
      </c>
      <c r="G295">
        <v>1080</v>
      </c>
      <c r="H295">
        <v>-3</v>
      </c>
      <c r="I295">
        <v>1982</v>
      </c>
      <c r="J295" t="s">
        <v>32</v>
      </c>
      <c r="K295">
        <v>2634</v>
      </c>
      <c r="L295">
        <v>6.6</v>
      </c>
      <c r="M295">
        <v>8.1</v>
      </c>
      <c r="N295" s="4">
        <f t="shared" si="8"/>
        <v>3.4194600000000005E-3</v>
      </c>
      <c r="O295" s="4">
        <f t="shared" si="9"/>
        <v>2.7697626000000003E-2</v>
      </c>
      <c r="P295">
        <v>50</v>
      </c>
      <c r="Q295">
        <v>2.8</v>
      </c>
      <c r="R295">
        <v>4</v>
      </c>
      <c r="S295">
        <v>3</v>
      </c>
      <c r="T295">
        <v>4</v>
      </c>
      <c r="U295">
        <v>3.5</v>
      </c>
      <c r="V295" t="s">
        <v>38</v>
      </c>
    </row>
    <row r="296" spans="1:22" x14ac:dyDescent="0.25">
      <c r="A296" t="s">
        <v>74</v>
      </c>
      <c r="B296">
        <v>1</v>
      </c>
      <c r="C296" t="s">
        <v>66</v>
      </c>
      <c r="D296" t="s">
        <v>75</v>
      </c>
      <c r="E296" t="s">
        <v>68</v>
      </c>
      <c r="F296">
        <v>180</v>
      </c>
      <c r="G296">
        <v>1080</v>
      </c>
      <c r="H296">
        <v>-3</v>
      </c>
      <c r="I296">
        <v>1982</v>
      </c>
      <c r="J296" t="s">
        <v>32</v>
      </c>
      <c r="K296">
        <v>2635</v>
      </c>
      <c r="L296">
        <v>7.48</v>
      </c>
      <c r="M296">
        <v>3.74</v>
      </c>
      <c r="N296" s="4">
        <f t="shared" si="8"/>
        <v>4.3921064000000008E-3</v>
      </c>
      <c r="O296" s="4">
        <f t="shared" si="9"/>
        <v>1.6426477936000005E-2</v>
      </c>
      <c r="P296">
        <v>25</v>
      </c>
      <c r="Q296">
        <v>3</v>
      </c>
      <c r="R296">
        <v>3.5</v>
      </c>
      <c r="S296">
        <v>3</v>
      </c>
      <c r="T296">
        <v>4</v>
      </c>
      <c r="U296">
        <v>3.5</v>
      </c>
      <c r="V296" t="s">
        <v>30</v>
      </c>
    </row>
    <row r="297" spans="1:22" x14ac:dyDescent="0.25">
      <c r="A297" t="s">
        <v>74</v>
      </c>
      <c r="B297">
        <v>1</v>
      </c>
      <c r="C297" t="s">
        <v>66</v>
      </c>
      <c r="D297" t="s">
        <v>75</v>
      </c>
      <c r="E297" t="s">
        <v>68</v>
      </c>
      <c r="F297">
        <v>180</v>
      </c>
      <c r="G297">
        <v>1080</v>
      </c>
      <c r="H297">
        <v>-3</v>
      </c>
      <c r="I297">
        <v>1982</v>
      </c>
      <c r="J297" t="s">
        <v>35</v>
      </c>
      <c r="K297">
        <v>1259</v>
      </c>
      <c r="L297">
        <v>9.65</v>
      </c>
      <c r="M297">
        <v>8.01</v>
      </c>
      <c r="N297" s="4">
        <f t="shared" si="8"/>
        <v>7.3101162500000009E-3</v>
      </c>
      <c r="O297" s="4">
        <f t="shared" si="9"/>
        <v>5.8554031162500006E-2</v>
      </c>
      <c r="P297">
        <v>100</v>
      </c>
      <c r="Q297">
        <v>3</v>
      </c>
      <c r="R297">
        <v>2</v>
      </c>
      <c r="S297">
        <v>3</v>
      </c>
      <c r="T297">
        <v>3.5</v>
      </c>
      <c r="U297">
        <v>3</v>
      </c>
      <c r="V297" t="s">
        <v>38</v>
      </c>
    </row>
    <row r="298" spans="1:22" x14ac:dyDescent="0.25">
      <c r="A298" t="s">
        <v>74</v>
      </c>
      <c r="B298">
        <v>1</v>
      </c>
      <c r="C298" t="s">
        <v>66</v>
      </c>
      <c r="D298" t="s">
        <v>75</v>
      </c>
      <c r="E298" t="s">
        <v>68</v>
      </c>
      <c r="F298">
        <v>180</v>
      </c>
      <c r="G298">
        <v>1080</v>
      </c>
      <c r="H298">
        <v>-3</v>
      </c>
      <c r="I298">
        <v>1982</v>
      </c>
      <c r="J298" t="s">
        <v>35</v>
      </c>
      <c r="K298">
        <v>1785</v>
      </c>
      <c r="L298">
        <v>3.53</v>
      </c>
      <c r="M298">
        <v>3.3</v>
      </c>
      <c r="N298" s="4">
        <f t="shared" si="8"/>
        <v>9.7818064999999994E-4</v>
      </c>
      <c r="O298" s="4">
        <f t="shared" si="9"/>
        <v>3.2279961449999998E-3</v>
      </c>
      <c r="P298">
        <v>75</v>
      </c>
      <c r="Q298">
        <v>1.8</v>
      </c>
      <c r="R298">
        <v>2</v>
      </c>
      <c r="S298">
        <v>2.5</v>
      </c>
      <c r="T298">
        <v>3</v>
      </c>
      <c r="U298">
        <v>3</v>
      </c>
      <c r="V298" t="s">
        <v>30</v>
      </c>
    </row>
    <row r="299" spans="1:22" x14ac:dyDescent="0.25">
      <c r="A299" t="s">
        <v>74</v>
      </c>
      <c r="B299">
        <v>1</v>
      </c>
      <c r="C299" t="s">
        <v>66</v>
      </c>
      <c r="D299" t="s">
        <v>75</v>
      </c>
      <c r="E299" t="s">
        <v>68</v>
      </c>
      <c r="F299">
        <v>180</v>
      </c>
      <c r="G299">
        <v>1080</v>
      </c>
      <c r="H299">
        <v>-3</v>
      </c>
      <c r="I299">
        <v>1982</v>
      </c>
      <c r="J299" t="s">
        <v>36</v>
      </c>
      <c r="K299">
        <v>2573</v>
      </c>
      <c r="L299">
        <v>15.02</v>
      </c>
      <c r="M299">
        <v>8.0399999999999991</v>
      </c>
      <c r="N299" s="4">
        <f t="shared" si="8"/>
        <v>1.7709631400000002E-2</v>
      </c>
      <c r="O299" s="4">
        <f t="shared" si="9"/>
        <v>0.14238543645599999</v>
      </c>
      <c r="P299">
        <v>75</v>
      </c>
      <c r="Q299">
        <v>3</v>
      </c>
      <c r="R299">
        <v>4</v>
      </c>
      <c r="S299">
        <v>3</v>
      </c>
      <c r="T299">
        <v>3.2</v>
      </c>
      <c r="U299">
        <v>2.5</v>
      </c>
      <c r="V299" t="s">
        <v>38</v>
      </c>
    </row>
    <row r="300" spans="1:22" x14ac:dyDescent="0.25">
      <c r="A300" t="s">
        <v>74</v>
      </c>
      <c r="B300">
        <v>1</v>
      </c>
      <c r="C300" t="s">
        <v>66</v>
      </c>
      <c r="D300" t="s">
        <v>75</v>
      </c>
      <c r="E300" t="s">
        <v>68</v>
      </c>
      <c r="F300">
        <v>180</v>
      </c>
      <c r="G300">
        <v>1080</v>
      </c>
      <c r="H300">
        <v>-3</v>
      </c>
      <c r="I300">
        <v>1982</v>
      </c>
      <c r="J300" t="s">
        <v>62</v>
      </c>
      <c r="K300">
        <v>2550</v>
      </c>
      <c r="L300">
        <v>11.27</v>
      </c>
      <c r="M300">
        <v>7.14</v>
      </c>
      <c r="N300" s="4">
        <f t="shared" si="8"/>
        <v>9.9705126499999991E-3</v>
      </c>
      <c r="O300" s="4">
        <f t="shared" si="9"/>
        <v>7.1189460320999987E-2</v>
      </c>
      <c r="P300">
        <v>75</v>
      </c>
      <c r="Q300">
        <v>2.5</v>
      </c>
      <c r="R300">
        <v>3</v>
      </c>
      <c r="S300">
        <v>3</v>
      </c>
      <c r="T300">
        <v>4</v>
      </c>
      <c r="U300">
        <v>3</v>
      </c>
      <c r="V300" t="s">
        <v>38</v>
      </c>
    </row>
    <row r="301" spans="1:22" x14ac:dyDescent="0.25">
      <c r="A301" t="s">
        <v>74</v>
      </c>
      <c r="B301">
        <v>1</v>
      </c>
      <c r="C301" t="s">
        <v>66</v>
      </c>
      <c r="D301" t="s">
        <v>75</v>
      </c>
      <c r="E301" t="s">
        <v>68</v>
      </c>
      <c r="F301">
        <v>180</v>
      </c>
      <c r="G301">
        <v>1080</v>
      </c>
      <c r="H301">
        <v>-3</v>
      </c>
      <c r="I301">
        <v>1982</v>
      </c>
      <c r="J301" t="s">
        <v>37</v>
      </c>
      <c r="K301">
        <v>2575</v>
      </c>
      <c r="L301">
        <v>2.72</v>
      </c>
      <c r="M301">
        <v>3.43</v>
      </c>
      <c r="N301" s="4">
        <f t="shared" si="8"/>
        <v>5.8077440000000008E-4</v>
      </c>
      <c r="O301" s="4">
        <f t="shared" si="9"/>
        <v>1.9920561920000004E-3</v>
      </c>
      <c r="P301">
        <v>50</v>
      </c>
      <c r="Q301">
        <v>1</v>
      </c>
      <c r="R301">
        <v>1</v>
      </c>
      <c r="S301">
        <v>2</v>
      </c>
      <c r="T301">
        <v>2</v>
      </c>
      <c r="U301">
        <v>3</v>
      </c>
      <c r="V301" t="s">
        <v>50</v>
      </c>
    </row>
    <row r="302" spans="1:22" x14ac:dyDescent="0.25">
      <c r="A302" t="s">
        <v>74</v>
      </c>
      <c r="B302">
        <v>1</v>
      </c>
      <c r="C302" t="s">
        <v>66</v>
      </c>
      <c r="D302" t="s">
        <v>75</v>
      </c>
      <c r="E302" t="s">
        <v>68</v>
      </c>
      <c r="F302">
        <v>180</v>
      </c>
      <c r="G302">
        <v>1080</v>
      </c>
      <c r="H302">
        <v>-3</v>
      </c>
      <c r="I302">
        <v>1982</v>
      </c>
      <c r="J302" t="s">
        <v>63</v>
      </c>
      <c r="K302">
        <v>1340</v>
      </c>
      <c r="L302">
        <v>2.1</v>
      </c>
      <c r="M302">
        <v>3.38</v>
      </c>
      <c r="N302" s="4">
        <f t="shared" si="8"/>
        <v>3.4618500000000005E-4</v>
      </c>
      <c r="O302" s="4">
        <f t="shared" si="9"/>
        <v>1.1701053000000002E-3</v>
      </c>
      <c r="P302">
        <v>50</v>
      </c>
      <c r="Q302">
        <v>1</v>
      </c>
      <c r="R302">
        <v>1</v>
      </c>
      <c r="S302">
        <v>3</v>
      </c>
      <c r="T302">
        <v>3</v>
      </c>
      <c r="U302">
        <v>3</v>
      </c>
      <c r="V302" t="s">
        <v>50</v>
      </c>
    </row>
    <row r="303" spans="1:22" x14ac:dyDescent="0.25">
      <c r="A303" t="s">
        <v>74</v>
      </c>
      <c r="B303">
        <v>2</v>
      </c>
      <c r="C303" t="s">
        <v>66</v>
      </c>
      <c r="D303" t="s">
        <v>75</v>
      </c>
      <c r="E303" t="s">
        <v>68</v>
      </c>
      <c r="F303">
        <v>180</v>
      </c>
      <c r="G303">
        <v>1080</v>
      </c>
      <c r="H303">
        <v>-3</v>
      </c>
      <c r="I303">
        <v>1982</v>
      </c>
      <c r="J303" t="s">
        <v>76</v>
      </c>
      <c r="K303">
        <v>1592</v>
      </c>
      <c r="L303">
        <v>7.5</v>
      </c>
      <c r="M303">
        <v>8.08</v>
      </c>
      <c r="N303" s="4">
        <f t="shared" si="8"/>
        <v>4.4156250000000003E-3</v>
      </c>
      <c r="O303" s="4">
        <f t="shared" si="9"/>
        <v>3.5678250000000002E-2</v>
      </c>
      <c r="P303">
        <v>25</v>
      </c>
      <c r="Q303">
        <v>2</v>
      </c>
      <c r="R303">
        <v>3</v>
      </c>
      <c r="S303">
        <v>3</v>
      </c>
      <c r="T303">
        <v>4</v>
      </c>
      <c r="U303">
        <v>4</v>
      </c>
      <c r="V303" t="s">
        <v>38</v>
      </c>
    </row>
    <row r="304" spans="1:22" x14ac:dyDescent="0.25">
      <c r="A304" t="s">
        <v>74</v>
      </c>
      <c r="B304">
        <v>2</v>
      </c>
      <c r="C304" t="s">
        <v>66</v>
      </c>
      <c r="D304" t="s">
        <v>75</v>
      </c>
      <c r="E304" t="s">
        <v>68</v>
      </c>
      <c r="F304">
        <v>180</v>
      </c>
      <c r="G304">
        <v>1080</v>
      </c>
      <c r="H304">
        <v>-3</v>
      </c>
      <c r="I304">
        <v>1982</v>
      </c>
      <c r="J304" t="s">
        <v>76</v>
      </c>
      <c r="K304">
        <v>2560</v>
      </c>
      <c r="L304">
        <v>4.3899999999999997</v>
      </c>
      <c r="M304">
        <v>5.19</v>
      </c>
      <c r="N304" s="4">
        <f t="shared" si="8"/>
        <v>1.5128598499999997E-3</v>
      </c>
      <c r="O304" s="4">
        <f t="shared" si="9"/>
        <v>7.8517426214999991E-3</v>
      </c>
      <c r="P304">
        <v>50</v>
      </c>
      <c r="Q304">
        <v>2.5</v>
      </c>
      <c r="R304">
        <v>3.5</v>
      </c>
      <c r="S304">
        <v>3</v>
      </c>
      <c r="T304">
        <v>4.5</v>
      </c>
      <c r="U304">
        <v>4</v>
      </c>
      <c r="V304" t="s">
        <v>38</v>
      </c>
    </row>
    <row r="305" spans="1:22" x14ac:dyDescent="0.25">
      <c r="A305" t="s">
        <v>74</v>
      </c>
      <c r="B305">
        <v>2</v>
      </c>
      <c r="C305" t="s">
        <v>66</v>
      </c>
      <c r="D305" t="s">
        <v>75</v>
      </c>
      <c r="E305" t="s">
        <v>68</v>
      </c>
      <c r="F305">
        <v>180</v>
      </c>
      <c r="G305">
        <v>1080</v>
      </c>
      <c r="H305">
        <v>-3</v>
      </c>
      <c r="I305">
        <v>1982</v>
      </c>
      <c r="J305" t="s">
        <v>56</v>
      </c>
      <c r="K305">
        <v>1111</v>
      </c>
      <c r="L305">
        <v>12.26</v>
      </c>
      <c r="M305">
        <v>6.81</v>
      </c>
      <c r="N305" s="4">
        <f t="shared" si="8"/>
        <v>1.1799146600000001E-2</v>
      </c>
      <c r="O305" s="4">
        <f t="shared" si="9"/>
        <v>8.0352188345999997E-2</v>
      </c>
      <c r="P305">
        <v>71</v>
      </c>
      <c r="Q305">
        <v>4.2</v>
      </c>
      <c r="R305">
        <v>3</v>
      </c>
      <c r="S305">
        <v>3</v>
      </c>
      <c r="T305">
        <v>2</v>
      </c>
      <c r="U305">
        <v>2</v>
      </c>
      <c r="V305" t="s">
        <v>38</v>
      </c>
    </row>
    <row r="306" spans="1:22" x14ac:dyDescent="0.25">
      <c r="A306" t="s">
        <v>74</v>
      </c>
      <c r="B306">
        <v>2</v>
      </c>
      <c r="C306" t="s">
        <v>66</v>
      </c>
      <c r="D306" t="s">
        <v>75</v>
      </c>
      <c r="E306" t="s">
        <v>68</v>
      </c>
      <c r="F306">
        <v>180</v>
      </c>
      <c r="G306">
        <v>1080</v>
      </c>
      <c r="H306">
        <v>-3</v>
      </c>
      <c r="I306">
        <v>1982</v>
      </c>
      <c r="J306" t="s">
        <v>57</v>
      </c>
      <c r="K306">
        <v>2620</v>
      </c>
      <c r="L306">
        <v>3.54</v>
      </c>
      <c r="M306">
        <v>3.43</v>
      </c>
      <c r="N306" s="4">
        <f t="shared" si="8"/>
        <v>9.8373060000000014E-4</v>
      </c>
      <c r="O306" s="4">
        <f t="shared" si="9"/>
        <v>3.3741959580000005E-3</v>
      </c>
      <c r="P306">
        <v>100</v>
      </c>
      <c r="Q306">
        <v>2.5</v>
      </c>
      <c r="R306">
        <v>2</v>
      </c>
      <c r="S306">
        <v>3.3</v>
      </c>
      <c r="T306">
        <v>3.3</v>
      </c>
      <c r="U306">
        <v>3.3</v>
      </c>
      <c r="V306" t="s">
        <v>30</v>
      </c>
    </row>
    <row r="307" spans="1:22" x14ac:dyDescent="0.25">
      <c r="A307" t="s">
        <v>74</v>
      </c>
      <c r="B307">
        <v>2</v>
      </c>
      <c r="C307" t="s">
        <v>66</v>
      </c>
      <c r="D307" t="s">
        <v>75</v>
      </c>
      <c r="E307" t="s">
        <v>68</v>
      </c>
      <c r="F307">
        <v>180</v>
      </c>
      <c r="G307">
        <v>1080</v>
      </c>
      <c r="H307">
        <v>-3</v>
      </c>
      <c r="I307">
        <v>1982</v>
      </c>
      <c r="J307" t="s">
        <v>57</v>
      </c>
      <c r="K307">
        <v>2621</v>
      </c>
      <c r="L307">
        <v>3.09</v>
      </c>
      <c r="M307">
        <v>2.63</v>
      </c>
      <c r="N307" s="4">
        <f t="shared" si="8"/>
        <v>7.4952584999999987E-4</v>
      </c>
      <c r="O307" s="4">
        <f t="shared" si="9"/>
        <v>1.9712529854999995E-3</v>
      </c>
      <c r="P307">
        <v>75</v>
      </c>
      <c r="Q307">
        <v>2.5</v>
      </c>
      <c r="R307">
        <v>2</v>
      </c>
      <c r="S307">
        <v>3.3</v>
      </c>
      <c r="T307">
        <v>3.3</v>
      </c>
      <c r="U307">
        <v>3.3</v>
      </c>
      <c r="V307" t="s">
        <v>30</v>
      </c>
    </row>
    <row r="308" spans="1:22" x14ac:dyDescent="0.25">
      <c r="A308" t="s">
        <v>74</v>
      </c>
      <c r="B308">
        <v>2</v>
      </c>
      <c r="C308" t="s">
        <v>66</v>
      </c>
      <c r="D308" t="s">
        <v>75</v>
      </c>
      <c r="E308" t="s">
        <v>68</v>
      </c>
      <c r="F308">
        <v>180</v>
      </c>
      <c r="G308">
        <v>1080</v>
      </c>
      <c r="H308">
        <v>-3</v>
      </c>
      <c r="I308">
        <v>1982</v>
      </c>
      <c r="J308" t="s">
        <v>59</v>
      </c>
      <c r="K308">
        <v>2548</v>
      </c>
      <c r="L308">
        <v>5.5</v>
      </c>
      <c r="M308">
        <v>4.8899999999999997</v>
      </c>
      <c r="N308" s="4">
        <f t="shared" si="8"/>
        <v>2.374625E-3</v>
      </c>
      <c r="O308" s="4">
        <f t="shared" si="9"/>
        <v>1.161191625E-2</v>
      </c>
      <c r="P308">
        <v>25</v>
      </c>
      <c r="Q308">
        <v>1.5</v>
      </c>
      <c r="R308">
        <v>3</v>
      </c>
      <c r="S308">
        <v>3</v>
      </c>
      <c r="T308">
        <v>3</v>
      </c>
      <c r="U308">
        <v>3</v>
      </c>
      <c r="V308" t="s">
        <v>30</v>
      </c>
    </row>
    <row r="309" spans="1:22" x14ac:dyDescent="0.25">
      <c r="A309" t="s">
        <v>74</v>
      </c>
      <c r="B309">
        <v>2</v>
      </c>
      <c r="C309" t="s">
        <v>66</v>
      </c>
      <c r="D309" t="s">
        <v>75</v>
      </c>
      <c r="E309" t="s">
        <v>68</v>
      </c>
      <c r="F309">
        <v>180</v>
      </c>
      <c r="G309">
        <v>1080</v>
      </c>
      <c r="H309">
        <v>-3</v>
      </c>
      <c r="I309">
        <v>1982</v>
      </c>
      <c r="J309" t="s">
        <v>61</v>
      </c>
      <c r="K309">
        <v>1171</v>
      </c>
      <c r="L309">
        <v>6.97</v>
      </c>
      <c r="M309">
        <v>8.9499999999999993</v>
      </c>
      <c r="N309" s="4">
        <f t="shared" si="8"/>
        <v>3.8136006499999999E-3</v>
      </c>
      <c r="O309" s="4">
        <f t="shared" si="9"/>
        <v>3.4131725817499993E-2</v>
      </c>
      <c r="P309">
        <v>75</v>
      </c>
      <c r="Q309">
        <v>2</v>
      </c>
      <c r="R309">
        <v>2</v>
      </c>
      <c r="S309">
        <v>3</v>
      </c>
      <c r="T309">
        <v>3</v>
      </c>
      <c r="U309">
        <v>3</v>
      </c>
      <c r="V309" t="s">
        <v>30</v>
      </c>
    </row>
    <row r="310" spans="1:22" x14ac:dyDescent="0.25">
      <c r="A310" t="s">
        <v>74</v>
      </c>
      <c r="B310">
        <v>2</v>
      </c>
      <c r="C310" t="s">
        <v>66</v>
      </c>
      <c r="D310" t="s">
        <v>75</v>
      </c>
      <c r="E310" t="s">
        <v>68</v>
      </c>
      <c r="F310">
        <v>180</v>
      </c>
      <c r="G310">
        <v>1080</v>
      </c>
      <c r="H310">
        <v>-3</v>
      </c>
      <c r="I310">
        <v>1982</v>
      </c>
      <c r="J310" t="s">
        <v>32</v>
      </c>
      <c r="K310">
        <v>1596</v>
      </c>
      <c r="L310">
        <v>5.73</v>
      </c>
      <c r="M310">
        <v>4.9800000000000004</v>
      </c>
      <c r="N310" s="4">
        <f t="shared" si="8"/>
        <v>2.5773826500000005E-3</v>
      </c>
      <c r="O310" s="4">
        <f t="shared" si="9"/>
        <v>1.2835365597000003E-2</v>
      </c>
      <c r="P310">
        <v>75</v>
      </c>
      <c r="Q310">
        <v>2.7</v>
      </c>
      <c r="R310">
        <v>3</v>
      </c>
      <c r="S310">
        <v>3</v>
      </c>
      <c r="T310">
        <v>4</v>
      </c>
      <c r="U310">
        <v>3</v>
      </c>
      <c r="V310" t="s">
        <v>30</v>
      </c>
    </row>
    <row r="311" spans="1:22" x14ac:dyDescent="0.25">
      <c r="A311" t="s">
        <v>74</v>
      </c>
      <c r="B311">
        <v>2</v>
      </c>
      <c r="C311" t="s">
        <v>66</v>
      </c>
      <c r="D311" t="s">
        <v>75</v>
      </c>
      <c r="E311" t="s">
        <v>68</v>
      </c>
      <c r="F311">
        <v>180</v>
      </c>
      <c r="G311">
        <v>1080</v>
      </c>
      <c r="H311">
        <v>-3</v>
      </c>
      <c r="I311">
        <v>1982</v>
      </c>
      <c r="J311" t="s">
        <v>32</v>
      </c>
      <c r="K311">
        <v>2569</v>
      </c>
      <c r="L311">
        <v>19.440000000000001</v>
      </c>
      <c r="M311">
        <v>15.38</v>
      </c>
      <c r="N311" s="4">
        <f t="shared" si="8"/>
        <v>2.966621760000001E-2</v>
      </c>
      <c r="O311" s="4">
        <f t="shared" si="9"/>
        <v>0.45626642668800016</v>
      </c>
      <c r="P311">
        <v>75</v>
      </c>
      <c r="Q311">
        <v>4.5</v>
      </c>
      <c r="R311">
        <v>3.5</v>
      </c>
      <c r="S311">
        <v>3.5</v>
      </c>
      <c r="T311">
        <v>4</v>
      </c>
      <c r="U311">
        <v>3</v>
      </c>
      <c r="V311" t="s">
        <v>27</v>
      </c>
    </row>
    <row r="312" spans="1:22" x14ac:dyDescent="0.25">
      <c r="A312" t="s">
        <v>74</v>
      </c>
      <c r="B312">
        <v>2</v>
      </c>
      <c r="C312" t="s">
        <v>66</v>
      </c>
      <c r="D312" t="s">
        <v>75</v>
      </c>
      <c r="E312" t="s">
        <v>68</v>
      </c>
      <c r="F312">
        <v>180</v>
      </c>
      <c r="G312">
        <v>1080</v>
      </c>
      <c r="H312">
        <v>-3</v>
      </c>
      <c r="I312">
        <v>1982</v>
      </c>
      <c r="J312" t="s">
        <v>32</v>
      </c>
      <c r="K312">
        <v>2634</v>
      </c>
      <c r="L312">
        <v>10.97</v>
      </c>
      <c r="M312">
        <v>9.9700000000000006</v>
      </c>
      <c r="N312" s="4">
        <f t="shared" si="8"/>
        <v>9.4467606500000002E-3</v>
      </c>
      <c r="O312" s="4">
        <f t="shared" si="9"/>
        <v>9.4184203680500012E-2</v>
      </c>
      <c r="P312">
        <v>75</v>
      </c>
      <c r="Q312">
        <v>3.5</v>
      </c>
      <c r="R312">
        <v>3</v>
      </c>
      <c r="S312">
        <v>3.2</v>
      </c>
      <c r="T312">
        <v>4</v>
      </c>
      <c r="U312">
        <v>3</v>
      </c>
      <c r="V312" t="s">
        <v>25</v>
      </c>
    </row>
    <row r="313" spans="1:22" x14ac:dyDescent="0.25">
      <c r="A313" t="s">
        <v>74</v>
      </c>
      <c r="B313">
        <v>2</v>
      </c>
      <c r="C313" t="s">
        <v>66</v>
      </c>
      <c r="D313" t="s">
        <v>75</v>
      </c>
      <c r="E313" t="s">
        <v>68</v>
      </c>
      <c r="F313">
        <v>180</v>
      </c>
      <c r="G313">
        <v>1080</v>
      </c>
      <c r="H313">
        <v>-3</v>
      </c>
      <c r="I313">
        <v>1982</v>
      </c>
      <c r="J313" t="s">
        <v>32</v>
      </c>
      <c r="K313">
        <v>2635</v>
      </c>
      <c r="L313">
        <v>5.86</v>
      </c>
      <c r="M313">
        <v>4.3600000000000003</v>
      </c>
      <c r="N313" s="4">
        <f t="shared" si="8"/>
        <v>2.6956586000000007E-3</v>
      </c>
      <c r="O313" s="4">
        <f t="shared" si="9"/>
        <v>1.1753071496000004E-2</v>
      </c>
      <c r="P313">
        <v>75</v>
      </c>
      <c r="Q313">
        <v>3</v>
      </c>
      <c r="R313">
        <v>3</v>
      </c>
      <c r="S313">
        <v>3</v>
      </c>
      <c r="T313">
        <v>4</v>
      </c>
      <c r="U313">
        <v>3</v>
      </c>
      <c r="V313" t="s">
        <v>38</v>
      </c>
    </row>
    <row r="314" spans="1:22" x14ac:dyDescent="0.25">
      <c r="A314" t="s">
        <v>74</v>
      </c>
      <c r="B314">
        <v>2</v>
      </c>
      <c r="C314" t="s">
        <v>66</v>
      </c>
      <c r="D314" t="s">
        <v>75</v>
      </c>
      <c r="E314" t="s">
        <v>68</v>
      </c>
      <c r="F314">
        <v>180</v>
      </c>
      <c r="G314">
        <v>1080</v>
      </c>
      <c r="H314">
        <v>-3</v>
      </c>
      <c r="I314">
        <v>1982</v>
      </c>
      <c r="J314" t="s">
        <v>62</v>
      </c>
      <c r="K314">
        <v>2550</v>
      </c>
      <c r="L314">
        <v>17.600000000000001</v>
      </c>
      <c r="M314">
        <v>14.08</v>
      </c>
      <c r="N314" s="4">
        <f t="shared" si="8"/>
        <v>2.4316160000000007E-2</v>
      </c>
      <c r="O314" s="4">
        <f t="shared" si="9"/>
        <v>0.3423715328000001</v>
      </c>
      <c r="P314">
        <v>50</v>
      </c>
      <c r="Q314">
        <v>5</v>
      </c>
      <c r="R314">
        <v>3.5</v>
      </c>
      <c r="S314">
        <v>4</v>
      </c>
      <c r="T314">
        <v>4</v>
      </c>
      <c r="U314">
        <v>3.5</v>
      </c>
      <c r="V314" t="s">
        <v>27</v>
      </c>
    </row>
    <row r="315" spans="1:22" x14ac:dyDescent="0.25">
      <c r="A315" t="s">
        <v>74</v>
      </c>
      <c r="B315">
        <v>2</v>
      </c>
      <c r="C315" t="s">
        <v>66</v>
      </c>
      <c r="D315" t="s">
        <v>75</v>
      </c>
      <c r="E315" t="s">
        <v>68</v>
      </c>
      <c r="F315">
        <v>180</v>
      </c>
      <c r="G315">
        <v>1080</v>
      </c>
      <c r="H315">
        <v>-3</v>
      </c>
      <c r="I315">
        <v>1982</v>
      </c>
      <c r="J315" t="s">
        <v>62</v>
      </c>
      <c r="K315">
        <v>2553</v>
      </c>
      <c r="L315">
        <v>6.34</v>
      </c>
      <c r="M315">
        <v>6.45</v>
      </c>
      <c r="N315" s="4">
        <f t="shared" si="8"/>
        <v>3.1553546000000002E-3</v>
      </c>
      <c r="O315" s="4">
        <f t="shared" si="9"/>
        <v>2.035203717E-2</v>
      </c>
      <c r="P315">
        <v>50</v>
      </c>
      <c r="Q315">
        <v>3</v>
      </c>
      <c r="R315">
        <v>3</v>
      </c>
      <c r="S315">
        <v>4</v>
      </c>
      <c r="T315">
        <v>4</v>
      </c>
      <c r="U315">
        <v>4</v>
      </c>
      <c r="V315" t="s">
        <v>38</v>
      </c>
    </row>
    <row r="316" spans="1:22" x14ac:dyDescent="0.25">
      <c r="A316" t="s">
        <v>74</v>
      </c>
      <c r="B316">
        <v>2</v>
      </c>
      <c r="C316" t="s">
        <v>66</v>
      </c>
      <c r="D316" t="s">
        <v>75</v>
      </c>
      <c r="E316" t="s">
        <v>68</v>
      </c>
      <c r="F316">
        <v>180</v>
      </c>
      <c r="G316">
        <v>1080</v>
      </c>
      <c r="H316">
        <v>-3</v>
      </c>
      <c r="I316">
        <v>1982</v>
      </c>
      <c r="J316" t="s">
        <v>62</v>
      </c>
      <c r="K316">
        <v>2574</v>
      </c>
      <c r="L316">
        <v>1.17</v>
      </c>
      <c r="M316">
        <v>2.34</v>
      </c>
      <c r="N316" s="4">
        <f t="shared" si="8"/>
        <v>1.0745864999999998E-4</v>
      </c>
      <c r="O316" s="4">
        <f t="shared" si="9"/>
        <v>2.5145324099999991E-4</v>
      </c>
      <c r="P316">
        <v>25</v>
      </c>
      <c r="Q316">
        <v>1</v>
      </c>
      <c r="R316">
        <v>3</v>
      </c>
      <c r="S316">
        <v>3</v>
      </c>
      <c r="T316">
        <v>3</v>
      </c>
      <c r="U316">
        <v>3</v>
      </c>
      <c r="V316" t="s">
        <v>50</v>
      </c>
    </row>
    <row r="317" spans="1:22" x14ac:dyDescent="0.25">
      <c r="A317" t="s">
        <v>74</v>
      </c>
      <c r="B317">
        <v>2</v>
      </c>
      <c r="C317" t="s">
        <v>66</v>
      </c>
      <c r="D317" t="s">
        <v>75</v>
      </c>
      <c r="E317" t="s">
        <v>68</v>
      </c>
      <c r="F317">
        <v>180</v>
      </c>
      <c r="G317">
        <v>1080</v>
      </c>
      <c r="H317">
        <v>-3</v>
      </c>
      <c r="I317">
        <v>1982</v>
      </c>
      <c r="J317" t="s">
        <v>37</v>
      </c>
      <c r="K317">
        <v>2575</v>
      </c>
      <c r="L317">
        <v>6.97</v>
      </c>
      <c r="M317">
        <v>5.32</v>
      </c>
      <c r="N317" s="4">
        <f t="shared" si="8"/>
        <v>3.8136006499999999E-3</v>
      </c>
      <c r="O317" s="4">
        <f t="shared" si="9"/>
        <v>2.0288355458E-2</v>
      </c>
      <c r="P317">
        <v>50</v>
      </c>
      <c r="Q317">
        <v>2</v>
      </c>
      <c r="R317">
        <v>3.5</v>
      </c>
      <c r="S317">
        <v>2</v>
      </c>
      <c r="T317">
        <v>3</v>
      </c>
      <c r="U317">
        <v>3</v>
      </c>
      <c r="V317" t="s">
        <v>50</v>
      </c>
    </row>
    <row r="318" spans="1:22" x14ac:dyDescent="0.25">
      <c r="A318" t="s">
        <v>74</v>
      </c>
      <c r="B318">
        <v>2</v>
      </c>
      <c r="C318" t="s">
        <v>66</v>
      </c>
      <c r="D318" t="s">
        <v>75</v>
      </c>
      <c r="E318" t="s">
        <v>68</v>
      </c>
      <c r="F318">
        <v>180</v>
      </c>
      <c r="G318">
        <v>1080</v>
      </c>
      <c r="H318">
        <v>-3</v>
      </c>
      <c r="I318">
        <v>1982</v>
      </c>
      <c r="J318" t="s">
        <v>63</v>
      </c>
      <c r="K318">
        <v>1340</v>
      </c>
      <c r="L318">
        <v>2.1</v>
      </c>
      <c r="M318">
        <v>3.85</v>
      </c>
      <c r="N318" s="4">
        <f t="shared" si="8"/>
        <v>3.4618500000000005E-4</v>
      </c>
      <c r="O318" s="4">
        <f t="shared" si="9"/>
        <v>1.3328122500000001E-3</v>
      </c>
      <c r="P318">
        <v>25</v>
      </c>
      <c r="Q318">
        <v>1</v>
      </c>
      <c r="R318">
        <v>2</v>
      </c>
      <c r="S318">
        <v>3</v>
      </c>
      <c r="T318">
        <v>3</v>
      </c>
      <c r="U318">
        <v>3</v>
      </c>
      <c r="V318" t="s">
        <v>50</v>
      </c>
    </row>
    <row r="319" spans="1:22" x14ac:dyDescent="0.25">
      <c r="A319" t="s">
        <v>74</v>
      </c>
      <c r="B319">
        <v>3</v>
      </c>
      <c r="C319" t="s">
        <v>66</v>
      </c>
      <c r="D319" t="s">
        <v>75</v>
      </c>
      <c r="E319" t="s">
        <v>68</v>
      </c>
      <c r="F319">
        <v>180</v>
      </c>
      <c r="G319">
        <v>1080</v>
      </c>
      <c r="H319">
        <v>-3</v>
      </c>
      <c r="I319">
        <v>1982</v>
      </c>
      <c r="J319" t="s">
        <v>76</v>
      </c>
      <c r="K319">
        <v>1592</v>
      </c>
      <c r="L319">
        <v>11.77</v>
      </c>
      <c r="M319">
        <v>8.08</v>
      </c>
      <c r="N319" s="4">
        <f t="shared" si="8"/>
        <v>1.0874832649999999E-2</v>
      </c>
      <c r="O319" s="4">
        <f t="shared" si="9"/>
        <v>8.7868647811999989E-2</v>
      </c>
      <c r="P319">
        <v>75</v>
      </c>
      <c r="Q319">
        <v>3</v>
      </c>
      <c r="R319">
        <v>4</v>
      </c>
      <c r="S319">
        <v>3</v>
      </c>
      <c r="T319">
        <v>4</v>
      </c>
      <c r="U319">
        <v>3</v>
      </c>
      <c r="V319" t="s">
        <v>27</v>
      </c>
    </row>
    <row r="320" spans="1:22" x14ac:dyDescent="0.25">
      <c r="A320" t="s">
        <v>74</v>
      </c>
      <c r="B320">
        <v>3</v>
      </c>
      <c r="C320" t="s">
        <v>66</v>
      </c>
      <c r="D320" t="s">
        <v>75</v>
      </c>
      <c r="E320" t="s">
        <v>68</v>
      </c>
      <c r="F320">
        <v>180</v>
      </c>
      <c r="G320">
        <v>1080</v>
      </c>
      <c r="H320">
        <v>-3</v>
      </c>
      <c r="I320">
        <v>1982</v>
      </c>
      <c r="J320" t="s">
        <v>56</v>
      </c>
      <c r="K320">
        <v>1111</v>
      </c>
      <c r="L320">
        <v>9.65</v>
      </c>
      <c r="M320">
        <v>6.24</v>
      </c>
      <c r="N320" s="4">
        <f t="shared" si="8"/>
        <v>7.3101162500000009E-3</v>
      </c>
      <c r="O320" s="4">
        <f t="shared" si="9"/>
        <v>4.5615125400000005E-2</v>
      </c>
      <c r="P320">
        <v>25</v>
      </c>
      <c r="Q320">
        <v>2.8</v>
      </c>
      <c r="R320">
        <v>3</v>
      </c>
      <c r="S320">
        <v>3</v>
      </c>
      <c r="T320">
        <v>3</v>
      </c>
      <c r="U320">
        <v>2.5</v>
      </c>
      <c r="V320" t="s">
        <v>30</v>
      </c>
    </row>
    <row r="321" spans="1:22" x14ac:dyDescent="0.25">
      <c r="A321" t="s">
        <v>74</v>
      </c>
      <c r="B321">
        <v>3</v>
      </c>
      <c r="C321" t="s">
        <v>66</v>
      </c>
      <c r="D321" t="s">
        <v>75</v>
      </c>
      <c r="E321" t="s">
        <v>68</v>
      </c>
      <c r="F321">
        <v>180</v>
      </c>
      <c r="G321">
        <v>1080</v>
      </c>
      <c r="H321">
        <v>-3</v>
      </c>
      <c r="I321">
        <v>1982</v>
      </c>
      <c r="J321" t="s">
        <v>58</v>
      </c>
      <c r="K321">
        <v>2638</v>
      </c>
      <c r="L321">
        <v>0.57999999999999996</v>
      </c>
      <c r="M321">
        <v>1.75</v>
      </c>
      <c r="N321" s="4">
        <f t="shared" si="8"/>
        <v>2.6407399999999997E-5</v>
      </c>
      <c r="O321" s="4">
        <f t="shared" si="9"/>
        <v>4.6212949999999996E-5</v>
      </c>
      <c r="P321">
        <v>25</v>
      </c>
      <c r="Q321">
        <v>1.5</v>
      </c>
      <c r="R321">
        <v>3</v>
      </c>
      <c r="S321">
        <v>3</v>
      </c>
      <c r="T321">
        <v>3</v>
      </c>
      <c r="U321">
        <v>3</v>
      </c>
      <c r="V321" t="s">
        <v>50</v>
      </c>
    </row>
    <row r="322" spans="1:22" x14ac:dyDescent="0.25">
      <c r="A322" t="s">
        <v>74</v>
      </c>
      <c r="B322">
        <v>3</v>
      </c>
      <c r="C322" t="s">
        <v>66</v>
      </c>
      <c r="D322" t="s">
        <v>75</v>
      </c>
      <c r="E322" t="s">
        <v>68</v>
      </c>
      <c r="F322">
        <v>180</v>
      </c>
      <c r="G322">
        <v>1080</v>
      </c>
      <c r="H322">
        <v>-3</v>
      </c>
      <c r="I322">
        <v>1982</v>
      </c>
      <c r="J322" t="s">
        <v>61</v>
      </c>
      <c r="K322">
        <v>1171</v>
      </c>
      <c r="L322">
        <v>11.62</v>
      </c>
      <c r="M322">
        <v>11.62</v>
      </c>
      <c r="N322" s="4">
        <f t="shared" si="8"/>
        <v>1.0599415399999999E-2</v>
      </c>
      <c r="O322" s="4">
        <f t="shared" si="9"/>
        <v>0.12316520694799998</v>
      </c>
      <c r="P322">
        <v>2</v>
      </c>
      <c r="Q322">
        <v>2</v>
      </c>
      <c r="R322">
        <v>2</v>
      </c>
      <c r="S322">
        <v>4</v>
      </c>
      <c r="T322">
        <v>3</v>
      </c>
      <c r="U322">
        <v>3</v>
      </c>
      <c r="V322" t="s">
        <v>30</v>
      </c>
    </row>
    <row r="323" spans="1:22" x14ac:dyDescent="0.25">
      <c r="A323" t="s">
        <v>74</v>
      </c>
      <c r="B323">
        <v>3</v>
      </c>
      <c r="C323" t="s">
        <v>66</v>
      </c>
      <c r="D323" t="s">
        <v>75</v>
      </c>
      <c r="E323" t="s">
        <v>68</v>
      </c>
      <c r="F323">
        <v>180</v>
      </c>
      <c r="G323">
        <v>1080</v>
      </c>
      <c r="H323">
        <v>-3</v>
      </c>
      <c r="I323">
        <v>1982</v>
      </c>
      <c r="J323" t="s">
        <v>61</v>
      </c>
      <c r="K323">
        <v>2631</v>
      </c>
      <c r="L323">
        <v>9.06</v>
      </c>
      <c r="M323">
        <v>6.97</v>
      </c>
      <c r="N323" s="4">
        <f t="shared" ref="N323:N386" si="10">3.14/4*((L323/100)^2)</f>
        <v>6.4435626000000001E-3</v>
      </c>
      <c r="O323" s="4">
        <f t="shared" ref="O323:O386" si="11">3.14/4*((L323/100)^2)*M323</f>
        <v>4.4911631321999997E-2</v>
      </c>
      <c r="P323">
        <v>25</v>
      </c>
      <c r="Q323">
        <v>1.3</v>
      </c>
      <c r="R323">
        <v>1</v>
      </c>
      <c r="S323">
        <v>2</v>
      </c>
      <c r="T323">
        <v>2</v>
      </c>
      <c r="U323">
        <v>3</v>
      </c>
      <c r="V323" t="s">
        <v>50</v>
      </c>
    </row>
    <row r="324" spans="1:22" x14ac:dyDescent="0.25">
      <c r="A324" t="s">
        <v>74</v>
      </c>
      <c r="B324">
        <v>3</v>
      </c>
      <c r="C324" t="s">
        <v>66</v>
      </c>
      <c r="D324" t="s">
        <v>75</v>
      </c>
      <c r="E324" t="s">
        <v>68</v>
      </c>
      <c r="F324">
        <v>180</v>
      </c>
      <c r="G324">
        <v>1080</v>
      </c>
      <c r="H324">
        <v>-3</v>
      </c>
      <c r="I324">
        <v>1982</v>
      </c>
      <c r="J324" t="s">
        <v>35</v>
      </c>
      <c r="K324">
        <v>1788</v>
      </c>
      <c r="L324">
        <v>15.31</v>
      </c>
      <c r="M324">
        <v>11.77</v>
      </c>
      <c r="N324" s="4">
        <f t="shared" si="10"/>
        <v>1.8400093850000004E-2</v>
      </c>
      <c r="O324" s="4">
        <f t="shared" si="11"/>
        <v>0.21656910461450005</v>
      </c>
      <c r="P324">
        <v>75</v>
      </c>
      <c r="Q324">
        <v>3</v>
      </c>
      <c r="R324">
        <v>2</v>
      </c>
      <c r="S324">
        <v>4</v>
      </c>
      <c r="T324">
        <v>4</v>
      </c>
      <c r="U324">
        <v>4</v>
      </c>
      <c r="V324" t="s">
        <v>27</v>
      </c>
    </row>
    <row r="325" spans="1:22" x14ac:dyDescent="0.25">
      <c r="A325" t="s">
        <v>74</v>
      </c>
      <c r="B325">
        <v>3</v>
      </c>
      <c r="C325" t="s">
        <v>66</v>
      </c>
      <c r="D325" t="s">
        <v>75</v>
      </c>
      <c r="E325" t="s">
        <v>68</v>
      </c>
      <c r="F325">
        <v>180</v>
      </c>
      <c r="G325">
        <v>1080</v>
      </c>
      <c r="H325">
        <v>-3</v>
      </c>
      <c r="I325">
        <v>1982</v>
      </c>
      <c r="J325" t="s">
        <v>35</v>
      </c>
      <c r="K325">
        <v>1259</v>
      </c>
      <c r="L325">
        <v>7.65</v>
      </c>
      <c r="M325">
        <v>8.24</v>
      </c>
      <c r="N325" s="4">
        <f t="shared" si="10"/>
        <v>4.5940162500000001E-3</v>
      </c>
      <c r="O325" s="4">
        <f t="shared" si="11"/>
        <v>3.78546939E-2</v>
      </c>
      <c r="P325">
        <v>25</v>
      </c>
      <c r="Q325">
        <v>2</v>
      </c>
      <c r="R325">
        <v>2</v>
      </c>
      <c r="S325">
        <v>4</v>
      </c>
      <c r="T325">
        <v>4</v>
      </c>
      <c r="U325">
        <v>4</v>
      </c>
      <c r="V325" t="s">
        <v>38</v>
      </c>
    </row>
    <row r="326" spans="1:22" x14ac:dyDescent="0.25">
      <c r="A326" t="s">
        <v>74</v>
      </c>
      <c r="B326">
        <v>3</v>
      </c>
      <c r="C326" t="s">
        <v>66</v>
      </c>
      <c r="D326" t="s">
        <v>75</v>
      </c>
      <c r="E326" t="s">
        <v>68</v>
      </c>
      <c r="F326">
        <v>180</v>
      </c>
      <c r="G326">
        <v>1080</v>
      </c>
      <c r="H326">
        <v>-3</v>
      </c>
      <c r="I326">
        <v>1982</v>
      </c>
      <c r="J326" t="s">
        <v>35</v>
      </c>
      <c r="K326">
        <v>2571</v>
      </c>
      <c r="L326">
        <v>6.42</v>
      </c>
      <c r="M326">
        <v>8.24</v>
      </c>
      <c r="N326" s="4">
        <f t="shared" si="10"/>
        <v>3.2354873999999997E-3</v>
      </c>
      <c r="O326" s="4">
        <f t="shared" si="11"/>
        <v>2.6660416175999999E-2</v>
      </c>
      <c r="P326">
        <v>25</v>
      </c>
      <c r="Q326">
        <v>3</v>
      </c>
      <c r="R326">
        <v>2</v>
      </c>
      <c r="S326">
        <v>4</v>
      </c>
      <c r="T326">
        <v>4</v>
      </c>
      <c r="U326">
        <v>4</v>
      </c>
      <c r="V326" t="s">
        <v>38</v>
      </c>
    </row>
    <row r="327" spans="1:22" x14ac:dyDescent="0.25">
      <c r="A327" t="s">
        <v>74</v>
      </c>
      <c r="B327">
        <v>3</v>
      </c>
      <c r="C327" t="s">
        <v>66</v>
      </c>
      <c r="D327" t="s">
        <v>75</v>
      </c>
      <c r="E327" t="s">
        <v>68</v>
      </c>
      <c r="F327">
        <v>180</v>
      </c>
      <c r="G327">
        <v>1080</v>
      </c>
      <c r="H327">
        <v>-3</v>
      </c>
      <c r="I327">
        <v>1982</v>
      </c>
      <c r="J327" t="s">
        <v>62</v>
      </c>
      <c r="K327">
        <v>2553</v>
      </c>
      <c r="L327">
        <v>19.13</v>
      </c>
      <c r="M327">
        <v>13.5</v>
      </c>
      <c r="N327" s="4">
        <f t="shared" si="10"/>
        <v>2.8727616650000003E-2</v>
      </c>
      <c r="O327" s="4">
        <f t="shared" si="11"/>
        <v>0.38782282477500002</v>
      </c>
      <c r="P327">
        <v>50</v>
      </c>
      <c r="Q327">
        <v>5</v>
      </c>
      <c r="R327">
        <v>4</v>
      </c>
      <c r="S327">
        <v>4</v>
      </c>
      <c r="T327">
        <v>4</v>
      </c>
      <c r="U327">
        <v>3</v>
      </c>
      <c r="V327" t="s">
        <v>27</v>
      </c>
    </row>
    <row r="328" spans="1:22" x14ac:dyDescent="0.25">
      <c r="A328" t="s">
        <v>74</v>
      </c>
      <c r="B328">
        <v>3</v>
      </c>
      <c r="C328" t="s">
        <v>66</v>
      </c>
      <c r="D328" t="s">
        <v>75</v>
      </c>
      <c r="E328" t="s">
        <v>68</v>
      </c>
      <c r="F328">
        <v>180</v>
      </c>
      <c r="G328">
        <v>1080</v>
      </c>
      <c r="H328">
        <v>-3</v>
      </c>
      <c r="I328">
        <v>1982</v>
      </c>
      <c r="J328" t="s">
        <v>62</v>
      </c>
      <c r="K328">
        <v>2574</v>
      </c>
      <c r="L328">
        <v>15.26</v>
      </c>
      <c r="M328">
        <v>14.08</v>
      </c>
      <c r="N328" s="4">
        <f t="shared" si="10"/>
        <v>1.8280106599999998E-2</v>
      </c>
      <c r="O328" s="4">
        <f t="shared" si="11"/>
        <v>0.25738390092799995</v>
      </c>
      <c r="P328">
        <v>25</v>
      </c>
      <c r="Q328">
        <v>3</v>
      </c>
      <c r="R328">
        <v>4</v>
      </c>
      <c r="S328">
        <v>4</v>
      </c>
      <c r="T328">
        <v>4</v>
      </c>
      <c r="U328">
        <v>3</v>
      </c>
      <c r="V328" t="s">
        <v>27</v>
      </c>
    </row>
    <row r="329" spans="1:22" x14ac:dyDescent="0.25">
      <c r="A329" t="s">
        <v>74</v>
      </c>
      <c r="B329">
        <v>3</v>
      </c>
      <c r="C329" t="s">
        <v>66</v>
      </c>
      <c r="D329" t="s">
        <v>75</v>
      </c>
      <c r="E329" t="s">
        <v>68</v>
      </c>
      <c r="F329">
        <v>180</v>
      </c>
      <c r="G329">
        <v>1080</v>
      </c>
      <c r="H329">
        <v>-3</v>
      </c>
      <c r="I329">
        <v>1982</v>
      </c>
      <c r="J329" t="s">
        <v>37</v>
      </c>
      <c r="K329">
        <v>2575</v>
      </c>
      <c r="L329">
        <v>4.84</v>
      </c>
      <c r="M329">
        <v>4.13</v>
      </c>
      <c r="N329" s="4">
        <f t="shared" si="10"/>
        <v>1.8389096000000001E-3</v>
      </c>
      <c r="O329" s="4">
        <f t="shared" si="11"/>
        <v>7.5946966480000006E-3</v>
      </c>
      <c r="P329">
        <v>50</v>
      </c>
      <c r="Q329">
        <v>2</v>
      </c>
      <c r="R329">
        <v>1.5</v>
      </c>
      <c r="S329">
        <v>3</v>
      </c>
      <c r="T329">
        <v>3</v>
      </c>
      <c r="U329">
        <v>3</v>
      </c>
      <c r="V329" t="s">
        <v>30</v>
      </c>
    </row>
    <row r="330" spans="1:22" x14ac:dyDescent="0.25">
      <c r="A330" t="s">
        <v>74</v>
      </c>
      <c r="B330">
        <v>3</v>
      </c>
      <c r="C330" t="s">
        <v>66</v>
      </c>
      <c r="D330" t="s">
        <v>75</v>
      </c>
      <c r="E330" t="s">
        <v>68</v>
      </c>
      <c r="F330">
        <v>180</v>
      </c>
      <c r="G330">
        <v>1080</v>
      </c>
      <c r="H330">
        <v>-3</v>
      </c>
      <c r="I330">
        <v>1982</v>
      </c>
      <c r="J330" t="s">
        <v>63</v>
      </c>
      <c r="K330">
        <v>1340</v>
      </c>
      <c r="L330">
        <v>7.58</v>
      </c>
      <c r="M330">
        <v>6.06</v>
      </c>
      <c r="N330" s="4">
        <f t="shared" si="10"/>
        <v>4.5103274000000007E-3</v>
      </c>
      <c r="O330" s="4">
        <f t="shared" si="11"/>
        <v>2.7332584044000002E-2</v>
      </c>
      <c r="P330">
        <v>38</v>
      </c>
      <c r="Q330">
        <v>2</v>
      </c>
      <c r="R330">
        <v>2</v>
      </c>
      <c r="S330">
        <v>3</v>
      </c>
      <c r="T330">
        <v>3</v>
      </c>
      <c r="U330">
        <v>3</v>
      </c>
      <c r="V330" t="s">
        <v>30</v>
      </c>
    </row>
    <row r="331" spans="1:22" x14ac:dyDescent="0.25">
      <c r="A331" t="s">
        <v>77</v>
      </c>
      <c r="B331">
        <v>1</v>
      </c>
      <c r="C331" t="s">
        <v>47</v>
      </c>
      <c r="D331" t="s">
        <v>78</v>
      </c>
      <c r="E331" t="s">
        <v>79</v>
      </c>
      <c r="F331">
        <v>150</v>
      </c>
      <c r="G331">
        <v>1250</v>
      </c>
      <c r="H331">
        <v>-3</v>
      </c>
      <c r="I331">
        <v>1983</v>
      </c>
      <c r="J331" t="s">
        <v>76</v>
      </c>
      <c r="K331">
        <v>1592</v>
      </c>
      <c r="L331">
        <v>24.24</v>
      </c>
      <c r="M331">
        <v>17.899999999999999</v>
      </c>
      <c r="N331" s="4">
        <f t="shared" si="10"/>
        <v>4.6124841599999987E-2</v>
      </c>
      <c r="O331" s="4">
        <f t="shared" si="11"/>
        <v>0.82563466463999968</v>
      </c>
      <c r="P331">
        <v>38</v>
      </c>
      <c r="Q331">
        <v>3.5</v>
      </c>
      <c r="R331">
        <v>3.5</v>
      </c>
      <c r="S331">
        <v>3</v>
      </c>
      <c r="T331">
        <v>3.3</v>
      </c>
      <c r="U331">
        <v>2.5</v>
      </c>
      <c r="V331" t="s">
        <v>25</v>
      </c>
    </row>
    <row r="332" spans="1:22" x14ac:dyDescent="0.25">
      <c r="A332" t="s">
        <v>77</v>
      </c>
      <c r="B332">
        <v>1</v>
      </c>
      <c r="C332" t="s">
        <v>47</v>
      </c>
      <c r="D332" t="s">
        <v>78</v>
      </c>
      <c r="E332" t="s">
        <v>79</v>
      </c>
      <c r="F332">
        <v>150</v>
      </c>
      <c r="G332">
        <v>1250</v>
      </c>
      <c r="H332">
        <v>-3</v>
      </c>
      <c r="I332">
        <v>1983</v>
      </c>
      <c r="J332" t="s">
        <v>76</v>
      </c>
      <c r="K332">
        <v>2560</v>
      </c>
      <c r="L332">
        <v>20.239999999999998</v>
      </c>
      <c r="M332">
        <v>14.6</v>
      </c>
      <c r="N332" s="4">
        <f t="shared" si="10"/>
        <v>3.2158121599999999E-2</v>
      </c>
      <c r="O332" s="4">
        <f t="shared" si="11"/>
        <v>0.46950857535999996</v>
      </c>
      <c r="P332">
        <v>63</v>
      </c>
      <c r="Q332">
        <v>3</v>
      </c>
      <c r="R332">
        <v>3.5</v>
      </c>
      <c r="S332">
        <v>3</v>
      </c>
      <c r="T332">
        <v>3.7</v>
      </c>
      <c r="U332">
        <v>2.5</v>
      </c>
      <c r="V332" t="s">
        <v>25</v>
      </c>
    </row>
    <row r="333" spans="1:22" x14ac:dyDescent="0.25">
      <c r="A333" t="s">
        <v>77</v>
      </c>
      <c r="B333">
        <v>1</v>
      </c>
      <c r="C333" t="s">
        <v>47</v>
      </c>
      <c r="D333" t="s">
        <v>78</v>
      </c>
      <c r="E333" t="s">
        <v>79</v>
      </c>
      <c r="F333">
        <v>150</v>
      </c>
      <c r="G333">
        <v>1250</v>
      </c>
      <c r="H333">
        <v>-3</v>
      </c>
      <c r="I333">
        <v>1983</v>
      </c>
      <c r="J333" t="s">
        <v>24</v>
      </c>
      <c r="K333">
        <v>2562</v>
      </c>
      <c r="L333">
        <v>17.399999999999999</v>
      </c>
      <c r="M333">
        <v>14.14</v>
      </c>
      <c r="N333" s="4">
        <f t="shared" si="10"/>
        <v>2.3766659999999998E-2</v>
      </c>
      <c r="O333" s="4">
        <f t="shared" si="11"/>
        <v>0.33606057239999998</v>
      </c>
      <c r="P333">
        <v>63</v>
      </c>
      <c r="Q333">
        <v>3.5</v>
      </c>
      <c r="R333">
        <v>4</v>
      </c>
      <c r="S333">
        <v>3.7</v>
      </c>
      <c r="T333">
        <v>4</v>
      </c>
      <c r="U333">
        <v>3.5</v>
      </c>
      <c r="V333" t="s">
        <v>25</v>
      </c>
    </row>
    <row r="334" spans="1:22" x14ac:dyDescent="0.25">
      <c r="A334" t="s">
        <v>77</v>
      </c>
      <c r="B334">
        <v>1</v>
      </c>
      <c r="C334" t="s">
        <v>47</v>
      </c>
      <c r="D334" t="s">
        <v>78</v>
      </c>
      <c r="E334" t="s">
        <v>79</v>
      </c>
      <c r="F334">
        <v>150</v>
      </c>
      <c r="G334">
        <v>1250</v>
      </c>
      <c r="H334">
        <v>-3</v>
      </c>
      <c r="I334">
        <v>1983</v>
      </c>
      <c r="J334" t="s">
        <v>80</v>
      </c>
      <c r="K334">
        <v>1252</v>
      </c>
      <c r="L334">
        <v>17.36</v>
      </c>
      <c r="M334">
        <v>15.64</v>
      </c>
      <c r="N334" s="4">
        <f t="shared" si="10"/>
        <v>2.3657513600000003E-2</v>
      </c>
      <c r="O334" s="4">
        <f t="shared" si="11"/>
        <v>0.37000351270400006</v>
      </c>
      <c r="P334">
        <v>50</v>
      </c>
      <c r="Q334">
        <v>3.5</v>
      </c>
      <c r="R334">
        <v>3.5</v>
      </c>
      <c r="S334">
        <v>2.5</v>
      </c>
      <c r="T334">
        <v>2.5</v>
      </c>
      <c r="U334">
        <v>2.5</v>
      </c>
      <c r="V334" t="s">
        <v>38</v>
      </c>
    </row>
    <row r="335" spans="1:22" x14ac:dyDescent="0.25">
      <c r="A335" t="s">
        <v>77</v>
      </c>
      <c r="B335">
        <v>1</v>
      </c>
      <c r="C335" t="s">
        <v>47</v>
      </c>
      <c r="D335" t="s">
        <v>78</v>
      </c>
      <c r="E335" t="s">
        <v>79</v>
      </c>
      <c r="F335">
        <v>150</v>
      </c>
      <c r="G335">
        <v>1250</v>
      </c>
      <c r="H335">
        <v>-3</v>
      </c>
      <c r="I335">
        <v>1983</v>
      </c>
      <c r="J335" t="s">
        <v>59</v>
      </c>
      <c r="K335">
        <v>2548</v>
      </c>
      <c r="L335">
        <v>41.04</v>
      </c>
      <c r="M335">
        <v>16.600000000000001</v>
      </c>
      <c r="N335" s="4">
        <f t="shared" si="10"/>
        <v>0.13221610559999999</v>
      </c>
      <c r="O335" s="4">
        <f t="shared" si="11"/>
        <v>2.1947873529600002</v>
      </c>
      <c r="P335">
        <v>50</v>
      </c>
      <c r="Q335">
        <v>3.3</v>
      </c>
      <c r="R335">
        <v>3</v>
      </c>
      <c r="S335">
        <v>2</v>
      </c>
      <c r="T335">
        <v>1.5</v>
      </c>
      <c r="U335">
        <v>1.5</v>
      </c>
      <c r="V335" t="s">
        <v>25</v>
      </c>
    </row>
    <row r="336" spans="1:22" x14ac:dyDescent="0.25">
      <c r="A336" t="s">
        <v>77</v>
      </c>
      <c r="B336">
        <v>1</v>
      </c>
      <c r="C336" t="s">
        <v>47</v>
      </c>
      <c r="D336" t="s">
        <v>78</v>
      </c>
      <c r="E336" t="s">
        <v>79</v>
      </c>
      <c r="F336">
        <v>150</v>
      </c>
      <c r="G336">
        <v>1250</v>
      </c>
      <c r="H336">
        <v>-3</v>
      </c>
      <c r="I336">
        <v>1983</v>
      </c>
      <c r="J336" t="s">
        <v>32</v>
      </c>
      <c r="K336">
        <v>1596</v>
      </c>
      <c r="L336">
        <v>15.02</v>
      </c>
      <c r="M336">
        <v>9.92</v>
      </c>
      <c r="N336" s="4">
        <f t="shared" si="10"/>
        <v>1.7709631400000002E-2</v>
      </c>
      <c r="O336" s="4">
        <f t="shared" si="11"/>
        <v>0.17567954348800002</v>
      </c>
      <c r="P336">
        <v>100</v>
      </c>
      <c r="Q336">
        <v>3.5</v>
      </c>
      <c r="R336">
        <v>4</v>
      </c>
      <c r="S336">
        <v>2.7</v>
      </c>
      <c r="T336">
        <v>4</v>
      </c>
      <c r="U336">
        <v>2.5</v>
      </c>
      <c r="V336" t="s">
        <v>25</v>
      </c>
    </row>
    <row r="337" spans="1:22" x14ac:dyDescent="0.25">
      <c r="A337" t="s">
        <v>77</v>
      </c>
      <c r="B337">
        <v>1</v>
      </c>
      <c r="C337" t="s">
        <v>47</v>
      </c>
      <c r="D337" t="s">
        <v>78</v>
      </c>
      <c r="E337" t="s">
        <v>79</v>
      </c>
      <c r="F337">
        <v>150</v>
      </c>
      <c r="G337">
        <v>1250</v>
      </c>
      <c r="H337">
        <v>-3</v>
      </c>
      <c r="I337">
        <v>1983</v>
      </c>
      <c r="J337" t="s">
        <v>32</v>
      </c>
      <c r="K337">
        <v>2569</v>
      </c>
      <c r="L337">
        <v>17.829999999999998</v>
      </c>
      <c r="M337">
        <v>11.8</v>
      </c>
      <c r="N337" s="4">
        <f t="shared" si="10"/>
        <v>2.4955848649999997E-2</v>
      </c>
      <c r="O337" s="4">
        <f t="shared" si="11"/>
        <v>0.29447901406999999</v>
      </c>
      <c r="P337">
        <v>50</v>
      </c>
      <c r="Q337">
        <v>3</v>
      </c>
      <c r="R337">
        <v>3</v>
      </c>
      <c r="S337">
        <v>3</v>
      </c>
      <c r="T337">
        <v>4</v>
      </c>
      <c r="U337">
        <v>2.5</v>
      </c>
      <c r="V337" t="s">
        <v>25</v>
      </c>
    </row>
    <row r="338" spans="1:22" x14ac:dyDescent="0.25">
      <c r="A338" t="s">
        <v>77</v>
      </c>
      <c r="B338">
        <v>1</v>
      </c>
      <c r="C338" t="s">
        <v>47</v>
      </c>
      <c r="D338" t="s">
        <v>78</v>
      </c>
      <c r="E338" t="s">
        <v>79</v>
      </c>
      <c r="F338">
        <v>150</v>
      </c>
      <c r="G338">
        <v>1250</v>
      </c>
      <c r="H338">
        <v>-3</v>
      </c>
      <c r="I338">
        <v>1983</v>
      </c>
      <c r="J338" t="s">
        <v>33</v>
      </c>
      <c r="K338">
        <v>2547</v>
      </c>
      <c r="L338">
        <v>20.8</v>
      </c>
      <c r="M338">
        <v>10.23</v>
      </c>
      <c r="N338" s="4">
        <f t="shared" si="10"/>
        <v>3.3962240000000012E-2</v>
      </c>
      <c r="O338" s="4">
        <f t="shared" si="11"/>
        <v>0.34743371520000016</v>
      </c>
      <c r="P338">
        <v>13</v>
      </c>
      <c r="Q338">
        <v>3</v>
      </c>
      <c r="R338">
        <v>3</v>
      </c>
      <c r="S338">
        <v>3</v>
      </c>
      <c r="T338">
        <v>2.5</v>
      </c>
      <c r="U338">
        <v>3</v>
      </c>
      <c r="V338" t="s">
        <v>38</v>
      </c>
    </row>
    <row r="339" spans="1:22" x14ac:dyDescent="0.25">
      <c r="A339" t="s">
        <v>77</v>
      </c>
      <c r="B339">
        <v>1</v>
      </c>
      <c r="C339" t="s">
        <v>47</v>
      </c>
      <c r="D339" t="s">
        <v>78</v>
      </c>
      <c r="E339" t="s">
        <v>79</v>
      </c>
      <c r="F339">
        <v>150</v>
      </c>
      <c r="G339">
        <v>1250</v>
      </c>
      <c r="H339">
        <v>-3</v>
      </c>
      <c r="I339">
        <v>1983</v>
      </c>
      <c r="J339" t="s">
        <v>33</v>
      </c>
      <c r="K339">
        <v>2568</v>
      </c>
      <c r="L339">
        <v>24.89</v>
      </c>
      <c r="M339">
        <v>16.71</v>
      </c>
      <c r="N339" s="4">
        <f t="shared" si="10"/>
        <v>4.8631699850000008E-2</v>
      </c>
      <c r="O339" s="4">
        <f t="shared" si="11"/>
        <v>0.8126357044935002</v>
      </c>
      <c r="P339">
        <v>63</v>
      </c>
      <c r="Q339">
        <v>3</v>
      </c>
      <c r="R339">
        <v>2.5</v>
      </c>
      <c r="S339">
        <v>2.7</v>
      </c>
      <c r="T339">
        <v>3</v>
      </c>
      <c r="U339">
        <v>2</v>
      </c>
      <c r="V339" t="s">
        <v>38</v>
      </c>
    </row>
    <row r="340" spans="1:22" x14ac:dyDescent="0.25">
      <c r="A340" t="s">
        <v>77</v>
      </c>
      <c r="B340">
        <v>1</v>
      </c>
      <c r="C340" t="s">
        <v>47</v>
      </c>
      <c r="D340" t="s">
        <v>78</v>
      </c>
      <c r="E340" t="s">
        <v>79</v>
      </c>
      <c r="F340">
        <v>150</v>
      </c>
      <c r="G340">
        <v>1250</v>
      </c>
      <c r="H340">
        <v>-3</v>
      </c>
      <c r="I340">
        <v>1983</v>
      </c>
      <c r="J340" t="s">
        <v>34</v>
      </c>
      <c r="K340">
        <v>1522</v>
      </c>
      <c r="L340">
        <v>19.13</v>
      </c>
      <c r="M340">
        <v>10.66</v>
      </c>
      <c r="N340" s="4">
        <f t="shared" si="10"/>
        <v>2.8727616650000003E-2</v>
      </c>
      <c r="O340" s="4">
        <f t="shared" si="11"/>
        <v>0.30623639348900006</v>
      </c>
      <c r="P340">
        <v>38</v>
      </c>
      <c r="Q340">
        <v>3.5</v>
      </c>
      <c r="R340">
        <v>3</v>
      </c>
      <c r="S340">
        <v>2.5</v>
      </c>
      <c r="T340">
        <v>2.5</v>
      </c>
      <c r="U340">
        <v>2</v>
      </c>
      <c r="V340" t="s">
        <v>25</v>
      </c>
    </row>
    <row r="341" spans="1:22" x14ac:dyDescent="0.25">
      <c r="A341" t="s">
        <v>77</v>
      </c>
      <c r="B341">
        <v>1</v>
      </c>
      <c r="C341" t="s">
        <v>47</v>
      </c>
      <c r="D341" t="s">
        <v>78</v>
      </c>
      <c r="E341" t="s">
        <v>79</v>
      </c>
      <c r="F341">
        <v>150</v>
      </c>
      <c r="G341">
        <v>1250</v>
      </c>
      <c r="H341">
        <v>-3</v>
      </c>
      <c r="I341">
        <v>1983</v>
      </c>
      <c r="J341" t="s">
        <v>34</v>
      </c>
      <c r="K341">
        <v>2570</v>
      </c>
      <c r="L341">
        <v>17.59</v>
      </c>
      <c r="M341">
        <v>12.2</v>
      </c>
      <c r="N341" s="4">
        <f t="shared" si="10"/>
        <v>2.4288535850000001E-2</v>
      </c>
      <c r="O341" s="4">
        <f t="shared" si="11"/>
        <v>0.29632013737000001</v>
      </c>
      <c r="P341">
        <v>50</v>
      </c>
      <c r="Q341">
        <v>3</v>
      </c>
      <c r="R341">
        <v>2.7</v>
      </c>
      <c r="S341">
        <v>3</v>
      </c>
      <c r="T341">
        <v>3.5</v>
      </c>
      <c r="U341">
        <v>2.7</v>
      </c>
      <c r="V341" t="s">
        <v>38</v>
      </c>
    </row>
    <row r="342" spans="1:22" x14ac:dyDescent="0.25">
      <c r="A342" t="s">
        <v>77</v>
      </c>
      <c r="B342">
        <v>1</v>
      </c>
      <c r="C342" t="s">
        <v>47</v>
      </c>
      <c r="D342" t="s">
        <v>78</v>
      </c>
      <c r="E342" t="s">
        <v>79</v>
      </c>
      <c r="F342">
        <v>150</v>
      </c>
      <c r="G342">
        <v>1250</v>
      </c>
      <c r="H342">
        <v>-3</v>
      </c>
      <c r="I342">
        <v>1983</v>
      </c>
      <c r="J342" t="s">
        <v>35</v>
      </c>
      <c r="K342">
        <v>2571</v>
      </c>
      <c r="L342">
        <v>19.350000000000001</v>
      </c>
      <c r="M342">
        <v>17.3</v>
      </c>
      <c r="N342" s="4">
        <f t="shared" si="10"/>
        <v>2.9392166250000004E-2</v>
      </c>
      <c r="O342" s="4">
        <f t="shared" si="11"/>
        <v>0.50848447612500014</v>
      </c>
      <c r="P342">
        <v>50</v>
      </c>
      <c r="Q342">
        <v>2.5</v>
      </c>
      <c r="R342">
        <v>2</v>
      </c>
      <c r="S342">
        <v>3.2</v>
      </c>
      <c r="T342">
        <v>4</v>
      </c>
      <c r="U342">
        <v>4</v>
      </c>
      <c r="V342" t="s">
        <v>38</v>
      </c>
    </row>
    <row r="343" spans="1:22" x14ac:dyDescent="0.25">
      <c r="A343" t="s">
        <v>77</v>
      </c>
      <c r="B343">
        <v>1</v>
      </c>
      <c r="C343" t="s">
        <v>47</v>
      </c>
      <c r="D343" t="s">
        <v>78</v>
      </c>
      <c r="E343" t="s">
        <v>79</v>
      </c>
      <c r="F343">
        <v>150</v>
      </c>
      <c r="G343">
        <v>1250</v>
      </c>
      <c r="H343">
        <v>-3</v>
      </c>
      <c r="I343">
        <v>1983</v>
      </c>
      <c r="J343" t="s">
        <v>36</v>
      </c>
      <c r="K343">
        <v>2573</v>
      </c>
      <c r="L343">
        <v>21.7</v>
      </c>
      <c r="M343">
        <v>17.420000000000002</v>
      </c>
      <c r="N343" s="4">
        <f t="shared" si="10"/>
        <v>3.6964865E-2</v>
      </c>
      <c r="O343" s="4">
        <f t="shared" si="11"/>
        <v>0.64392794830000011</v>
      </c>
      <c r="P343">
        <v>88</v>
      </c>
      <c r="Q343">
        <v>3</v>
      </c>
      <c r="R343">
        <v>3.5</v>
      </c>
      <c r="S343">
        <v>3</v>
      </c>
      <c r="T343">
        <v>3.3</v>
      </c>
      <c r="U343">
        <v>2.2999999999999998</v>
      </c>
      <c r="V343" t="s">
        <v>25</v>
      </c>
    </row>
    <row r="344" spans="1:22" x14ac:dyDescent="0.25">
      <c r="A344" t="s">
        <v>77</v>
      </c>
      <c r="B344">
        <v>1</v>
      </c>
      <c r="C344" t="s">
        <v>47</v>
      </c>
      <c r="D344" t="s">
        <v>78</v>
      </c>
      <c r="E344" t="s">
        <v>79</v>
      </c>
      <c r="F344">
        <v>150</v>
      </c>
      <c r="G344">
        <v>1250</v>
      </c>
      <c r="H344">
        <v>-3</v>
      </c>
      <c r="I344">
        <v>1983</v>
      </c>
      <c r="J344" t="s">
        <v>62</v>
      </c>
      <c r="K344">
        <v>2550</v>
      </c>
      <c r="L344">
        <v>7.84</v>
      </c>
      <c r="M344">
        <v>3.34</v>
      </c>
      <c r="N344" s="4">
        <f t="shared" si="10"/>
        <v>4.8250495999999999E-3</v>
      </c>
      <c r="O344" s="4">
        <f t="shared" si="11"/>
        <v>1.6115665663999999E-2</v>
      </c>
      <c r="P344">
        <v>38</v>
      </c>
      <c r="Q344">
        <v>2</v>
      </c>
      <c r="R344">
        <v>2.2999999999999998</v>
      </c>
      <c r="S344">
        <v>1.5</v>
      </c>
      <c r="T344">
        <v>2</v>
      </c>
      <c r="U344">
        <v>2</v>
      </c>
      <c r="V344" t="s">
        <v>30</v>
      </c>
    </row>
    <row r="345" spans="1:22" x14ac:dyDescent="0.25">
      <c r="A345" t="s">
        <v>77</v>
      </c>
      <c r="B345">
        <v>1</v>
      </c>
      <c r="C345" t="s">
        <v>47</v>
      </c>
      <c r="D345" t="s">
        <v>78</v>
      </c>
      <c r="E345" t="s">
        <v>79</v>
      </c>
      <c r="F345">
        <v>150</v>
      </c>
      <c r="G345">
        <v>1250</v>
      </c>
      <c r="H345">
        <v>-3</v>
      </c>
      <c r="I345">
        <v>1983</v>
      </c>
      <c r="J345" t="s">
        <v>62</v>
      </c>
      <c r="K345">
        <v>2553</v>
      </c>
      <c r="L345">
        <v>25.57</v>
      </c>
      <c r="M345">
        <v>17.43</v>
      </c>
      <c r="N345" s="4">
        <f t="shared" si="10"/>
        <v>5.1325254649999992E-2</v>
      </c>
      <c r="O345" s="4">
        <f t="shared" si="11"/>
        <v>0.89459918854949982</v>
      </c>
      <c r="P345">
        <v>50</v>
      </c>
      <c r="Q345">
        <v>3.7</v>
      </c>
      <c r="R345">
        <v>3</v>
      </c>
      <c r="S345">
        <v>2.7</v>
      </c>
      <c r="T345">
        <v>3</v>
      </c>
      <c r="U345">
        <v>2</v>
      </c>
      <c r="V345" t="s">
        <v>38</v>
      </c>
    </row>
    <row r="346" spans="1:22" x14ac:dyDescent="0.25">
      <c r="A346" t="s">
        <v>77</v>
      </c>
      <c r="B346">
        <v>1</v>
      </c>
      <c r="C346" t="s">
        <v>47</v>
      </c>
      <c r="D346" t="s">
        <v>78</v>
      </c>
      <c r="E346" t="s">
        <v>79</v>
      </c>
      <c r="F346">
        <v>150</v>
      </c>
      <c r="G346">
        <v>1250</v>
      </c>
      <c r="H346">
        <v>-3</v>
      </c>
      <c r="I346">
        <v>1983</v>
      </c>
      <c r="J346" t="s">
        <v>37</v>
      </c>
      <c r="K346">
        <v>2575</v>
      </c>
      <c r="L346">
        <v>6.87</v>
      </c>
      <c r="M346">
        <v>9.4</v>
      </c>
      <c r="N346" s="4">
        <f t="shared" si="10"/>
        <v>3.7049566499999997E-3</v>
      </c>
      <c r="O346" s="4">
        <f t="shared" si="11"/>
        <v>3.4826592509999997E-2</v>
      </c>
      <c r="P346">
        <v>50</v>
      </c>
      <c r="Q346">
        <v>1.5</v>
      </c>
      <c r="R346">
        <v>3</v>
      </c>
      <c r="S346">
        <v>2</v>
      </c>
      <c r="T346">
        <v>2</v>
      </c>
      <c r="U346">
        <v>2</v>
      </c>
      <c r="V346" t="s">
        <v>50</v>
      </c>
    </row>
    <row r="347" spans="1:22" x14ac:dyDescent="0.25">
      <c r="A347" t="s">
        <v>77</v>
      </c>
      <c r="B347">
        <v>1</v>
      </c>
      <c r="C347" t="s">
        <v>47</v>
      </c>
      <c r="D347" t="s">
        <v>78</v>
      </c>
      <c r="E347" t="s">
        <v>79</v>
      </c>
      <c r="F347">
        <v>150</v>
      </c>
      <c r="G347">
        <v>1250</v>
      </c>
      <c r="H347">
        <v>-3</v>
      </c>
      <c r="I347">
        <v>1983</v>
      </c>
      <c r="J347" t="s">
        <v>26</v>
      </c>
      <c r="K347">
        <v>2552</v>
      </c>
      <c r="L347">
        <v>31.87</v>
      </c>
      <c r="M347">
        <v>20.52</v>
      </c>
      <c r="N347" s="4">
        <f t="shared" si="10"/>
        <v>7.9732206649999998E-2</v>
      </c>
      <c r="O347" s="4">
        <f t="shared" si="11"/>
        <v>1.6361048804579998</v>
      </c>
      <c r="P347">
        <v>25</v>
      </c>
      <c r="Q347">
        <v>3.7</v>
      </c>
      <c r="R347">
        <v>3.5</v>
      </c>
      <c r="S347">
        <v>2.5</v>
      </c>
      <c r="T347">
        <v>2.5</v>
      </c>
      <c r="U347">
        <v>1.5</v>
      </c>
      <c r="V347" t="s">
        <v>38</v>
      </c>
    </row>
    <row r="348" spans="1:22" x14ac:dyDescent="0.25">
      <c r="A348" t="s">
        <v>77</v>
      </c>
      <c r="B348">
        <v>1</v>
      </c>
      <c r="C348" t="s">
        <v>47</v>
      </c>
      <c r="D348" t="s">
        <v>78</v>
      </c>
      <c r="E348" t="s">
        <v>79</v>
      </c>
      <c r="F348">
        <v>150</v>
      </c>
      <c r="G348">
        <v>1250</v>
      </c>
      <c r="H348">
        <v>-3</v>
      </c>
      <c r="I348">
        <v>1983</v>
      </c>
      <c r="J348" t="s">
        <v>62</v>
      </c>
      <c r="K348">
        <v>2574</v>
      </c>
      <c r="L348">
        <v>15.11</v>
      </c>
      <c r="M348">
        <v>15.54</v>
      </c>
      <c r="N348" s="4">
        <f t="shared" si="10"/>
        <v>1.7922499849999995E-2</v>
      </c>
      <c r="O348" s="4">
        <f t="shared" si="11"/>
        <v>0.27851564766899989</v>
      </c>
      <c r="P348">
        <v>75</v>
      </c>
      <c r="Q348">
        <v>3.7</v>
      </c>
      <c r="R348">
        <v>3</v>
      </c>
      <c r="S348">
        <v>3.3</v>
      </c>
      <c r="T348">
        <v>3.5</v>
      </c>
      <c r="U348">
        <v>3.5</v>
      </c>
      <c r="V348" t="s">
        <v>25</v>
      </c>
    </row>
    <row r="349" spans="1:22" x14ac:dyDescent="0.25">
      <c r="A349" t="s">
        <v>77</v>
      </c>
      <c r="B349">
        <v>1</v>
      </c>
      <c r="C349" t="s">
        <v>47</v>
      </c>
      <c r="D349" t="s">
        <v>78</v>
      </c>
      <c r="E349" t="s">
        <v>79</v>
      </c>
      <c r="F349">
        <v>150</v>
      </c>
      <c r="G349">
        <v>1250</v>
      </c>
      <c r="H349">
        <v>-3</v>
      </c>
      <c r="I349">
        <v>1983</v>
      </c>
      <c r="J349" t="s">
        <v>32</v>
      </c>
      <c r="K349">
        <v>2634</v>
      </c>
      <c r="L349">
        <v>21.72</v>
      </c>
      <c r="M349">
        <v>14.75</v>
      </c>
      <c r="N349" s="4">
        <f t="shared" si="10"/>
        <v>3.7033034399999991E-2</v>
      </c>
      <c r="O349" s="4">
        <f t="shared" si="11"/>
        <v>0.54623725739999984</v>
      </c>
      <c r="P349">
        <v>38</v>
      </c>
      <c r="Q349">
        <v>3</v>
      </c>
      <c r="R349">
        <v>3</v>
      </c>
      <c r="S349">
        <v>3</v>
      </c>
      <c r="T349">
        <v>4</v>
      </c>
      <c r="U349">
        <v>2.2999999999999998</v>
      </c>
      <c r="V349" t="s">
        <v>25</v>
      </c>
    </row>
    <row r="350" spans="1:22" x14ac:dyDescent="0.25">
      <c r="A350" t="s">
        <v>77</v>
      </c>
      <c r="B350">
        <v>2</v>
      </c>
      <c r="C350" t="s">
        <v>47</v>
      </c>
      <c r="D350" t="s">
        <v>78</v>
      </c>
      <c r="E350" t="s">
        <v>79</v>
      </c>
      <c r="F350">
        <v>150</v>
      </c>
      <c r="G350">
        <v>1250</v>
      </c>
      <c r="H350">
        <v>-3</v>
      </c>
      <c r="I350">
        <v>1983</v>
      </c>
      <c r="J350" t="s">
        <v>76</v>
      </c>
      <c r="K350">
        <v>1592</v>
      </c>
      <c r="L350">
        <v>24.95</v>
      </c>
      <c r="M350">
        <v>19.690000000000001</v>
      </c>
      <c r="N350" s="4">
        <f t="shared" si="10"/>
        <v>4.8866446250000001E-2</v>
      </c>
      <c r="O350" s="4">
        <f t="shared" si="11"/>
        <v>0.96218032666250008</v>
      </c>
      <c r="P350">
        <v>50</v>
      </c>
      <c r="Q350">
        <v>3.5</v>
      </c>
      <c r="R350">
        <v>3</v>
      </c>
      <c r="S350">
        <v>2.7</v>
      </c>
      <c r="T350">
        <v>3</v>
      </c>
      <c r="U350">
        <v>2.7</v>
      </c>
      <c r="V350" t="s">
        <v>25</v>
      </c>
    </row>
    <row r="351" spans="1:22" x14ac:dyDescent="0.25">
      <c r="A351" t="s">
        <v>77</v>
      </c>
      <c r="B351">
        <v>2</v>
      </c>
      <c r="C351" t="s">
        <v>47</v>
      </c>
      <c r="D351" t="s">
        <v>78</v>
      </c>
      <c r="E351" t="s">
        <v>79</v>
      </c>
      <c r="F351">
        <v>150</v>
      </c>
      <c r="G351">
        <v>1250</v>
      </c>
      <c r="H351">
        <v>-3</v>
      </c>
      <c r="I351">
        <v>1983</v>
      </c>
      <c r="J351" t="s">
        <v>76</v>
      </c>
      <c r="K351">
        <v>2560</v>
      </c>
      <c r="L351">
        <v>17.350000000000001</v>
      </c>
      <c r="M351">
        <v>16.11</v>
      </c>
      <c r="N351" s="4">
        <f t="shared" si="10"/>
        <v>2.3630266250000004E-2</v>
      </c>
      <c r="O351" s="4">
        <f t="shared" si="11"/>
        <v>0.38068358928750007</v>
      </c>
      <c r="P351">
        <v>38</v>
      </c>
      <c r="Q351">
        <v>3</v>
      </c>
      <c r="R351">
        <v>3</v>
      </c>
      <c r="S351">
        <v>2.5</v>
      </c>
      <c r="T351">
        <v>3.5</v>
      </c>
      <c r="U351">
        <v>2.5</v>
      </c>
      <c r="V351" t="s">
        <v>25</v>
      </c>
    </row>
    <row r="352" spans="1:22" x14ac:dyDescent="0.25">
      <c r="A352" t="s">
        <v>77</v>
      </c>
      <c r="B352">
        <v>2</v>
      </c>
      <c r="C352" t="s">
        <v>47</v>
      </c>
      <c r="D352" t="s">
        <v>78</v>
      </c>
      <c r="E352" t="s">
        <v>79</v>
      </c>
      <c r="F352">
        <v>150</v>
      </c>
      <c r="G352">
        <v>1250</v>
      </c>
      <c r="H352">
        <v>-3</v>
      </c>
      <c r="I352">
        <v>1983</v>
      </c>
      <c r="J352" t="s">
        <v>24</v>
      </c>
      <c r="K352">
        <v>2562</v>
      </c>
      <c r="L352">
        <v>18.809999999999999</v>
      </c>
      <c r="M352">
        <v>19.09</v>
      </c>
      <c r="N352" s="4">
        <f t="shared" si="10"/>
        <v>2.7774563849999996E-2</v>
      </c>
      <c r="O352" s="4">
        <f t="shared" si="11"/>
        <v>0.53021642389649992</v>
      </c>
      <c r="P352">
        <v>75</v>
      </c>
      <c r="Q352">
        <v>3</v>
      </c>
      <c r="R352">
        <v>3</v>
      </c>
      <c r="S352">
        <v>3.5</v>
      </c>
      <c r="T352">
        <v>4</v>
      </c>
      <c r="U352">
        <v>3</v>
      </c>
      <c r="V352" t="s">
        <v>27</v>
      </c>
    </row>
    <row r="353" spans="1:22" x14ac:dyDescent="0.25">
      <c r="A353" t="s">
        <v>77</v>
      </c>
      <c r="B353">
        <v>2</v>
      </c>
      <c r="C353" t="s">
        <v>47</v>
      </c>
      <c r="D353" t="s">
        <v>78</v>
      </c>
      <c r="E353" t="s">
        <v>79</v>
      </c>
      <c r="F353">
        <v>150</v>
      </c>
      <c r="G353">
        <v>1250</v>
      </c>
      <c r="H353">
        <v>-3</v>
      </c>
      <c r="I353">
        <v>1983</v>
      </c>
      <c r="J353" t="s">
        <v>80</v>
      </c>
      <c r="K353">
        <v>1252</v>
      </c>
      <c r="L353">
        <v>15.35</v>
      </c>
      <c r="M353">
        <v>11.87</v>
      </c>
      <c r="N353" s="4">
        <f t="shared" si="10"/>
        <v>1.849636625E-2</v>
      </c>
      <c r="O353" s="4">
        <f t="shared" si="11"/>
        <v>0.21955186738749999</v>
      </c>
      <c r="P353">
        <v>75</v>
      </c>
      <c r="Q353">
        <v>2.9</v>
      </c>
      <c r="R353">
        <v>2.7</v>
      </c>
      <c r="S353">
        <v>2.5</v>
      </c>
      <c r="T353">
        <v>3</v>
      </c>
      <c r="U353">
        <v>2.5</v>
      </c>
      <c r="V353" t="s">
        <v>38</v>
      </c>
    </row>
    <row r="354" spans="1:22" x14ac:dyDescent="0.25">
      <c r="A354" t="s">
        <v>77</v>
      </c>
      <c r="B354">
        <v>2</v>
      </c>
      <c r="C354" t="s">
        <v>47</v>
      </c>
      <c r="D354" t="s">
        <v>78</v>
      </c>
      <c r="E354" t="s">
        <v>79</v>
      </c>
      <c r="F354">
        <v>150</v>
      </c>
      <c r="G354">
        <v>1250</v>
      </c>
      <c r="H354">
        <v>-3</v>
      </c>
      <c r="I354">
        <v>1983</v>
      </c>
      <c r="J354" t="s">
        <v>59</v>
      </c>
      <c r="K354">
        <v>2548</v>
      </c>
      <c r="L354">
        <v>22.6</v>
      </c>
      <c r="M354">
        <v>12.61</v>
      </c>
      <c r="N354" s="4">
        <f t="shared" si="10"/>
        <v>4.0094660000000004E-2</v>
      </c>
      <c r="O354" s="4">
        <f t="shared" si="11"/>
        <v>0.50559366260000005</v>
      </c>
      <c r="P354">
        <v>63</v>
      </c>
      <c r="Q354">
        <v>3.5</v>
      </c>
      <c r="R354">
        <v>3</v>
      </c>
      <c r="S354">
        <v>2</v>
      </c>
      <c r="T354">
        <v>2</v>
      </c>
      <c r="U354">
        <v>1.5</v>
      </c>
      <c r="V354" t="s">
        <v>38</v>
      </c>
    </row>
    <row r="355" spans="1:22" x14ac:dyDescent="0.25">
      <c r="A355" t="s">
        <v>77</v>
      </c>
      <c r="B355">
        <v>2</v>
      </c>
      <c r="C355" t="s">
        <v>47</v>
      </c>
      <c r="D355" t="s">
        <v>78</v>
      </c>
      <c r="E355" t="s">
        <v>79</v>
      </c>
      <c r="F355">
        <v>150</v>
      </c>
      <c r="G355">
        <v>1250</v>
      </c>
      <c r="H355">
        <v>-3</v>
      </c>
      <c r="I355">
        <v>1983</v>
      </c>
      <c r="J355" t="s">
        <v>32</v>
      </c>
      <c r="K355">
        <v>1596</v>
      </c>
      <c r="L355">
        <v>21.45</v>
      </c>
      <c r="M355">
        <v>16.760000000000002</v>
      </c>
      <c r="N355" s="4">
        <f t="shared" si="10"/>
        <v>3.6118046250000001E-2</v>
      </c>
      <c r="O355" s="4">
        <f t="shared" si="11"/>
        <v>0.60533845515000007</v>
      </c>
      <c r="P355">
        <v>75</v>
      </c>
      <c r="Q355">
        <v>3</v>
      </c>
      <c r="R355">
        <v>3.2</v>
      </c>
      <c r="S355">
        <v>3.3</v>
      </c>
      <c r="T355">
        <v>3.5</v>
      </c>
      <c r="U355">
        <v>3</v>
      </c>
      <c r="V355" t="s">
        <v>25</v>
      </c>
    </row>
    <row r="356" spans="1:22" x14ac:dyDescent="0.25">
      <c r="A356" t="s">
        <v>77</v>
      </c>
      <c r="B356">
        <v>2</v>
      </c>
      <c r="C356" t="s">
        <v>47</v>
      </c>
      <c r="D356" t="s">
        <v>78</v>
      </c>
      <c r="E356" t="s">
        <v>79</v>
      </c>
      <c r="F356">
        <v>150</v>
      </c>
      <c r="G356">
        <v>1250</v>
      </c>
      <c r="H356">
        <v>-3</v>
      </c>
      <c r="I356">
        <v>1983</v>
      </c>
      <c r="J356" t="s">
        <v>32</v>
      </c>
      <c r="K356">
        <v>2569</v>
      </c>
      <c r="L356">
        <v>15.15</v>
      </c>
      <c r="M356">
        <v>15.82</v>
      </c>
      <c r="N356" s="4">
        <f t="shared" si="10"/>
        <v>1.8017516250000001E-2</v>
      </c>
      <c r="O356" s="4">
        <f t="shared" si="11"/>
        <v>0.28503710707500002</v>
      </c>
      <c r="P356">
        <v>75</v>
      </c>
      <c r="Q356">
        <v>3</v>
      </c>
      <c r="R356">
        <v>3</v>
      </c>
      <c r="S356">
        <v>3.1</v>
      </c>
      <c r="T356">
        <v>3.4</v>
      </c>
      <c r="U356">
        <v>3</v>
      </c>
      <c r="V356" t="s">
        <v>25</v>
      </c>
    </row>
    <row r="357" spans="1:22" x14ac:dyDescent="0.25">
      <c r="A357" t="s">
        <v>77</v>
      </c>
      <c r="B357">
        <v>2</v>
      </c>
      <c r="C357" t="s">
        <v>47</v>
      </c>
      <c r="D357" t="s">
        <v>78</v>
      </c>
      <c r="E357" t="s">
        <v>79</v>
      </c>
      <c r="F357">
        <v>150</v>
      </c>
      <c r="G357">
        <v>1250</v>
      </c>
      <c r="H357">
        <v>-3</v>
      </c>
      <c r="I357">
        <v>1983</v>
      </c>
      <c r="J357" t="s">
        <v>33</v>
      </c>
      <c r="K357">
        <v>2568</v>
      </c>
      <c r="L357">
        <v>20.46</v>
      </c>
      <c r="M357">
        <v>19.260000000000002</v>
      </c>
      <c r="N357" s="4">
        <f t="shared" si="10"/>
        <v>3.2861010600000004E-2</v>
      </c>
      <c r="O357" s="4">
        <f t="shared" si="11"/>
        <v>0.63290306415600017</v>
      </c>
      <c r="P357">
        <v>50</v>
      </c>
      <c r="Q357">
        <v>3</v>
      </c>
      <c r="R357">
        <v>2.2000000000000002</v>
      </c>
      <c r="S357">
        <v>3.3</v>
      </c>
      <c r="T357">
        <v>3.3</v>
      </c>
      <c r="U357">
        <v>3</v>
      </c>
      <c r="V357" t="s">
        <v>25</v>
      </c>
    </row>
    <row r="358" spans="1:22" x14ac:dyDescent="0.25">
      <c r="A358" t="s">
        <v>77</v>
      </c>
      <c r="B358">
        <v>2</v>
      </c>
      <c r="C358" t="s">
        <v>47</v>
      </c>
      <c r="D358" t="s">
        <v>78</v>
      </c>
      <c r="E358" t="s">
        <v>79</v>
      </c>
      <c r="F358">
        <v>150</v>
      </c>
      <c r="G358">
        <v>1250</v>
      </c>
      <c r="H358">
        <v>-3</v>
      </c>
      <c r="I358">
        <v>1983</v>
      </c>
      <c r="J358" t="s">
        <v>34</v>
      </c>
      <c r="K358">
        <v>1522</v>
      </c>
      <c r="L358">
        <v>20.8</v>
      </c>
      <c r="M358">
        <v>15.41</v>
      </c>
      <c r="N358" s="4">
        <f t="shared" si="10"/>
        <v>3.3962240000000012E-2</v>
      </c>
      <c r="O358" s="4">
        <f t="shared" si="11"/>
        <v>0.52335811840000024</v>
      </c>
      <c r="P358">
        <v>25</v>
      </c>
      <c r="Q358">
        <v>3.5</v>
      </c>
      <c r="R358">
        <v>2.8</v>
      </c>
      <c r="S358">
        <v>3.3</v>
      </c>
      <c r="T358">
        <v>3.2</v>
      </c>
      <c r="U358">
        <v>3.5</v>
      </c>
      <c r="V358" t="s">
        <v>25</v>
      </c>
    </row>
    <row r="359" spans="1:22" x14ac:dyDescent="0.25">
      <c r="A359" t="s">
        <v>77</v>
      </c>
      <c r="B359">
        <v>2</v>
      </c>
      <c r="C359" t="s">
        <v>47</v>
      </c>
      <c r="D359" t="s">
        <v>78</v>
      </c>
      <c r="E359" t="s">
        <v>79</v>
      </c>
      <c r="F359">
        <v>150</v>
      </c>
      <c r="G359">
        <v>1250</v>
      </c>
      <c r="H359">
        <v>-3</v>
      </c>
      <c r="I359">
        <v>1983</v>
      </c>
      <c r="J359" t="s">
        <v>34</v>
      </c>
      <c r="K359">
        <v>2570</v>
      </c>
      <c r="L359">
        <v>22.98</v>
      </c>
      <c r="M359">
        <v>19.899999999999999</v>
      </c>
      <c r="N359" s="4">
        <f t="shared" si="10"/>
        <v>4.1454311399999999E-2</v>
      </c>
      <c r="O359" s="4">
        <f t="shared" si="11"/>
        <v>0.82494079685999988</v>
      </c>
      <c r="P359">
        <v>50</v>
      </c>
      <c r="Q359">
        <v>4</v>
      </c>
      <c r="R359">
        <v>2.7</v>
      </c>
      <c r="S359">
        <v>3.5</v>
      </c>
      <c r="T359">
        <v>3.3</v>
      </c>
      <c r="U359">
        <v>3.5</v>
      </c>
      <c r="V359" t="s">
        <v>27</v>
      </c>
    </row>
    <row r="360" spans="1:22" x14ac:dyDescent="0.25">
      <c r="A360" t="s">
        <v>77</v>
      </c>
      <c r="B360">
        <v>2</v>
      </c>
      <c r="C360" t="s">
        <v>47</v>
      </c>
      <c r="D360" t="s">
        <v>78</v>
      </c>
      <c r="E360" t="s">
        <v>79</v>
      </c>
      <c r="F360">
        <v>150</v>
      </c>
      <c r="G360">
        <v>1250</v>
      </c>
      <c r="H360">
        <v>-3</v>
      </c>
      <c r="I360">
        <v>1983</v>
      </c>
      <c r="J360" t="s">
        <v>35</v>
      </c>
      <c r="K360">
        <v>1788</v>
      </c>
      <c r="L360">
        <v>16.989999999999998</v>
      </c>
      <c r="M360">
        <v>16.52</v>
      </c>
      <c r="N360" s="4">
        <f t="shared" si="10"/>
        <v>2.265981785E-2</v>
      </c>
      <c r="O360" s="4">
        <f t="shared" si="11"/>
        <v>0.37434019088199999</v>
      </c>
      <c r="P360">
        <v>25</v>
      </c>
      <c r="Q360">
        <v>3</v>
      </c>
      <c r="R360">
        <v>2.7</v>
      </c>
      <c r="S360">
        <v>3.2</v>
      </c>
      <c r="T360">
        <v>3.7</v>
      </c>
      <c r="U360">
        <v>3.2</v>
      </c>
      <c r="V360" t="s">
        <v>38</v>
      </c>
    </row>
    <row r="361" spans="1:22" x14ac:dyDescent="0.25">
      <c r="A361" t="s">
        <v>77</v>
      </c>
      <c r="B361">
        <v>2</v>
      </c>
      <c r="C361" t="s">
        <v>47</v>
      </c>
      <c r="D361" t="s">
        <v>78</v>
      </c>
      <c r="E361" t="s">
        <v>79</v>
      </c>
      <c r="F361">
        <v>150</v>
      </c>
      <c r="G361">
        <v>1250</v>
      </c>
      <c r="H361">
        <v>-3</v>
      </c>
      <c r="I361">
        <v>1983</v>
      </c>
      <c r="J361" t="s">
        <v>35</v>
      </c>
      <c r="K361">
        <v>2571</v>
      </c>
      <c r="L361">
        <v>19.670000000000002</v>
      </c>
      <c r="M361">
        <v>20.14</v>
      </c>
      <c r="N361" s="4">
        <f t="shared" si="10"/>
        <v>3.0372348650000006E-2</v>
      </c>
      <c r="O361" s="4">
        <f t="shared" si="11"/>
        <v>0.61169910181100018</v>
      </c>
      <c r="P361">
        <v>50</v>
      </c>
      <c r="Q361">
        <v>3</v>
      </c>
      <c r="R361">
        <v>2</v>
      </c>
      <c r="S361">
        <v>3.3</v>
      </c>
      <c r="T361">
        <v>3.7</v>
      </c>
      <c r="U361">
        <v>4</v>
      </c>
      <c r="V361" t="s">
        <v>25</v>
      </c>
    </row>
    <row r="362" spans="1:22" x14ac:dyDescent="0.25">
      <c r="A362" t="s">
        <v>77</v>
      </c>
      <c r="B362">
        <v>2</v>
      </c>
      <c r="C362" t="s">
        <v>47</v>
      </c>
      <c r="D362" t="s">
        <v>78</v>
      </c>
      <c r="E362" t="s">
        <v>79</v>
      </c>
      <c r="F362">
        <v>150</v>
      </c>
      <c r="G362">
        <v>1250</v>
      </c>
      <c r="H362">
        <v>-3</v>
      </c>
      <c r="I362">
        <v>1983</v>
      </c>
      <c r="J362" t="s">
        <v>81</v>
      </c>
      <c r="K362">
        <v>2750</v>
      </c>
      <c r="L362">
        <v>29.47</v>
      </c>
      <c r="M362">
        <v>14.67</v>
      </c>
      <c r="N362" s="4">
        <f t="shared" si="10"/>
        <v>6.8175750649999978E-2</v>
      </c>
      <c r="O362" s="4">
        <f t="shared" si="11"/>
        <v>1.0001382620354997</v>
      </c>
      <c r="P362">
        <v>88</v>
      </c>
      <c r="Q362">
        <v>4</v>
      </c>
      <c r="R362">
        <v>4</v>
      </c>
      <c r="S362">
        <v>3</v>
      </c>
      <c r="T362">
        <v>3</v>
      </c>
      <c r="U362">
        <v>1.7</v>
      </c>
      <c r="V362" t="s">
        <v>27</v>
      </c>
    </row>
    <row r="363" spans="1:22" x14ac:dyDescent="0.25">
      <c r="A363" t="s">
        <v>77</v>
      </c>
      <c r="B363">
        <v>2</v>
      </c>
      <c r="C363" t="s">
        <v>47</v>
      </c>
      <c r="D363" t="s">
        <v>78</v>
      </c>
      <c r="E363" t="s">
        <v>79</v>
      </c>
      <c r="F363">
        <v>150</v>
      </c>
      <c r="G363">
        <v>1250</v>
      </c>
      <c r="H363">
        <v>-3</v>
      </c>
      <c r="I363">
        <v>1983</v>
      </c>
      <c r="J363" t="s">
        <v>36</v>
      </c>
      <c r="K363">
        <v>2573</v>
      </c>
      <c r="L363">
        <v>23.29</v>
      </c>
      <c r="M363">
        <v>17.739999999999998</v>
      </c>
      <c r="N363" s="4">
        <f t="shared" si="10"/>
        <v>4.258029185E-2</v>
      </c>
      <c r="O363" s="4">
        <f t="shared" si="11"/>
        <v>0.75537437741899993</v>
      </c>
      <c r="P363">
        <v>75</v>
      </c>
      <c r="Q363">
        <v>3</v>
      </c>
      <c r="R363">
        <v>3</v>
      </c>
      <c r="S363">
        <v>3</v>
      </c>
      <c r="T363">
        <v>3.5</v>
      </c>
      <c r="U363">
        <v>2.5</v>
      </c>
      <c r="V363" t="s">
        <v>27</v>
      </c>
    </row>
    <row r="364" spans="1:22" x14ac:dyDescent="0.25">
      <c r="A364" t="s">
        <v>77</v>
      </c>
      <c r="B364">
        <v>2</v>
      </c>
      <c r="C364" t="s">
        <v>47</v>
      </c>
      <c r="D364" t="s">
        <v>78</v>
      </c>
      <c r="E364" t="s">
        <v>79</v>
      </c>
      <c r="F364">
        <v>150</v>
      </c>
      <c r="G364">
        <v>1250</v>
      </c>
      <c r="H364">
        <v>-3</v>
      </c>
      <c r="I364">
        <v>1983</v>
      </c>
      <c r="J364" t="s">
        <v>62</v>
      </c>
      <c r="K364">
        <v>2550</v>
      </c>
      <c r="L364">
        <v>24.55</v>
      </c>
      <c r="M364">
        <v>15.98</v>
      </c>
      <c r="N364" s="4">
        <f t="shared" si="10"/>
        <v>4.7312146249999999E-2</v>
      </c>
      <c r="O364" s="4">
        <f t="shared" si="11"/>
        <v>0.75604809707499998</v>
      </c>
      <c r="P364">
        <v>13</v>
      </c>
      <c r="Q364">
        <v>3</v>
      </c>
      <c r="R364">
        <v>2.7</v>
      </c>
      <c r="S364">
        <v>4</v>
      </c>
      <c r="T364">
        <v>3.3</v>
      </c>
      <c r="U364">
        <v>3</v>
      </c>
      <c r="V364" t="s">
        <v>38</v>
      </c>
    </row>
    <row r="365" spans="1:22" x14ac:dyDescent="0.25">
      <c r="A365" t="s">
        <v>77</v>
      </c>
      <c r="B365">
        <v>2</v>
      </c>
      <c r="C365" t="s">
        <v>47</v>
      </c>
      <c r="D365" t="s">
        <v>78</v>
      </c>
      <c r="E365" t="s">
        <v>79</v>
      </c>
      <c r="F365">
        <v>150</v>
      </c>
      <c r="G365">
        <v>1250</v>
      </c>
      <c r="H365">
        <v>-3</v>
      </c>
      <c r="I365">
        <v>1983</v>
      </c>
      <c r="J365" t="s">
        <v>62</v>
      </c>
      <c r="K365">
        <v>2553</v>
      </c>
      <c r="L365">
        <v>23.53</v>
      </c>
      <c r="M365">
        <v>21.06</v>
      </c>
      <c r="N365" s="4">
        <f t="shared" si="10"/>
        <v>4.3462380650000007E-2</v>
      </c>
      <c r="O365" s="4">
        <f t="shared" si="11"/>
        <v>0.91531773648900006</v>
      </c>
      <c r="P365">
        <v>50</v>
      </c>
      <c r="Q365">
        <v>4.5</v>
      </c>
      <c r="R365">
        <v>3.5</v>
      </c>
      <c r="S365">
        <v>3.3</v>
      </c>
      <c r="T365">
        <v>3.2</v>
      </c>
      <c r="U365">
        <v>2.8</v>
      </c>
      <c r="V365" t="s">
        <v>25</v>
      </c>
    </row>
    <row r="366" spans="1:22" x14ac:dyDescent="0.25">
      <c r="A366" t="s">
        <v>77</v>
      </c>
      <c r="B366">
        <v>2</v>
      </c>
      <c r="C366" t="s">
        <v>47</v>
      </c>
      <c r="D366" t="s">
        <v>78</v>
      </c>
      <c r="E366" t="s">
        <v>79</v>
      </c>
      <c r="F366">
        <v>150</v>
      </c>
      <c r="G366">
        <v>1250</v>
      </c>
      <c r="H366">
        <v>-3</v>
      </c>
      <c r="I366">
        <v>1983</v>
      </c>
      <c r="J366" t="s">
        <v>37</v>
      </c>
      <c r="K366">
        <v>2575</v>
      </c>
      <c r="L366">
        <v>3.62</v>
      </c>
      <c r="M366">
        <v>6.03</v>
      </c>
      <c r="N366" s="4">
        <f t="shared" si="10"/>
        <v>1.0286954000000002E-3</v>
      </c>
      <c r="O366" s="4">
        <f t="shared" si="11"/>
        <v>6.2030332620000017E-3</v>
      </c>
      <c r="P366">
        <v>25</v>
      </c>
      <c r="Q366">
        <v>1</v>
      </c>
      <c r="R366">
        <v>3</v>
      </c>
      <c r="S366">
        <v>2.5</v>
      </c>
      <c r="T366">
        <v>2.5</v>
      </c>
      <c r="U366">
        <v>3</v>
      </c>
      <c r="V366" t="s">
        <v>50</v>
      </c>
    </row>
    <row r="367" spans="1:22" x14ac:dyDescent="0.25">
      <c r="A367" t="s">
        <v>77</v>
      </c>
      <c r="B367">
        <v>2</v>
      </c>
      <c r="C367" t="s">
        <v>47</v>
      </c>
      <c r="D367" t="s">
        <v>78</v>
      </c>
      <c r="E367" t="s">
        <v>79</v>
      </c>
      <c r="F367">
        <v>150</v>
      </c>
      <c r="G367">
        <v>1250</v>
      </c>
      <c r="H367">
        <v>-3</v>
      </c>
      <c r="I367">
        <v>1983</v>
      </c>
      <c r="J367" t="s">
        <v>26</v>
      </c>
      <c r="K367">
        <v>2552</v>
      </c>
      <c r="L367">
        <v>31.73</v>
      </c>
      <c r="M367">
        <v>18.88</v>
      </c>
      <c r="N367" s="4">
        <f t="shared" si="10"/>
        <v>7.9033242650000016E-2</v>
      </c>
      <c r="O367" s="4">
        <f t="shared" si="11"/>
        <v>1.4921476212320002</v>
      </c>
      <c r="P367">
        <v>63</v>
      </c>
      <c r="Q367">
        <v>3.8</v>
      </c>
      <c r="R367">
        <v>3.2</v>
      </c>
      <c r="S367">
        <v>3</v>
      </c>
      <c r="T367">
        <v>3</v>
      </c>
      <c r="U367">
        <v>2</v>
      </c>
      <c r="V367" t="s">
        <v>25</v>
      </c>
    </row>
    <row r="368" spans="1:22" x14ac:dyDescent="0.25">
      <c r="A368" t="s">
        <v>77</v>
      </c>
      <c r="B368">
        <v>2</v>
      </c>
      <c r="C368" t="s">
        <v>47</v>
      </c>
      <c r="D368" t="s">
        <v>78</v>
      </c>
      <c r="E368" t="s">
        <v>79</v>
      </c>
      <c r="F368">
        <v>150</v>
      </c>
      <c r="G368">
        <v>1250</v>
      </c>
      <c r="H368">
        <v>-3</v>
      </c>
      <c r="I368">
        <v>1983</v>
      </c>
      <c r="J368" t="s">
        <v>34</v>
      </c>
      <c r="K368">
        <v>2458</v>
      </c>
      <c r="L368">
        <v>18.88</v>
      </c>
      <c r="M368">
        <v>10.53</v>
      </c>
      <c r="N368" s="4">
        <f t="shared" si="10"/>
        <v>2.7981670400000002E-2</v>
      </c>
      <c r="O368" s="4">
        <f t="shared" si="11"/>
        <v>0.29464698931200001</v>
      </c>
      <c r="P368">
        <v>63</v>
      </c>
      <c r="Q368">
        <v>3.5</v>
      </c>
      <c r="R368">
        <v>3</v>
      </c>
      <c r="S368">
        <v>2</v>
      </c>
      <c r="T368">
        <v>2</v>
      </c>
      <c r="U368">
        <v>1.5</v>
      </c>
      <c r="V368" t="s">
        <v>38</v>
      </c>
    </row>
    <row r="369" spans="1:22" x14ac:dyDescent="0.25">
      <c r="A369" t="s">
        <v>77</v>
      </c>
      <c r="B369">
        <v>2</v>
      </c>
      <c r="C369" t="s">
        <v>47</v>
      </c>
      <c r="D369" t="s">
        <v>78</v>
      </c>
      <c r="E369" t="s">
        <v>79</v>
      </c>
      <c r="F369">
        <v>150</v>
      </c>
      <c r="G369">
        <v>1250</v>
      </c>
      <c r="H369">
        <v>-3</v>
      </c>
      <c r="I369">
        <v>1983</v>
      </c>
      <c r="J369" t="s">
        <v>62</v>
      </c>
      <c r="K369">
        <v>2574</v>
      </c>
      <c r="L369">
        <v>24.4</v>
      </c>
      <c r="M369">
        <v>20.329999999999998</v>
      </c>
      <c r="N369" s="4">
        <f t="shared" si="10"/>
        <v>4.6735760000000001E-2</v>
      </c>
      <c r="O369" s="4">
        <f t="shared" si="11"/>
        <v>0.95013800079999999</v>
      </c>
      <c r="P369">
        <v>75</v>
      </c>
      <c r="Q369">
        <v>4.5</v>
      </c>
      <c r="R369">
        <v>3.5</v>
      </c>
      <c r="S369">
        <v>3.3</v>
      </c>
      <c r="T369">
        <v>3.2</v>
      </c>
      <c r="U369">
        <v>2.8</v>
      </c>
      <c r="V369" t="s">
        <v>25</v>
      </c>
    </row>
    <row r="370" spans="1:22" x14ac:dyDescent="0.25">
      <c r="A370" t="s">
        <v>77</v>
      </c>
      <c r="B370">
        <v>3</v>
      </c>
      <c r="C370" t="s">
        <v>47</v>
      </c>
      <c r="D370" t="s">
        <v>78</v>
      </c>
      <c r="E370" t="s">
        <v>79</v>
      </c>
      <c r="F370">
        <v>150</v>
      </c>
      <c r="G370">
        <v>1250</v>
      </c>
      <c r="H370">
        <v>-3</v>
      </c>
      <c r="I370">
        <v>1983</v>
      </c>
      <c r="J370" t="s">
        <v>76</v>
      </c>
      <c r="K370">
        <v>1592</v>
      </c>
      <c r="L370">
        <v>18.399999999999999</v>
      </c>
      <c r="M370">
        <v>14.18</v>
      </c>
      <c r="N370" s="4">
        <f t="shared" si="10"/>
        <v>2.657696E-2</v>
      </c>
      <c r="O370" s="4">
        <f t="shared" si="11"/>
        <v>0.37686129279999997</v>
      </c>
      <c r="P370">
        <v>50</v>
      </c>
      <c r="Q370">
        <v>3.5</v>
      </c>
      <c r="R370">
        <v>3.2</v>
      </c>
      <c r="S370">
        <v>2</v>
      </c>
      <c r="T370">
        <v>2.5</v>
      </c>
      <c r="U370">
        <v>1.5</v>
      </c>
      <c r="V370" t="s">
        <v>25</v>
      </c>
    </row>
    <row r="371" spans="1:22" x14ac:dyDescent="0.25">
      <c r="A371" t="s">
        <v>77</v>
      </c>
      <c r="B371">
        <v>3</v>
      </c>
      <c r="C371" t="s">
        <v>47</v>
      </c>
      <c r="D371" t="s">
        <v>78</v>
      </c>
      <c r="E371" t="s">
        <v>79</v>
      </c>
      <c r="F371">
        <v>150</v>
      </c>
      <c r="G371">
        <v>1250</v>
      </c>
      <c r="H371">
        <v>-3</v>
      </c>
      <c r="I371">
        <v>1983</v>
      </c>
      <c r="J371" t="s">
        <v>76</v>
      </c>
      <c r="K371">
        <v>2560</v>
      </c>
      <c r="L371">
        <v>18.59</v>
      </c>
      <c r="M371">
        <v>8.26</v>
      </c>
      <c r="N371" s="4">
        <f t="shared" si="10"/>
        <v>2.7128665850000004E-2</v>
      </c>
      <c r="O371" s="4">
        <f t="shared" si="11"/>
        <v>0.22408277992100004</v>
      </c>
      <c r="P371">
        <v>13</v>
      </c>
      <c r="Q371">
        <v>2.5</v>
      </c>
      <c r="R371">
        <v>3.5</v>
      </c>
      <c r="S371">
        <v>2</v>
      </c>
      <c r="T371">
        <v>2</v>
      </c>
      <c r="U371">
        <v>2</v>
      </c>
      <c r="V371" t="s">
        <v>38</v>
      </c>
    </row>
    <row r="372" spans="1:22" x14ac:dyDescent="0.25">
      <c r="A372" t="s">
        <v>77</v>
      </c>
      <c r="B372">
        <v>3</v>
      </c>
      <c r="C372" t="s">
        <v>47</v>
      </c>
      <c r="D372" t="s">
        <v>78</v>
      </c>
      <c r="E372" t="s">
        <v>79</v>
      </c>
      <c r="F372">
        <v>150</v>
      </c>
      <c r="G372">
        <v>1250</v>
      </c>
      <c r="H372">
        <v>-3</v>
      </c>
      <c r="I372">
        <v>1983</v>
      </c>
      <c r="J372" t="s">
        <v>24</v>
      </c>
      <c r="K372">
        <v>2562</v>
      </c>
      <c r="L372">
        <v>14.87</v>
      </c>
      <c r="M372">
        <v>15.56</v>
      </c>
      <c r="N372" s="4">
        <f t="shared" si="10"/>
        <v>1.7357676650000001E-2</v>
      </c>
      <c r="O372" s="4">
        <f t="shared" si="11"/>
        <v>0.27008544867400003</v>
      </c>
      <c r="P372">
        <v>38</v>
      </c>
      <c r="Q372">
        <v>3.5</v>
      </c>
      <c r="R372">
        <v>3.5</v>
      </c>
      <c r="S372">
        <v>3.3</v>
      </c>
      <c r="T372">
        <v>3.3</v>
      </c>
      <c r="U372">
        <v>3</v>
      </c>
      <c r="V372" t="s">
        <v>25</v>
      </c>
    </row>
    <row r="373" spans="1:22" x14ac:dyDescent="0.25">
      <c r="A373" t="s">
        <v>77</v>
      </c>
      <c r="B373">
        <v>3</v>
      </c>
      <c r="C373" t="s">
        <v>47</v>
      </c>
      <c r="D373" t="s">
        <v>78</v>
      </c>
      <c r="E373" t="s">
        <v>79</v>
      </c>
      <c r="F373">
        <v>150</v>
      </c>
      <c r="G373">
        <v>1250</v>
      </c>
      <c r="H373">
        <v>-3</v>
      </c>
      <c r="I373">
        <v>1983</v>
      </c>
      <c r="J373" t="s">
        <v>59</v>
      </c>
      <c r="K373">
        <v>2548</v>
      </c>
      <c r="L373">
        <v>41.51</v>
      </c>
      <c r="M373">
        <v>14.6</v>
      </c>
      <c r="N373" s="4">
        <f t="shared" si="10"/>
        <v>0.13526178784999998</v>
      </c>
      <c r="O373" s="4">
        <f t="shared" si="11"/>
        <v>1.9748221026099997</v>
      </c>
      <c r="P373">
        <v>25</v>
      </c>
      <c r="Q373">
        <v>3</v>
      </c>
      <c r="R373">
        <v>3</v>
      </c>
      <c r="S373">
        <v>1.5</v>
      </c>
      <c r="T373">
        <v>1.5</v>
      </c>
      <c r="U373">
        <v>1</v>
      </c>
      <c r="V373" t="s">
        <v>38</v>
      </c>
    </row>
    <row r="374" spans="1:22" x14ac:dyDescent="0.25">
      <c r="A374" t="s">
        <v>77</v>
      </c>
      <c r="B374">
        <v>3</v>
      </c>
      <c r="C374" t="s">
        <v>47</v>
      </c>
      <c r="D374" t="s">
        <v>78</v>
      </c>
      <c r="E374" t="s">
        <v>79</v>
      </c>
      <c r="F374">
        <v>150</v>
      </c>
      <c r="G374">
        <v>1250</v>
      </c>
      <c r="H374">
        <v>-3</v>
      </c>
      <c r="I374">
        <v>1983</v>
      </c>
      <c r="J374" t="s">
        <v>32</v>
      </c>
      <c r="K374">
        <v>1596</v>
      </c>
      <c r="L374">
        <v>19.04</v>
      </c>
      <c r="M374">
        <v>14.75</v>
      </c>
      <c r="N374" s="4">
        <f t="shared" si="10"/>
        <v>2.8457945599999996E-2</v>
      </c>
      <c r="O374" s="4">
        <f t="shared" si="11"/>
        <v>0.41975469759999995</v>
      </c>
      <c r="P374">
        <v>50</v>
      </c>
      <c r="Q374">
        <v>3.5</v>
      </c>
      <c r="R374">
        <v>4</v>
      </c>
      <c r="S374">
        <v>2.5</v>
      </c>
      <c r="T374">
        <v>2.5</v>
      </c>
      <c r="U374">
        <v>2</v>
      </c>
      <c r="V374" t="s">
        <v>25</v>
      </c>
    </row>
    <row r="375" spans="1:22" x14ac:dyDescent="0.25">
      <c r="A375" t="s">
        <v>77</v>
      </c>
      <c r="B375">
        <v>3</v>
      </c>
      <c r="C375" t="s">
        <v>47</v>
      </c>
      <c r="D375" t="s">
        <v>78</v>
      </c>
      <c r="E375" t="s">
        <v>79</v>
      </c>
      <c r="F375">
        <v>150</v>
      </c>
      <c r="G375">
        <v>1250</v>
      </c>
      <c r="H375">
        <v>-3</v>
      </c>
      <c r="I375">
        <v>1983</v>
      </c>
      <c r="J375" t="s">
        <v>32</v>
      </c>
      <c r="K375">
        <v>2569</v>
      </c>
      <c r="L375">
        <v>15.55</v>
      </c>
      <c r="M375">
        <v>12.87</v>
      </c>
      <c r="N375" s="4">
        <f t="shared" si="10"/>
        <v>1.898149625E-2</v>
      </c>
      <c r="O375" s="4">
        <f t="shared" si="11"/>
        <v>0.24429185673749998</v>
      </c>
      <c r="P375">
        <v>63</v>
      </c>
      <c r="Q375">
        <v>3</v>
      </c>
      <c r="R375">
        <v>3</v>
      </c>
      <c r="S375">
        <v>2.5</v>
      </c>
      <c r="T375">
        <v>3</v>
      </c>
      <c r="U375">
        <v>2</v>
      </c>
      <c r="V375" t="s">
        <v>25</v>
      </c>
    </row>
    <row r="376" spans="1:22" x14ac:dyDescent="0.25">
      <c r="A376" t="s">
        <v>77</v>
      </c>
      <c r="B376">
        <v>3</v>
      </c>
      <c r="C376" t="s">
        <v>47</v>
      </c>
      <c r="D376" t="s">
        <v>78</v>
      </c>
      <c r="E376" t="s">
        <v>79</v>
      </c>
      <c r="F376">
        <v>150</v>
      </c>
      <c r="G376">
        <v>1250</v>
      </c>
      <c r="H376">
        <v>-3</v>
      </c>
      <c r="I376">
        <v>1983</v>
      </c>
      <c r="J376" t="s">
        <v>33</v>
      </c>
      <c r="K376">
        <v>2547</v>
      </c>
      <c r="L376">
        <v>25.4</v>
      </c>
      <c r="M376">
        <v>18.75</v>
      </c>
      <c r="N376" s="4">
        <f t="shared" si="10"/>
        <v>5.0645060000000006E-2</v>
      </c>
      <c r="O376" s="4">
        <f t="shared" si="11"/>
        <v>0.94959487500000006</v>
      </c>
      <c r="P376">
        <v>13</v>
      </c>
      <c r="Q376">
        <v>3.7</v>
      </c>
      <c r="R376">
        <v>2.7</v>
      </c>
      <c r="S376">
        <v>2</v>
      </c>
      <c r="T376">
        <v>2.5</v>
      </c>
      <c r="U376">
        <v>2.2999999999999998</v>
      </c>
      <c r="V376" t="s">
        <v>38</v>
      </c>
    </row>
    <row r="377" spans="1:22" x14ac:dyDescent="0.25">
      <c r="A377" t="s">
        <v>77</v>
      </c>
      <c r="B377">
        <v>3</v>
      </c>
      <c r="C377" t="s">
        <v>47</v>
      </c>
      <c r="D377" t="s">
        <v>78</v>
      </c>
      <c r="E377" t="s">
        <v>79</v>
      </c>
      <c r="F377">
        <v>150</v>
      </c>
      <c r="G377">
        <v>1250</v>
      </c>
      <c r="H377">
        <v>-3</v>
      </c>
      <c r="I377">
        <v>1983</v>
      </c>
      <c r="J377" t="s">
        <v>33</v>
      </c>
      <c r="K377">
        <v>2568</v>
      </c>
      <c r="L377">
        <v>47.73</v>
      </c>
      <c r="M377">
        <v>18.55</v>
      </c>
      <c r="N377" s="4">
        <f t="shared" si="10"/>
        <v>0.17883500264999996</v>
      </c>
      <c r="O377" s="4">
        <f t="shared" si="11"/>
        <v>3.3173892991574996</v>
      </c>
      <c r="P377">
        <v>13</v>
      </c>
      <c r="Q377">
        <v>3.5</v>
      </c>
      <c r="R377">
        <v>2.7</v>
      </c>
      <c r="S377">
        <v>2</v>
      </c>
      <c r="T377">
        <v>2</v>
      </c>
      <c r="U377">
        <v>2</v>
      </c>
      <c r="V377" t="s">
        <v>25</v>
      </c>
    </row>
    <row r="378" spans="1:22" x14ac:dyDescent="0.25">
      <c r="A378" t="s">
        <v>77</v>
      </c>
      <c r="B378">
        <v>3</v>
      </c>
      <c r="C378" t="s">
        <v>47</v>
      </c>
      <c r="D378" t="s">
        <v>78</v>
      </c>
      <c r="E378" t="s">
        <v>79</v>
      </c>
      <c r="F378">
        <v>150</v>
      </c>
      <c r="G378">
        <v>1250</v>
      </c>
      <c r="H378">
        <v>-3</v>
      </c>
      <c r="I378">
        <v>1983</v>
      </c>
      <c r="J378" t="s">
        <v>34</v>
      </c>
      <c r="K378">
        <v>1522</v>
      </c>
      <c r="L378">
        <v>21.7</v>
      </c>
      <c r="M378">
        <v>17.329999999999998</v>
      </c>
      <c r="N378" s="4">
        <f t="shared" si="10"/>
        <v>3.6964865E-2</v>
      </c>
      <c r="O378" s="4">
        <f t="shared" si="11"/>
        <v>0.6406011104499999</v>
      </c>
      <c r="P378">
        <v>25</v>
      </c>
      <c r="Q378">
        <v>3.3</v>
      </c>
      <c r="R378">
        <v>3</v>
      </c>
      <c r="S378">
        <v>3</v>
      </c>
      <c r="T378">
        <v>3</v>
      </c>
      <c r="U378">
        <v>3</v>
      </c>
      <c r="V378" t="s">
        <v>25</v>
      </c>
    </row>
    <row r="379" spans="1:22" x14ac:dyDescent="0.25">
      <c r="A379" t="s">
        <v>77</v>
      </c>
      <c r="B379">
        <v>3</v>
      </c>
      <c r="C379" t="s">
        <v>47</v>
      </c>
      <c r="D379" t="s">
        <v>78</v>
      </c>
      <c r="E379" t="s">
        <v>79</v>
      </c>
      <c r="F379">
        <v>150</v>
      </c>
      <c r="G379">
        <v>1250</v>
      </c>
      <c r="H379">
        <v>-3</v>
      </c>
      <c r="I379">
        <v>1983</v>
      </c>
      <c r="J379" t="s">
        <v>34</v>
      </c>
      <c r="K379">
        <v>2570</v>
      </c>
      <c r="L379">
        <v>34.67</v>
      </c>
      <c r="M379">
        <v>15.41</v>
      </c>
      <c r="N379" s="4">
        <f t="shared" si="10"/>
        <v>9.4357698650000002E-2</v>
      </c>
      <c r="O379" s="4">
        <f t="shared" si="11"/>
        <v>1.4540521361965</v>
      </c>
      <c r="P379">
        <v>13</v>
      </c>
      <c r="Q379">
        <v>4</v>
      </c>
      <c r="R379">
        <v>3</v>
      </c>
      <c r="S379">
        <v>2.5</v>
      </c>
      <c r="T379">
        <v>2.5</v>
      </c>
      <c r="U379">
        <v>2</v>
      </c>
      <c r="V379" t="s">
        <v>38</v>
      </c>
    </row>
    <row r="380" spans="1:22" x14ac:dyDescent="0.25">
      <c r="A380" t="s">
        <v>77</v>
      </c>
      <c r="B380">
        <v>3</v>
      </c>
      <c r="C380" t="s">
        <v>47</v>
      </c>
      <c r="D380" t="s">
        <v>78</v>
      </c>
      <c r="E380" t="s">
        <v>79</v>
      </c>
      <c r="F380">
        <v>150</v>
      </c>
      <c r="G380">
        <v>1250</v>
      </c>
      <c r="H380">
        <v>-3</v>
      </c>
      <c r="I380">
        <v>1983</v>
      </c>
      <c r="J380" t="s">
        <v>35</v>
      </c>
      <c r="K380">
        <v>1788</v>
      </c>
      <c r="L380">
        <v>7.4</v>
      </c>
      <c r="M380">
        <v>13.38</v>
      </c>
      <c r="N380" s="4">
        <f t="shared" si="10"/>
        <v>4.2986600000000019E-3</v>
      </c>
      <c r="O380" s="4">
        <f t="shared" si="11"/>
        <v>5.7516070800000027E-2</v>
      </c>
      <c r="P380">
        <v>25</v>
      </c>
      <c r="Q380">
        <v>1</v>
      </c>
      <c r="R380">
        <v>2</v>
      </c>
      <c r="S380">
        <v>3.2</v>
      </c>
      <c r="T380">
        <v>3</v>
      </c>
      <c r="U380">
        <v>3</v>
      </c>
      <c r="V380" t="s">
        <v>50</v>
      </c>
    </row>
    <row r="381" spans="1:22" x14ac:dyDescent="0.25">
      <c r="A381" t="s">
        <v>77</v>
      </c>
      <c r="B381">
        <v>3</v>
      </c>
      <c r="C381" t="s">
        <v>47</v>
      </c>
      <c r="D381" t="s">
        <v>78</v>
      </c>
      <c r="E381" t="s">
        <v>79</v>
      </c>
      <c r="F381">
        <v>150</v>
      </c>
      <c r="G381">
        <v>1250</v>
      </c>
      <c r="H381">
        <v>-3</v>
      </c>
      <c r="I381">
        <v>1983</v>
      </c>
      <c r="J381" t="s">
        <v>35</v>
      </c>
      <c r="K381">
        <v>2571</v>
      </c>
      <c r="L381">
        <v>22.03</v>
      </c>
      <c r="M381">
        <v>19.34</v>
      </c>
      <c r="N381" s="4">
        <f t="shared" si="10"/>
        <v>3.8097690650000016E-2</v>
      </c>
      <c r="O381" s="4">
        <f t="shared" si="11"/>
        <v>0.73680933717100028</v>
      </c>
      <c r="P381">
        <v>50</v>
      </c>
      <c r="Q381">
        <v>4</v>
      </c>
      <c r="R381">
        <v>2.5</v>
      </c>
      <c r="S381">
        <v>3.3</v>
      </c>
      <c r="T381">
        <v>3.3</v>
      </c>
      <c r="U381">
        <v>3</v>
      </c>
      <c r="V381" t="s">
        <v>27</v>
      </c>
    </row>
    <row r="382" spans="1:22" x14ac:dyDescent="0.25">
      <c r="A382" t="s">
        <v>77</v>
      </c>
      <c r="B382">
        <v>3</v>
      </c>
      <c r="C382" t="s">
        <v>47</v>
      </c>
      <c r="D382" t="s">
        <v>78</v>
      </c>
      <c r="E382" t="s">
        <v>79</v>
      </c>
      <c r="F382">
        <v>150</v>
      </c>
      <c r="G382">
        <v>1250</v>
      </c>
      <c r="H382">
        <v>-3</v>
      </c>
      <c r="I382">
        <v>1983</v>
      </c>
      <c r="J382" t="s">
        <v>81</v>
      </c>
      <c r="K382">
        <v>2750</v>
      </c>
      <c r="L382">
        <v>32.75</v>
      </c>
      <c r="M382">
        <v>16.37</v>
      </c>
      <c r="N382" s="4">
        <f t="shared" si="10"/>
        <v>8.4196156250000015E-2</v>
      </c>
      <c r="O382" s="4">
        <f t="shared" si="11"/>
        <v>1.3782910778125004</v>
      </c>
      <c r="P382">
        <v>50</v>
      </c>
      <c r="Q382">
        <v>4</v>
      </c>
      <c r="R382">
        <v>4</v>
      </c>
      <c r="S382">
        <v>2</v>
      </c>
      <c r="T382">
        <v>2</v>
      </c>
      <c r="U382">
        <v>2</v>
      </c>
      <c r="V382" t="s">
        <v>27</v>
      </c>
    </row>
    <row r="383" spans="1:22" x14ac:dyDescent="0.25">
      <c r="A383" t="s">
        <v>77</v>
      </c>
      <c r="B383">
        <v>3</v>
      </c>
      <c r="C383" t="s">
        <v>47</v>
      </c>
      <c r="D383" t="s">
        <v>78</v>
      </c>
      <c r="E383" t="s">
        <v>79</v>
      </c>
      <c r="F383">
        <v>150</v>
      </c>
      <c r="G383">
        <v>1250</v>
      </c>
      <c r="H383">
        <v>-3</v>
      </c>
      <c r="I383">
        <v>1983</v>
      </c>
      <c r="J383" t="s">
        <v>36</v>
      </c>
      <c r="K383">
        <v>2573</v>
      </c>
      <c r="L383">
        <v>27.4</v>
      </c>
      <c r="M383">
        <v>17.899999999999999</v>
      </c>
      <c r="N383" s="4">
        <f t="shared" si="10"/>
        <v>5.8934659999999986E-2</v>
      </c>
      <c r="O383" s="4">
        <f t="shared" si="11"/>
        <v>1.0549304139999998</v>
      </c>
      <c r="P383">
        <v>38</v>
      </c>
      <c r="Q383">
        <v>3</v>
      </c>
      <c r="R383">
        <v>3.3</v>
      </c>
      <c r="S383">
        <v>2.5</v>
      </c>
      <c r="T383">
        <v>3</v>
      </c>
      <c r="U383">
        <v>2</v>
      </c>
      <c r="V383" t="s">
        <v>25</v>
      </c>
    </row>
    <row r="384" spans="1:22" x14ac:dyDescent="0.25">
      <c r="A384" t="s">
        <v>77</v>
      </c>
      <c r="B384">
        <v>3</v>
      </c>
      <c r="C384" t="s">
        <v>47</v>
      </c>
      <c r="D384" t="s">
        <v>78</v>
      </c>
      <c r="E384" t="s">
        <v>79</v>
      </c>
      <c r="F384">
        <v>150</v>
      </c>
      <c r="G384">
        <v>1250</v>
      </c>
      <c r="H384">
        <v>-3</v>
      </c>
      <c r="I384">
        <v>1983</v>
      </c>
      <c r="J384" t="s">
        <v>62</v>
      </c>
      <c r="K384">
        <v>2550</v>
      </c>
      <c r="L384">
        <v>23.1</v>
      </c>
      <c r="M384">
        <v>18.59</v>
      </c>
      <c r="N384" s="4">
        <f t="shared" si="10"/>
        <v>4.1888385000000007E-2</v>
      </c>
      <c r="O384" s="4">
        <f t="shared" si="11"/>
        <v>0.77870507715000015</v>
      </c>
      <c r="P384">
        <v>63</v>
      </c>
      <c r="Q384">
        <v>4</v>
      </c>
      <c r="R384">
        <v>3.5</v>
      </c>
      <c r="S384">
        <v>3.3</v>
      </c>
      <c r="T384">
        <v>3.3</v>
      </c>
      <c r="U384">
        <v>3</v>
      </c>
      <c r="V384" t="s">
        <v>25</v>
      </c>
    </row>
    <row r="385" spans="1:22" x14ac:dyDescent="0.25">
      <c r="A385" t="s">
        <v>77</v>
      </c>
      <c r="B385">
        <v>3</v>
      </c>
      <c r="C385" t="s">
        <v>47</v>
      </c>
      <c r="D385" t="s">
        <v>78</v>
      </c>
      <c r="E385" t="s">
        <v>79</v>
      </c>
      <c r="F385">
        <v>150</v>
      </c>
      <c r="G385">
        <v>1250</v>
      </c>
      <c r="H385">
        <v>-3</v>
      </c>
      <c r="I385">
        <v>1983</v>
      </c>
      <c r="J385" t="s">
        <v>62</v>
      </c>
      <c r="K385">
        <v>2553</v>
      </c>
      <c r="L385">
        <v>20.34</v>
      </c>
      <c r="M385">
        <v>18.45</v>
      </c>
      <c r="N385" s="4">
        <f t="shared" si="10"/>
        <v>3.2476674600000005E-2</v>
      </c>
      <c r="O385" s="4">
        <f t="shared" si="11"/>
        <v>0.59919464637000008</v>
      </c>
      <c r="P385">
        <v>75</v>
      </c>
      <c r="Q385">
        <v>3.5</v>
      </c>
      <c r="R385">
        <v>3</v>
      </c>
      <c r="S385">
        <v>3.3</v>
      </c>
      <c r="T385">
        <v>3.3</v>
      </c>
      <c r="U385">
        <v>3</v>
      </c>
      <c r="V385" t="s">
        <v>25</v>
      </c>
    </row>
    <row r="386" spans="1:22" x14ac:dyDescent="0.25">
      <c r="A386" t="s">
        <v>77</v>
      </c>
      <c r="B386">
        <v>3</v>
      </c>
      <c r="C386" t="s">
        <v>47</v>
      </c>
      <c r="D386" t="s">
        <v>78</v>
      </c>
      <c r="E386" t="s">
        <v>79</v>
      </c>
      <c r="F386">
        <v>150</v>
      </c>
      <c r="G386">
        <v>1250</v>
      </c>
      <c r="H386">
        <v>-3</v>
      </c>
      <c r="I386">
        <v>1983</v>
      </c>
      <c r="J386" t="s">
        <v>37</v>
      </c>
      <c r="K386">
        <v>2575</v>
      </c>
      <c r="L386">
        <v>5.18</v>
      </c>
      <c r="M386">
        <v>4.82</v>
      </c>
      <c r="N386" s="4">
        <f t="shared" si="10"/>
        <v>2.1063434000000002E-3</v>
      </c>
      <c r="O386" s="4">
        <f t="shared" si="11"/>
        <v>1.0152575188000001E-2</v>
      </c>
      <c r="P386">
        <v>38</v>
      </c>
      <c r="Q386">
        <v>1</v>
      </c>
      <c r="R386">
        <v>2</v>
      </c>
      <c r="S386">
        <v>2</v>
      </c>
      <c r="T386">
        <v>2</v>
      </c>
      <c r="U386">
        <v>2</v>
      </c>
      <c r="V386" t="s">
        <v>50</v>
      </c>
    </row>
    <row r="387" spans="1:22" x14ac:dyDescent="0.25">
      <c r="A387" t="s">
        <v>77</v>
      </c>
      <c r="B387">
        <v>3</v>
      </c>
      <c r="C387" t="s">
        <v>47</v>
      </c>
      <c r="D387" t="s">
        <v>78</v>
      </c>
      <c r="E387" t="s">
        <v>79</v>
      </c>
      <c r="F387">
        <v>150</v>
      </c>
      <c r="G387">
        <v>1250</v>
      </c>
      <c r="H387">
        <v>-3</v>
      </c>
      <c r="I387">
        <v>1983</v>
      </c>
      <c r="J387" t="s">
        <v>26</v>
      </c>
      <c r="K387">
        <v>2552</v>
      </c>
      <c r="L387">
        <v>15.05</v>
      </c>
      <c r="M387">
        <v>9.0500000000000007</v>
      </c>
      <c r="N387" s="4">
        <f t="shared" ref="N387:N450" si="12">3.14/4*((L387/100)^2)</f>
        <v>1.7780446249999998E-2</v>
      </c>
      <c r="O387" s="4">
        <f t="shared" ref="O387:O450" si="13">3.14/4*((L387/100)^2)*M387</f>
        <v>0.1609130385625</v>
      </c>
      <c r="P387">
        <v>25</v>
      </c>
      <c r="Q387">
        <v>4</v>
      </c>
      <c r="R387">
        <v>4</v>
      </c>
      <c r="S387">
        <v>2</v>
      </c>
      <c r="T387">
        <v>1.5</v>
      </c>
      <c r="U387">
        <v>1</v>
      </c>
      <c r="V387" t="s">
        <v>38</v>
      </c>
    </row>
    <row r="388" spans="1:22" x14ac:dyDescent="0.25">
      <c r="A388" t="s">
        <v>77</v>
      </c>
      <c r="B388">
        <v>3</v>
      </c>
      <c r="C388" t="s">
        <v>47</v>
      </c>
      <c r="D388" t="s">
        <v>78</v>
      </c>
      <c r="E388" t="s">
        <v>79</v>
      </c>
      <c r="F388">
        <v>150</v>
      </c>
      <c r="G388">
        <v>1250</v>
      </c>
      <c r="H388">
        <v>-3</v>
      </c>
      <c r="I388">
        <v>1983</v>
      </c>
      <c r="J388" t="s">
        <v>62</v>
      </c>
      <c r="K388">
        <v>2574</v>
      </c>
      <c r="L388">
        <v>22.08</v>
      </c>
      <c r="M388">
        <v>21.79</v>
      </c>
      <c r="N388" s="4">
        <f t="shared" si="12"/>
        <v>3.8270822400000001E-2</v>
      </c>
      <c r="O388" s="4">
        <f t="shared" si="13"/>
        <v>0.833921220096</v>
      </c>
      <c r="P388">
        <v>50</v>
      </c>
      <c r="Q388">
        <v>3.5</v>
      </c>
      <c r="R388">
        <v>3</v>
      </c>
      <c r="S388">
        <v>3.3</v>
      </c>
      <c r="T388">
        <v>3.3</v>
      </c>
      <c r="U388">
        <v>3</v>
      </c>
      <c r="V388" t="s">
        <v>25</v>
      </c>
    </row>
    <row r="389" spans="1:22" x14ac:dyDescent="0.25">
      <c r="A389" t="s">
        <v>77</v>
      </c>
      <c r="B389">
        <v>3</v>
      </c>
      <c r="C389" t="s">
        <v>47</v>
      </c>
      <c r="D389" t="s">
        <v>78</v>
      </c>
      <c r="E389" t="s">
        <v>79</v>
      </c>
      <c r="F389">
        <v>150</v>
      </c>
      <c r="G389">
        <v>1250</v>
      </c>
      <c r="H389">
        <v>-3</v>
      </c>
      <c r="I389">
        <v>1983</v>
      </c>
      <c r="J389" t="s">
        <v>32</v>
      </c>
      <c r="K389">
        <v>2634</v>
      </c>
      <c r="L389">
        <v>26.28</v>
      </c>
      <c r="M389">
        <v>20.11</v>
      </c>
      <c r="N389" s="4">
        <f t="shared" si="12"/>
        <v>5.4215114400000014E-2</v>
      </c>
      <c r="O389" s="4">
        <f t="shared" si="13"/>
        <v>1.0902659505840002</v>
      </c>
      <c r="P389">
        <v>25</v>
      </c>
      <c r="Q389">
        <v>3.1</v>
      </c>
      <c r="R389">
        <v>3</v>
      </c>
      <c r="S389">
        <v>3</v>
      </c>
      <c r="T389">
        <v>3</v>
      </c>
      <c r="U389">
        <v>2</v>
      </c>
      <c r="V389" t="s">
        <v>25</v>
      </c>
    </row>
    <row r="390" spans="1:22" x14ac:dyDescent="0.25">
      <c r="A390" t="s">
        <v>82</v>
      </c>
      <c r="B390">
        <v>1</v>
      </c>
      <c r="C390" t="s">
        <v>66</v>
      </c>
      <c r="D390" t="s">
        <v>67</v>
      </c>
      <c r="E390" t="s">
        <v>68</v>
      </c>
      <c r="F390">
        <v>180</v>
      </c>
      <c r="G390">
        <v>1080</v>
      </c>
      <c r="H390">
        <v>-3</v>
      </c>
      <c r="I390">
        <v>1983</v>
      </c>
      <c r="J390" t="s">
        <v>24</v>
      </c>
      <c r="K390">
        <v>2562</v>
      </c>
      <c r="L390">
        <v>17.41</v>
      </c>
      <c r="M390">
        <v>12.44</v>
      </c>
      <c r="N390" s="4">
        <f t="shared" si="12"/>
        <v>2.3793985850000001E-2</v>
      </c>
      <c r="O390" s="4">
        <f t="shared" si="13"/>
        <v>0.29599718397399999</v>
      </c>
      <c r="P390">
        <v>50</v>
      </c>
      <c r="Q390">
        <v>3.5</v>
      </c>
      <c r="R390">
        <v>3.3</v>
      </c>
      <c r="S390">
        <v>3</v>
      </c>
      <c r="T390">
        <v>3.5</v>
      </c>
      <c r="U390">
        <v>3</v>
      </c>
      <c r="V390" t="s">
        <v>25</v>
      </c>
    </row>
    <row r="391" spans="1:22" x14ac:dyDescent="0.25">
      <c r="A391" t="s">
        <v>82</v>
      </c>
      <c r="B391">
        <v>1</v>
      </c>
      <c r="C391" t="s">
        <v>66</v>
      </c>
      <c r="D391" t="s">
        <v>67</v>
      </c>
      <c r="E391" t="s">
        <v>68</v>
      </c>
      <c r="F391">
        <v>180</v>
      </c>
      <c r="G391">
        <v>1080</v>
      </c>
      <c r="H391">
        <v>-3</v>
      </c>
      <c r="I391">
        <v>1983</v>
      </c>
      <c r="J391" t="s">
        <v>80</v>
      </c>
      <c r="K391">
        <v>1252</v>
      </c>
      <c r="L391">
        <v>12.96</v>
      </c>
      <c r="M391">
        <v>11.21</v>
      </c>
      <c r="N391" s="4">
        <f t="shared" si="12"/>
        <v>1.3184985600000004E-2</v>
      </c>
      <c r="O391" s="4">
        <f t="shared" si="13"/>
        <v>0.14780368857600007</v>
      </c>
      <c r="P391">
        <v>88</v>
      </c>
      <c r="Q391">
        <v>4</v>
      </c>
      <c r="R391">
        <v>4</v>
      </c>
      <c r="S391">
        <v>2.5</v>
      </c>
      <c r="T391">
        <v>2</v>
      </c>
      <c r="U391">
        <v>2</v>
      </c>
      <c r="V391" t="s">
        <v>38</v>
      </c>
    </row>
    <row r="392" spans="1:22" x14ac:dyDescent="0.25">
      <c r="A392" t="s">
        <v>82</v>
      </c>
      <c r="B392">
        <v>1</v>
      </c>
      <c r="C392" t="s">
        <v>66</v>
      </c>
      <c r="D392" t="s">
        <v>67</v>
      </c>
      <c r="E392" t="s">
        <v>68</v>
      </c>
      <c r="F392">
        <v>180</v>
      </c>
      <c r="G392">
        <v>1080</v>
      </c>
      <c r="H392">
        <v>-3</v>
      </c>
      <c r="I392">
        <v>1983</v>
      </c>
      <c r="J392" t="s">
        <v>24</v>
      </c>
      <c r="K392">
        <v>1</v>
      </c>
      <c r="L392">
        <v>6.77</v>
      </c>
      <c r="M392">
        <v>7.19</v>
      </c>
      <c r="N392" s="4">
        <f t="shared" si="12"/>
        <v>3.5978826499999997E-3</v>
      </c>
      <c r="O392" s="4">
        <f t="shared" si="13"/>
        <v>2.5868776253499998E-2</v>
      </c>
      <c r="P392">
        <v>75</v>
      </c>
      <c r="Q392">
        <v>3</v>
      </c>
      <c r="R392">
        <v>3</v>
      </c>
      <c r="S392">
        <v>2.7</v>
      </c>
      <c r="T392">
        <v>3</v>
      </c>
      <c r="U392">
        <v>3</v>
      </c>
      <c r="V392" t="s">
        <v>38</v>
      </c>
    </row>
    <row r="393" spans="1:22" x14ac:dyDescent="0.25">
      <c r="A393" t="s">
        <v>82</v>
      </c>
      <c r="B393">
        <v>1</v>
      </c>
      <c r="C393" t="s">
        <v>66</v>
      </c>
      <c r="D393" t="s">
        <v>67</v>
      </c>
      <c r="E393" t="s">
        <v>68</v>
      </c>
      <c r="F393">
        <v>180</v>
      </c>
      <c r="G393">
        <v>1080</v>
      </c>
      <c r="H393">
        <v>-3</v>
      </c>
      <c r="I393">
        <v>1983</v>
      </c>
      <c r="J393" t="s">
        <v>59</v>
      </c>
      <c r="K393">
        <v>2548</v>
      </c>
      <c r="L393">
        <v>2.95</v>
      </c>
      <c r="M393">
        <v>4.43</v>
      </c>
      <c r="N393" s="4">
        <f t="shared" si="12"/>
        <v>6.8314625000000012E-4</v>
      </c>
      <c r="O393" s="4">
        <f t="shared" si="13"/>
        <v>3.0263378875000002E-3</v>
      </c>
      <c r="P393">
        <v>13</v>
      </c>
      <c r="Q393">
        <v>1</v>
      </c>
      <c r="R393">
        <v>2</v>
      </c>
      <c r="S393">
        <v>3</v>
      </c>
      <c r="T393">
        <v>3</v>
      </c>
      <c r="U393">
        <v>3</v>
      </c>
      <c r="V393" t="s">
        <v>50</v>
      </c>
    </row>
    <row r="394" spans="1:22" x14ac:dyDescent="0.25">
      <c r="A394" t="s">
        <v>82</v>
      </c>
      <c r="B394">
        <v>1</v>
      </c>
      <c r="C394" t="s">
        <v>66</v>
      </c>
      <c r="D394" t="s">
        <v>67</v>
      </c>
      <c r="E394" t="s">
        <v>68</v>
      </c>
      <c r="F394">
        <v>180</v>
      </c>
      <c r="G394">
        <v>1080</v>
      </c>
      <c r="H394">
        <v>-3</v>
      </c>
      <c r="I394">
        <v>1983</v>
      </c>
      <c r="J394" t="s">
        <v>32</v>
      </c>
      <c r="K394">
        <v>1596</v>
      </c>
      <c r="L394">
        <v>7.68</v>
      </c>
      <c r="M394">
        <v>6.56</v>
      </c>
      <c r="N394" s="4">
        <f t="shared" si="12"/>
        <v>4.6301183999999992E-3</v>
      </c>
      <c r="O394" s="4">
        <f t="shared" si="13"/>
        <v>3.0373576703999993E-2</v>
      </c>
      <c r="P394">
        <v>50</v>
      </c>
      <c r="Q394">
        <v>3</v>
      </c>
      <c r="R394">
        <v>3.5</v>
      </c>
      <c r="S394">
        <v>3.5</v>
      </c>
      <c r="T394">
        <v>4</v>
      </c>
      <c r="U394">
        <v>4</v>
      </c>
      <c r="V394" t="s">
        <v>38</v>
      </c>
    </row>
    <row r="395" spans="1:22" x14ac:dyDescent="0.25">
      <c r="A395" t="s">
        <v>82</v>
      </c>
      <c r="B395">
        <v>1</v>
      </c>
      <c r="C395" t="s">
        <v>66</v>
      </c>
      <c r="D395" t="s">
        <v>67</v>
      </c>
      <c r="E395" t="s">
        <v>68</v>
      </c>
      <c r="F395">
        <v>180</v>
      </c>
      <c r="G395">
        <v>1080</v>
      </c>
      <c r="H395">
        <v>-3</v>
      </c>
      <c r="I395">
        <v>1983</v>
      </c>
      <c r="J395" t="s">
        <v>32</v>
      </c>
      <c r="K395">
        <v>2569</v>
      </c>
      <c r="L395">
        <v>16.690000000000001</v>
      </c>
      <c r="M395">
        <v>11.67</v>
      </c>
      <c r="N395" s="4">
        <f t="shared" si="12"/>
        <v>2.1866653850000004E-2</v>
      </c>
      <c r="O395" s="4">
        <f t="shared" si="13"/>
        <v>0.25518385042950004</v>
      </c>
      <c r="P395">
        <v>75</v>
      </c>
      <c r="Q395">
        <v>3</v>
      </c>
      <c r="R395">
        <v>3.8</v>
      </c>
      <c r="S395">
        <v>3.4</v>
      </c>
      <c r="T395">
        <v>4</v>
      </c>
      <c r="U395">
        <v>3.5</v>
      </c>
      <c r="V395" t="s">
        <v>38</v>
      </c>
    </row>
    <row r="396" spans="1:22" x14ac:dyDescent="0.25">
      <c r="A396" t="s">
        <v>82</v>
      </c>
      <c r="B396">
        <v>1</v>
      </c>
      <c r="C396" t="s">
        <v>66</v>
      </c>
      <c r="D396" t="s">
        <v>67</v>
      </c>
      <c r="E396" t="s">
        <v>68</v>
      </c>
      <c r="F396">
        <v>180</v>
      </c>
      <c r="G396">
        <v>1080</v>
      </c>
      <c r="H396">
        <v>-3</v>
      </c>
      <c r="I396">
        <v>1983</v>
      </c>
      <c r="J396" t="s">
        <v>34</v>
      </c>
      <c r="K396">
        <v>2458</v>
      </c>
      <c r="L396">
        <v>8.4600000000000009</v>
      </c>
      <c r="M396">
        <v>7.05</v>
      </c>
      <c r="N396" s="4">
        <f t="shared" si="12"/>
        <v>5.6183706000000021E-3</v>
      </c>
      <c r="O396" s="4">
        <f t="shared" si="13"/>
        <v>3.9609512730000011E-2</v>
      </c>
      <c r="P396">
        <v>13</v>
      </c>
      <c r="Q396">
        <v>2</v>
      </c>
      <c r="R396">
        <v>3</v>
      </c>
      <c r="S396">
        <v>3</v>
      </c>
      <c r="T396">
        <v>3</v>
      </c>
      <c r="U396">
        <v>3</v>
      </c>
      <c r="V396" t="s">
        <v>30</v>
      </c>
    </row>
    <row r="397" spans="1:22" x14ac:dyDescent="0.25">
      <c r="A397" t="s">
        <v>82</v>
      </c>
      <c r="B397">
        <v>1</v>
      </c>
      <c r="C397" t="s">
        <v>66</v>
      </c>
      <c r="D397" t="s">
        <v>67</v>
      </c>
      <c r="E397" t="s">
        <v>68</v>
      </c>
      <c r="F397">
        <v>180</v>
      </c>
      <c r="G397">
        <v>1080</v>
      </c>
      <c r="H397">
        <v>-3</v>
      </c>
      <c r="I397">
        <v>1983</v>
      </c>
      <c r="J397" t="s">
        <v>35</v>
      </c>
      <c r="K397">
        <v>1788</v>
      </c>
      <c r="L397">
        <v>5.35</v>
      </c>
      <c r="M397">
        <v>5.9</v>
      </c>
      <c r="N397" s="4">
        <f t="shared" si="12"/>
        <v>2.24686625E-3</v>
      </c>
      <c r="O397" s="4">
        <f t="shared" si="13"/>
        <v>1.3256510875E-2</v>
      </c>
      <c r="P397">
        <v>25</v>
      </c>
      <c r="Q397">
        <v>2</v>
      </c>
      <c r="R397">
        <v>1.8</v>
      </c>
      <c r="S397">
        <v>2</v>
      </c>
      <c r="T397">
        <v>2.5</v>
      </c>
      <c r="U397">
        <v>3</v>
      </c>
      <c r="V397" t="s">
        <v>30</v>
      </c>
    </row>
    <row r="398" spans="1:22" x14ac:dyDescent="0.25">
      <c r="A398" t="s">
        <v>82</v>
      </c>
      <c r="B398">
        <v>1</v>
      </c>
      <c r="C398" t="s">
        <v>66</v>
      </c>
      <c r="D398" t="s">
        <v>67</v>
      </c>
      <c r="E398" t="s">
        <v>68</v>
      </c>
      <c r="F398">
        <v>180</v>
      </c>
      <c r="G398">
        <v>1080</v>
      </c>
      <c r="H398">
        <v>-3</v>
      </c>
      <c r="I398">
        <v>1983</v>
      </c>
      <c r="J398" t="s">
        <v>35</v>
      </c>
      <c r="K398">
        <v>2571</v>
      </c>
      <c r="L398">
        <v>14.82</v>
      </c>
      <c r="M398">
        <v>14.23</v>
      </c>
      <c r="N398" s="4">
        <f t="shared" si="12"/>
        <v>1.7241143399999999E-2</v>
      </c>
      <c r="O398" s="4">
        <f t="shared" si="13"/>
        <v>0.24534147058199998</v>
      </c>
      <c r="P398">
        <v>50</v>
      </c>
      <c r="Q398">
        <v>3</v>
      </c>
      <c r="R398">
        <v>1.7</v>
      </c>
      <c r="S398">
        <v>4</v>
      </c>
      <c r="T398">
        <v>4</v>
      </c>
      <c r="U398">
        <v>3.5</v>
      </c>
      <c r="V398" t="s">
        <v>25</v>
      </c>
    </row>
    <row r="399" spans="1:22" x14ac:dyDescent="0.25">
      <c r="A399" t="s">
        <v>82</v>
      </c>
      <c r="B399">
        <v>1</v>
      </c>
      <c r="C399" t="s">
        <v>66</v>
      </c>
      <c r="D399" t="s">
        <v>67</v>
      </c>
      <c r="E399" t="s">
        <v>68</v>
      </c>
      <c r="F399">
        <v>180</v>
      </c>
      <c r="G399">
        <v>1080</v>
      </c>
      <c r="H399">
        <v>-3</v>
      </c>
      <c r="I399">
        <v>1983</v>
      </c>
      <c r="J399" t="s">
        <v>81</v>
      </c>
      <c r="K399">
        <v>2750</v>
      </c>
      <c r="L399">
        <v>9.19</v>
      </c>
      <c r="M399">
        <v>7.81</v>
      </c>
      <c r="N399" s="4">
        <f t="shared" si="12"/>
        <v>6.6298038499999993E-3</v>
      </c>
      <c r="O399" s="4">
        <f t="shared" si="13"/>
        <v>5.1778768068499993E-2</v>
      </c>
      <c r="P399">
        <v>50</v>
      </c>
      <c r="Q399">
        <v>2.8</v>
      </c>
      <c r="R399">
        <v>3</v>
      </c>
      <c r="S399">
        <v>3</v>
      </c>
      <c r="T399">
        <v>4</v>
      </c>
      <c r="U399">
        <v>3</v>
      </c>
      <c r="V399" t="s">
        <v>50</v>
      </c>
    </row>
    <row r="400" spans="1:22" x14ac:dyDescent="0.25">
      <c r="A400" t="s">
        <v>82</v>
      </c>
      <c r="B400">
        <v>1</v>
      </c>
      <c r="C400" t="s">
        <v>66</v>
      </c>
      <c r="D400" t="s">
        <v>67</v>
      </c>
      <c r="E400" t="s">
        <v>68</v>
      </c>
      <c r="F400">
        <v>180</v>
      </c>
      <c r="G400">
        <v>1080</v>
      </c>
      <c r="H400">
        <v>-3</v>
      </c>
      <c r="I400">
        <v>1983</v>
      </c>
      <c r="J400" t="s">
        <v>36</v>
      </c>
      <c r="K400">
        <v>2573</v>
      </c>
      <c r="L400">
        <v>5.19</v>
      </c>
      <c r="M400">
        <v>4.4400000000000004</v>
      </c>
      <c r="N400" s="4">
        <f t="shared" si="12"/>
        <v>2.1144838500000004E-3</v>
      </c>
      <c r="O400" s="4">
        <f t="shared" si="13"/>
        <v>9.3883082940000029E-3</v>
      </c>
      <c r="P400">
        <v>13</v>
      </c>
      <c r="Q400">
        <v>1.5</v>
      </c>
      <c r="R400">
        <v>2.5</v>
      </c>
      <c r="S400">
        <v>3</v>
      </c>
      <c r="T400">
        <v>3</v>
      </c>
      <c r="U400">
        <v>3</v>
      </c>
      <c r="V400" t="s">
        <v>50</v>
      </c>
    </row>
    <row r="401" spans="1:22" x14ac:dyDescent="0.25">
      <c r="A401" t="s">
        <v>82</v>
      </c>
      <c r="B401">
        <v>1</v>
      </c>
      <c r="C401" t="s">
        <v>66</v>
      </c>
      <c r="D401" t="s">
        <v>67</v>
      </c>
      <c r="E401" t="s">
        <v>68</v>
      </c>
      <c r="F401">
        <v>180</v>
      </c>
      <c r="G401">
        <v>1080</v>
      </c>
      <c r="H401">
        <v>-3</v>
      </c>
      <c r="I401">
        <v>1983</v>
      </c>
      <c r="J401" t="s">
        <v>62</v>
      </c>
      <c r="K401">
        <v>2553</v>
      </c>
      <c r="L401">
        <v>9.73</v>
      </c>
      <c r="M401">
        <v>11.04</v>
      </c>
      <c r="N401" s="4">
        <f t="shared" si="12"/>
        <v>7.4318226500000003E-3</v>
      </c>
      <c r="O401" s="4">
        <f t="shared" si="13"/>
        <v>8.2047322056000002E-2</v>
      </c>
      <c r="P401">
        <v>75</v>
      </c>
      <c r="Q401">
        <v>3</v>
      </c>
      <c r="R401">
        <v>3</v>
      </c>
      <c r="S401">
        <v>3.5</v>
      </c>
      <c r="T401">
        <v>4</v>
      </c>
      <c r="U401">
        <v>3.5</v>
      </c>
      <c r="V401" t="s">
        <v>25</v>
      </c>
    </row>
    <row r="402" spans="1:22" x14ac:dyDescent="0.25">
      <c r="A402" t="s">
        <v>82</v>
      </c>
      <c r="B402">
        <v>1</v>
      </c>
      <c r="C402" t="s">
        <v>66</v>
      </c>
      <c r="D402" t="s">
        <v>67</v>
      </c>
      <c r="E402" t="s">
        <v>68</v>
      </c>
      <c r="F402">
        <v>180</v>
      </c>
      <c r="G402">
        <v>1080</v>
      </c>
      <c r="H402">
        <v>-3</v>
      </c>
      <c r="I402">
        <v>1983</v>
      </c>
      <c r="J402" t="s">
        <v>37</v>
      </c>
      <c r="K402">
        <v>2575</v>
      </c>
      <c r="L402">
        <v>13.54</v>
      </c>
      <c r="M402">
        <v>8.81</v>
      </c>
      <c r="N402" s="4">
        <f t="shared" si="12"/>
        <v>1.4391530599999999E-2</v>
      </c>
      <c r="O402" s="4">
        <f t="shared" si="13"/>
        <v>0.126789384586</v>
      </c>
      <c r="P402">
        <v>88</v>
      </c>
      <c r="Q402">
        <v>2.7</v>
      </c>
      <c r="R402">
        <v>2</v>
      </c>
      <c r="S402">
        <v>2.5</v>
      </c>
      <c r="T402">
        <v>3</v>
      </c>
      <c r="U402">
        <v>3</v>
      </c>
      <c r="V402" t="s">
        <v>38</v>
      </c>
    </row>
    <row r="403" spans="1:22" x14ac:dyDescent="0.25">
      <c r="A403" t="s">
        <v>82</v>
      </c>
      <c r="B403">
        <v>1</v>
      </c>
      <c r="C403" t="s">
        <v>66</v>
      </c>
      <c r="D403" t="s">
        <v>67</v>
      </c>
      <c r="E403" t="s">
        <v>68</v>
      </c>
      <c r="F403">
        <v>180</v>
      </c>
      <c r="G403">
        <v>1080</v>
      </c>
      <c r="H403">
        <v>-3</v>
      </c>
      <c r="I403">
        <v>1983</v>
      </c>
      <c r="J403" t="s">
        <v>26</v>
      </c>
      <c r="K403">
        <v>2552</v>
      </c>
      <c r="L403">
        <v>5.78</v>
      </c>
      <c r="M403">
        <v>7.21</v>
      </c>
      <c r="N403" s="4">
        <f t="shared" si="12"/>
        <v>2.6225594000000001E-3</v>
      </c>
      <c r="O403" s="4">
        <f t="shared" si="13"/>
        <v>1.8908653274000001E-2</v>
      </c>
      <c r="P403">
        <v>13</v>
      </c>
      <c r="Q403">
        <v>1.5</v>
      </c>
      <c r="R403">
        <v>3</v>
      </c>
      <c r="S403">
        <v>4</v>
      </c>
      <c r="T403">
        <v>4</v>
      </c>
      <c r="U403">
        <v>4</v>
      </c>
      <c r="V403" t="s">
        <v>50</v>
      </c>
    </row>
    <row r="404" spans="1:22" x14ac:dyDescent="0.25">
      <c r="A404" t="s">
        <v>82</v>
      </c>
      <c r="B404">
        <v>2</v>
      </c>
      <c r="C404" t="s">
        <v>66</v>
      </c>
      <c r="D404" t="s">
        <v>67</v>
      </c>
      <c r="E404" t="s">
        <v>68</v>
      </c>
      <c r="F404">
        <v>180</v>
      </c>
      <c r="G404">
        <v>1080</v>
      </c>
      <c r="H404">
        <v>-3</v>
      </c>
      <c r="I404">
        <v>1983</v>
      </c>
      <c r="J404" t="s">
        <v>80</v>
      </c>
      <c r="K404">
        <v>1252</v>
      </c>
      <c r="L404">
        <v>5.36</v>
      </c>
      <c r="M404">
        <v>4.6100000000000003</v>
      </c>
      <c r="N404" s="4">
        <f t="shared" si="12"/>
        <v>2.2552736000000006E-3</v>
      </c>
      <c r="O404" s="4">
        <f t="shared" si="13"/>
        <v>1.0396811296000003E-2</v>
      </c>
      <c r="P404">
        <v>63</v>
      </c>
      <c r="Q404">
        <v>3</v>
      </c>
      <c r="R404">
        <v>3</v>
      </c>
      <c r="S404">
        <v>2</v>
      </c>
      <c r="T404">
        <v>2</v>
      </c>
      <c r="U404">
        <v>3</v>
      </c>
      <c r="V404" t="s">
        <v>30</v>
      </c>
    </row>
    <row r="405" spans="1:22" x14ac:dyDescent="0.25">
      <c r="A405" t="s">
        <v>82</v>
      </c>
      <c r="B405">
        <v>2</v>
      </c>
      <c r="C405" t="s">
        <v>66</v>
      </c>
      <c r="D405" t="s">
        <v>67</v>
      </c>
      <c r="E405" t="s">
        <v>68</v>
      </c>
      <c r="F405">
        <v>180</v>
      </c>
      <c r="G405">
        <v>1080</v>
      </c>
      <c r="H405">
        <v>-3</v>
      </c>
      <c r="I405">
        <v>1983</v>
      </c>
      <c r="J405" t="s">
        <v>24</v>
      </c>
      <c r="K405">
        <v>1</v>
      </c>
      <c r="L405">
        <v>11.88</v>
      </c>
      <c r="M405">
        <v>9.81</v>
      </c>
      <c r="N405" s="4">
        <f t="shared" si="12"/>
        <v>1.1079050400000002E-2</v>
      </c>
      <c r="O405" s="4">
        <f t="shared" si="13"/>
        <v>0.10868548442400003</v>
      </c>
      <c r="P405">
        <v>63</v>
      </c>
      <c r="Q405">
        <v>3</v>
      </c>
      <c r="R405">
        <v>4</v>
      </c>
      <c r="S405">
        <v>2.5</v>
      </c>
      <c r="T405">
        <v>2.5</v>
      </c>
      <c r="U405">
        <v>2.5</v>
      </c>
      <c r="V405" t="s">
        <v>38</v>
      </c>
    </row>
    <row r="406" spans="1:22" x14ac:dyDescent="0.25">
      <c r="A406" t="s">
        <v>82</v>
      </c>
      <c r="B406">
        <v>2</v>
      </c>
      <c r="C406" t="s">
        <v>66</v>
      </c>
      <c r="D406" t="s">
        <v>67</v>
      </c>
      <c r="E406" t="s">
        <v>68</v>
      </c>
      <c r="F406">
        <v>180</v>
      </c>
      <c r="G406">
        <v>1080</v>
      </c>
      <c r="H406">
        <v>-3</v>
      </c>
      <c r="I406">
        <v>1983</v>
      </c>
      <c r="J406" t="s">
        <v>59</v>
      </c>
      <c r="K406">
        <v>1482</v>
      </c>
      <c r="L406">
        <v>14.03</v>
      </c>
      <c r="M406">
        <v>9.9</v>
      </c>
      <c r="N406" s="4">
        <f t="shared" si="12"/>
        <v>1.5452010649999997E-2</v>
      </c>
      <c r="O406" s="4">
        <f t="shared" si="13"/>
        <v>0.15297490543499997</v>
      </c>
      <c r="P406">
        <v>63</v>
      </c>
      <c r="Q406">
        <v>3.5</v>
      </c>
      <c r="R406">
        <v>4</v>
      </c>
      <c r="S406">
        <v>3.5</v>
      </c>
      <c r="T406">
        <v>3</v>
      </c>
      <c r="U406">
        <v>3</v>
      </c>
      <c r="V406" t="s">
        <v>25</v>
      </c>
    </row>
    <row r="407" spans="1:22" x14ac:dyDescent="0.25">
      <c r="A407" t="s">
        <v>82</v>
      </c>
      <c r="B407">
        <v>2</v>
      </c>
      <c r="C407" t="s">
        <v>66</v>
      </c>
      <c r="D407" t="s">
        <v>67</v>
      </c>
      <c r="E407" t="s">
        <v>68</v>
      </c>
      <c r="F407">
        <v>180</v>
      </c>
      <c r="G407">
        <v>1080</v>
      </c>
      <c r="H407">
        <v>-3</v>
      </c>
      <c r="I407">
        <v>1983</v>
      </c>
      <c r="J407" t="s">
        <v>59</v>
      </c>
      <c r="K407">
        <v>2548</v>
      </c>
      <c r="L407">
        <v>23.63</v>
      </c>
      <c r="M407">
        <v>11.82</v>
      </c>
      <c r="N407" s="4">
        <f t="shared" si="12"/>
        <v>4.3832586649999991E-2</v>
      </c>
      <c r="O407" s="4">
        <f t="shared" si="13"/>
        <v>0.51810117420299995</v>
      </c>
      <c r="P407">
        <v>88</v>
      </c>
      <c r="Q407">
        <v>4.5</v>
      </c>
      <c r="R407">
        <v>4</v>
      </c>
      <c r="S407">
        <v>3</v>
      </c>
      <c r="T407">
        <v>2.5</v>
      </c>
      <c r="U407">
        <v>2</v>
      </c>
      <c r="V407" t="s">
        <v>25</v>
      </c>
    </row>
    <row r="408" spans="1:22" x14ac:dyDescent="0.25">
      <c r="A408" t="s">
        <v>82</v>
      </c>
      <c r="B408">
        <v>2</v>
      </c>
      <c r="C408" t="s">
        <v>66</v>
      </c>
      <c r="D408" t="s">
        <v>67</v>
      </c>
      <c r="E408" t="s">
        <v>68</v>
      </c>
      <c r="F408">
        <v>180</v>
      </c>
      <c r="G408">
        <v>1080</v>
      </c>
      <c r="H408">
        <v>-3</v>
      </c>
      <c r="I408">
        <v>1983</v>
      </c>
      <c r="J408" t="s">
        <v>26</v>
      </c>
      <c r="K408">
        <v>2552</v>
      </c>
      <c r="L408">
        <v>10.39</v>
      </c>
      <c r="M408">
        <v>8.66</v>
      </c>
      <c r="N408" s="4">
        <f t="shared" si="12"/>
        <v>8.4742398500000007E-3</v>
      </c>
      <c r="O408" s="4">
        <f t="shared" si="13"/>
        <v>7.338691710100001E-2</v>
      </c>
      <c r="P408">
        <v>38</v>
      </c>
      <c r="Q408">
        <v>3</v>
      </c>
      <c r="R408">
        <v>3.5</v>
      </c>
      <c r="S408">
        <v>3</v>
      </c>
      <c r="T408">
        <v>4</v>
      </c>
      <c r="U408">
        <v>3</v>
      </c>
      <c r="V408" t="s">
        <v>38</v>
      </c>
    </row>
    <row r="409" spans="1:22" x14ac:dyDescent="0.25">
      <c r="A409" t="s">
        <v>82</v>
      </c>
      <c r="B409">
        <v>2</v>
      </c>
      <c r="C409" t="s">
        <v>66</v>
      </c>
      <c r="D409" t="s">
        <v>67</v>
      </c>
      <c r="E409" t="s">
        <v>68</v>
      </c>
      <c r="F409">
        <v>180</v>
      </c>
      <c r="G409">
        <v>1080</v>
      </c>
      <c r="H409">
        <v>-3</v>
      </c>
      <c r="I409">
        <v>1983</v>
      </c>
      <c r="J409" t="s">
        <v>32</v>
      </c>
      <c r="K409">
        <v>1596</v>
      </c>
      <c r="L409">
        <v>7.83</v>
      </c>
      <c r="M409">
        <v>6.79</v>
      </c>
      <c r="N409" s="4">
        <f t="shared" si="12"/>
        <v>4.8127486499999995E-3</v>
      </c>
      <c r="O409" s="4">
        <f t="shared" si="13"/>
        <v>3.2678563333499999E-2</v>
      </c>
      <c r="P409">
        <v>100</v>
      </c>
      <c r="Q409">
        <v>3</v>
      </c>
      <c r="R409">
        <v>3</v>
      </c>
      <c r="S409">
        <v>3.5</v>
      </c>
      <c r="T409">
        <v>4.5</v>
      </c>
      <c r="U409">
        <v>3.5</v>
      </c>
      <c r="V409" t="s">
        <v>25</v>
      </c>
    </row>
    <row r="410" spans="1:22" x14ac:dyDescent="0.25">
      <c r="A410" t="s">
        <v>82</v>
      </c>
      <c r="B410">
        <v>2</v>
      </c>
      <c r="C410" t="s">
        <v>66</v>
      </c>
      <c r="D410" t="s">
        <v>67</v>
      </c>
      <c r="E410" t="s">
        <v>68</v>
      </c>
      <c r="F410">
        <v>180</v>
      </c>
      <c r="G410">
        <v>1080</v>
      </c>
      <c r="H410">
        <v>-3</v>
      </c>
      <c r="I410">
        <v>1983</v>
      </c>
      <c r="J410" t="s">
        <v>32</v>
      </c>
      <c r="K410">
        <v>2569</v>
      </c>
      <c r="L410">
        <v>11.23</v>
      </c>
      <c r="M410">
        <v>10.34</v>
      </c>
      <c r="N410" s="4">
        <f t="shared" si="12"/>
        <v>9.8998626500000023E-3</v>
      </c>
      <c r="O410" s="4">
        <f t="shared" si="13"/>
        <v>0.10236457980100003</v>
      </c>
      <c r="P410">
        <v>50</v>
      </c>
      <c r="Q410">
        <v>3</v>
      </c>
      <c r="R410">
        <v>3.5</v>
      </c>
      <c r="S410">
        <v>3.3</v>
      </c>
      <c r="T410">
        <v>4</v>
      </c>
      <c r="U410">
        <v>3.5</v>
      </c>
      <c r="V410" t="s">
        <v>25</v>
      </c>
    </row>
    <row r="411" spans="1:22" x14ac:dyDescent="0.25">
      <c r="A411" t="s">
        <v>82</v>
      </c>
      <c r="B411">
        <v>2</v>
      </c>
      <c r="C411" t="s">
        <v>66</v>
      </c>
      <c r="D411" t="s">
        <v>67</v>
      </c>
      <c r="E411" t="s">
        <v>68</v>
      </c>
      <c r="F411">
        <v>180</v>
      </c>
      <c r="G411">
        <v>1080</v>
      </c>
      <c r="H411">
        <v>-3</v>
      </c>
      <c r="I411">
        <v>1983</v>
      </c>
      <c r="J411" t="s">
        <v>33</v>
      </c>
      <c r="K411">
        <v>2547</v>
      </c>
      <c r="L411">
        <v>9.1300000000000008</v>
      </c>
      <c r="M411">
        <v>8.01</v>
      </c>
      <c r="N411" s="4">
        <f t="shared" si="12"/>
        <v>6.5435166500000018E-3</v>
      </c>
      <c r="O411" s="4">
        <f t="shared" si="13"/>
        <v>5.2413568366500012E-2</v>
      </c>
      <c r="P411">
        <v>75</v>
      </c>
      <c r="Q411">
        <v>2.8</v>
      </c>
      <c r="R411">
        <v>2</v>
      </c>
      <c r="S411">
        <v>3.3</v>
      </c>
      <c r="T411">
        <v>3.3</v>
      </c>
      <c r="U411">
        <v>3</v>
      </c>
      <c r="V411" t="s">
        <v>38</v>
      </c>
    </row>
    <row r="412" spans="1:22" x14ac:dyDescent="0.25">
      <c r="A412" t="s">
        <v>82</v>
      </c>
      <c r="B412">
        <v>2</v>
      </c>
      <c r="C412" t="s">
        <v>66</v>
      </c>
      <c r="D412" t="s">
        <v>67</v>
      </c>
      <c r="E412" t="s">
        <v>68</v>
      </c>
      <c r="F412">
        <v>180</v>
      </c>
      <c r="G412">
        <v>1080</v>
      </c>
      <c r="H412">
        <v>-3</v>
      </c>
      <c r="I412">
        <v>1983</v>
      </c>
      <c r="J412" t="s">
        <v>33</v>
      </c>
      <c r="K412">
        <v>2568</v>
      </c>
      <c r="L412">
        <v>11.66</v>
      </c>
      <c r="M412">
        <v>8.57</v>
      </c>
      <c r="N412" s="4">
        <f t="shared" si="12"/>
        <v>1.06725146E-2</v>
      </c>
      <c r="O412" s="4">
        <f t="shared" si="13"/>
        <v>9.1463450122000009E-2</v>
      </c>
      <c r="P412">
        <v>75</v>
      </c>
      <c r="Q412">
        <v>3</v>
      </c>
      <c r="R412">
        <v>2.5</v>
      </c>
      <c r="S412">
        <v>2.5</v>
      </c>
      <c r="T412">
        <v>2.5</v>
      </c>
      <c r="U412">
        <v>2.5</v>
      </c>
      <c r="V412" t="s">
        <v>30</v>
      </c>
    </row>
    <row r="413" spans="1:22" x14ac:dyDescent="0.25">
      <c r="A413" t="s">
        <v>82</v>
      </c>
      <c r="B413">
        <v>2</v>
      </c>
      <c r="C413" t="s">
        <v>66</v>
      </c>
      <c r="D413" t="s">
        <v>67</v>
      </c>
      <c r="E413" t="s">
        <v>68</v>
      </c>
      <c r="F413">
        <v>180</v>
      </c>
      <c r="G413">
        <v>1080</v>
      </c>
      <c r="H413">
        <v>-3</v>
      </c>
      <c r="I413">
        <v>1983</v>
      </c>
      <c r="J413" t="s">
        <v>34</v>
      </c>
      <c r="K413">
        <v>2570</v>
      </c>
      <c r="L413">
        <v>3.81</v>
      </c>
      <c r="M413">
        <v>4.93</v>
      </c>
      <c r="N413" s="4">
        <f t="shared" si="12"/>
        <v>1.1395138500000001E-3</v>
      </c>
      <c r="O413" s="4">
        <f t="shared" si="13"/>
        <v>5.6178032805000002E-3</v>
      </c>
      <c r="P413">
        <v>13</v>
      </c>
      <c r="Q413">
        <v>2</v>
      </c>
      <c r="R413">
        <v>2.5</v>
      </c>
      <c r="S413">
        <v>3</v>
      </c>
      <c r="T413">
        <v>4</v>
      </c>
      <c r="U413">
        <v>3</v>
      </c>
      <c r="V413" t="s">
        <v>50</v>
      </c>
    </row>
    <row r="414" spans="1:22" x14ac:dyDescent="0.25">
      <c r="A414" t="s">
        <v>82</v>
      </c>
      <c r="B414">
        <v>2</v>
      </c>
      <c r="C414" t="s">
        <v>66</v>
      </c>
      <c r="D414" t="s">
        <v>67</v>
      </c>
      <c r="E414" t="s">
        <v>68</v>
      </c>
      <c r="F414">
        <v>180</v>
      </c>
      <c r="G414">
        <v>1080</v>
      </c>
      <c r="H414">
        <v>-3</v>
      </c>
      <c r="I414">
        <v>1983</v>
      </c>
      <c r="J414" t="s">
        <v>35</v>
      </c>
      <c r="K414">
        <v>1788</v>
      </c>
      <c r="L414">
        <v>16.16</v>
      </c>
      <c r="M414">
        <v>10.98</v>
      </c>
      <c r="N414" s="4">
        <f t="shared" si="12"/>
        <v>2.0499929600000001E-2</v>
      </c>
      <c r="O414" s="4">
        <f t="shared" si="13"/>
        <v>0.22508922700800002</v>
      </c>
      <c r="P414">
        <v>13</v>
      </c>
      <c r="Q414">
        <v>3.5</v>
      </c>
      <c r="R414">
        <v>2.5</v>
      </c>
      <c r="S414">
        <v>3</v>
      </c>
      <c r="T414">
        <v>4</v>
      </c>
      <c r="U414">
        <v>3</v>
      </c>
      <c r="V414" t="s">
        <v>25</v>
      </c>
    </row>
    <row r="415" spans="1:22" x14ac:dyDescent="0.25">
      <c r="A415" t="s">
        <v>82</v>
      </c>
      <c r="B415">
        <v>2</v>
      </c>
      <c r="C415" t="s">
        <v>66</v>
      </c>
      <c r="D415" t="s">
        <v>67</v>
      </c>
      <c r="E415" t="s">
        <v>68</v>
      </c>
      <c r="F415">
        <v>180</v>
      </c>
      <c r="G415">
        <v>1080</v>
      </c>
      <c r="H415">
        <v>-3</v>
      </c>
      <c r="I415">
        <v>1983</v>
      </c>
      <c r="J415" t="s">
        <v>35</v>
      </c>
      <c r="K415">
        <v>2571</v>
      </c>
      <c r="L415">
        <v>8.83</v>
      </c>
      <c r="M415">
        <v>7.91</v>
      </c>
      <c r="N415" s="4">
        <f t="shared" si="12"/>
        <v>6.1205586500000008E-3</v>
      </c>
      <c r="O415" s="4">
        <f t="shared" si="13"/>
        <v>4.8413618921500007E-2</v>
      </c>
      <c r="P415">
        <v>63</v>
      </c>
      <c r="Q415">
        <v>3.5</v>
      </c>
      <c r="R415">
        <v>2.5</v>
      </c>
      <c r="S415">
        <v>3.5</v>
      </c>
      <c r="T415">
        <v>4</v>
      </c>
      <c r="U415">
        <v>4</v>
      </c>
      <c r="V415" t="s">
        <v>25</v>
      </c>
    </row>
    <row r="416" spans="1:22" x14ac:dyDescent="0.25">
      <c r="A416" t="s">
        <v>82</v>
      </c>
      <c r="B416">
        <v>2</v>
      </c>
      <c r="C416" t="s">
        <v>66</v>
      </c>
      <c r="D416" t="s">
        <v>67</v>
      </c>
      <c r="E416" t="s">
        <v>68</v>
      </c>
      <c r="F416">
        <v>180</v>
      </c>
      <c r="G416">
        <v>1080</v>
      </c>
      <c r="H416">
        <v>-3</v>
      </c>
      <c r="I416">
        <v>1983</v>
      </c>
      <c r="J416" t="s">
        <v>81</v>
      </c>
      <c r="K416">
        <v>2750</v>
      </c>
      <c r="L416">
        <v>1.38</v>
      </c>
      <c r="M416">
        <v>1.53</v>
      </c>
      <c r="N416" s="4">
        <f t="shared" si="12"/>
        <v>1.4949540000000001E-4</v>
      </c>
      <c r="O416" s="4">
        <f t="shared" si="13"/>
        <v>2.28727962E-4</v>
      </c>
      <c r="P416">
        <v>13</v>
      </c>
      <c r="Q416">
        <v>1</v>
      </c>
      <c r="R416">
        <v>1</v>
      </c>
      <c r="S416">
        <v>3</v>
      </c>
      <c r="T416">
        <v>3</v>
      </c>
      <c r="U416">
        <v>3</v>
      </c>
      <c r="V416" t="s">
        <v>50</v>
      </c>
    </row>
    <row r="417" spans="1:22" x14ac:dyDescent="0.25">
      <c r="A417" t="s">
        <v>82</v>
      </c>
      <c r="B417">
        <v>2</v>
      </c>
      <c r="C417" t="s">
        <v>66</v>
      </c>
      <c r="D417" t="s">
        <v>67</v>
      </c>
      <c r="E417" t="s">
        <v>68</v>
      </c>
      <c r="F417">
        <v>180</v>
      </c>
      <c r="G417">
        <v>1080</v>
      </c>
      <c r="H417">
        <v>-3</v>
      </c>
      <c r="I417">
        <v>1983</v>
      </c>
      <c r="J417" t="s">
        <v>36</v>
      </c>
      <c r="K417">
        <v>2573</v>
      </c>
      <c r="L417">
        <v>1.48</v>
      </c>
      <c r="M417">
        <v>2.96</v>
      </c>
      <c r="N417" s="4">
        <f t="shared" si="12"/>
        <v>1.7194640000000002E-4</v>
      </c>
      <c r="O417" s="4">
        <f t="shared" si="13"/>
        <v>5.0896134400000008E-4</v>
      </c>
      <c r="P417">
        <v>13</v>
      </c>
      <c r="Q417">
        <v>1</v>
      </c>
      <c r="R417">
        <v>3</v>
      </c>
      <c r="S417">
        <v>3</v>
      </c>
      <c r="T417">
        <v>3</v>
      </c>
      <c r="U417">
        <v>3</v>
      </c>
      <c r="V417" t="s">
        <v>50</v>
      </c>
    </row>
    <row r="418" spans="1:22" x14ac:dyDescent="0.25">
      <c r="A418" t="s">
        <v>82</v>
      </c>
      <c r="B418">
        <v>2</v>
      </c>
      <c r="C418" t="s">
        <v>66</v>
      </c>
      <c r="D418" t="s">
        <v>67</v>
      </c>
      <c r="E418" t="s">
        <v>68</v>
      </c>
      <c r="F418">
        <v>180</v>
      </c>
      <c r="G418">
        <v>1080</v>
      </c>
      <c r="H418">
        <v>-3</v>
      </c>
      <c r="I418">
        <v>1983</v>
      </c>
      <c r="J418" t="s">
        <v>62</v>
      </c>
      <c r="K418">
        <v>2550</v>
      </c>
      <c r="L418">
        <v>9.15</v>
      </c>
      <c r="M418">
        <v>8.42</v>
      </c>
      <c r="N418" s="4">
        <f t="shared" si="12"/>
        <v>6.5722162499999995E-3</v>
      </c>
      <c r="O418" s="4">
        <f t="shared" si="13"/>
        <v>5.5338060824999993E-2</v>
      </c>
      <c r="P418">
        <v>25</v>
      </c>
      <c r="Q418">
        <v>3</v>
      </c>
      <c r="R418">
        <v>3.5</v>
      </c>
      <c r="S418">
        <v>3.5</v>
      </c>
      <c r="T418">
        <v>4</v>
      </c>
      <c r="U418">
        <v>4</v>
      </c>
      <c r="V418" t="s">
        <v>38</v>
      </c>
    </row>
    <row r="419" spans="1:22" x14ac:dyDescent="0.25">
      <c r="A419" t="s">
        <v>82</v>
      </c>
      <c r="B419">
        <v>2</v>
      </c>
      <c r="C419" t="s">
        <v>66</v>
      </c>
      <c r="D419" t="s">
        <v>67</v>
      </c>
      <c r="E419" t="s">
        <v>68</v>
      </c>
      <c r="F419">
        <v>180</v>
      </c>
      <c r="G419">
        <v>1080</v>
      </c>
      <c r="H419">
        <v>-3</v>
      </c>
      <c r="I419">
        <v>1983</v>
      </c>
      <c r="J419" t="s">
        <v>62</v>
      </c>
      <c r="K419">
        <v>2553</v>
      </c>
      <c r="L419">
        <v>4.79</v>
      </c>
      <c r="M419">
        <v>4.3600000000000003</v>
      </c>
      <c r="N419" s="4">
        <f t="shared" si="12"/>
        <v>1.8011118499999998E-3</v>
      </c>
      <c r="O419" s="4">
        <f t="shared" si="13"/>
        <v>7.8528476659999995E-3</v>
      </c>
      <c r="P419">
        <v>38</v>
      </c>
      <c r="Q419">
        <v>2</v>
      </c>
      <c r="R419">
        <v>3.5</v>
      </c>
      <c r="S419">
        <v>3.5</v>
      </c>
      <c r="T419">
        <v>4</v>
      </c>
      <c r="U419">
        <v>3.5</v>
      </c>
      <c r="V419" t="s">
        <v>30</v>
      </c>
    </row>
    <row r="420" spans="1:22" x14ac:dyDescent="0.25">
      <c r="A420" t="s">
        <v>82</v>
      </c>
      <c r="B420">
        <v>2</v>
      </c>
      <c r="C420" t="s">
        <v>66</v>
      </c>
      <c r="D420" t="s">
        <v>67</v>
      </c>
      <c r="E420" t="s">
        <v>68</v>
      </c>
      <c r="F420">
        <v>180</v>
      </c>
      <c r="G420">
        <v>1080</v>
      </c>
      <c r="H420">
        <v>-3</v>
      </c>
      <c r="I420">
        <v>1983</v>
      </c>
      <c r="J420" t="s">
        <v>37</v>
      </c>
      <c r="K420">
        <v>2575</v>
      </c>
      <c r="L420">
        <v>6.7</v>
      </c>
      <c r="M420">
        <v>6.83</v>
      </c>
      <c r="N420" s="4">
        <f t="shared" si="12"/>
        <v>3.5238650000000006E-3</v>
      </c>
      <c r="O420" s="4">
        <f t="shared" si="13"/>
        <v>2.4067997950000003E-2</v>
      </c>
      <c r="P420">
        <v>75</v>
      </c>
      <c r="Q420">
        <v>2.7</v>
      </c>
      <c r="R420">
        <v>2.7</v>
      </c>
      <c r="S420">
        <v>3</v>
      </c>
      <c r="T420">
        <v>3.5</v>
      </c>
      <c r="U420">
        <v>3.5</v>
      </c>
      <c r="V420" t="s">
        <v>30</v>
      </c>
    </row>
    <row r="421" spans="1:22" x14ac:dyDescent="0.25">
      <c r="A421" t="s">
        <v>82</v>
      </c>
      <c r="B421">
        <v>3</v>
      </c>
      <c r="C421" t="s">
        <v>66</v>
      </c>
      <c r="D421" t="s">
        <v>67</v>
      </c>
      <c r="E421" t="s">
        <v>68</v>
      </c>
      <c r="F421">
        <v>180</v>
      </c>
      <c r="G421">
        <v>1080</v>
      </c>
      <c r="H421">
        <v>-3</v>
      </c>
      <c r="I421">
        <v>1983</v>
      </c>
      <c r="J421" t="s">
        <v>76</v>
      </c>
      <c r="K421">
        <v>1592</v>
      </c>
      <c r="L421">
        <v>15.73</v>
      </c>
      <c r="M421">
        <v>10.67</v>
      </c>
      <c r="N421" s="4">
        <f t="shared" si="12"/>
        <v>1.9423482650000001E-2</v>
      </c>
      <c r="O421" s="4">
        <f t="shared" si="13"/>
        <v>0.2072485598755</v>
      </c>
      <c r="P421">
        <v>75</v>
      </c>
      <c r="Q421">
        <v>3</v>
      </c>
      <c r="R421">
        <v>4</v>
      </c>
      <c r="S421">
        <v>3</v>
      </c>
      <c r="T421">
        <v>4</v>
      </c>
      <c r="U421">
        <v>3</v>
      </c>
      <c r="V421" t="s">
        <v>27</v>
      </c>
    </row>
    <row r="422" spans="1:22" x14ac:dyDescent="0.25">
      <c r="A422" t="s">
        <v>82</v>
      </c>
      <c r="B422">
        <v>3</v>
      </c>
      <c r="C422" t="s">
        <v>66</v>
      </c>
      <c r="D422" t="s">
        <v>67</v>
      </c>
      <c r="E422" t="s">
        <v>68</v>
      </c>
      <c r="F422">
        <v>180</v>
      </c>
      <c r="G422">
        <v>1080</v>
      </c>
      <c r="H422">
        <v>-3</v>
      </c>
      <c r="I422">
        <v>1983</v>
      </c>
      <c r="J422" t="s">
        <v>76</v>
      </c>
      <c r="K422">
        <v>2560</v>
      </c>
      <c r="L422">
        <v>13.13</v>
      </c>
      <c r="M422">
        <v>11.49</v>
      </c>
      <c r="N422" s="4">
        <f t="shared" si="12"/>
        <v>1.3533156649999999E-2</v>
      </c>
      <c r="O422" s="4">
        <f t="shared" si="13"/>
        <v>0.15549596990849998</v>
      </c>
      <c r="P422">
        <v>88</v>
      </c>
      <c r="Q422">
        <v>3</v>
      </c>
      <c r="R422">
        <v>4</v>
      </c>
      <c r="S422">
        <v>3</v>
      </c>
      <c r="T422">
        <v>4</v>
      </c>
      <c r="U422">
        <v>4</v>
      </c>
      <c r="V422" t="s">
        <v>27</v>
      </c>
    </row>
    <row r="423" spans="1:22" x14ac:dyDescent="0.25">
      <c r="A423" t="s">
        <v>82</v>
      </c>
      <c r="B423">
        <v>3</v>
      </c>
      <c r="C423" t="s">
        <v>66</v>
      </c>
      <c r="D423" t="s">
        <v>67</v>
      </c>
      <c r="E423" t="s">
        <v>68</v>
      </c>
      <c r="F423">
        <v>180</v>
      </c>
      <c r="G423">
        <v>1080</v>
      </c>
      <c r="H423">
        <v>-3</v>
      </c>
      <c r="I423">
        <v>1983</v>
      </c>
      <c r="J423" t="s">
        <v>24</v>
      </c>
      <c r="K423">
        <v>2562</v>
      </c>
      <c r="L423">
        <v>9.94</v>
      </c>
      <c r="M423">
        <v>7.46</v>
      </c>
      <c r="N423" s="4">
        <f t="shared" si="12"/>
        <v>7.7560825999999986E-3</v>
      </c>
      <c r="O423" s="4">
        <f t="shared" si="13"/>
        <v>5.7860376195999992E-2</v>
      </c>
      <c r="P423">
        <v>50</v>
      </c>
      <c r="Q423">
        <v>3</v>
      </c>
      <c r="R423">
        <v>4</v>
      </c>
      <c r="S423">
        <v>3</v>
      </c>
      <c r="T423">
        <v>4</v>
      </c>
      <c r="U423">
        <v>3</v>
      </c>
      <c r="V423" t="s">
        <v>38</v>
      </c>
    </row>
    <row r="424" spans="1:22" x14ac:dyDescent="0.25">
      <c r="A424" t="s">
        <v>82</v>
      </c>
      <c r="B424">
        <v>3</v>
      </c>
      <c r="C424" t="s">
        <v>66</v>
      </c>
      <c r="D424" t="s">
        <v>67</v>
      </c>
      <c r="E424" t="s">
        <v>68</v>
      </c>
      <c r="F424">
        <v>180</v>
      </c>
      <c r="G424">
        <v>1080</v>
      </c>
      <c r="H424">
        <v>-3</v>
      </c>
      <c r="I424">
        <v>1983</v>
      </c>
      <c r="J424" t="s">
        <v>80</v>
      </c>
      <c r="K424">
        <v>1252</v>
      </c>
      <c r="L424">
        <v>5.86</v>
      </c>
      <c r="M424">
        <v>5.61</v>
      </c>
      <c r="N424" s="4">
        <f t="shared" si="12"/>
        <v>2.6956586000000007E-3</v>
      </c>
      <c r="O424" s="4">
        <f t="shared" si="13"/>
        <v>1.5122644746000004E-2</v>
      </c>
      <c r="P424">
        <v>50</v>
      </c>
      <c r="Q424">
        <v>3</v>
      </c>
      <c r="R424">
        <v>4</v>
      </c>
      <c r="S424">
        <v>2.5</v>
      </c>
      <c r="T424">
        <v>2.5</v>
      </c>
      <c r="U424">
        <v>3</v>
      </c>
      <c r="V424" t="s">
        <v>30</v>
      </c>
    </row>
    <row r="425" spans="1:22" x14ac:dyDescent="0.25">
      <c r="A425" t="s">
        <v>82</v>
      </c>
      <c r="B425">
        <v>3</v>
      </c>
      <c r="C425" t="s">
        <v>66</v>
      </c>
      <c r="D425" t="s">
        <v>67</v>
      </c>
      <c r="E425" t="s">
        <v>68</v>
      </c>
      <c r="F425">
        <v>180</v>
      </c>
      <c r="G425">
        <v>1080</v>
      </c>
      <c r="H425">
        <v>-3</v>
      </c>
      <c r="I425">
        <v>1983</v>
      </c>
      <c r="J425" t="s">
        <v>24</v>
      </c>
      <c r="K425">
        <v>1</v>
      </c>
      <c r="L425">
        <v>9.1199999999999992</v>
      </c>
      <c r="M425">
        <v>9.67</v>
      </c>
      <c r="N425" s="4">
        <f t="shared" si="12"/>
        <v>6.5291903999999991E-3</v>
      </c>
      <c r="O425" s="4">
        <f t="shared" si="13"/>
        <v>6.3137271167999998E-2</v>
      </c>
      <c r="P425">
        <v>50</v>
      </c>
      <c r="Q425">
        <v>3</v>
      </c>
      <c r="R425">
        <v>4</v>
      </c>
      <c r="S425">
        <v>3</v>
      </c>
      <c r="T425">
        <v>3</v>
      </c>
      <c r="U425">
        <v>3</v>
      </c>
      <c r="V425" t="s">
        <v>38</v>
      </c>
    </row>
    <row r="426" spans="1:22" x14ac:dyDescent="0.25">
      <c r="A426" t="s">
        <v>82</v>
      </c>
      <c r="B426">
        <v>3</v>
      </c>
      <c r="C426" t="s">
        <v>66</v>
      </c>
      <c r="D426" t="s">
        <v>67</v>
      </c>
      <c r="E426" t="s">
        <v>68</v>
      </c>
      <c r="F426">
        <v>180</v>
      </c>
      <c r="G426">
        <v>1080</v>
      </c>
      <c r="H426">
        <v>-3</v>
      </c>
      <c r="I426">
        <v>1983</v>
      </c>
      <c r="J426" t="s">
        <v>59</v>
      </c>
      <c r="K426">
        <v>1482</v>
      </c>
      <c r="L426">
        <v>6.94</v>
      </c>
      <c r="M426">
        <v>5.17</v>
      </c>
      <c r="N426" s="4">
        <f t="shared" si="12"/>
        <v>3.7808426000000006E-3</v>
      </c>
      <c r="O426" s="4">
        <f t="shared" si="13"/>
        <v>1.9546956242000004E-2</v>
      </c>
      <c r="P426">
        <v>38</v>
      </c>
      <c r="Q426">
        <v>2.5</v>
      </c>
      <c r="R426">
        <v>3</v>
      </c>
      <c r="S426">
        <v>3</v>
      </c>
      <c r="T426">
        <v>4</v>
      </c>
      <c r="U426">
        <v>3.5</v>
      </c>
      <c r="V426" t="s">
        <v>30</v>
      </c>
    </row>
    <row r="427" spans="1:22" x14ac:dyDescent="0.25">
      <c r="A427" t="s">
        <v>82</v>
      </c>
      <c r="B427">
        <v>3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59</v>
      </c>
      <c r="K427">
        <v>2548</v>
      </c>
      <c r="L427">
        <v>16.25</v>
      </c>
      <c r="M427">
        <v>13.29</v>
      </c>
      <c r="N427" s="4">
        <f t="shared" si="12"/>
        <v>2.0728906250000002E-2</v>
      </c>
      <c r="O427" s="4">
        <f t="shared" si="13"/>
        <v>0.27548716406250001</v>
      </c>
      <c r="P427">
        <v>13</v>
      </c>
      <c r="Q427">
        <v>3</v>
      </c>
      <c r="R427">
        <v>4</v>
      </c>
      <c r="S427">
        <v>4</v>
      </c>
      <c r="T427">
        <v>3.5</v>
      </c>
      <c r="U427">
        <v>3</v>
      </c>
      <c r="V427" t="s">
        <v>38</v>
      </c>
    </row>
    <row r="428" spans="1:22" x14ac:dyDescent="0.25">
      <c r="A428" t="s">
        <v>82</v>
      </c>
      <c r="B428">
        <v>3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26</v>
      </c>
      <c r="K428">
        <v>2552</v>
      </c>
      <c r="L428">
        <v>1.59</v>
      </c>
      <c r="M428">
        <v>2.89</v>
      </c>
      <c r="N428" s="4">
        <f t="shared" si="12"/>
        <v>1.9845585000000002E-4</v>
      </c>
      <c r="O428" s="4">
        <f t="shared" si="13"/>
        <v>5.7353740650000005E-4</v>
      </c>
      <c r="P428">
        <v>38</v>
      </c>
      <c r="Q428">
        <v>2.5</v>
      </c>
      <c r="R428">
        <v>3</v>
      </c>
      <c r="S428">
        <v>3</v>
      </c>
      <c r="T428">
        <v>3</v>
      </c>
      <c r="U428">
        <v>3</v>
      </c>
      <c r="V428" t="s">
        <v>30</v>
      </c>
    </row>
    <row r="429" spans="1:22" x14ac:dyDescent="0.25">
      <c r="A429" t="s">
        <v>82</v>
      </c>
      <c r="B429">
        <v>3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32</v>
      </c>
      <c r="K429">
        <v>2569</v>
      </c>
      <c r="L429">
        <v>5.32</v>
      </c>
      <c r="M429">
        <v>5.91</v>
      </c>
      <c r="N429" s="4">
        <f t="shared" si="12"/>
        <v>2.2217384000000006E-3</v>
      </c>
      <c r="O429" s="4">
        <f t="shared" si="13"/>
        <v>1.3130473944000003E-2</v>
      </c>
      <c r="P429">
        <v>50</v>
      </c>
      <c r="Q429">
        <v>3</v>
      </c>
      <c r="R429">
        <v>4</v>
      </c>
      <c r="S429">
        <v>3.5</v>
      </c>
      <c r="T429">
        <v>4</v>
      </c>
      <c r="U429">
        <v>3.5</v>
      </c>
      <c r="V429" t="s">
        <v>38</v>
      </c>
    </row>
    <row r="430" spans="1:22" x14ac:dyDescent="0.25">
      <c r="A430" t="s">
        <v>82</v>
      </c>
      <c r="B430">
        <v>3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33</v>
      </c>
      <c r="K430">
        <v>2547</v>
      </c>
      <c r="L430">
        <v>24.73</v>
      </c>
      <c r="M430">
        <v>14.19</v>
      </c>
      <c r="N430" s="4">
        <f t="shared" si="12"/>
        <v>4.8008472650000002E-2</v>
      </c>
      <c r="O430" s="4">
        <f t="shared" si="13"/>
        <v>0.68124022690349995</v>
      </c>
      <c r="P430">
        <v>88</v>
      </c>
      <c r="Q430">
        <v>4.5</v>
      </c>
      <c r="R430">
        <v>3</v>
      </c>
      <c r="S430">
        <v>3</v>
      </c>
      <c r="T430">
        <v>3</v>
      </c>
      <c r="U430">
        <v>2.8</v>
      </c>
      <c r="V430" t="s">
        <v>27</v>
      </c>
    </row>
    <row r="431" spans="1:22" x14ac:dyDescent="0.25">
      <c r="A431" t="s">
        <v>82</v>
      </c>
      <c r="B431">
        <v>3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33</v>
      </c>
      <c r="K431">
        <v>2568</v>
      </c>
      <c r="L431">
        <v>9.1300000000000008</v>
      </c>
      <c r="M431">
        <v>7.02</v>
      </c>
      <c r="N431" s="4">
        <f t="shared" si="12"/>
        <v>6.5435166500000018E-3</v>
      </c>
      <c r="O431" s="4">
        <f t="shared" si="13"/>
        <v>4.5935486883000011E-2</v>
      </c>
      <c r="P431">
        <v>13</v>
      </c>
      <c r="Q431">
        <v>2.8</v>
      </c>
      <c r="R431">
        <v>2.5</v>
      </c>
      <c r="S431">
        <v>3</v>
      </c>
      <c r="T431">
        <v>3</v>
      </c>
      <c r="U431">
        <v>2.5</v>
      </c>
      <c r="V431" t="s">
        <v>30</v>
      </c>
    </row>
    <row r="432" spans="1:22" x14ac:dyDescent="0.25">
      <c r="A432" t="s">
        <v>82</v>
      </c>
      <c r="B432">
        <v>3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34</v>
      </c>
      <c r="K432">
        <v>1522</v>
      </c>
      <c r="L432">
        <v>1.41</v>
      </c>
      <c r="M432">
        <v>2.82</v>
      </c>
      <c r="N432" s="4">
        <f t="shared" si="12"/>
        <v>1.5606585000000001E-4</v>
      </c>
      <c r="O432" s="4">
        <f t="shared" si="13"/>
        <v>4.4010569700000002E-4</v>
      </c>
      <c r="P432">
        <v>13</v>
      </c>
      <c r="Q432">
        <v>1</v>
      </c>
      <c r="R432">
        <v>3</v>
      </c>
      <c r="S432">
        <v>3</v>
      </c>
      <c r="T432">
        <v>3</v>
      </c>
      <c r="U432">
        <v>3</v>
      </c>
      <c r="V432" t="s">
        <v>50</v>
      </c>
    </row>
    <row r="433" spans="1:22" x14ac:dyDescent="0.25">
      <c r="A433" t="s">
        <v>82</v>
      </c>
      <c r="B433">
        <v>3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2.11</v>
      </c>
      <c r="M433">
        <v>3.1</v>
      </c>
      <c r="N433" s="4">
        <f t="shared" si="12"/>
        <v>3.4948984999999988E-4</v>
      </c>
      <c r="O433" s="4">
        <f t="shared" si="13"/>
        <v>1.0834185349999997E-3</v>
      </c>
      <c r="P433">
        <v>38</v>
      </c>
      <c r="Q433">
        <v>1.3</v>
      </c>
      <c r="R433">
        <v>3</v>
      </c>
      <c r="S433">
        <v>3</v>
      </c>
      <c r="T433">
        <v>3</v>
      </c>
      <c r="U433">
        <v>3</v>
      </c>
      <c r="V433" t="s">
        <v>50</v>
      </c>
    </row>
    <row r="434" spans="1:22" x14ac:dyDescent="0.25">
      <c r="A434" t="s">
        <v>82</v>
      </c>
      <c r="B434">
        <v>3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34</v>
      </c>
      <c r="K434">
        <v>2570</v>
      </c>
      <c r="L434">
        <v>21.43</v>
      </c>
      <c r="M434">
        <v>14.1</v>
      </c>
      <c r="N434" s="4">
        <f t="shared" si="12"/>
        <v>3.6050724649999998E-2</v>
      </c>
      <c r="O434" s="4">
        <f t="shared" si="13"/>
        <v>0.50831521756499998</v>
      </c>
      <c r="P434">
        <v>38</v>
      </c>
      <c r="Q434">
        <v>4</v>
      </c>
      <c r="R434">
        <v>3.5</v>
      </c>
      <c r="S434">
        <v>3</v>
      </c>
      <c r="T434">
        <v>3.5</v>
      </c>
      <c r="U434">
        <v>3</v>
      </c>
      <c r="V434" t="s">
        <v>25</v>
      </c>
    </row>
    <row r="435" spans="1:22" x14ac:dyDescent="0.25">
      <c r="A435" t="s">
        <v>82</v>
      </c>
      <c r="B435">
        <v>3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8.75</v>
      </c>
      <c r="M435">
        <v>7.27</v>
      </c>
      <c r="N435" s="4">
        <f t="shared" si="12"/>
        <v>6.0101562499999999E-3</v>
      </c>
      <c r="O435" s="4">
        <f t="shared" si="13"/>
        <v>4.3693835937499995E-2</v>
      </c>
      <c r="P435">
        <v>38</v>
      </c>
      <c r="Q435">
        <v>3.5</v>
      </c>
      <c r="R435">
        <v>2.5</v>
      </c>
      <c r="S435">
        <v>3</v>
      </c>
      <c r="T435">
        <v>4</v>
      </c>
      <c r="U435">
        <v>3.3</v>
      </c>
      <c r="V435" t="s">
        <v>30</v>
      </c>
    </row>
    <row r="436" spans="1:22" x14ac:dyDescent="0.25">
      <c r="A436" t="s">
        <v>82</v>
      </c>
      <c r="B436">
        <v>3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3.37</v>
      </c>
      <c r="M436">
        <v>3.68</v>
      </c>
      <c r="N436" s="4">
        <f t="shared" si="12"/>
        <v>8.9151664999999997E-4</v>
      </c>
      <c r="O436" s="4">
        <f t="shared" si="13"/>
        <v>3.2807812720000002E-3</v>
      </c>
      <c r="P436">
        <v>50</v>
      </c>
      <c r="Q436">
        <v>2</v>
      </c>
      <c r="R436">
        <v>2.5</v>
      </c>
      <c r="S436">
        <v>3</v>
      </c>
      <c r="T436">
        <v>4</v>
      </c>
      <c r="U436">
        <v>3</v>
      </c>
      <c r="V436" t="s">
        <v>30</v>
      </c>
    </row>
    <row r="437" spans="1:22" x14ac:dyDescent="0.25">
      <c r="A437" t="s">
        <v>82</v>
      </c>
      <c r="B437">
        <v>3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62</v>
      </c>
      <c r="K437">
        <v>2553</v>
      </c>
      <c r="L437">
        <v>8.1300000000000008</v>
      </c>
      <c r="M437">
        <v>7.99</v>
      </c>
      <c r="N437" s="4">
        <f t="shared" si="12"/>
        <v>5.188606650000001E-3</v>
      </c>
      <c r="O437" s="4">
        <f t="shared" si="13"/>
        <v>4.1456967133500007E-2</v>
      </c>
      <c r="P437">
        <v>88</v>
      </c>
      <c r="Q437">
        <v>3</v>
      </c>
      <c r="R437">
        <v>3</v>
      </c>
      <c r="S437">
        <v>3.5</v>
      </c>
      <c r="T437">
        <v>4</v>
      </c>
      <c r="U437">
        <v>4</v>
      </c>
      <c r="V437" t="s">
        <v>38</v>
      </c>
    </row>
    <row r="438" spans="1:22" x14ac:dyDescent="0.25">
      <c r="A438" t="s">
        <v>82</v>
      </c>
      <c r="B438">
        <v>3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37</v>
      </c>
      <c r="K438">
        <v>2575</v>
      </c>
      <c r="L438">
        <v>2.63</v>
      </c>
      <c r="M438">
        <v>4.5999999999999996</v>
      </c>
      <c r="N438" s="4">
        <f t="shared" si="12"/>
        <v>5.4297665000000003E-4</v>
      </c>
      <c r="O438" s="4">
        <f t="shared" si="13"/>
        <v>2.49769259E-3</v>
      </c>
      <c r="P438">
        <v>38</v>
      </c>
      <c r="Q438">
        <v>2</v>
      </c>
      <c r="R438">
        <v>1.5</v>
      </c>
      <c r="S438">
        <v>3</v>
      </c>
      <c r="T438">
        <v>3</v>
      </c>
      <c r="U438">
        <v>3</v>
      </c>
      <c r="V438" t="s">
        <v>50</v>
      </c>
    </row>
    <row r="439" spans="1:22" x14ac:dyDescent="0.25">
      <c r="A439" t="s">
        <v>83</v>
      </c>
      <c r="B439">
        <v>1</v>
      </c>
      <c r="C439" t="s">
        <v>71</v>
      </c>
      <c r="D439" t="s">
        <v>84</v>
      </c>
      <c r="E439" t="s">
        <v>85</v>
      </c>
      <c r="F439">
        <v>220</v>
      </c>
      <c r="G439">
        <v>1050</v>
      </c>
      <c r="H439">
        <v>-2</v>
      </c>
      <c r="I439">
        <v>1983</v>
      </c>
      <c r="J439" t="s">
        <v>76</v>
      </c>
      <c r="K439">
        <v>1592</v>
      </c>
      <c r="L439">
        <v>23.59</v>
      </c>
      <c r="M439">
        <v>9.8699999999999992</v>
      </c>
      <c r="N439" s="4">
        <f t="shared" si="12"/>
        <v>4.3684315850000002E-2</v>
      </c>
      <c r="O439" s="4">
        <f t="shared" si="13"/>
        <v>0.43116419743949996</v>
      </c>
      <c r="P439">
        <v>75</v>
      </c>
      <c r="Q439">
        <v>3</v>
      </c>
      <c r="R439">
        <v>4</v>
      </c>
      <c r="S439">
        <v>3</v>
      </c>
      <c r="T439">
        <v>4</v>
      </c>
      <c r="U439">
        <v>3</v>
      </c>
      <c r="V439" t="s">
        <v>25</v>
      </c>
    </row>
    <row r="440" spans="1:22" x14ac:dyDescent="0.25">
      <c r="A440" t="s">
        <v>83</v>
      </c>
      <c r="B440">
        <v>1</v>
      </c>
      <c r="C440" t="s">
        <v>71</v>
      </c>
      <c r="D440" t="s">
        <v>84</v>
      </c>
      <c r="E440" t="s">
        <v>85</v>
      </c>
      <c r="F440">
        <v>220</v>
      </c>
      <c r="G440">
        <v>1050</v>
      </c>
      <c r="H440">
        <v>-2</v>
      </c>
      <c r="I440">
        <v>1983</v>
      </c>
      <c r="J440" t="s">
        <v>76</v>
      </c>
      <c r="K440">
        <v>2560</v>
      </c>
      <c r="L440">
        <v>20.72</v>
      </c>
      <c r="M440">
        <v>8.67</v>
      </c>
      <c r="N440" s="4">
        <f t="shared" si="12"/>
        <v>3.3701494400000004E-2</v>
      </c>
      <c r="O440" s="4">
        <f t="shared" si="13"/>
        <v>0.29219195644800006</v>
      </c>
      <c r="P440">
        <v>100</v>
      </c>
      <c r="Q440">
        <v>3.5</v>
      </c>
      <c r="R440">
        <v>3.5</v>
      </c>
      <c r="S440">
        <v>2.5</v>
      </c>
      <c r="T440">
        <v>4</v>
      </c>
      <c r="U440">
        <v>4</v>
      </c>
      <c r="V440" t="s">
        <v>27</v>
      </c>
    </row>
    <row r="441" spans="1:22" x14ac:dyDescent="0.25">
      <c r="A441" t="s">
        <v>83</v>
      </c>
      <c r="B441">
        <v>1</v>
      </c>
      <c r="C441" t="s">
        <v>71</v>
      </c>
      <c r="D441" t="s">
        <v>84</v>
      </c>
      <c r="E441" t="s">
        <v>85</v>
      </c>
      <c r="F441">
        <v>220</v>
      </c>
      <c r="G441">
        <v>1050</v>
      </c>
      <c r="H441">
        <v>-2</v>
      </c>
      <c r="I441">
        <v>1983</v>
      </c>
      <c r="J441" t="s">
        <v>24</v>
      </c>
      <c r="K441">
        <v>2562</v>
      </c>
      <c r="L441">
        <v>19.64</v>
      </c>
      <c r="M441">
        <v>11.02</v>
      </c>
      <c r="N441" s="4">
        <f t="shared" si="12"/>
        <v>3.0279773600000011E-2</v>
      </c>
      <c r="O441" s="4">
        <f t="shared" si="13"/>
        <v>0.33368310507200011</v>
      </c>
      <c r="P441">
        <v>100</v>
      </c>
      <c r="Q441">
        <v>4</v>
      </c>
      <c r="R441">
        <v>3</v>
      </c>
      <c r="S441">
        <v>3</v>
      </c>
      <c r="T441">
        <v>3</v>
      </c>
      <c r="U441">
        <v>3</v>
      </c>
      <c r="V441" t="s">
        <v>25</v>
      </c>
    </row>
    <row r="442" spans="1:22" x14ac:dyDescent="0.25">
      <c r="A442" t="s">
        <v>83</v>
      </c>
      <c r="B442">
        <v>1</v>
      </c>
      <c r="C442" t="s">
        <v>71</v>
      </c>
      <c r="D442" t="s">
        <v>84</v>
      </c>
      <c r="E442" t="s">
        <v>85</v>
      </c>
      <c r="F442">
        <v>220</v>
      </c>
      <c r="G442">
        <v>1050</v>
      </c>
      <c r="H442">
        <v>-2</v>
      </c>
      <c r="I442">
        <v>1983</v>
      </c>
      <c r="J442" t="s">
        <v>80</v>
      </c>
      <c r="K442">
        <v>1252</v>
      </c>
      <c r="L442">
        <v>14.13</v>
      </c>
      <c r="M442">
        <v>8.85</v>
      </c>
      <c r="N442" s="4">
        <f t="shared" si="12"/>
        <v>1.5673066650000001E-2</v>
      </c>
      <c r="O442" s="4">
        <f t="shared" si="13"/>
        <v>0.13870663985250001</v>
      </c>
      <c r="P442">
        <v>100</v>
      </c>
      <c r="Q442">
        <v>3</v>
      </c>
      <c r="R442">
        <v>2.5</v>
      </c>
      <c r="S442">
        <v>1.5</v>
      </c>
      <c r="T442">
        <v>2</v>
      </c>
      <c r="U442">
        <v>2</v>
      </c>
      <c r="V442" t="s">
        <v>30</v>
      </c>
    </row>
    <row r="443" spans="1:22" x14ac:dyDescent="0.25">
      <c r="A443" t="s">
        <v>83</v>
      </c>
      <c r="B443">
        <v>1</v>
      </c>
      <c r="C443" t="s">
        <v>71</v>
      </c>
      <c r="D443" t="s">
        <v>84</v>
      </c>
      <c r="E443" t="s">
        <v>85</v>
      </c>
      <c r="F443">
        <v>220</v>
      </c>
      <c r="G443">
        <v>1050</v>
      </c>
      <c r="H443">
        <v>-2</v>
      </c>
      <c r="I443">
        <v>1983</v>
      </c>
      <c r="J443" t="s">
        <v>59</v>
      </c>
      <c r="K443">
        <v>1482</v>
      </c>
      <c r="L443">
        <v>22.62</v>
      </c>
      <c r="M443">
        <v>8.83</v>
      </c>
      <c r="N443" s="4">
        <f t="shared" si="12"/>
        <v>4.0165655400000007E-2</v>
      </c>
      <c r="O443" s="4">
        <f t="shared" si="13"/>
        <v>0.35466273718200009</v>
      </c>
      <c r="P443">
        <v>88</v>
      </c>
      <c r="Q443">
        <v>2</v>
      </c>
      <c r="R443">
        <v>3</v>
      </c>
      <c r="S443">
        <v>3</v>
      </c>
      <c r="T443">
        <v>3</v>
      </c>
      <c r="U443">
        <v>3</v>
      </c>
      <c r="V443" t="s">
        <v>30</v>
      </c>
    </row>
    <row r="444" spans="1:22" x14ac:dyDescent="0.25">
      <c r="A444" t="s">
        <v>83</v>
      </c>
      <c r="B444">
        <v>1</v>
      </c>
      <c r="C444" t="s">
        <v>71</v>
      </c>
      <c r="D444" t="s">
        <v>84</v>
      </c>
      <c r="E444" t="s">
        <v>85</v>
      </c>
      <c r="F444">
        <v>220</v>
      </c>
      <c r="G444">
        <v>1050</v>
      </c>
      <c r="H444">
        <v>-2</v>
      </c>
      <c r="I444">
        <v>1983</v>
      </c>
      <c r="J444" t="s">
        <v>59</v>
      </c>
      <c r="K444">
        <v>2548</v>
      </c>
      <c r="L444">
        <v>15.98</v>
      </c>
      <c r="M444">
        <v>6.24</v>
      </c>
      <c r="N444" s="4">
        <f t="shared" si="12"/>
        <v>2.0045791399999999E-2</v>
      </c>
      <c r="O444" s="4">
        <f t="shared" si="13"/>
        <v>0.12508573833600001</v>
      </c>
      <c r="P444">
        <v>63</v>
      </c>
      <c r="Q444">
        <v>3.5</v>
      </c>
      <c r="R444">
        <v>4</v>
      </c>
      <c r="S444">
        <v>2.8</v>
      </c>
      <c r="T444">
        <v>2.8</v>
      </c>
      <c r="U444">
        <v>2.5</v>
      </c>
      <c r="V444" t="s">
        <v>38</v>
      </c>
    </row>
    <row r="445" spans="1:22" x14ac:dyDescent="0.25">
      <c r="A445" t="s">
        <v>83</v>
      </c>
      <c r="B445">
        <v>1</v>
      </c>
      <c r="C445" t="s">
        <v>71</v>
      </c>
      <c r="D445" t="s">
        <v>84</v>
      </c>
      <c r="E445" t="s">
        <v>85</v>
      </c>
      <c r="F445">
        <v>220</v>
      </c>
      <c r="G445">
        <v>1050</v>
      </c>
      <c r="H445">
        <v>-2</v>
      </c>
      <c r="I445">
        <v>1983</v>
      </c>
      <c r="J445" t="s">
        <v>32</v>
      </c>
      <c r="K445">
        <v>1596</v>
      </c>
      <c r="L445">
        <v>16.18</v>
      </c>
      <c r="M445">
        <v>7.67</v>
      </c>
      <c r="N445" s="4">
        <f t="shared" si="12"/>
        <v>2.0550703400000002E-2</v>
      </c>
      <c r="O445" s="4">
        <f t="shared" si="13"/>
        <v>0.15762389507800001</v>
      </c>
      <c r="P445">
        <v>88</v>
      </c>
      <c r="Q445">
        <v>3.5</v>
      </c>
      <c r="R445">
        <v>3</v>
      </c>
      <c r="S445">
        <v>2.5</v>
      </c>
      <c r="T445">
        <v>4</v>
      </c>
      <c r="U445">
        <v>3</v>
      </c>
      <c r="V445" t="s">
        <v>27</v>
      </c>
    </row>
    <row r="446" spans="1:22" x14ac:dyDescent="0.25">
      <c r="A446" t="s">
        <v>83</v>
      </c>
      <c r="B446">
        <v>1</v>
      </c>
      <c r="C446" t="s">
        <v>71</v>
      </c>
      <c r="D446" t="s">
        <v>84</v>
      </c>
      <c r="E446" t="s">
        <v>85</v>
      </c>
      <c r="F446">
        <v>220</v>
      </c>
      <c r="G446">
        <v>1050</v>
      </c>
      <c r="H446">
        <v>-2</v>
      </c>
      <c r="I446">
        <v>1983</v>
      </c>
      <c r="J446" t="s">
        <v>32</v>
      </c>
      <c r="K446">
        <v>2569</v>
      </c>
      <c r="L446">
        <v>18.440000000000001</v>
      </c>
      <c r="M446">
        <v>8.74</v>
      </c>
      <c r="N446" s="4">
        <f t="shared" si="12"/>
        <v>2.6692637600000003E-2</v>
      </c>
      <c r="O446" s="4">
        <f t="shared" si="13"/>
        <v>0.23329365262400004</v>
      </c>
      <c r="P446">
        <v>100</v>
      </c>
      <c r="Q446">
        <v>3.5</v>
      </c>
      <c r="R446">
        <v>3.5</v>
      </c>
      <c r="S446">
        <v>2.8</v>
      </c>
      <c r="T446">
        <v>4</v>
      </c>
      <c r="U446">
        <v>2.8</v>
      </c>
      <c r="V446" t="s">
        <v>25</v>
      </c>
    </row>
    <row r="447" spans="1:22" x14ac:dyDescent="0.25">
      <c r="A447" t="s">
        <v>83</v>
      </c>
      <c r="B447">
        <v>1</v>
      </c>
      <c r="C447" t="s">
        <v>71</v>
      </c>
      <c r="D447" t="s">
        <v>84</v>
      </c>
      <c r="E447" t="s">
        <v>85</v>
      </c>
      <c r="F447">
        <v>220</v>
      </c>
      <c r="G447">
        <v>1050</v>
      </c>
      <c r="H447">
        <v>-2</v>
      </c>
      <c r="I447">
        <v>1983</v>
      </c>
      <c r="J447" t="s">
        <v>33</v>
      </c>
      <c r="K447">
        <v>2547</v>
      </c>
      <c r="L447">
        <v>21.25</v>
      </c>
      <c r="M447">
        <v>9.6199999999999992</v>
      </c>
      <c r="N447" s="4">
        <f t="shared" si="12"/>
        <v>3.5447656250000001E-2</v>
      </c>
      <c r="O447" s="4">
        <f t="shared" si="13"/>
        <v>0.341006453125</v>
      </c>
      <c r="P447">
        <v>100</v>
      </c>
      <c r="Q447">
        <v>3.5</v>
      </c>
      <c r="R447">
        <v>2.5</v>
      </c>
      <c r="S447">
        <v>3</v>
      </c>
      <c r="T447">
        <v>3</v>
      </c>
      <c r="U447">
        <v>2</v>
      </c>
      <c r="V447" t="s">
        <v>25</v>
      </c>
    </row>
    <row r="448" spans="1:22" x14ac:dyDescent="0.25">
      <c r="A448" t="s">
        <v>83</v>
      </c>
      <c r="B448">
        <v>1</v>
      </c>
      <c r="C448" t="s">
        <v>71</v>
      </c>
      <c r="D448" t="s">
        <v>84</v>
      </c>
      <c r="E448" t="s">
        <v>85</v>
      </c>
      <c r="F448">
        <v>220</v>
      </c>
      <c r="G448">
        <v>1050</v>
      </c>
      <c r="H448">
        <v>-2</v>
      </c>
      <c r="I448">
        <v>1983</v>
      </c>
      <c r="J448" t="s">
        <v>33</v>
      </c>
      <c r="K448">
        <v>2568</v>
      </c>
      <c r="L448">
        <v>16.7</v>
      </c>
      <c r="M448">
        <v>7.64</v>
      </c>
      <c r="N448" s="4">
        <f t="shared" si="12"/>
        <v>2.1892864999999997E-2</v>
      </c>
      <c r="O448" s="4">
        <f t="shared" si="13"/>
        <v>0.16726148859999998</v>
      </c>
      <c r="P448">
        <v>100</v>
      </c>
      <c r="Q448">
        <v>3.5</v>
      </c>
      <c r="R448">
        <v>2.8</v>
      </c>
      <c r="S448">
        <v>3</v>
      </c>
      <c r="T448">
        <v>3</v>
      </c>
      <c r="U448">
        <v>2</v>
      </c>
      <c r="V448" t="s">
        <v>25</v>
      </c>
    </row>
    <row r="449" spans="1:22" x14ac:dyDescent="0.25">
      <c r="A449" t="s">
        <v>83</v>
      </c>
      <c r="B449">
        <v>1</v>
      </c>
      <c r="C449" t="s">
        <v>71</v>
      </c>
      <c r="D449" t="s">
        <v>84</v>
      </c>
      <c r="E449" t="s">
        <v>85</v>
      </c>
      <c r="F449">
        <v>220</v>
      </c>
      <c r="G449">
        <v>1050</v>
      </c>
      <c r="H449">
        <v>-2</v>
      </c>
      <c r="I449">
        <v>1983</v>
      </c>
      <c r="J449" t="s">
        <v>34</v>
      </c>
      <c r="K449">
        <v>1522</v>
      </c>
      <c r="L449">
        <v>15.73</v>
      </c>
      <c r="M449">
        <v>7.8</v>
      </c>
      <c r="N449" s="4">
        <f t="shared" si="12"/>
        <v>1.9423482650000001E-2</v>
      </c>
      <c r="O449" s="4">
        <f t="shared" si="13"/>
        <v>0.15150316467</v>
      </c>
      <c r="P449">
        <v>88</v>
      </c>
      <c r="Q449">
        <v>3.5</v>
      </c>
      <c r="R449">
        <v>2.8</v>
      </c>
      <c r="S449">
        <v>3</v>
      </c>
      <c r="T449">
        <v>3.5</v>
      </c>
      <c r="U449">
        <v>3.5</v>
      </c>
      <c r="V449" t="s">
        <v>27</v>
      </c>
    </row>
    <row r="450" spans="1:22" x14ac:dyDescent="0.25">
      <c r="A450" t="s">
        <v>83</v>
      </c>
      <c r="B450">
        <v>1</v>
      </c>
      <c r="C450" t="s">
        <v>71</v>
      </c>
      <c r="D450" t="s">
        <v>84</v>
      </c>
      <c r="E450" t="s">
        <v>85</v>
      </c>
      <c r="F450">
        <v>220</v>
      </c>
      <c r="G450">
        <v>1050</v>
      </c>
      <c r="H450">
        <v>-2</v>
      </c>
      <c r="I450">
        <v>1983</v>
      </c>
      <c r="J450" t="s">
        <v>34</v>
      </c>
      <c r="K450">
        <v>2570</v>
      </c>
      <c r="L450">
        <v>16.55</v>
      </c>
      <c r="M450">
        <v>8.2100000000000009</v>
      </c>
      <c r="N450" s="4">
        <f t="shared" si="12"/>
        <v>2.1501346250000001E-2</v>
      </c>
      <c r="O450" s="4">
        <f t="shared" si="13"/>
        <v>0.17652605271250002</v>
      </c>
      <c r="P450">
        <v>100</v>
      </c>
      <c r="Q450">
        <v>3.5</v>
      </c>
      <c r="R450">
        <v>3</v>
      </c>
      <c r="S450">
        <v>3.5</v>
      </c>
      <c r="T450">
        <v>3.3</v>
      </c>
      <c r="U450">
        <v>3</v>
      </c>
      <c r="V450" t="s">
        <v>25</v>
      </c>
    </row>
    <row r="451" spans="1:22" x14ac:dyDescent="0.25">
      <c r="A451" t="s">
        <v>83</v>
      </c>
      <c r="B451">
        <v>1</v>
      </c>
      <c r="C451" t="s">
        <v>71</v>
      </c>
      <c r="D451" t="s">
        <v>84</v>
      </c>
      <c r="E451" t="s">
        <v>85</v>
      </c>
      <c r="F451">
        <v>220</v>
      </c>
      <c r="G451">
        <v>1050</v>
      </c>
      <c r="H451">
        <v>-2</v>
      </c>
      <c r="I451">
        <v>1983</v>
      </c>
      <c r="J451" t="s">
        <v>35</v>
      </c>
      <c r="K451">
        <v>2571</v>
      </c>
      <c r="L451">
        <v>13.67</v>
      </c>
      <c r="M451">
        <v>5.24</v>
      </c>
      <c r="N451" s="4">
        <f t="shared" ref="N451:N514" si="14">3.14/4*((L451/100)^2)</f>
        <v>1.466920865E-2</v>
      </c>
      <c r="O451" s="4">
        <f t="shared" ref="O451:O514" si="15">3.14/4*((L451/100)^2)*M451</f>
        <v>7.6866653325999998E-2</v>
      </c>
      <c r="P451">
        <v>63</v>
      </c>
      <c r="Q451">
        <v>2.5</v>
      </c>
      <c r="R451">
        <v>2</v>
      </c>
      <c r="S451">
        <v>2.5</v>
      </c>
      <c r="T451">
        <v>3.3</v>
      </c>
      <c r="U451">
        <v>3</v>
      </c>
      <c r="V451" t="s">
        <v>25</v>
      </c>
    </row>
    <row r="452" spans="1:22" x14ac:dyDescent="0.25">
      <c r="A452" t="s">
        <v>83</v>
      </c>
      <c r="B452">
        <v>1</v>
      </c>
      <c r="C452" t="s">
        <v>71</v>
      </c>
      <c r="D452" t="s">
        <v>84</v>
      </c>
      <c r="E452" t="s">
        <v>85</v>
      </c>
      <c r="F452">
        <v>220</v>
      </c>
      <c r="G452">
        <v>1050</v>
      </c>
      <c r="H452">
        <v>-2</v>
      </c>
      <c r="I452">
        <v>1983</v>
      </c>
      <c r="J452" t="s">
        <v>81</v>
      </c>
      <c r="K452">
        <v>2750</v>
      </c>
      <c r="L452">
        <v>12.8</v>
      </c>
      <c r="M452">
        <v>7.25</v>
      </c>
      <c r="N452" s="4">
        <f t="shared" si="14"/>
        <v>1.286144E-2</v>
      </c>
      <c r="O452" s="4">
        <f t="shared" si="15"/>
        <v>9.3245439999999999E-2</v>
      </c>
      <c r="P452">
        <v>50</v>
      </c>
      <c r="Q452">
        <v>2.2999999999999998</v>
      </c>
      <c r="R452">
        <v>4.5</v>
      </c>
      <c r="S452">
        <v>2.5</v>
      </c>
      <c r="T452">
        <v>3</v>
      </c>
      <c r="U452">
        <v>3</v>
      </c>
      <c r="V452" t="s">
        <v>38</v>
      </c>
    </row>
    <row r="453" spans="1:22" x14ac:dyDescent="0.25">
      <c r="A453" t="s">
        <v>83</v>
      </c>
      <c r="B453">
        <v>1</v>
      </c>
      <c r="C453" t="s">
        <v>71</v>
      </c>
      <c r="D453" t="s">
        <v>84</v>
      </c>
      <c r="E453" t="s">
        <v>85</v>
      </c>
      <c r="F453">
        <v>220</v>
      </c>
      <c r="G453">
        <v>1050</v>
      </c>
      <c r="H453">
        <v>-2</v>
      </c>
      <c r="I453">
        <v>1983</v>
      </c>
      <c r="J453" t="s">
        <v>62</v>
      </c>
      <c r="K453">
        <v>2553</v>
      </c>
      <c r="L453">
        <v>20.82</v>
      </c>
      <c r="M453">
        <v>11.37</v>
      </c>
      <c r="N453" s="4">
        <f t="shared" si="14"/>
        <v>3.4027583399999999E-2</v>
      </c>
      <c r="O453" s="4">
        <f t="shared" si="15"/>
        <v>0.38689362325799997</v>
      </c>
      <c r="P453">
        <v>88</v>
      </c>
      <c r="Q453">
        <v>2.5</v>
      </c>
      <c r="R453">
        <v>3.3</v>
      </c>
      <c r="S453">
        <v>3.3</v>
      </c>
      <c r="T453">
        <v>3</v>
      </c>
      <c r="U453">
        <v>2.2999999999999998</v>
      </c>
      <c r="V453" t="s">
        <v>38</v>
      </c>
    </row>
    <row r="454" spans="1:22" x14ac:dyDescent="0.25">
      <c r="A454" t="s">
        <v>83</v>
      </c>
      <c r="B454">
        <v>1</v>
      </c>
      <c r="C454" t="s">
        <v>71</v>
      </c>
      <c r="D454" t="s">
        <v>84</v>
      </c>
      <c r="E454" t="s">
        <v>85</v>
      </c>
      <c r="F454">
        <v>220</v>
      </c>
      <c r="G454">
        <v>1050</v>
      </c>
      <c r="H454">
        <v>-2</v>
      </c>
      <c r="I454">
        <v>1983</v>
      </c>
      <c r="J454" t="s">
        <v>37</v>
      </c>
      <c r="K454">
        <v>2575</v>
      </c>
      <c r="L454">
        <v>6.65</v>
      </c>
      <c r="M454">
        <v>5.08</v>
      </c>
      <c r="N454" s="4">
        <f t="shared" si="14"/>
        <v>3.4714662500000006E-3</v>
      </c>
      <c r="O454" s="4">
        <f t="shared" si="15"/>
        <v>1.7635048550000004E-2</v>
      </c>
      <c r="P454">
        <v>88</v>
      </c>
      <c r="Q454">
        <v>2.5</v>
      </c>
      <c r="R454">
        <v>2.5</v>
      </c>
      <c r="S454">
        <v>2.5</v>
      </c>
      <c r="T454">
        <v>3</v>
      </c>
      <c r="U454">
        <v>3</v>
      </c>
      <c r="V454" t="s">
        <v>38</v>
      </c>
    </row>
    <row r="455" spans="1:22" x14ac:dyDescent="0.25">
      <c r="A455" t="s">
        <v>83</v>
      </c>
      <c r="B455">
        <v>1</v>
      </c>
      <c r="C455" t="s">
        <v>71</v>
      </c>
      <c r="D455" t="s">
        <v>84</v>
      </c>
      <c r="E455" t="s">
        <v>85</v>
      </c>
      <c r="F455">
        <v>220</v>
      </c>
      <c r="G455">
        <v>1050</v>
      </c>
      <c r="H455">
        <v>-2</v>
      </c>
      <c r="I455">
        <v>1983</v>
      </c>
      <c r="J455" t="s">
        <v>26</v>
      </c>
      <c r="K455">
        <v>2552</v>
      </c>
      <c r="L455">
        <v>18.88</v>
      </c>
      <c r="M455">
        <v>9.59</v>
      </c>
      <c r="N455" s="4">
        <f t="shared" si="14"/>
        <v>2.7981670400000002E-2</v>
      </c>
      <c r="O455" s="4">
        <f t="shared" si="15"/>
        <v>0.26834421913600004</v>
      </c>
      <c r="P455">
        <v>75</v>
      </c>
      <c r="Q455">
        <v>3</v>
      </c>
      <c r="R455">
        <v>3</v>
      </c>
      <c r="S455">
        <v>3</v>
      </c>
      <c r="T455">
        <v>3.3</v>
      </c>
      <c r="U455">
        <v>3</v>
      </c>
      <c r="V455" t="s">
        <v>25</v>
      </c>
    </row>
    <row r="456" spans="1:22" x14ac:dyDescent="0.25">
      <c r="A456" t="s">
        <v>83</v>
      </c>
      <c r="B456">
        <v>2</v>
      </c>
      <c r="C456" t="s">
        <v>71</v>
      </c>
      <c r="D456" t="s">
        <v>84</v>
      </c>
      <c r="E456" t="s">
        <v>85</v>
      </c>
      <c r="F456">
        <v>220</v>
      </c>
      <c r="G456">
        <v>1050</v>
      </c>
      <c r="H456">
        <v>-2</v>
      </c>
      <c r="I456">
        <v>1983</v>
      </c>
      <c r="J456" t="s">
        <v>76</v>
      </c>
      <c r="K456">
        <v>1592</v>
      </c>
      <c r="L456">
        <v>24.3</v>
      </c>
      <c r="M456">
        <v>10.49</v>
      </c>
      <c r="N456" s="4">
        <f t="shared" si="14"/>
        <v>4.6353464999999996E-2</v>
      </c>
      <c r="O456" s="4">
        <f t="shared" si="15"/>
        <v>0.48624784784999997</v>
      </c>
      <c r="P456">
        <v>50</v>
      </c>
      <c r="Q456">
        <v>3.5</v>
      </c>
      <c r="R456">
        <v>3</v>
      </c>
      <c r="S456">
        <v>3</v>
      </c>
      <c r="T456">
        <v>4</v>
      </c>
      <c r="U456">
        <v>2.5</v>
      </c>
      <c r="V456" t="s">
        <v>25</v>
      </c>
    </row>
    <row r="457" spans="1:22" x14ac:dyDescent="0.25">
      <c r="A457" t="s">
        <v>83</v>
      </c>
      <c r="B457">
        <v>2</v>
      </c>
      <c r="C457" t="s">
        <v>71</v>
      </c>
      <c r="D457" t="s">
        <v>84</v>
      </c>
      <c r="E457" t="s">
        <v>85</v>
      </c>
      <c r="F457">
        <v>220</v>
      </c>
      <c r="G457">
        <v>1050</v>
      </c>
      <c r="H457">
        <v>-2</v>
      </c>
      <c r="I457">
        <v>1983</v>
      </c>
      <c r="J457" t="s">
        <v>76</v>
      </c>
      <c r="K457">
        <v>2560</v>
      </c>
      <c r="L457">
        <v>16.5</v>
      </c>
      <c r="M457">
        <v>7.08</v>
      </c>
      <c r="N457" s="4">
        <f t="shared" si="14"/>
        <v>2.1371625000000002E-2</v>
      </c>
      <c r="O457" s="4">
        <f t="shared" si="15"/>
        <v>0.151311105</v>
      </c>
      <c r="P457">
        <v>75</v>
      </c>
      <c r="Q457">
        <v>3</v>
      </c>
      <c r="R457">
        <v>3.5</v>
      </c>
      <c r="S457">
        <v>2.5</v>
      </c>
      <c r="T457">
        <v>4</v>
      </c>
      <c r="U457">
        <v>3</v>
      </c>
      <c r="V457" t="s">
        <v>25</v>
      </c>
    </row>
    <row r="458" spans="1:22" x14ac:dyDescent="0.25">
      <c r="A458" t="s">
        <v>83</v>
      </c>
      <c r="B458">
        <v>2</v>
      </c>
      <c r="C458" t="s">
        <v>71</v>
      </c>
      <c r="D458" t="s">
        <v>84</v>
      </c>
      <c r="E458" t="s">
        <v>85</v>
      </c>
      <c r="F458">
        <v>220</v>
      </c>
      <c r="G458">
        <v>1050</v>
      </c>
      <c r="H458">
        <v>-2</v>
      </c>
      <c r="I458">
        <v>1983</v>
      </c>
      <c r="J458" t="s">
        <v>24</v>
      </c>
      <c r="K458">
        <v>2562</v>
      </c>
      <c r="L458">
        <v>17.62</v>
      </c>
      <c r="M458">
        <v>9.9</v>
      </c>
      <c r="N458" s="4">
        <f t="shared" si="14"/>
        <v>2.4371455400000009E-2</v>
      </c>
      <c r="O458" s="4">
        <f t="shared" si="15"/>
        <v>0.24127740846000009</v>
      </c>
      <c r="P458">
        <v>88</v>
      </c>
      <c r="Q458">
        <v>3.3</v>
      </c>
      <c r="R458">
        <v>3.3</v>
      </c>
      <c r="S458">
        <v>3</v>
      </c>
      <c r="T458">
        <v>3.5</v>
      </c>
      <c r="U458">
        <v>3.3</v>
      </c>
      <c r="V458" t="s">
        <v>25</v>
      </c>
    </row>
    <row r="459" spans="1:22" x14ac:dyDescent="0.25">
      <c r="A459" t="s">
        <v>83</v>
      </c>
      <c r="B459">
        <v>2</v>
      </c>
      <c r="C459" t="s">
        <v>71</v>
      </c>
      <c r="D459" t="s">
        <v>84</v>
      </c>
      <c r="E459" t="s">
        <v>85</v>
      </c>
      <c r="F459">
        <v>220</v>
      </c>
      <c r="G459">
        <v>1050</v>
      </c>
      <c r="H459">
        <v>-2</v>
      </c>
      <c r="I459">
        <v>1983</v>
      </c>
      <c r="J459" t="s">
        <v>80</v>
      </c>
      <c r="K459">
        <v>1252</v>
      </c>
      <c r="L459">
        <v>12.52</v>
      </c>
      <c r="M459">
        <v>9.23</v>
      </c>
      <c r="N459" s="4">
        <f t="shared" si="14"/>
        <v>1.2304906400000001E-2</v>
      </c>
      <c r="O459" s="4">
        <f t="shared" si="15"/>
        <v>0.11357428607200001</v>
      </c>
      <c r="P459">
        <v>100</v>
      </c>
      <c r="Q459">
        <v>3</v>
      </c>
      <c r="R459">
        <v>2.8</v>
      </c>
      <c r="S459">
        <v>2</v>
      </c>
      <c r="T459">
        <v>2.8</v>
      </c>
      <c r="U459">
        <v>2</v>
      </c>
      <c r="V459" t="s">
        <v>30</v>
      </c>
    </row>
    <row r="460" spans="1:22" x14ac:dyDescent="0.25">
      <c r="A460" t="s">
        <v>83</v>
      </c>
      <c r="B460">
        <v>2</v>
      </c>
      <c r="C460" t="s">
        <v>71</v>
      </c>
      <c r="D460" t="s">
        <v>84</v>
      </c>
      <c r="E460" t="s">
        <v>85</v>
      </c>
      <c r="F460">
        <v>220</v>
      </c>
      <c r="G460">
        <v>1050</v>
      </c>
      <c r="H460">
        <v>-2</v>
      </c>
      <c r="I460">
        <v>1983</v>
      </c>
      <c r="J460" t="s">
        <v>59</v>
      </c>
      <c r="K460">
        <v>1482</v>
      </c>
      <c r="L460">
        <v>21.8</v>
      </c>
      <c r="M460">
        <v>8.52</v>
      </c>
      <c r="N460" s="4">
        <f t="shared" si="14"/>
        <v>3.730634E-2</v>
      </c>
      <c r="O460" s="4">
        <f t="shared" si="15"/>
        <v>0.31785001679999997</v>
      </c>
      <c r="P460">
        <v>100</v>
      </c>
      <c r="Q460">
        <v>2</v>
      </c>
      <c r="R460">
        <v>3</v>
      </c>
      <c r="S460">
        <v>3</v>
      </c>
      <c r="T460">
        <v>3</v>
      </c>
      <c r="U460">
        <v>3</v>
      </c>
      <c r="V460" t="s">
        <v>50</v>
      </c>
    </row>
    <row r="461" spans="1:22" x14ac:dyDescent="0.25">
      <c r="A461" t="s">
        <v>83</v>
      </c>
      <c r="B461">
        <v>2</v>
      </c>
      <c r="C461" t="s">
        <v>71</v>
      </c>
      <c r="D461" t="s">
        <v>84</v>
      </c>
      <c r="E461" t="s">
        <v>85</v>
      </c>
      <c r="F461">
        <v>220</v>
      </c>
      <c r="G461">
        <v>1050</v>
      </c>
      <c r="H461">
        <v>-2</v>
      </c>
      <c r="I461">
        <v>1983</v>
      </c>
      <c r="J461" t="s">
        <v>59</v>
      </c>
      <c r="K461">
        <v>2548</v>
      </c>
      <c r="L461">
        <v>13.7</v>
      </c>
      <c r="M461">
        <v>5.35</v>
      </c>
      <c r="N461" s="4">
        <f t="shared" si="14"/>
        <v>1.4733664999999996E-2</v>
      </c>
      <c r="O461" s="4">
        <f t="shared" si="15"/>
        <v>7.882510774999997E-2</v>
      </c>
      <c r="P461">
        <v>88</v>
      </c>
      <c r="Q461">
        <v>4</v>
      </c>
      <c r="R461">
        <v>3</v>
      </c>
      <c r="S461">
        <v>2</v>
      </c>
      <c r="T461">
        <v>3</v>
      </c>
      <c r="U461">
        <v>1.5</v>
      </c>
      <c r="V461" t="s">
        <v>25</v>
      </c>
    </row>
    <row r="462" spans="1:22" x14ac:dyDescent="0.25">
      <c r="A462" t="s">
        <v>83</v>
      </c>
      <c r="B462">
        <v>2</v>
      </c>
      <c r="C462" t="s">
        <v>71</v>
      </c>
      <c r="D462" t="s">
        <v>84</v>
      </c>
      <c r="E462" t="s">
        <v>85</v>
      </c>
      <c r="F462">
        <v>220</v>
      </c>
      <c r="G462">
        <v>1050</v>
      </c>
      <c r="H462">
        <v>-2</v>
      </c>
      <c r="I462">
        <v>1983</v>
      </c>
      <c r="J462" t="s">
        <v>32</v>
      </c>
      <c r="K462">
        <v>1596</v>
      </c>
      <c r="L462">
        <v>10.97</v>
      </c>
      <c r="M462">
        <v>5.2</v>
      </c>
      <c r="N462" s="4">
        <f t="shared" si="14"/>
        <v>9.4467606500000002E-3</v>
      </c>
      <c r="O462" s="4">
        <f t="shared" si="15"/>
        <v>4.9123155380000005E-2</v>
      </c>
      <c r="P462">
        <v>50</v>
      </c>
      <c r="Q462">
        <v>3.3</v>
      </c>
      <c r="R462">
        <v>3</v>
      </c>
      <c r="S462">
        <v>3.3</v>
      </c>
      <c r="T462">
        <v>4</v>
      </c>
      <c r="U462">
        <v>3.5</v>
      </c>
      <c r="V462" t="s">
        <v>25</v>
      </c>
    </row>
    <row r="463" spans="1:22" x14ac:dyDescent="0.25">
      <c r="A463" t="s">
        <v>83</v>
      </c>
      <c r="B463">
        <v>2</v>
      </c>
      <c r="C463" t="s">
        <v>71</v>
      </c>
      <c r="D463" t="s">
        <v>84</v>
      </c>
      <c r="E463" t="s">
        <v>85</v>
      </c>
      <c r="F463">
        <v>220</v>
      </c>
      <c r="G463">
        <v>1050</v>
      </c>
      <c r="H463">
        <v>-2</v>
      </c>
      <c r="I463">
        <v>1983</v>
      </c>
      <c r="J463" t="s">
        <v>32</v>
      </c>
      <c r="K463">
        <v>2569</v>
      </c>
      <c r="L463">
        <v>20.86</v>
      </c>
      <c r="M463">
        <v>9.89</v>
      </c>
      <c r="N463" s="4">
        <f t="shared" si="14"/>
        <v>3.4158458600000004E-2</v>
      </c>
      <c r="O463" s="4">
        <f t="shared" si="15"/>
        <v>0.33782715555400006</v>
      </c>
      <c r="P463">
        <v>25</v>
      </c>
      <c r="Q463">
        <v>1.5</v>
      </c>
      <c r="R463">
        <v>3</v>
      </c>
      <c r="S463">
        <v>3</v>
      </c>
      <c r="T463">
        <v>3</v>
      </c>
      <c r="U463">
        <v>3</v>
      </c>
      <c r="V463" t="s">
        <v>50</v>
      </c>
    </row>
    <row r="464" spans="1:22" x14ac:dyDescent="0.25">
      <c r="A464" t="s">
        <v>83</v>
      </c>
      <c r="B464">
        <v>2</v>
      </c>
      <c r="C464" t="s">
        <v>71</v>
      </c>
      <c r="D464" t="s">
        <v>84</v>
      </c>
      <c r="E464" t="s">
        <v>85</v>
      </c>
      <c r="F464">
        <v>220</v>
      </c>
      <c r="G464">
        <v>1050</v>
      </c>
      <c r="H464">
        <v>-2</v>
      </c>
      <c r="I464">
        <v>1983</v>
      </c>
      <c r="J464" t="s">
        <v>33</v>
      </c>
      <c r="K464">
        <v>2547</v>
      </c>
      <c r="L464">
        <v>20.309999999999999</v>
      </c>
      <c r="M464">
        <v>9.27</v>
      </c>
      <c r="N464" s="4">
        <f t="shared" si="14"/>
        <v>3.2380943849999996E-2</v>
      </c>
      <c r="O464" s="4">
        <f t="shared" si="15"/>
        <v>0.30017134948949997</v>
      </c>
      <c r="P464">
        <v>100</v>
      </c>
      <c r="Q464">
        <v>4</v>
      </c>
      <c r="R464">
        <v>2.5</v>
      </c>
      <c r="S464">
        <v>2.8</v>
      </c>
      <c r="T464">
        <v>2.5</v>
      </c>
      <c r="U464">
        <v>2.5</v>
      </c>
      <c r="V464" t="s">
        <v>25</v>
      </c>
    </row>
    <row r="465" spans="1:22" x14ac:dyDescent="0.25">
      <c r="A465" t="s">
        <v>83</v>
      </c>
      <c r="B465">
        <v>2</v>
      </c>
      <c r="C465" t="s">
        <v>71</v>
      </c>
      <c r="D465" t="s">
        <v>84</v>
      </c>
      <c r="E465" t="s">
        <v>85</v>
      </c>
      <c r="F465">
        <v>220</v>
      </c>
      <c r="G465">
        <v>1050</v>
      </c>
      <c r="H465">
        <v>-2</v>
      </c>
      <c r="I465">
        <v>1983</v>
      </c>
      <c r="J465" t="s">
        <v>33</v>
      </c>
      <c r="K465">
        <v>2568</v>
      </c>
      <c r="L465">
        <v>20.29</v>
      </c>
      <c r="M465">
        <v>9.27</v>
      </c>
      <c r="N465" s="4">
        <f t="shared" si="14"/>
        <v>3.2317201849999998E-2</v>
      </c>
      <c r="O465" s="4">
        <f t="shared" si="15"/>
        <v>0.29958046114949999</v>
      </c>
      <c r="P465">
        <v>88</v>
      </c>
      <c r="Q465">
        <v>2</v>
      </c>
      <c r="R465">
        <v>2.5</v>
      </c>
      <c r="S465">
        <v>3</v>
      </c>
      <c r="T465">
        <v>3</v>
      </c>
      <c r="U465">
        <v>2</v>
      </c>
      <c r="V465" t="s">
        <v>30</v>
      </c>
    </row>
    <row r="466" spans="1:22" x14ac:dyDescent="0.25">
      <c r="A466" t="s">
        <v>83</v>
      </c>
      <c r="B466">
        <v>2</v>
      </c>
      <c r="C466" t="s">
        <v>71</v>
      </c>
      <c r="D466" t="s">
        <v>84</v>
      </c>
      <c r="E466" t="s">
        <v>85</v>
      </c>
      <c r="F466">
        <v>220</v>
      </c>
      <c r="G466">
        <v>1050</v>
      </c>
      <c r="H466">
        <v>-2</v>
      </c>
      <c r="I466">
        <v>1983</v>
      </c>
      <c r="J466" t="s">
        <v>34</v>
      </c>
      <c r="K466">
        <v>1522</v>
      </c>
      <c r="L466">
        <v>7.6</v>
      </c>
      <c r="M466">
        <v>3.76</v>
      </c>
      <c r="N466" s="4">
        <f t="shared" si="14"/>
        <v>4.5341599999999998E-3</v>
      </c>
      <c r="O466" s="4">
        <f t="shared" si="15"/>
        <v>1.7048441599999999E-2</v>
      </c>
      <c r="P466">
        <v>63</v>
      </c>
      <c r="Q466">
        <v>2</v>
      </c>
      <c r="R466">
        <v>3</v>
      </c>
      <c r="S466">
        <v>3</v>
      </c>
      <c r="T466">
        <v>3</v>
      </c>
      <c r="U466">
        <v>3</v>
      </c>
      <c r="V466" t="s">
        <v>50</v>
      </c>
    </row>
    <row r="467" spans="1:22" x14ac:dyDescent="0.25">
      <c r="A467" t="s">
        <v>83</v>
      </c>
      <c r="B467">
        <v>2</v>
      </c>
      <c r="C467" t="s">
        <v>71</v>
      </c>
      <c r="D467" t="s">
        <v>84</v>
      </c>
      <c r="E467" t="s">
        <v>85</v>
      </c>
      <c r="F467">
        <v>220</v>
      </c>
      <c r="G467">
        <v>1050</v>
      </c>
      <c r="H467">
        <v>-2</v>
      </c>
      <c r="I467">
        <v>1983</v>
      </c>
      <c r="J467" t="s">
        <v>34</v>
      </c>
      <c r="K467">
        <v>2570</v>
      </c>
      <c r="L467">
        <v>19.010000000000002</v>
      </c>
      <c r="M467">
        <v>9.41</v>
      </c>
      <c r="N467" s="4">
        <f t="shared" si="14"/>
        <v>2.8368337850000005E-2</v>
      </c>
      <c r="O467" s="4">
        <f t="shared" si="15"/>
        <v>0.26694605916850006</v>
      </c>
      <c r="P467">
        <v>75</v>
      </c>
      <c r="Q467">
        <v>3.5</v>
      </c>
      <c r="R467">
        <v>3</v>
      </c>
      <c r="S467">
        <v>3.5</v>
      </c>
      <c r="T467">
        <v>3.5</v>
      </c>
      <c r="U467">
        <v>3.5</v>
      </c>
      <c r="V467" t="s">
        <v>25</v>
      </c>
    </row>
    <row r="468" spans="1:22" x14ac:dyDescent="0.25">
      <c r="A468" t="s">
        <v>83</v>
      </c>
      <c r="B468">
        <v>2</v>
      </c>
      <c r="C468" t="s">
        <v>71</v>
      </c>
      <c r="D468" t="s">
        <v>84</v>
      </c>
      <c r="E468" t="s">
        <v>85</v>
      </c>
      <c r="F468">
        <v>220</v>
      </c>
      <c r="G468">
        <v>1050</v>
      </c>
      <c r="H468">
        <v>-2</v>
      </c>
      <c r="I468">
        <v>1983</v>
      </c>
      <c r="J468" t="s">
        <v>35</v>
      </c>
      <c r="K468">
        <v>2571</v>
      </c>
      <c r="L468">
        <v>16.149999999999999</v>
      </c>
      <c r="M468">
        <v>6.19</v>
      </c>
      <c r="N468" s="4">
        <f t="shared" si="14"/>
        <v>2.0474566249999993E-2</v>
      </c>
      <c r="O468" s="4">
        <f t="shared" si="15"/>
        <v>0.12673756508749995</v>
      </c>
      <c r="P468">
        <v>100</v>
      </c>
      <c r="Q468">
        <v>3</v>
      </c>
      <c r="R468">
        <v>2.2999999999999998</v>
      </c>
      <c r="S468">
        <v>3</v>
      </c>
      <c r="T468">
        <v>4</v>
      </c>
      <c r="U468">
        <v>4</v>
      </c>
      <c r="V468" t="s">
        <v>25</v>
      </c>
    </row>
    <row r="469" spans="1:22" x14ac:dyDescent="0.25">
      <c r="A469" t="s">
        <v>83</v>
      </c>
      <c r="B469">
        <v>2</v>
      </c>
      <c r="C469" t="s">
        <v>71</v>
      </c>
      <c r="D469" t="s">
        <v>84</v>
      </c>
      <c r="E469" t="s">
        <v>85</v>
      </c>
      <c r="F469">
        <v>220</v>
      </c>
      <c r="G469">
        <v>1050</v>
      </c>
      <c r="H469">
        <v>-2</v>
      </c>
      <c r="I469">
        <v>1983</v>
      </c>
      <c r="J469" t="s">
        <v>81</v>
      </c>
      <c r="K469">
        <v>2750</v>
      </c>
      <c r="L469">
        <v>14.5</v>
      </c>
      <c r="M469">
        <v>8.17</v>
      </c>
      <c r="N469" s="4">
        <f t="shared" si="14"/>
        <v>1.6504624999999998E-2</v>
      </c>
      <c r="O469" s="4">
        <f t="shared" si="15"/>
        <v>0.13484278624999999</v>
      </c>
      <c r="P469">
        <v>88</v>
      </c>
      <c r="Q469">
        <v>1</v>
      </c>
      <c r="R469">
        <v>3</v>
      </c>
      <c r="S469">
        <v>3</v>
      </c>
      <c r="T469">
        <v>3</v>
      </c>
      <c r="U469">
        <v>3</v>
      </c>
      <c r="V469" t="s">
        <v>50</v>
      </c>
    </row>
    <row r="470" spans="1:22" x14ac:dyDescent="0.25">
      <c r="A470" t="s">
        <v>83</v>
      </c>
      <c r="B470">
        <v>2</v>
      </c>
      <c r="C470" t="s">
        <v>71</v>
      </c>
      <c r="D470" t="s">
        <v>84</v>
      </c>
      <c r="E470" t="s">
        <v>85</v>
      </c>
      <c r="F470">
        <v>220</v>
      </c>
      <c r="G470">
        <v>1050</v>
      </c>
      <c r="H470">
        <v>-2</v>
      </c>
      <c r="I470">
        <v>1983</v>
      </c>
      <c r="J470" t="s">
        <v>62</v>
      </c>
      <c r="K470">
        <v>2553</v>
      </c>
      <c r="L470">
        <v>11.28</v>
      </c>
      <c r="M470">
        <v>6.41</v>
      </c>
      <c r="N470" s="4">
        <f t="shared" si="14"/>
        <v>9.9882144000000006E-3</v>
      </c>
      <c r="O470" s="4">
        <f t="shared" si="15"/>
        <v>6.4024454304E-2</v>
      </c>
      <c r="P470">
        <v>50</v>
      </c>
      <c r="Q470">
        <v>4</v>
      </c>
      <c r="R470">
        <v>3.5</v>
      </c>
      <c r="S470">
        <v>3.5</v>
      </c>
      <c r="T470">
        <v>3.5</v>
      </c>
      <c r="U470">
        <v>3</v>
      </c>
      <c r="V470" t="s">
        <v>25</v>
      </c>
    </row>
    <row r="471" spans="1:22" x14ac:dyDescent="0.25">
      <c r="A471" t="s">
        <v>83</v>
      </c>
      <c r="B471">
        <v>2</v>
      </c>
      <c r="C471" t="s">
        <v>71</v>
      </c>
      <c r="D471" t="s">
        <v>84</v>
      </c>
      <c r="E471" t="s">
        <v>85</v>
      </c>
      <c r="F471">
        <v>220</v>
      </c>
      <c r="G471">
        <v>1050</v>
      </c>
      <c r="H471">
        <v>-2</v>
      </c>
      <c r="I471">
        <v>1983</v>
      </c>
      <c r="J471" t="s">
        <v>37</v>
      </c>
      <c r="K471">
        <v>2575</v>
      </c>
      <c r="L471">
        <v>13.31</v>
      </c>
      <c r="M471">
        <v>8.75</v>
      </c>
      <c r="N471" s="4">
        <f t="shared" si="14"/>
        <v>1.390675385E-2</v>
      </c>
      <c r="O471" s="4">
        <f t="shared" si="15"/>
        <v>0.12168409618750001</v>
      </c>
      <c r="P471">
        <v>75</v>
      </c>
      <c r="Q471">
        <v>2.8</v>
      </c>
      <c r="R471">
        <v>3</v>
      </c>
      <c r="S471">
        <v>2.5</v>
      </c>
      <c r="T471">
        <v>3</v>
      </c>
      <c r="U471">
        <v>2.5</v>
      </c>
      <c r="V471" t="s">
        <v>30</v>
      </c>
    </row>
    <row r="472" spans="1:22" x14ac:dyDescent="0.25">
      <c r="A472" t="s">
        <v>83</v>
      </c>
      <c r="B472">
        <v>2</v>
      </c>
      <c r="C472" t="s">
        <v>71</v>
      </c>
      <c r="D472" t="s">
        <v>84</v>
      </c>
      <c r="E472" t="s">
        <v>85</v>
      </c>
      <c r="F472">
        <v>220</v>
      </c>
      <c r="G472">
        <v>1050</v>
      </c>
      <c r="H472">
        <v>-2</v>
      </c>
      <c r="I472">
        <v>1983</v>
      </c>
      <c r="J472" t="s">
        <v>26</v>
      </c>
      <c r="K472">
        <v>2552</v>
      </c>
      <c r="L472">
        <v>14.89</v>
      </c>
      <c r="M472">
        <v>7.56</v>
      </c>
      <c r="N472" s="4">
        <f t="shared" si="14"/>
        <v>1.7404399850000002E-2</v>
      </c>
      <c r="O472" s="4">
        <f t="shared" si="15"/>
        <v>0.13157726286599999</v>
      </c>
      <c r="P472">
        <v>50</v>
      </c>
      <c r="Q472">
        <v>4</v>
      </c>
      <c r="R472">
        <v>4</v>
      </c>
      <c r="S472">
        <v>2</v>
      </c>
      <c r="T472">
        <v>3</v>
      </c>
      <c r="U472">
        <v>2</v>
      </c>
      <c r="V472" t="s">
        <v>25</v>
      </c>
    </row>
    <row r="473" spans="1:22" x14ac:dyDescent="0.25">
      <c r="A473" t="s">
        <v>83</v>
      </c>
      <c r="B473">
        <v>3</v>
      </c>
      <c r="C473" t="s">
        <v>71</v>
      </c>
      <c r="D473" t="s">
        <v>84</v>
      </c>
      <c r="E473" t="s">
        <v>85</v>
      </c>
      <c r="F473">
        <v>220</v>
      </c>
      <c r="G473">
        <v>1050</v>
      </c>
      <c r="H473">
        <v>-2</v>
      </c>
      <c r="I473">
        <v>1983</v>
      </c>
      <c r="J473" t="s">
        <v>76</v>
      </c>
      <c r="K473">
        <v>1592</v>
      </c>
      <c r="L473">
        <v>19.34</v>
      </c>
      <c r="M473">
        <v>8.3000000000000007</v>
      </c>
      <c r="N473" s="4">
        <f t="shared" si="14"/>
        <v>2.9361794599999998E-2</v>
      </c>
      <c r="O473" s="4">
        <f t="shared" si="15"/>
        <v>0.24370289517999999</v>
      </c>
      <c r="P473">
        <v>100</v>
      </c>
      <c r="Q473">
        <v>3.5</v>
      </c>
      <c r="R473">
        <v>3.5</v>
      </c>
      <c r="S473">
        <v>2.5</v>
      </c>
      <c r="T473">
        <v>3.5</v>
      </c>
      <c r="U473">
        <v>2.5</v>
      </c>
      <c r="V473" t="s">
        <v>25</v>
      </c>
    </row>
    <row r="474" spans="1:22" x14ac:dyDescent="0.25">
      <c r="A474" t="s">
        <v>83</v>
      </c>
      <c r="B474">
        <v>3</v>
      </c>
      <c r="C474" t="s">
        <v>71</v>
      </c>
      <c r="D474" t="s">
        <v>84</v>
      </c>
      <c r="E474" t="s">
        <v>85</v>
      </c>
      <c r="F474">
        <v>220</v>
      </c>
      <c r="G474">
        <v>1050</v>
      </c>
      <c r="H474">
        <v>-2</v>
      </c>
      <c r="I474">
        <v>1983</v>
      </c>
      <c r="J474" t="s">
        <v>76</v>
      </c>
      <c r="K474">
        <v>2560</v>
      </c>
      <c r="L474">
        <v>21.27</v>
      </c>
      <c r="M474">
        <v>9.1300000000000008</v>
      </c>
      <c r="N474" s="4">
        <f t="shared" si="14"/>
        <v>3.5514412650000007E-2</v>
      </c>
      <c r="O474" s="4">
        <f t="shared" si="15"/>
        <v>0.32424658749450008</v>
      </c>
      <c r="P474">
        <v>88</v>
      </c>
      <c r="Q474">
        <v>3.3</v>
      </c>
      <c r="R474">
        <v>3.5</v>
      </c>
      <c r="S474">
        <v>2.5</v>
      </c>
      <c r="T474">
        <v>3.3</v>
      </c>
      <c r="U474">
        <v>3</v>
      </c>
      <c r="V474" t="s">
        <v>25</v>
      </c>
    </row>
    <row r="475" spans="1:22" x14ac:dyDescent="0.25">
      <c r="A475" t="s">
        <v>83</v>
      </c>
      <c r="B475">
        <v>3</v>
      </c>
      <c r="C475" t="s">
        <v>71</v>
      </c>
      <c r="D475" t="s">
        <v>84</v>
      </c>
      <c r="E475" t="s">
        <v>85</v>
      </c>
      <c r="F475">
        <v>220</v>
      </c>
      <c r="G475">
        <v>1050</v>
      </c>
      <c r="H475">
        <v>-2</v>
      </c>
      <c r="I475">
        <v>1983</v>
      </c>
      <c r="J475" t="s">
        <v>24</v>
      </c>
      <c r="K475">
        <v>2562</v>
      </c>
      <c r="L475">
        <v>17.62</v>
      </c>
      <c r="M475">
        <v>9.9</v>
      </c>
      <c r="N475" s="4">
        <f t="shared" si="14"/>
        <v>2.4371455400000009E-2</v>
      </c>
      <c r="O475" s="4">
        <f t="shared" si="15"/>
        <v>0.24127740846000009</v>
      </c>
      <c r="P475">
        <v>100</v>
      </c>
      <c r="Q475">
        <v>3.5</v>
      </c>
      <c r="R475">
        <v>3</v>
      </c>
      <c r="S475">
        <v>3</v>
      </c>
      <c r="T475">
        <v>3.3</v>
      </c>
      <c r="U475">
        <v>3.3</v>
      </c>
      <c r="V475" t="s">
        <v>25</v>
      </c>
    </row>
    <row r="476" spans="1:22" x14ac:dyDescent="0.25">
      <c r="A476" t="s">
        <v>83</v>
      </c>
      <c r="B476">
        <v>3</v>
      </c>
      <c r="C476" t="s">
        <v>71</v>
      </c>
      <c r="D476" t="s">
        <v>84</v>
      </c>
      <c r="E476" t="s">
        <v>85</v>
      </c>
      <c r="F476">
        <v>220</v>
      </c>
      <c r="G476">
        <v>1050</v>
      </c>
      <c r="H476">
        <v>-2</v>
      </c>
      <c r="I476">
        <v>1983</v>
      </c>
      <c r="J476" t="s">
        <v>80</v>
      </c>
      <c r="K476">
        <v>1252</v>
      </c>
      <c r="L476">
        <v>10.36</v>
      </c>
      <c r="M476">
        <v>7.54</v>
      </c>
      <c r="N476" s="4">
        <f t="shared" si="14"/>
        <v>8.425373600000001E-3</v>
      </c>
      <c r="O476" s="4">
        <f t="shared" si="15"/>
        <v>6.3527316944000004E-2</v>
      </c>
      <c r="P476">
        <v>100</v>
      </c>
      <c r="Q476">
        <v>2.7</v>
      </c>
      <c r="R476">
        <v>3</v>
      </c>
      <c r="S476">
        <v>2</v>
      </c>
      <c r="T476">
        <v>2</v>
      </c>
      <c r="U476">
        <v>2</v>
      </c>
      <c r="V476" t="s">
        <v>30</v>
      </c>
    </row>
    <row r="477" spans="1:22" x14ac:dyDescent="0.25">
      <c r="A477" t="s">
        <v>83</v>
      </c>
      <c r="B477">
        <v>3</v>
      </c>
      <c r="C477" t="s">
        <v>71</v>
      </c>
      <c r="D477" t="s">
        <v>84</v>
      </c>
      <c r="E477" t="s">
        <v>85</v>
      </c>
      <c r="F477">
        <v>220</v>
      </c>
      <c r="G477">
        <v>1050</v>
      </c>
      <c r="H477">
        <v>-2</v>
      </c>
      <c r="I477">
        <v>1983</v>
      </c>
      <c r="J477" t="s">
        <v>59</v>
      </c>
      <c r="K477">
        <v>1482</v>
      </c>
      <c r="L477">
        <v>22.38</v>
      </c>
      <c r="M477">
        <v>8.74</v>
      </c>
      <c r="N477" s="4">
        <f t="shared" si="14"/>
        <v>3.9317855400000004E-2</v>
      </c>
      <c r="O477" s="4">
        <f t="shared" si="15"/>
        <v>0.34363805619600002</v>
      </c>
      <c r="P477">
        <v>100</v>
      </c>
      <c r="Q477">
        <v>3.7</v>
      </c>
      <c r="R477">
        <v>3</v>
      </c>
      <c r="S477">
        <v>3.2</v>
      </c>
      <c r="T477">
        <v>3.3</v>
      </c>
      <c r="U477">
        <v>2.6</v>
      </c>
      <c r="V477" t="s">
        <v>25</v>
      </c>
    </row>
    <row r="478" spans="1:22" x14ac:dyDescent="0.25">
      <c r="A478" t="s">
        <v>83</v>
      </c>
      <c r="B478">
        <v>3</v>
      </c>
      <c r="C478" t="s">
        <v>71</v>
      </c>
      <c r="D478" t="s">
        <v>84</v>
      </c>
      <c r="E478" t="s">
        <v>85</v>
      </c>
      <c r="F478">
        <v>220</v>
      </c>
      <c r="G478">
        <v>1050</v>
      </c>
      <c r="H478">
        <v>-2</v>
      </c>
      <c r="I478">
        <v>1983</v>
      </c>
      <c r="J478" t="s">
        <v>59</v>
      </c>
      <c r="K478">
        <v>2548</v>
      </c>
      <c r="L478">
        <v>6.34</v>
      </c>
      <c r="M478">
        <v>3.65</v>
      </c>
      <c r="N478" s="4">
        <f t="shared" si="14"/>
        <v>3.1553546000000002E-3</v>
      </c>
      <c r="O478" s="4">
        <f t="shared" si="15"/>
        <v>1.151704429E-2</v>
      </c>
      <c r="P478">
        <v>100</v>
      </c>
      <c r="Q478">
        <v>3</v>
      </c>
      <c r="R478">
        <v>3</v>
      </c>
      <c r="S478">
        <v>2</v>
      </c>
      <c r="T478">
        <v>2.5</v>
      </c>
      <c r="U478">
        <v>2.5</v>
      </c>
      <c r="V478" t="s">
        <v>30</v>
      </c>
    </row>
    <row r="479" spans="1:22" x14ac:dyDescent="0.25">
      <c r="A479" t="s">
        <v>83</v>
      </c>
      <c r="B479">
        <v>3</v>
      </c>
      <c r="C479" t="s">
        <v>71</v>
      </c>
      <c r="D479" t="s">
        <v>84</v>
      </c>
      <c r="E479" t="s">
        <v>85</v>
      </c>
      <c r="F479">
        <v>220</v>
      </c>
      <c r="G479">
        <v>1050</v>
      </c>
      <c r="H479">
        <v>-2</v>
      </c>
      <c r="I479">
        <v>1983</v>
      </c>
      <c r="J479" t="s">
        <v>32</v>
      </c>
      <c r="K479">
        <v>1596</v>
      </c>
      <c r="L479">
        <v>14.77</v>
      </c>
      <c r="M479">
        <v>7</v>
      </c>
      <c r="N479" s="4">
        <f t="shared" si="14"/>
        <v>1.7125002650000002E-2</v>
      </c>
      <c r="O479" s="4">
        <f t="shared" si="15"/>
        <v>0.11987501855000002</v>
      </c>
      <c r="P479">
        <v>100</v>
      </c>
      <c r="Q479">
        <v>3</v>
      </c>
      <c r="R479">
        <v>4</v>
      </c>
      <c r="S479">
        <v>2</v>
      </c>
      <c r="T479">
        <v>3.5</v>
      </c>
      <c r="U479">
        <v>3</v>
      </c>
      <c r="V479" t="s">
        <v>25</v>
      </c>
    </row>
    <row r="480" spans="1:22" x14ac:dyDescent="0.25">
      <c r="A480" t="s">
        <v>83</v>
      </c>
      <c r="B480">
        <v>3</v>
      </c>
      <c r="C480" t="s">
        <v>71</v>
      </c>
      <c r="D480" t="s">
        <v>84</v>
      </c>
      <c r="E480" t="s">
        <v>85</v>
      </c>
      <c r="F480">
        <v>220</v>
      </c>
      <c r="G480">
        <v>1050</v>
      </c>
      <c r="H480">
        <v>-2</v>
      </c>
      <c r="I480">
        <v>1983</v>
      </c>
      <c r="J480" t="s">
        <v>32</v>
      </c>
      <c r="K480">
        <v>2569</v>
      </c>
      <c r="L480">
        <v>10.11</v>
      </c>
      <c r="M480">
        <v>4.79</v>
      </c>
      <c r="N480" s="4">
        <f t="shared" si="14"/>
        <v>8.02364985E-3</v>
      </c>
      <c r="O480" s="4">
        <f t="shared" si="15"/>
        <v>3.8433282781500003E-2</v>
      </c>
      <c r="P480">
        <v>100</v>
      </c>
      <c r="Q480">
        <v>2.7</v>
      </c>
      <c r="R480">
        <v>3.5</v>
      </c>
      <c r="S480">
        <v>2.8</v>
      </c>
      <c r="T480">
        <v>4</v>
      </c>
      <c r="U480">
        <v>4</v>
      </c>
      <c r="V480" t="s">
        <v>25</v>
      </c>
    </row>
    <row r="481" spans="1:22" x14ac:dyDescent="0.25">
      <c r="A481" t="s">
        <v>83</v>
      </c>
      <c r="B481">
        <v>3</v>
      </c>
      <c r="C481" t="s">
        <v>71</v>
      </c>
      <c r="D481" t="s">
        <v>84</v>
      </c>
      <c r="E481" t="s">
        <v>85</v>
      </c>
      <c r="F481">
        <v>220</v>
      </c>
      <c r="G481">
        <v>1050</v>
      </c>
      <c r="H481">
        <v>-2</v>
      </c>
      <c r="I481">
        <v>1983</v>
      </c>
      <c r="J481" t="s">
        <v>33</v>
      </c>
      <c r="K481">
        <v>2547</v>
      </c>
      <c r="L481">
        <v>18.16</v>
      </c>
      <c r="M481">
        <v>8.2899999999999991</v>
      </c>
      <c r="N481" s="4">
        <f t="shared" si="14"/>
        <v>2.5888169600000004E-2</v>
      </c>
      <c r="O481" s="4">
        <f t="shared" si="15"/>
        <v>0.214612925984</v>
      </c>
      <c r="P481">
        <v>75</v>
      </c>
      <c r="Q481">
        <v>4</v>
      </c>
      <c r="R481">
        <v>2.2999999999999998</v>
      </c>
      <c r="S481">
        <v>3.3</v>
      </c>
      <c r="T481">
        <v>3.3</v>
      </c>
      <c r="U481">
        <v>3</v>
      </c>
      <c r="V481" t="s">
        <v>25</v>
      </c>
    </row>
    <row r="482" spans="1:22" x14ac:dyDescent="0.25">
      <c r="A482" t="s">
        <v>83</v>
      </c>
      <c r="B482">
        <v>3</v>
      </c>
      <c r="C482" t="s">
        <v>71</v>
      </c>
      <c r="D482" t="s">
        <v>84</v>
      </c>
      <c r="E482" t="s">
        <v>85</v>
      </c>
      <c r="F482">
        <v>220</v>
      </c>
      <c r="G482">
        <v>1050</v>
      </c>
      <c r="H482">
        <v>-2</v>
      </c>
      <c r="I482">
        <v>1983</v>
      </c>
      <c r="J482" t="s">
        <v>33</v>
      </c>
      <c r="K482">
        <v>2568</v>
      </c>
      <c r="L482">
        <v>21.09</v>
      </c>
      <c r="M482">
        <v>9.6300000000000008</v>
      </c>
      <c r="N482" s="4">
        <f t="shared" si="14"/>
        <v>3.4915865850000005E-2</v>
      </c>
      <c r="O482" s="4">
        <f t="shared" si="15"/>
        <v>0.3362397881355001</v>
      </c>
      <c r="P482">
        <v>63</v>
      </c>
      <c r="Q482">
        <v>4</v>
      </c>
      <c r="R482">
        <v>3</v>
      </c>
      <c r="S482">
        <v>4</v>
      </c>
      <c r="T482">
        <v>3.3</v>
      </c>
      <c r="U482">
        <v>3</v>
      </c>
      <c r="V482" t="s">
        <v>25</v>
      </c>
    </row>
    <row r="483" spans="1:22" x14ac:dyDescent="0.25">
      <c r="A483" t="s">
        <v>83</v>
      </c>
      <c r="B483">
        <v>3</v>
      </c>
      <c r="C483" t="s">
        <v>71</v>
      </c>
      <c r="D483" t="s">
        <v>84</v>
      </c>
      <c r="E483" t="s">
        <v>85</v>
      </c>
      <c r="F483">
        <v>220</v>
      </c>
      <c r="G483">
        <v>1050</v>
      </c>
      <c r="H483">
        <v>-2</v>
      </c>
      <c r="I483">
        <v>1983</v>
      </c>
      <c r="J483" t="s">
        <v>34</v>
      </c>
      <c r="K483">
        <v>1522</v>
      </c>
      <c r="L483">
        <v>17.84</v>
      </c>
      <c r="M483">
        <v>8.83</v>
      </c>
      <c r="N483" s="4">
        <f t="shared" si="14"/>
        <v>2.4983849600000003E-2</v>
      </c>
      <c r="O483" s="4">
        <f t="shared" si="15"/>
        <v>0.22060739196800003</v>
      </c>
      <c r="P483">
        <v>88</v>
      </c>
      <c r="Q483">
        <v>3.5</v>
      </c>
      <c r="R483">
        <v>3</v>
      </c>
      <c r="S483">
        <v>3</v>
      </c>
      <c r="T483">
        <v>3</v>
      </c>
      <c r="U483">
        <v>2.7</v>
      </c>
      <c r="V483" t="s">
        <v>25</v>
      </c>
    </row>
    <row r="484" spans="1:22" x14ac:dyDescent="0.25">
      <c r="A484" t="s">
        <v>83</v>
      </c>
      <c r="B484">
        <v>3</v>
      </c>
      <c r="C484" t="s">
        <v>71</v>
      </c>
      <c r="D484" t="s">
        <v>84</v>
      </c>
      <c r="E484" t="s">
        <v>85</v>
      </c>
      <c r="F484">
        <v>220</v>
      </c>
      <c r="G484">
        <v>1050</v>
      </c>
      <c r="H484">
        <v>-2</v>
      </c>
      <c r="I484">
        <v>1983</v>
      </c>
      <c r="J484" t="s">
        <v>34</v>
      </c>
      <c r="K484">
        <v>2570</v>
      </c>
      <c r="L484">
        <v>18.3</v>
      </c>
      <c r="M484">
        <v>9.06</v>
      </c>
      <c r="N484" s="4">
        <f t="shared" si="14"/>
        <v>2.6288864999999998E-2</v>
      </c>
      <c r="O484" s="4">
        <f t="shared" si="15"/>
        <v>0.23817711689999999</v>
      </c>
      <c r="P484">
        <v>50</v>
      </c>
      <c r="Q484">
        <v>3.5</v>
      </c>
      <c r="R484">
        <v>3</v>
      </c>
      <c r="S484">
        <v>2.5</v>
      </c>
      <c r="T484">
        <v>3</v>
      </c>
      <c r="U484">
        <v>2.5</v>
      </c>
      <c r="V484" t="s">
        <v>38</v>
      </c>
    </row>
    <row r="485" spans="1:22" x14ac:dyDescent="0.25">
      <c r="A485" t="s">
        <v>83</v>
      </c>
      <c r="B485">
        <v>3</v>
      </c>
      <c r="C485" t="s">
        <v>71</v>
      </c>
      <c r="D485" t="s">
        <v>84</v>
      </c>
      <c r="E485" t="s">
        <v>85</v>
      </c>
      <c r="F485">
        <v>220</v>
      </c>
      <c r="G485">
        <v>1050</v>
      </c>
      <c r="H485">
        <v>-2</v>
      </c>
      <c r="I485">
        <v>1983</v>
      </c>
      <c r="J485" t="s">
        <v>35</v>
      </c>
      <c r="K485">
        <v>2571</v>
      </c>
      <c r="L485">
        <v>14.53</v>
      </c>
      <c r="M485">
        <v>5.57</v>
      </c>
      <c r="N485" s="4">
        <f t="shared" si="14"/>
        <v>1.6572990649999998E-2</v>
      </c>
      <c r="O485" s="4">
        <f t="shared" si="15"/>
        <v>9.2311557920499984E-2</v>
      </c>
      <c r="P485">
        <v>100</v>
      </c>
      <c r="Q485">
        <v>3</v>
      </c>
      <c r="R485">
        <v>2</v>
      </c>
      <c r="S485">
        <v>3</v>
      </c>
      <c r="T485">
        <v>4</v>
      </c>
      <c r="U485">
        <v>3.5</v>
      </c>
      <c r="V485" t="s">
        <v>38</v>
      </c>
    </row>
    <row r="486" spans="1:22" x14ac:dyDescent="0.25">
      <c r="A486" t="s">
        <v>83</v>
      </c>
      <c r="B486">
        <v>3</v>
      </c>
      <c r="C486" t="s">
        <v>71</v>
      </c>
      <c r="D486" t="s">
        <v>84</v>
      </c>
      <c r="E486" t="s">
        <v>85</v>
      </c>
      <c r="F486">
        <v>220</v>
      </c>
      <c r="G486">
        <v>1050</v>
      </c>
      <c r="H486">
        <v>-2</v>
      </c>
      <c r="I486">
        <v>1983</v>
      </c>
      <c r="J486" t="s">
        <v>81</v>
      </c>
      <c r="K486">
        <v>2750</v>
      </c>
      <c r="L486">
        <v>13.26</v>
      </c>
      <c r="M486">
        <v>8.94</v>
      </c>
      <c r="N486" s="4">
        <f t="shared" si="14"/>
        <v>1.38024666E-2</v>
      </c>
      <c r="O486" s="4">
        <f t="shared" si="15"/>
        <v>0.12339405140399999</v>
      </c>
      <c r="P486">
        <v>100</v>
      </c>
      <c r="Q486">
        <v>4</v>
      </c>
      <c r="R486">
        <v>4</v>
      </c>
      <c r="S486">
        <v>3</v>
      </c>
      <c r="T486">
        <v>3.5</v>
      </c>
      <c r="U486">
        <v>3.5</v>
      </c>
      <c r="V486" t="s">
        <v>25</v>
      </c>
    </row>
    <row r="487" spans="1:22" x14ac:dyDescent="0.25">
      <c r="A487" t="s">
        <v>83</v>
      </c>
      <c r="B487">
        <v>3</v>
      </c>
      <c r="C487" t="s">
        <v>71</v>
      </c>
      <c r="D487" t="s">
        <v>84</v>
      </c>
      <c r="E487" t="s">
        <v>85</v>
      </c>
      <c r="F487">
        <v>220</v>
      </c>
      <c r="G487">
        <v>1050</v>
      </c>
      <c r="H487">
        <v>-2</v>
      </c>
      <c r="I487">
        <v>1983</v>
      </c>
      <c r="J487" t="s">
        <v>62</v>
      </c>
      <c r="K487">
        <v>2553</v>
      </c>
      <c r="L487">
        <v>11.55</v>
      </c>
      <c r="M487">
        <v>6.56</v>
      </c>
      <c r="N487" s="4">
        <f t="shared" si="14"/>
        <v>1.0472096250000002E-2</v>
      </c>
      <c r="O487" s="4">
        <f t="shared" si="15"/>
        <v>6.8696951400000011E-2</v>
      </c>
      <c r="P487">
        <v>100</v>
      </c>
      <c r="Q487">
        <v>3</v>
      </c>
      <c r="R487">
        <v>2.7</v>
      </c>
      <c r="S487">
        <v>3.3</v>
      </c>
      <c r="T487">
        <v>4</v>
      </c>
      <c r="U487">
        <v>4</v>
      </c>
      <c r="V487" t="s">
        <v>25</v>
      </c>
    </row>
    <row r="488" spans="1:22" x14ac:dyDescent="0.25">
      <c r="A488" t="s">
        <v>83</v>
      </c>
      <c r="B488">
        <v>3</v>
      </c>
      <c r="C488" t="s">
        <v>71</v>
      </c>
      <c r="D488" t="s">
        <v>84</v>
      </c>
      <c r="E488" t="s">
        <v>85</v>
      </c>
      <c r="F488">
        <v>220</v>
      </c>
      <c r="G488">
        <v>1050</v>
      </c>
      <c r="H488">
        <v>-2</v>
      </c>
      <c r="I488">
        <v>1983</v>
      </c>
      <c r="J488" t="s">
        <v>37</v>
      </c>
      <c r="K488">
        <v>2575</v>
      </c>
      <c r="L488">
        <v>15.93</v>
      </c>
      <c r="M488">
        <v>9.1</v>
      </c>
      <c r="N488" s="4">
        <f t="shared" si="14"/>
        <v>1.992054465E-2</v>
      </c>
      <c r="O488" s="4">
        <f t="shared" si="15"/>
        <v>0.18127695631499999</v>
      </c>
      <c r="P488">
        <v>88</v>
      </c>
      <c r="Q488">
        <v>3</v>
      </c>
      <c r="R488">
        <v>3</v>
      </c>
      <c r="S488">
        <v>2</v>
      </c>
      <c r="T488">
        <v>2.5</v>
      </c>
      <c r="U488">
        <v>2.5</v>
      </c>
      <c r="V488" t="s">
        <v>30</v>
      </c>
    </row>
    <row r="489" spans="1:22" x14ac:dyDescent="0.25">
      <c r="A489" t="s">
        <v>83</v>
      </c>
      <c r="B489">
        <v>3</v>
      </c>
      <c r="C489" t="s">
        <v>71</v>
      </c>
      <c r="D489" t="s">
        <v>84</v>
      </c>
      <c r="E489" t="s">
        <v>85</v>
      </c>
      <c r="F489">
        <v>220</v>
      </c>
      <c r="G489">
        <v>1050</v>
      </c>
      <c r="H489">
        <v>-2</v>
      </c>
      <c r="I489">
        <v>1983</v>
      </c>
      <c r="J489" t="s">
        <v>26</v>
      </c>
      <c r="K489">
        <v>2552</v>
      </c>
      <c r="L489">
        <v>14.25</v>
      </c>
      <c r="M489">
        <v>7.23</v>
      </c>
      <c r="N489" s="4">
        <f t="shared" si="14"/>
        <v>1.5940406250000001E-2</v>
      </c>
      <c r="O489" s="4">
        <f t="shared" si="15"/>
        <v>0.11524913718750002</v>
      </c>
      <c r="P489">
        <v>63</v>
      </c>
      <c r="Q489">
        <v>4</v>
      </c>
      <c r="R489">
        <v>3</v>
      </c>
      <c r="S489">
        <v>3</v>
      </c>
      <c r="T489">
        <v>2.8</v>
      </c>
      <c r="U489">
        <v>2</v>
      </c>
      <c r="V489" t="s">
        <v>38</v>
      </c>
    </row>
    <row r="490" spans="1:22" x14ac:dyDescent="0.25">
      <c r="A490" t="s">
        <v>83</v>
      </c>
      <c r="B490">
        <v>3</v>
      </c>
      <c r="C490" t="s">
        <v>71</v>
      </c>
      <c r="D490" t="s">
        <v>84</v>
      </c>
      <c r="E490" t="s">
        <v>85</v>
      </c>
      <c r="F490">
        <v>220</v>
      </c>
      <c r="G490">
        <v>1050</v>
      </c>
      <c r="H490">
        <v>-2</v>
      </c>
      <c r="I490">
        <v>1983</v>
      </c>
      <c r="J490" t="s">
        <v>26</v>
      </c>
      <c r="K490">
        <v>2751</v>
      </c>
      <c r="L490">
        <v>12.35</v>
      </c>
      <c r="M490">
        <v>6.27</v>
      </c>
      <c r="N490" s="4">
        <f t="shared" si="14"/>
        <v>1.1973016250000001E-2</v>
      </c>
      <c r="O490" s="4">
        <f t="shared" si="15"/>
        <v>7.5070811887500005E-2</v>
      </c>
      <c r="P490">
        <v>71</v>
      </c>
      <c r="Q490">
        <v>4</v>
      </c>
      <c r="R490">
        <v>4</v>
      </c>
      <c r="S490">
        <v>2.5</v>
      </c>
      <c r="T490">
        <v>3.5</v>
      </c>
      <c r="U490">
        <v>2.5</v>
      </c>
      <c r="V490" t="s">
        <v>25</v>
      </c>
    </row>
    <row r="491" spans="1:22" x14ac:dyDescent="0.25">
      <c r="A491" t="s">
        <v>83</v>
      </c>
      <c r="B491">
        <v>3</v>
      </c>
      <c r="C491" t="s">
        <v>71</v>
      </c>
      <c r="D491" t="s">
        <v>84</v>
      </c>
      <c r="E491" t="s">
        <v>85</v>
      </c>
      <c r="F491">
        <v>220</v>
      </c>
      <c r="G491">
        <v>1050</v>
      </c>
      <c r="H491">
        <v>-2</v>
      </c>
      <c r="I491">
        <v>1983</v>
      </c>
      <c r="J491" t="s">
        <v>62</v>
      </c>
      <c r="K491">
        <v>2574</v>
      </c>
      <c r="L491">
        <v>7.22</v>
      </c>
      <c r="M491">
        <v>4.0999999999999996</v>
      </c>
      <c r="N491" s="4">
        <f t="shared" si="14"/>
        <v>4.0920794000000003E-3</v>
      </c>
      <c r="O491" s="4">
        <f t="shared" si="15"/>
        <v>1.6777525540000001E-2</v>
      </c>
      <c r="P491">
        <v>57</v>
      </c>
      <c r="Q491">
        <v>3</v>
      </c>
      <c r="R491">
        <v>3</v>
      </c>
      <c r="S491">
        <v>2</v>
      </c>
      <c r="T491">
        <v>3</v>
      </c>
      <c r="U491">
        <v>2</v>
      </c>
      <c r="V491" t="s">
        <v>38</v>
      </c>
    </row>
    <row r="492" spans="1:22" x14ac:dyDescent="0.25">
      <c r="A492" t="s">
        <v>86</v>
      </c>
      <c r="B492">
        <v>1</v>
      </c>
      <c r="C492" t="s">
        <v>71</v>
      </c>
      <c r="D492" t="s">
        <v>87</v>
      </c>
      <c r="E492" t="s">
        <v>88</v>
      </c>
      <c r="F492">
        <v>300</v>
      </c>
      <c r="G492">
        <v>1200</v>
      </c>
      <c r="H492">
        <v>-3</v>
      </c>
      <c r="I492">
        <v>1982</v>
      </c>
      <c r="J492" t="s">
        <v>76</v>
      </c>
      <c r="K492">
        <v>1592</v>
      </c>
      <c r="L492">
        <v>10.4</v>
      </c>
      <c r="M492">
        <v>5.77</v>
      </c>
      <c r="N492" s="4">
        <f t="shared" si="14"/>
        <v>8.4905600000000029E-3</v>
      </c>
      <c r="O492" s="4">
        <f t="shared" si="15"/>
        <v>4.8990531200000013E-2</v>
      </c>
      <c r="P492">
        <v>75</v>
      </c>
      <c r="Q492">
        <v>3</v>
      </c>
      <c r="R492">
        <v>3</v>
      </c>
      <c r="S492">
        <v>2</v>
      </c>
      <c r="T492">
        <v>3</v>
      </c>
      <c r="U492">
        <v>2</v>
      </c>
      <c r="V492" t="s">
        <v>38</v>
      </c>
    </row>
    <row r="493" spans="1:22" x14ac:dyDescent="0.25">
      <c r="A493" t="s">
        <v>86</v>
      </c>
      <c r="B493">
        <v>1</v>
      </c>
      <c r="C493" t="s">
        <v>71</v>
      </c>
      <c r="D493" t="s">
        <v>87</v>
      </c>
      <c r="E493" t="s">
        <v>88</v>
      </c>
      <c r="F493">
        <v>300</v>
      </c>
      <c r="G493">
        <v>1200</v>
      </c>
      <c r="H493">
        <v>-3</v>
      </c>
      <c r="I493">
        <v>1982</v>
      </c>
      <c r="J493" t="s">
        <v>76</v>
      </c>
      <c r="K493">
        <v>2560</v>
      </c>
      <c r="L493">
        <v>11.66</v>
      </c>
      <c r="M493">
        <v>7.27</v>
      </c>
      <c r="N493" s="4">
        <f t="shared" si="14"/>
        <v>1.06725146E-2</v>
      </c>
      <c r="O493" s="4">
        <f t="shared" si="15"/>
        <v>7.7589181142000002E-2</v>
      </c>
      <c r="P493">
        <v>100</v>
      </c>
      <c r="Q493">
        <v>3</v>
      </c>
      <c r="R493">
        <v>3</v>
      </c>
      <c r="S493">
        <v>2</v>
      </c>
      <c r="T493">
        <v>3</v>
      </c>
      <c r="U493">
        <v>2</v>
      </c>
      <c r="V493" t="s">
        <v>38</v>
      </c>
    </row>
    <row r="494" spans="1:22" x14ac:dyDescent="0.25">
      <c r="A494" t="s">
        <v>86</v>
      </c>
      <c r="B494">
        <v>1</v>
      </c>
      <c r="C494" t="s">
        <v>71</v>
      </c>
      <c r="D494" t="s">
        <v>87</v>
      </c>
      <c r="E494" t="s">
        <v>88</v>
      </c>
      <c r="F494">
        <v>300</v>
      </c>
      <c r="G494">
        <v>1200</v>
      </c>
      <c r="H494">
        <v>-3</v>
      </c>
      <c r="I494">
        <v>1982</v>
      </c>
      <c r="J494" t="s">
        <v>56</v>
      </c>
      <c r="K494">
        <v>1111</v>
      </c>
      <c r="L494">
        <v>10.99</v>
      </c>
      <c r="M494">
        <v>7.2</v>
      </c>
      <c r="N494" s="4">
        <f t="shared" si="14"/>
        <v>9.4812378500000009E-3</v>
      </c>
      <c r="O494" s="4">
        <f t="shared" si="15"/>
        <v>6.8264912520000012E-2</v>
      </c>
      <c r="P494">
        <v>100</v>
      </c>
      <c r="Q494">
        <v>2</v>
      </c>
      <c r="R494">
        <v>3</v>
      </c>
      <c r="S494">
        <v>3</v>
      </c>
      <c r="T494">
        <v>3</v>
      </c>
      <c r="U494">
        <v>3</v>
      </c>
      <c r="V494" t="s">
        <v>38</v>
      </c>
    </row>
    <row r="495" spans="1:22" x14ac:dyDescent="0.25">
      <c r="A495" t="s">
        <v>86</v>
      </c>
      <c r="B495">
        <v>1</v>
      </c>
      <c r="C495" t="s">
        <v>71</v>
      </c>
      <c r="D495" t="s">
        <v>87</v>
      </c>
      <c r="E495" t="s">
        <v>88</v>
      </c>
      <c r="F495">
        <v>300</v>
      </c>
      <c r="G495">
        <v>1200</v>
      </c>
      <c r="H495">
        <v>-3</v>
      </c>
      <c r="I495">
        <v>1982</v>
      </c>
      <c r="J495" t="s">
        <v>57</v>
      </c>
      <c r="K495">
        <v>2620</v>
      </c>
      <c r="L495">
        <v>7.87</v>
      </c>
      <c r="M495">
        <v>6.25</v>
      </c>
      <c r="N495" s="4">
        <f t="shared" si="14"/>
        <v>4.8620466500000009E-3</v>
      </c>
      <c r="O495" s="4">
        <f t="shared" si="15"/>
        <v>3.0387791562500006E-2</v>
      </c>
      <c r="P495">
        <v>100</v>
      </c>
      <c r="Q495">
        <v>3.5</v>
      </c>
      <c r="R495">
        <v>1.5</v>
      </c>
      <c r="S495">
        <v>2</v>
      </c>
      <c r="T495">
        <v>2</v>
      </c>
      <c r="U495">
        <v>2</v>
      </c>
      <c r="V495" t="s">
        <v>30</v>
      </c>
    </row>
    <row r="496" spans="1:22" x14ac:dyDescent="0.25">
      <c r="A496" t="s">
        <v>86</v>
      </c>
      <c r="B496">
        <v>1</v>
      </c>
      <c r="C496" t="s">
        <v>71</v>
      </c>
      <c r="D496" t="s">
        <v>87</v>
      </c>
      <c r="E496" t="s">
        <v>88</v>
      </c>
      <c r="F496">
        <v>300</v>
      </c>
      <c r="G496">
        <v>1200</v>
      </c>
      <c r="H496">
        <v>-3</v>
      </c>
      <c r="I496">
        <v>1982</v>
      </c>
      <c r="J496" t="s">
        <v>57</v>
      </c>
      <c r="K496">
        <v>2621</v>
      </c>
      <c r="L496">
        <v>7.64</v>
      </c>
      <c r="M496">
        <v>6.72</v>
      </c>
      <c r="N496" s="4">
        <f t="shared" si="14"/>
        <v>4.5820135999999996E-3</v>
      </c>
      <c r="O496" s="4">
        <f t="shared" si="15"/>
        <v>3.0791131391999994E-2</v>
      </c>
      <c r="P496">
        <v>100</v>
      </c>
      <c r="Q496">
        <v>3.5</v>
      </c>
      <c r="R496">
        <v>2</v>
      </c>
      <c r="S496">
        <v>2</v>
      </c>
      <c r="T496">
        <v>2</v>
      </c>
      <c r="U496">
        <v>2</v>
      </c>
      <c r="V496" t="s">
        <v>30</v>
      </c>
    </row>
    <row r="497" spans="1:22" x14ac:dyDescent="0.25">
      <c r="A497" t="s">
        <v>86</v>
      </c>
      <c r="B497">
        <v>1</v>
      </c>
      <c r="C497" t="s">
        <v>71</v>
      </c>
      <c r="D497" t="s">
        <v>87</v>
      </c>
      <c r="E497" t="s">
        <v>88</v>
      </c>
      <c r="F497">
        <v>300</v>
      </c>
      <c r="G497">
        <v>1200</v>
      </c>
      <c r="H497">
        <v>-3</v>
      </c>
      <c r="I497">
        <v>1982</v>
      </c>
      <c r="J497" t="s">
        <v>58</v>
      </c>
      <c r="K497">
        <v>2638</v>
      </c>
      <c r="L497">
        <v>1.27</v>
      </c>
      <c r="M497">
        <v>1.74</v>
      </c>
      <c r="N497" s="4">
        <f t="shared" si="14"/>
        <v>1.2661264999999999E-4</v>
      </c>
      <c r="O497" s="4">
        <f t="shared" si="15"/>
        <v>2.2030601099999998E-4</v>
      </c>
      <c r="P497">
        <v>50</v>
      </c>
      <c r="Q497">
        <v>1</v>
      </c>
      <c r="R497">
        <v>3</v>
      </c>
      <c r="S497">
        <v>2</v>
      </c>
      <c r="T497">
        <v>3</v>
      </c>
      <c r="U497">
        <v>3</v>
      </c>
      <c r="V497" t="s">
        <v>50</v>
      </c>
    </row>
    <row r="498" spans="1:22" x14ac:dyDescent="0.25">
      <c r="A498" t="s">
        <v>86</v>
      </c>
      <c r="B498">
        <v>1</v>
      </c>
      <c r="C498" t="s">
        <v>71</v>
      </c>
      <c r="D498" t="s">
        <v>87</v>
      </c>
      <c r="E498" t="s">
        <v>88</v>
      </c>
      <c r="F498">
        <v>300</v>
      </c>
      <c r="G498">
        <v>1200</v>
      </c>
      <c r="H498">
        <v>-3</v>
      </c>
      <c r="I498">
        <v>1982</v>
      </c>
      <c r="J498" t="s">
        <v>59</v>
      </c>
      <c r="K498">
        <v>2426</v>
      </c>
      <c r="L498">
        <v>11.85</v>
      </c>
      <c r="M498">
        <v>7.47</v>
      </c>
      <c r="N498" s="4">
        <f t="shared" si="14"/>
        <v>1.1023166249999999E-2</v>
      </c>
      <c r="O498" s="4">
        <f t="shared" si="15"/>
        <v>8.2343051887499991E-2</v>
      </c>
      <c r="P498">
        <v>50</v>
      </c>
      <c r="Q498">
        <v>3</v>
      </c>
      <c r="R498">
        <v>3</v>
      </c>
      <c r="S498">
        <v>4</v>
      </c>
      <c r="T498">
        <v>3</v>
      </c>
      <c r="U498">
        <v>3</v>
      </c>
      <c r="V498" t="s">
        <v>38</v>
      </c>
    </row>
    <row r="499" spans="1:22" x14ac:dyDescent="0.25">
      <c r="A499" t="s">
        <v>86</v>
      </c>
      <c r="B499">
        <v>1</v>
      </c>
      <c r="C499" t="s">
        <v>71</v>
      </c>
      <c r="D499" t="s">
        <v>87</v>
      </c>
      <c r="E499" t="s">
        <v>88</v>
      </c>
      <c r="F499">
        <v>300</v>
      </c>
      <c r="G499">
        <v>1200</v>
      </c>
      <c r="H499">
        <v>-3</v>
      </c>
      <c r="I499">
        <v>1982</v>
      </c>
      <c r="J499" t="s">
        <v>59</v>
      </c>
      <c r="K499">
        <v>1482</v>
      </c>
      <c r="L499">
        <v>6.52</v>
      </c>
      <c r="M499">
        <v>5.81</v>
      </c>
      <c r="N499" s="4">
        <f t="shared" si="14"/>
        <v>3.3370663999999998E-3</v>
      </c>
      <c r="O499" s="4">
        <f t="shared" si="15"/>
        <v>1.9388355783999996E-2</v>
      </c>
      <c r="P499">
        <v>100</v>
      </c>
      <c r="Q499">
        <v>3</v>
      </c>
      <c r="R499">
        <v>3</v>
      </c>
      <c r="S499">
        <v>3</v>
      </c>
      <c r="T499">
        <v>3</v>
      </c>
      <c r="U499">
        <v>3</v>
      </c>
      <c r="V499" t="s">
        <v>25</v>
      </c>
    </row>
    <row r="500" spans="1:22" x14ac:dyDescent="0.25">
      <c r="A500" t="s">
        <v>86</v>
      </c>
      <c r="B500">
        <v>1</v>
      </c>
      <c r="C500" t="s">
        <v>71</v>
      </c>
      <c r="D500" t="s">
        <v>87</v>
      </c>
      <c r="E500" t="s">
        <v>88</v>
      </c>
      <c r="F500">
        <v>300</v>
      </c>
      <c r="G500">
        <v>1200</v>
      </c>
      <c r="H500">
        <v>-3</v>
      </c>
      <c r="I500">
        <v>1982</v>
      </c>
      <c r="J500" t="s">
        <v>59</v>
      </c>
      <c r="K500">
        <v>2548</v>
      </c>
      <c r="L500">
        <v>7.7</v>
      </c>
      <c r="M500">
        <v>5.69</v>
      </c>
      <c r="N500" s="4">
        <f t="shared" si="14"/>
        <v>4.6542650000000003E-3</v>
      </c>
      <c r="O500" s="4">
        <f t="shared" si="15"/>
        <v>2.6482767850000005E-2</v>
      </c>
      <c r="P500">
        <v>100</v>
      </c>
      <c r="Q500">
        <v>3</v>
      </c>
      <c r="R500">
        <v>3</v>
      </c>
      <c r="S500">
        <v>4</v>
      </c>
      <c r="T500">
        <v>4</v>
      </c>
      <c r="U500">
        <v>4</v>
      </c>
      <c r="V500" t="s">
        <v>38</v>
      </c>
    </row>
    <row r="501" spans="1:22" x14ac:dyDescent="0.25">
      <c r="A501" t="s">
        <v>86</v>
      </c>
      <c r="B501">
        <v>1</v>
      </c>
      <c r="C501" t="s">
        <v>71</v>
      </c>
      <c r="D501" t="s">
        <v>87</v>
      </c>
      <c r="E501" t="s">
        <v>88</v>
      </c>
      <c r="F501">
        <v>300</v>
      </c>
      <c r="G501">
        <v>1200</v>
      </c>
      <c r="H501">
        <v>-3</v>
      </c>
      <c r="I501">
        <v>1982</v>
      </c>
      <c r="J501" t="s">
        <v>61</v>
      </c>
      <c r="K501">
        <v>1171</v>
      </c>
      <c r="L501">
        <v>10.81</v>
      </c>
      <c r="M501">
        <v>3.45</v>
      </c>
      <c r="N501" s="4">
        <f t="shared" si="14"/>
        <v>9.1732038500000005E-3</v>
      </c>
      <c r="O501" s="4">
        <f t="shared" si="15"/>
        <v>3.1647553282500004E-2</v>
      </c>
      <c r="P501">
        <v>100</v>
      </c>
      <c r="Q501">
        <v>3</v>
      </c>
      <c r="R501">
        <v>2</v>
      </c>
      <c r="S501">
        <v>1</v>
      </c>
      <c r="T501">
        <v>1</v>
      </c>
      <c r="U501">
        <v>1</v>
      </c>
      <c r="V501" t="s">
        <v>50</v>
      </c>
    </row>
    <row r="502" spans="1:22" x14ac:dyDescent="0.25">
      <c r="A502" t="s">
        <v>86</v>
      </c>
      <c r="B502">
        <v>1</v>
      </c>
      <c r="C502" t="s">
        <v>71</v>
      </c>
      <c r="D502" t="s">
        <v>87</v>
      </c>
      <c r="E502" t="s">
        <v>88</v>
      </c>
      <c r="F502">
        <v>300</v>
      </c>
      <c r="G502">
        <v>1200</v>
      </c>
      <c r="H502">
        <v>-3</v>
      </c>
      <c r="I502">
        <v>1982</v>
      </c>
      <c r="J502" t="s">
        <v>61</v>
      </c>
      <c r="K502">
        <v>2631</v>
      </c>
      <c r="L502">
        <v>17.829999999999998</v>
      </c>
      <c r="M502">
        <v>6.56</v>
      </c>
      <c r="N502" s="4">
        <f t="shared" si="14"/>
        <v>2.4955848649999997E-2</v>
      </c>
      <c r="O502" s="4">
        <f t="shared" si="15"/>
        <v>0.16371036714399997</v>
      </c>
      <c r="P502">
        <v>75</v>
      </c>
      <c r="Q502">
        <v>4</v>
      </c>
      <c r="R502">
        <v>2</v>
      </c>
      <c r="S502">
        <v>1</v>
      </c>
      <c r="T502">
        <v>1</v>
      </c>
      <c r="U502">
        <v>1</v>
      </c>
      <c r="V502" t="s">
        <v>30</v>
      </c>
    </row>
    <row r="503" spans="1:22" x14ac:dyDescent="0.25">
      <c r="A503" t="s">
        <v>86</v>
      </c>
      <c r="B503">
        <v>1</v>
      </c>
      <c r="C503" t="s">
        <v>71</v>
      </c>
      <c r="D503" t="s">
        <v>87</v>
      </c>
      <c r="E503" t="s">
        <v>88</v>
      </c>
      <c r="F503">
        <v>300</v>
      </c>
      <c r="G503">
        <v>1200</v>
      </c>
      <c r="H503">
        <v>-3</v>
      </c>
      <c r="I503">
        <v>1982</v>
      </c>
      <c r="J503" t="s">
        <v>32</v>
      </c>
      <c r="K503">
        <v>2569</v>
      </c>
      <c r="L503">
        <v>12.5</v>
      </c>
      <c r="M503">
        <v>6.62</v>
      </c>
      <c r="N503" s="4">
        <f t="shared" si="14"/>
        <v>1.2265625E-2</v>
      </c>
      <c r="O503" s="4">
        <f t="shared" si="15"/>
        <v>8.1198437499999998E-2</v>
      </c>
      <c r="P503">
        <v>100</v>
      </c>
      <c r="Q503">
        <v>3</v>
      </c>
      <c r="R503">
        <v>3</v>
      </c>
      <c r="S503">
        <v>3</v>
      </c>
      <c r="T503">
        <v>3</v>
      </c>
      <c r="U503">
        <v>3</v>
      </c>
      <c r="V503" t="s">
        <v>25</v>
      </c>
    </row>
    <row r="504" spans="1:22" x14ac:dyDescent="0.25">
      <c r="A504" t="s">
        <v>86</v>
      </c>
      <c r="B504">
        <v>1</v>
      </c>
      <c r="C504" t="s">
        <v>71</v>
      </c>
      <c r="D504" t="s">
        <v>87</v>
      </c>
      <c r="E504" t="s">
        <v>88</v>
      </c>
      <c r="F504">
        <v>300</v>
      </c>
      <c r="G504">
        <v>1200</v>
      </c>
      <c r="H504">
        <v>-3</v>
      </c>
      <c r="I504">
        <v>1982</v>
      </c>
      <c r="J504" t="s">
        <v>32</v>
      </c>
      <c r="K504">
        <v>2634</v>
      </c>
      <c r="L504">
        <v>7.97</v>
      </c>
      <c r="M504">
        <v>5.88</v>
      </c>
      <c r="N504" s="4">
        <f t="shared" si="14"/>
        <v>4.9863906499999994E-3</v>
      </c>
      <c r="O504" s="4">
        <f t="shared" si="15"/>
        <v>2.9319977021999996E-2</v>
      </c>
      <c r="P504">
        <v>75</v>
      </c>
      <c r="Q504">
        <v>2.5</v>
      </c>
      <c r="R504">
        <v>3</v>
      </c>
      <c r="S504">
        <v>3</v>
      </c>
      <c r="T504">
        <v>3</v>
      </c>
      <c r="U504">
        <v>3.5</v>
      </c>
      <c r="V504" t="s">
        <v>38</v>
      </c>
    </row>
    <row r="505" spans="1:22" x14ac:dyDescent="0.25">
      <c r="A505" t="s">
        <v>86</v>
      </c>
      <c r="B505">
        <v>1</v>
      </c>
      <c r="C505" t="s">
        <v>71</v>
      </c>
      <c r="D505" t="s">
        <v>87</v>
      </c>
      <c r="E505" t="s">
        <v>88</v>
      </c>
      <c r="F505">
        <v>300</v>
      </c>
      <c r="G505">
        <v>1200</v>
      </c>
      <c r="H505">
        <v>-3</v>
      </c>
      <c r="I505">
        <v>1982</v>
      </c>
      <c r="J505" t="s">
        <v>32</v>
      </c>
      <c r="K505">
        <v>2635</v>
      </c>
      <c r="L505">
        <v>8.58</v>
      </c>
      <c r="M505">
        <v>7.48</v>
      </c>
      <c r="N505" s="4">
        <f t="shared" si="14"/>
        <v>5.7788874E-3</v>
      </c>
      <c r="O505" s="4">
        <f t="shared" si="15"/>
        <v>4.3226077752000006E-2</v>
      </c>
      <c r="P505">
        <v>100</v>
      </c>
      <c r="Q505">
        <v>3.5</v>
      </c>
      <c r="R505">
        <v>3</v>
      </c>
      <c r="S505">
        <v>2.5</v>
      </c>
      <c r="T505">
        <v>3.5</v>
      </c>
      <c r="U505">
        <v>3</v>
      </c>
      <c r="V505" t="s">
        <v>25</v>
      </c>
    </row>
    <row r="506" spans="1:22" x14ac:dyDescent="0.25">
      <c r="A506" t="s">
        <v>86</v>
      </c>
      <c r="B506">
        <v>1</v>
      </c>
      <c r="C506" t="s">
        <v>71</v>
      </c>
      <c r="D506" t="s">
        <v>87</v>
      </c>
      <c r="E506" t="s">
        <v>88</v>
      </c>
      <c r="F506">
        <v>300</v>
      </c>
      <c r="G506">
        <v>1200</v>
      </c>
      <c r="H506">
        <v>-3</v>
      </c>
      <c r="I506">
        <v>1982</v>
      </c>
      <c r="J506" t="s">
        <v>34</v>
      </c>
      <c r="K506">
        <v>2570</v>
      </c>
      <c r="L506">
        <v>6.05</v>
      </c>
      <c r="M506">
        <v>5.44</v>
      </c>
      <c r="N506" s="4">
        <f t="shared" si="14"/>
        <v>2.8732962499999999E-3</v>
      </c>
      <c r="O506" s="4">
        <f t="shared" si="15"/>
        <v>1.5630731599999999E-2</v>
      </c>
      <c r="P506">
        <v>100</v>
      </c>
      <c r="Q506">
        <v>3</v>
      </c>
      <c r="R506">
        <v>2.5</v>
      </c>
      <c r="S506">
        <v>3.5</v>
      </c>
      <c r="T506">
        <v>3.5</v>
      </c>
      <c r="U506">
        <v>3</v>
      </c>
      <c r="V506" t="s">
        <v>38</v>
      </c>
    </row>
    <row r="507" spans="1:22" x14ac:dyDescent="0.25">
      <c r="A507" t="s">
        <v>86</v>
      </c>
      <c r="B507">
        <v>1</v>
      </c>
      <c r="C507" t="s">
        <v>71</v>
      </c>
      <c r="D507" t="s">
        <v>87</v>
      </c>
      <c r="E507" t="s">
        <v>88</v>
      </c>
      <c r="F507">
        <v>300</v>
      </c>
      <c r="G507">
        <v>1200</v>
      </c>
      <c r="H507">
        <v>-3</v>
      </c>
      <c r="I507">
        <v>1982</v>
      </c>
      <c r="J507" t="s">
        <v>35</v>
      </c>
      <c r="K507">
        <v>1788</v>
      </c>
      <c r="L507">
        <v>6.76</v>
      </c>
      <c r="M507">
        <v>6.76</v>
      </c>
      <c r="N507" s="4">
        <f t="shared" si="14"/>
        <v>3.5872615999999993E-3</v>
      </c>
      <c r="O507" s="4">
        <f t="shared" si="15"/>
        <v>2.4249888415999996E-2</v>
      </c>
      <c r="P507">
        <v>75</v>
      </c>
      <c r="Q507">
        <v>1</v>
      </c>
      <c r="R507">
        <v>1</v>
      </c>
      <c r="S507">
        <v>3</v>
      </c>
      <c r="T507">
        <v>3</v>
      </c>
      <c r="U507">
        <v>3</v>
      </c>
      <c r="V507" t="s">
        <v>50</v>
      </c>
    </row>
    <row r="508" spans="1:22" x14ac:dyDescent="0.25">
      <c r="A508" t="s">
        <v>86</v>
      </c>
      <c r="B508">
        <v>1</v>
      </c>
      <c r="C508" t="s">
        <v>71</v>
      </c>
      <c r="D508" t="s">
        <v>87</v>
      </c>
      <c r="E508" t="s">
        <v>88</v>
      </c>
      <c r="F508">
        <v>300</v>
      </c>
      <c r="G508">
        <v>1200</v>
      </c>
      <c r="H508">
        <v>-3</v>
      </c>
      <c r="I508">
        <v>1982</v>
      </c>
      <c r="J508" t="s">
        <v>35</v>
      </c>
      <c r="K508">
        <v>1259</v>
      </c>
      <c r="L508">
        <v>13.99</v>
      </c>
      <c r="M508">
        <v>9.09</v>
      </c>
      <c r="N508" s="4">
        <f t="shared" si="14"/>
        <v>1.5364027849999998E-2</v>
      </c>
      <c r="O508" s="4">
        <f t="shared" si="15"/>
        <v>0.13965901315649998</v>
      </c>
      <c r="P508">
        <v>100</v>
      </c>
      <c r="Q508">
        <v>4</v>
      </c>
      <c r="R508">
        <v>2</v>
      </c>
      <c r="S508">
        <v>2</v>
      </c>
      <c r="T508">
        <v>2</v>
      </c>
      <c r="U508">
        <v>2</v>
      </c>
      <c r="V508" t="s">
        <v>38</v>
      </c>
    </row>
    <row r="509" spans="1:22" x14ac:dyDescent="0.25">
      <c r="A509" t="s">
        <v>86</v>
      </c>
      <c r="B509">
        <v>1</v>
      </c>
      <c r="C509" t="s">
        <v>71</v>
      </c>
      <c r="D509" t="s">
        <v>87</v>
      </c>
      <c r="E509" t="s">
        <v>88</v>
      </c>
      <c r="F509">
        <v>300</v>
      </c>
      <c r="G509">
        <v>1200</v>
      </c>
      <c r="H509">
        <v>-3</v>
      </c>
      <c r="I509">
        <v>1982</v>
      </c>
      <c r="J509" t="s">
        <v>35</v>
      </c>
      <c r="K509">
        <v>1785</v>
      </c>
      <c r="L509">
        <v>8.65</v>
      </c>
      <c r="M509">
        <v>5.95</v>
      </c>
      <c r="N509" s="4">
        <f t="shared" si="14"/>
        <v>5.8735662500000009E-3</v>
      </c>
      <c r="O509" s="4">
        <f t="shared" si="15"/>
        <v>3.4947719187500004E-2</v>
      </c>
      <c r="P509">
        <v>100</v>
      </c>
      <c r="Q509">
        <v>1.5</v>
      </c>
      <c r="R509">
        <v>1</v>
      </c>
      <c r="S509">
        <v>3</v>
      </c>
      <c r="T509">
        <v>3</v>
      </c>
      <c r="U509">
        <v>3</v>
      </c>
      <c r="V509" t="s">
        <v>50</v>
      </c>
    </row>
    <row r="510" spans="1:22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35</v>
      </c>
      <c r="K510">
        <v>2571</v>
      </c>
      <c r="L510">
        <v>16.79</v>
      </c>
      <c r="M510">
        <v>13.17</v>
      </c>
      <c r="N510" s="4">
        <f t="shared" si="14"/>
        <v>2.2129471849999999E-2</v>
      </c>
      <c r="O510" s="4">
        <f t="shared" si="15"/>
        <v>0.29144514426449997</v>
      </c>
      <c r="P510">
        <v>100</v>
      </c>
      <c r="Q510">
        <v>4</v>
      </c>
      <c r="R510">
        <v>2</v>
      </c>
      <c r="S510">
        <v>3</v>
      </c>
      <c r="T510">
        <v>3</v>
      </c>
      <c r="U510">
        <v>2.5</v>
      </c>
      <c r="V510" t="s">
        <v>25</v>
      </c>
    </row>
    <row r="511" spans="1:22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36</v>
      </c>
      <c r="K511">
        <v>2573</v>
      </c>
      <c r="L511">
        <v>2.4500000000000002</v>
      </c>
      <c r="M511">
        <v>3.06</v>
      </c>
      <c r="N511" s="4">
        <f t="shared" si="14"/>
        <v>4.7119625000000009E-4</v>
      </c>
      <c r="O511" s="4">
        <f t="shared" si="15"/>
        <v>1.4418605250000004E-3</v>
      </c>
      <c r="P511">
        <v>50</v>
      </c>
      <c r="Q511">
        <v>1.5</v>
      </c>
      <c r="R511">
        <v>4</v>
      </c>
      <c r="S511">
        <v>1</v>
      </c>
      <c r="T511">
        <v>2</v>
      </c>
      <c r="U511">
        <v>3</v>
      </c>
      <c r="V511" t="s">
        <v>50</v>
      </c>
    </row>
    <row r="512" spans="1:22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62</v>
      </c>
      <c r="K512">
        <v>2550</v>
      </c>
      <c r="L512">
        <v>9.84</v>
      </c>
      <c r="M512">
        <v>8.68</v>
      </c>
      <c r="N512" s="4">
        <f t="shared" si="14"/>
        <v>7.6008096000000002E-3</v>
      </c>
      <c r="O512" s="4">
        <f t="shared" si="15"/>
        <v>6.5975027327999994E-2</v>
      </c>
      <c r="P512">
        <v>75</v>
      </c>
      <c r="Q512">
        <v>2</v>
      </c>
      <c r="R512">
        <v>2</v>
      </c>
      <c r="S512">
        <v>4</v>
      </c>
      <c r="T512">
        <v>4</v>
      </c>
      <c r="U512">
        <v>4</v>
      </c>
      <c r="V512" t="s">
        <v>38</v>
      </c>
    </row>
    <row r="513" spans="1:22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62</v>
      </c>
      <c r="K513">
        <v>1352</v>
      </c>
      <c r="L513">
        <v>4.9800000000000004</v>
      </c>
      <c r="M513">
        <v>4.05</v>
      </c>
      <c r="N513" s="4">
        <f t="shared" si="14"/>
        <v>1.9468314000000001E-3</v>
      </c>
      <c r="O513" s="4">
        <f t="shared" si="15"/>
        <v>7.8846671699999999E-3</v>
      </c>
      <c r="P513">
        <v>75</v>
      </c>
      <c r="Q513">
        <v>2</v>
      </c>
      <c r="R513">
        <v>2.5</v>
      </c>
      <c r="S513">
        <v>3</v>
      </c>
      <c r="T513">
        <v>3</v>
      </c>
      <c r="U513">
        <v>3</v>
      </c>
      <c r="V513" t="s">
        <v>30</v>
      </c>
    </row>
    <row r="514" spans="1:22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62</v>
      </c>
      <c r="K514">
        <v>2432</v>
      </c>
      <c r="L514">
        <v>8.92</v>
      </c>
      <c r="M514">
        <v>6.14</v>
      </c>
      <c r="N514" s="4">
        <f t="shared" si="14"/>
        <v>6.2459624000000009E-3</v>
      </c>
      <c r="O514" s="4">
        <f t="shared" si="15"/>
        <v>3.8350209136000006E-2</v>
      </c>
      <c r="P514">
        <v>75</v>
      </c>
      <c r="Q514">
        <v>2.5</v>
      </c>
      <c r="R514">
        <v>3</v>
      </c>
      <c r="S514">
        <v>4</v>
      </c>
      <c r="T514">
        <v>4</v>
      </c>
      <c r="U514">
        <v>3.5</v>
      </c>
      <c r="V514" t="s">
        <v>38</v>
      </c>
    </row>
    <row r="515" spans="1:22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62</v>
      </c>
      <c r="K515">
        <v>2553</v>
      </c>
      <c r="L515">
        <v>13.39</v>
      </c>
      <c r="M515">
        <v>6.6</v>
      </c>
      <c r="N515" s="4">
        <f t="shared" ref="N515:N578" si="16">3.14/4*((L515/100)^2)</f>
        <v>1.4074429850000004E-2</v>
      </c>
      <c r="O515" s="4">
        <f t="shared" ref="O515:O578" si="17">3.14/4*((L515/100)^2)*M515</f>
        <v>9.2891237010000016E-2</v>
      </c>
      <c r="P515">
        <v>75</v>
      </c>
      <c r="Q515">
        <v>3</v>
      </c>
      <c r="R515">
        <v>2.5</v>
      </c>
      <c r="S515">
        <v>3</v>
      </c>
      <c r="T515">
        <v>3</v>
      </c>
      <c r="U515">
        <v>2.5</v>
      </c>
      <c r="V515" t="s">
        <v>38</v>
      </c>
    </row>
    <row r="516" spans="1:22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62</v>
      </c>
      <c r="K516">
        <v>2574</v>
      </c>
      <c r="L516">
        <v>13.43</v>
      </c>
      <c r="M516">
        <v>9.0299999999999994</v>
      </c>
      <c r="N516" s="4">
        <f t="shared" si="16"/>
        <v>1.4158644650000001E-2</v>
      </c>
      <c r="O516" s="4">
        <f t="shared" si="17"/>
        <v>0.1278525611895</v>
      </c>
      <c r="P516">
        <v>100</v>
      </c>
      <c r="Q516">
        <v>4</v>
      </c>
      <c r="R516">
        <v>2</v>
      </c>
      <c r="S516">
        <v>4</v>
      </c>
      <c r="T516">
        <v>3</v>
      </c>
      <c r="U516">
        <v>2.5</v>
      </c>
      <c r="V516" t="s">
        <v>25</v>
      </c>
    </row>
    <row r="517" spans="1:22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37</v>
      </c>
      <c r="K517">
        <v>2575</v>
      </c>
      <c r="L517">
        <v>9.84</v>
      </c>
      <c r="M517">
        <v>5.67</v>
      </c>
      <c r="N517" s="4">
        <f t="shared" si="16"/>
        <v>7.6008096000000002E-3</v>
      </c>
      <c r="O517" s="4">
        <f t="shared" si="17"/>
        <v>4.3096590432000002E-2</v>
      </c>
      <c r="P517">
        <v>100</v>
      </c>
      <c r="Q517">
        <v>1.5</v>
      </c>
      <c r="R517">
        <v>1.5</v>
      </c>
      <c r="S517">
        <v>2</v>
      </c>
      <c r="T517">
        <v>2</v>
      </c>
      <c r="U517">
        <v>2</v>
      </c>
      <c r="V517" t="s">
        <v>50</v>
      </c>
    </row>
    <row r="518" spans="1:22" x14ac:dyDescent="0.25">
      <c r="A518" t="s">
        <v>86</v>
      </c>
      <c r="B518">
        <v>2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76</v>
      </c>
      <c r="K518">
        <v>1592</v>
      </c>
      <c r="L518">
        <v>4.7300000000000004</v>
      </c>
      <c r="M518">
        <v>5.31</v>
      </c>
      <c r="N518" s="4">
        <f t="shared" si="16"/>
        <v>1.7562726500000003E-3</v>
      </c>
      <c r="O518" s="4">
        <f t="shared" si="17"/>
        <v>9.3258077715000012E-3</v>
      </c>
      <c r="P518">
        <v>100</v>
      </c>
      <c r="Q518">
        <v>2</v>
      </c>
      <c r="R518">
        <v>3</v>
      </c>
      <c r="S518">
        <v>3</v>
      </c>
      <c r="T518">
        <v>4</v>
      </c>
      <c r="U518">
        <v>4</v>
      </c>
      <c r="V518" t="s">
        <v>25</v>
      </c>
    </row>
    <row r="519" spans="1:22" x14ac:dyDescent="0.25">
      <c r="A519" t="s">
        <v>86</v>
      </c>
      <c r="B519">
        <v>2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76</v>
      </c>
      <c r="K519">
        <v>2560</v>
      </c>
      <c r="L519">
        <v>6.35</v>
      </c>
      <c r="M519">
        <v>4.62</v>
      </c>
      <c r="N519" s="4">
        <f t="shared" si="16"/>
        <v>3.1653162500000004E-3</v>
      </c>
      <c r="O519" s="4">
        <f t="shared" si="17"/>
        <v>1.4623761075000002E-2</v>
      </c>
      <c r="P519">
        <v>100</v>
      </c>
      <c r="Q519">
        <v>3</v>
      </c>
      <c r="R519">
        <v>4</v>
      </c>
      <c r="S519">
        <v>2</v>
      </c>
      <c r="T519">
        <v>3</v>
      </c>
      <c r="U519">
        <v>4</v>
      </c>
      <c r="V519" t="s">
        <v>38</v>
      </c>
    </row>
    <row r="520" spans="1:22" x14ac:dyDescent="0.25">
      <c r="A520" t="s">
        <v>86</v>
      </c>
      <c r="B520">
        <v>2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56</v>
      </c>
      <c r="K520">
        <v>1111</v>
      </c>
      <c r="L520">
        <v>18.989999999999998</v>
      </c>
      <c r="M520">
        <v>10.73</v>
      </c>
      <c r="N520" s="4">
        <f t="shared" si="16"/>
        <v>2.8308677849999995E-2</v>
      </c>
      <c r="O520" s="4">
        <f t="shared" si="17"/>
        <v>0.30375211333049995</v>
      </c>
      <c r="P520">
        <v>75</v>
      </c>
      <c r="Q520">
        <v>3</v>
      </c>
      <c r="R520">
        <v>3</v>
      </c>
      <c r="S520">
        <v>3.5</v>
      </c>
      <c r="T520">
        <v>3</v>
      </c>
      <c r="U520">
        <v>3</v>
      </c>
      <c r="V520" t="s">
        <v>25</v>
      </c>
    </row>
    <row r="521" spans="1:22" x14ac:dyDescent="0.25">
      <c r="A521" t="s">
        <v>86</v>
      </c>
      <c r="B521">
        <v>2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57</v>
      </c>
      <c r="K521">
        <v>2620</v>
      </c>
      <c r="L521">
        <v>7.3</v>
      </c>
      <c r="M521">
        <v>5.91</v>
      </c>
      <c r="N521" s="4">
        <f t="shared" si="16"/>
        <v>4.1832649999999994E-3</v>
      </c>
      <c r="O521" s="4">
        <f t="shared" si="17"/>
        <v>2.4723096149999998E-2</v>
      </c>
      <c r="P521">
        <v>100</v>
      </c>
      <c r="Q521">
        <v>2</v>
      </c>
      <c r="R521">
        <v>2</v>
      </c>
      <c r="S521">
        <v>3</v>
      </c>
      <c r="T521">
        <v>4</v>
      </c>
      <c r="U521">
        <v>4</v>
      </c>
      <c r="V521" t="s">
        <v>30</v>
      </c>
    </row>
    <row r="522" spans="1:22" x14ac:dyDescent="0.25">
      <c r="A522" t="s">
        <v>86</v>
      </c>
      <c r="B522">
        <v>2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57</v>
      </c>
      <c r="K522">
        <v>2621</v>
      </c>
      <c r="L522">
        <v>8.11</v>
      </c>
      <c r="M522">
        <v>4.9800000000000004</v>
      </c>
      <c r="N522" s="4">
        <f t="shared" si="16"/>
        <v>5.1631098499999991E-3</v>
      </c>
      <c r="O522" s="4">
        <f t="shared" si="17"/>
        <v>2.5712287052999997E-2</v>
      </c>
      <c r="P522">
        <v>100</v>
      </c>
      <c r="Q522">
        <v>3</v>
      </c>
      <c r="R522">
        <v>1</v>
      </c>
      <c r="S522">
        <v>4</v>
      </c>
      <c r="T522">
        <v>4</v>
      </c>
      <c r="U522">
        <v>4</v>
      </c>
      <c r="V522" t="s">
        <v>38</v>
      </c>
    </row>
    <row r="523" spans="1:22" x14ac:dyDescent="0.25">
      <c r="A523" t="s">
        <v>86</v>
      </c>
      <c r="B523">
        <v>2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58</v>
      </c>
      <c r="K523">
        <v>2638</v>
      </c>
      <c r="L523">
        <v>5.25</v>
      </c>
      <c r="M523">
        <v>3.5</v>
      </c>
      <c r="N523" s="4">
        <f t="shared" si="16"/>
        <v>2.1636562499999998E-3</v>
      </c>
      <c r="O523" s="4">
        <f t="shared" si="17"/>
        <v>7.5727968749999992E-3</v>
      </c>
      <c r="P523">
        <v>50</v>
      </c>
      <c r="Q523">
        <v>2</v>
      </c>
      <c r="R523">
        <v>3</v>
      </c>
      <c r="S523">
        <v>3</v>
      </c>
      <c r="T523">
        <v>3</v>
      </c>
      <c r="U523">
        <v>4</v>
      </c>
      <c r="V523" t="s">
        <v>30</v>
      </c>
    </row>
    <row r="524" spans="1:22" x14ac:dyDescent="0.25">
      <c r="A524" t="s">
        <v>86</v>
      </c>
      <c r="B524">
        <v>2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59</v>
      </c>
      <c r="K524">
        <v>2426</v>
      </c>
      <c r="L524">
        <v>16.690000000000001</v>
      </c>
      <c r="M524">
        <v>9.48</v>
      </c>
      <c r="N524" s="4">
        <f t="shared" si="16"/>
        <v>2.1866653850000004E-2</v>
      </c>
      <c r="O524" s="4">
        <f t="shared" si="17"/>
        <v>0.20729587849800005</v>
      </c>
      <c r="P524">
        <v>50</v>
      </c>
      <c r="Q524">
        <v>4</v>
      </c>
      <c r="R524">
        <v>3</v>
      </c>
      <c r="S524">
        <v>4</v>
      </c>
      <c r="T524">
        <v>4</v>
      </c>
      <c r="U524">
        <v>3</v>
      </c>
      <c r="V524" t="s">
        <v>27</v>
      </c>
    </row>
    <row r="525" spans="1:22" x14ac:dyDescent="0.25">
      <c r="A525" t="s">
        <v>86</v>
      </c>
      <c r="B525">
        <v>2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59</v>
      </c>
      <c r="K525">
        <v>1482</v>
      </c>
      <c r="L525">
        <v>2.37</v>
      </c>
      <c r="M525">
        <v>2.73</v>
      </c>
      <c r="N525" s="4">
        <f t="shared" si="16"/>
        <v>4.4092665000000013E-4</v>
      </c>
      <c r="O525" s="4">
        <f t="shared" si="17"/>
        <v>1.2037297545000004E-3</v>
      </c>
      <c r="P525">
        <v>50</v>
      </c>
      <c r="Q525">
        <v>1</v>
      </c>
      <c r="R525">
        <v>3</v>
      </c>
      <c r="S525">
        <v>3</v>
      </c>
      <c r="T525">
        <v>3</v>
      </c>
      <c r="U525">
        <v>3</v>
      </c>
      <c r="V525" t="s">
        <v>50</v>
      </c>
    </row>
    <row r="526" spans="1:22" x14ac:dyDescent="0.25">
      <c r="A526" t="s">
        <v>86</v>
      </c>
      <c r="B526">
        <v>2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59</v>
      </c>
      <c r="K526">
        <v>2548</v>
      </c>
      <c r="L526">
        <v>10.08</v>
      </c>
      <c r="M526">
        <v>6.52</v>
      </c>
      <c r="N526" s="4">
        <f t="shared" si="16"/>
        <v>7.9761024000000007E-3</v>
      </c>
      <c r="O526" s="4">
        <f t="shared" si="17"/>
        <v>5.2004187648000001E-2</v>
      </c>
      <c r="P526">
        <v>50</v>
      </c>
      <c r="Q526">
        <v>3</v>
      </c>
      <c r="R526">
        <v>3</v>
      </c>
      <c r="S526">
        <v>4</v>
      </c>
      <c r="T526">
        <v>4</v>
      </c>
      <c r="U526">
        <v>4</v>
      </c>
      <c r="V526" t="s">
        <v>38</v>
      </c>
    </row>
    <row r="527" spans="1:22" x14ac:dyDescent="0.25">
      <c r="A527" t="s">
        <v>86</v>
      </c>
      <c r="B527">
        <v>2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26</v>
      </c>
      <c r="K527">
        <v>2552</v>
      </c>
      <c r="L527">
        <v>17.190000000000001</v>
      </c>
      <c r="M527">
        <v>12.45</v>
      </c>
      <c r="N527" s="4">
        <f t="shared" si="16"/>
        <v>2.3196443850000005E-2</v>
      </c>
      <c r="O527" s="4">
        <f t="shared" si="17"/>
        <v>0.28879572593250002</v>
      </c>
      <c r="P527">
        <v>50</v>
      </c>
      <c r="Q527">
        <v>4</v>
      </c>
      <c r="R527">
        <v>4</v>
      </c>
      <c r="S527">
        <v>4</v>
      </c>
      <c r="T527">
        <v>4</v>
      </c>
      <c r="U527">
        <v>4</v>
      </c>
      <c r="V527" t="s">
        <v>25</v>
      </c>
    </row>
    <row r="528" spans="1:22" x14ac:dyDescent="0.25">
      <c r="A528" t="s">
        <v>86</v>
      </c>
      <c r="B528">
        <v>2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61</v>
      </c>
      <c r="K528">
        <v>1171</v>
      </c>
      <c r="L528">
        <v>1.27</v>
      </c>
      <c r="M528">
        <v>1.1200000000000001</v>
      </c>
      <c r="N528" s="4">
        <f t="shared" si="16"/>
        <v>1.2661264999999999E-4</v>
      </c>
      <c r="O528" s="4">
        <f t="shared" si="17"/>
        <v>1.41806168E-4</v>
      </c>
      <c r="P528">
        <v>25</v>
      </c>
      <c r="Q528">
        <v>1.5</v>
      </c>
      <c r="R528">
        <v>3</v>
      </c>
      <c r="S528">
        <v>0</v>
      </c>
      <c r="T528">
        <v>2</v>
      </c>
      <c r="U528">
        <v>3</v>
      </c>
      <c r="V528" t="s">
        <v>50</v>
      </c>
    </row>
    <row r="529" spans="1:22" x14ac:dyDescent="0.25">
      <c r="A529" t="s">
        <v>86</v>
      </c>
      <c r="B529">
        <v>2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61</v>
      </c>
      <c r="K529">
        <v>2631</v>
      </c>
      <c r="L529">
        <v>5.75</v>
      </c>
      <c r="M529">
        <v>4.5999999999999996</v>
      </c>
      <c r="N529" s="4">
        <f t="shared" si="16"/>
        <v>2.5954062500000001E-3</v>
      </c>
      <c r="O529" s="4">
        <f t="shared" si="17"/>
        <v>1.193886875E-2</v>
      </c>
      <c r="P529">
        <v>25</v>
      </c>
      <c r="Q529">
        <v>2</v>
      </c>
      <c r="R529">
        <v>2</v>
      </c>
      <c r="S529">
        <v>3</v>
      </c>
      <c r="T529">
        <v>3</v>
      </c>
      <c r="U529">
        <v>3</v>
      </c>
      <c r="V529" t="s">
        <v>50</v>
      </c>
    </row>
    <row r="530" spans="1:22" x14ac:dyDescent="0.25">
      <c r="A530" t="s">
        <v>86</v>
      </c>
      <c r="B530">
        <v>2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32</v>
      </c>
      <c r="K530">
        <v>1595</v>
      </c>
      <c r="L530">
        <v>15.69</v>
      </c>
      <c r="M530">
        <v>8.9499999999999993</v>
      </c>
      <c r="N530" s="4">
        <f t="shared" si="16"/>
        <v>1.9324823849999995E-2</v>
      </c>
      <c r="O530" s="4">
        <f t="shared" si="17"/>
        <v>0.17295717345749995</v>
      </c>
      <c r="P530">
        <v>100</v>
      </c>
      <c r="Q530">
        <v>3</v>
      </c>
      <c r="R530">
        <v>3</v>
      </c>
      <c r="S530">
        <v>4</v>
      </c>
      <c r="T530">
        <v>4</v>
      </c>
      <c r="U530">
        <v>3</v>
      </c>
      <c r="V530" t="s">
        <v>25</v>
      </c>
    </row>
    <row r="531" spans="1:22" x14ac:dyDescent="0.25">
      <c r="A531" t="s">
        <v>86</v>
      </c>
      <c r="B531">
        <v>2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32</v>
      </c>
      <c r="K531">
        <v>2569</v>
      </c>
      <c r="L531">
        <v>17.03</v>
      </c>
      <c r="M531">
        <v>10.42</v>
      </c>
      <c r="N531" s="4">
        <f t="shared" si="16"/>
        <v>2.2766640650000003E-2</v>
      </c>
      <c r="O531" s="4">
        <f t="shared" si="17"/>
        <v>0.23722839557300002</v>
      </c>
      <c r="P531">
        <v>100</v>
      </c>
      <c r="Q531">
        <v>3</v>
      </c>
      <c r="R531">
        <v>3</v>
      </c>
      <c r="S531">
        <v>4</v>
      </c>
      <c r="T531">
        <v>4</v>
      </c>
      <c r="U531">
        <v>3</v>
      </c>
      <c r="V531" t="s">
        <v>25</v>
      </c>
    </row>
    <row r="532" spans="1:22" x14ac:dyDescent="0.25">
      <c r="A532" t="s">
        <v>86</v>
      </c>
      <c r="B532">
        <v>2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32</v>
      </c>
      <c r="K532">
        <v>2634</v>
      </c>
      <c r="L532">
        <v>17.77</v>
      </c>
      <c r="M532">
        <v>10.42</v>
      </c>
      <c r="N532" s="4">
        <f t="shared" si="16"/>
        <v>2.4788172650000002E-2</v>
      </c>
      <c r="O532" s="4">
        <f t="shared" si="17"/>
        <v>0.25829275901300003</v>
      </c>
      <c r="P532">
        <v>50</v>
      </c>
      <c r="Q532">
        <v>3</v>
      </c>
      <c r="R532">
        <v>3</v>
      </c>
      <c r="S532">
        <v>2</v>
      </c>
      <c r="T532">
        <v>2</v>
      </c>
      <c r="U532">
        <v>2</v>
      </c>
      <c r="V532" t="s">
        <v>38</v>
      </c>
    </row>
    <row r="533" spans="1:22" x14ac:dyDescent="0.25">
      <c r="A533" t="s">
        <v>86</v>
      </c>
      <c r="B533">
        <v>2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32</v>
      </c>
      <c r="K533">
        <v>2635</v>
      </c>
      <c r="L533">
        <v>17.399999999999999</v>
      </c>
      <c r="M533">
        <v>10.66</v>
      </c>
      <c r="N533" s="4">
        <f t="shared" si="16"/>
        <v>2.3766659999999998E-2</v>
      </c>
      <c r="O533" s="4">
        <f t="shared" si="17"/>
        <v>0.25335259560000001</v>
      </c>
      <c r="P533">
        <v>75</v>
      </c>
      <c r="Q533">
        <v>3</v>
      </c>
      <c r="R533">
        <v>2</v>
      </c>
      <c r="S533">
        <v>4</v>
      </c>
      <c r="T533">
        <v>4</v>
      </c>
      <c r="U533">
        <v>3</v>
      </c>
      <c r="V533" t="s">
        <v>25</v>
      </c>
    </row>
    <row r="534" spans="1:22" x14ac:dyDescent="0.25">
      <c r="A534" t="s">
        <v>86</v>
      </c>
      <c r="B534">
        <v>2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34</v>
      </c>
      <c r="K534">
        <v>2570</v>
      </c>
      <c r="L534">
        <v>10.16</v>
      </c>
      <c r="M534">
        <v>7.74</v>
      </c>
      <c r="N534" s="4">
        <f t="shared" si="16"/>
        <v>8.1032095999999994E-3</v>
      </c>
      <c r="O534" s="4">
        <f t="shared" si="17"/>
        <v>6.2718842304000003E-2</v>
      </c>
      <c r="P534">
        <v>100</v>
      </c>
      <c r="Q534">
        <v>3</v>
      </c>
      <c r="R534">
        <v>3</v>
      </c>
      <c r="S534">
        <v>4</v>
      </c>
      <c r="T534">
        <v>4</v>
      </c>
      <c r="U534">
        <v>4</v>
      </c>
      <c r="V534" t="s">
        <v>25</v>
      </c>
    </row>
    <row r="535" spans="1:22" x14ac:dyDescent="0.25">
      <c r="A535" t="s">
        <v>86</v>
      </c>
      <c r="B535">
        <v>2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35</v>
      </c>
      <c r="K535">
        <v>1788</v>
      </c>
      <c r="L535">
        <v>6.06</v>
      </c>
      <c r="M535">
        <v>4.2</v>
      </c>
      <c r="N535" s="4">
        <f t="shared" si="16"/>
        <v>2.8828025999999992E-3</v>
      </c>
      <c r="O535" s="4">
        <f t="shared" si="17"/>
        <v>1.2107770919999997E-2</v>
      </c>
      <c r="P535">
        <v>100</v>
      </c>
      <c r="Q535">
        <v>1.5</v>
      </c>
      <c r="R535">
        <v>1.5</v>
      </c>
      <c r="S535">
        <v>2</v>
      </c>
      <c r="T535">
        <v>2</v>
      </c>
      <c r="U535">
        <v>1</v>
      </c>
      <c r="V535" t="s">
        <v>50</v>
      </c>
    </row>
    <row r="536" spans="1:22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35</v>
      </c>
      <c r="K536">
        <v>1259</v>
      </c>
      <c r="L536">
        <v>10.37</v>
      </c>
      <c r="M536">
        <v>5.6</v>
      </c>
      <c r="N536" s="4">
        <f t="shared" si="16"/>
        <v>8.4416466499999988E-3</v>
      </c>
      <c r="O536" s="4">
        <f t="shared" si="17"/>
        <v>4.7273221239999989E-2</v>
      </c>
      <c r="P536">
        <v>100</v>
      </c>
      <c r="Q536">
        <v>3</v>
      </c>
      <c r="R536">
        <v>2</v>
      </c>
      <c r="S536">
        <v>2</v>
      </c>
      <c r="T536">
        <v>2</v>
      </c>
      <c r="U536">
        <v>1</v>
      </c>
      <c r="V536" t="s">
        <v>30</v>
      </c>
    </row>
    <row r="537" spans="1:22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35</v>
      </c>
      <c r="K537">
        <v>1785</v>
      </c>
      <c r="L537">
        <v>2.56</v>
      </c>
      <c r="M537">
        <v>2.91</v>
      </c>
      <c r="N537" s="4">
        <f t="shared" si="16"/>
        <v>5.1445760000000005E-4</v>
      </c>
      <c r="O537" s="4">
        <f t="shared" si="17"/>
        <v>1.4970716160000001E-3</v>
      </c>
      <c r="P537">
        <v>75</v>
      </c>
      <c r="Q537">
        <v>1</v>
      </c>
      <c r="R537">
        <v>1</v>
      </c>
      <c r="S537">
        <v>2</v>
      </c>
      <c r="T537">
        <v>2</v>
      </c>
      <c r="U537">
        <v>3</v>
      </c>
      <c r="V537" t="s">
        <v>50</v>
      </c>
    </row>
    <row r="538" spans="1:22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35</v>
      </c>
      <c r="K538">
        <v>2571</v>
      </c>
      <c r="L538">
        <v>8.98</v>
      </c>
      <c r="M538">
        <v>4.08</v>
      </c>
      <c r="N538" s="4">
        <f t="shared" si="16"/>
        <v>6.3302714000000012E-3</v>
      </c>
      <c r="O538" s="4">
        <f t="shared" si="17"/>
        <v>2.5827507312000005E-2</v>
      </c>
      <c r="P538">
        <v>75</v>
      </c>
      <c r="Q538">
        <v>4</v>
      </c>
      <c r="R538">
        <v>2</v>
      </c>
      <c r="S538">
        <v>2</v>
      </c>
      <c r="T538">
        <v>2</v>
      </c>
      <c r="U538">
        <v>2</v>
      </c>
      <c r="V538" t="s">
        <v>38</v>
      </c>
    </row>
    <row r="539" spans="1:22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36</v>
      </c>
      <c r="K539">
        <v>2573</v>
      </c>
      <c r="L539">
        <v>7.84</v>
      </c>
      <c r="M539">
        <v>4.29</v>
      </c>
      <c r="N539" s="4">
        <f t="shared" si="16"/>
        <v>4.8250495999999999E-3</v>
      </c>
      <c r="O539" s="4">
        <f t="shared" si="17"/>
        <v>2.0699462783999999E-2</v>
      </c>
      <c r="P539">
        <v>25</v>
      </c>
      <c r="Q539">
        <v>2</v>
      </c>
      <c r="R539">
        <v>4</v>
      </c>
      <c r="S539">
        <v>1</v>
      </c>
      <c r="T539">
        <v>2</v>
      </c>
      <c r="U539">
        <v>3</v>
      </c>
      <c r="V539" t="s">
        <v>50</v>
      </c>
    </row>
    <row r="540" spans="1:22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62</v>
      </c>
      <c r="K540">
        <v>2550</v>
      </c>
      <c r="L540">
        <v>5.44</v>
      </c>
      <c r="M540">
        <v>4.05</v>
      </c>
      <c r="N540" s="4">
        <f t="shared" si="16"/>
        <v>2.3230976000000003E-3</v>
      </c>
      <c r="O540" s="4">
        <f t="shared" si="17"/>
        <v>9.4085452800000014E-3</v>
      </c>
      <c r="P540">
        <v>50</v>
      </c>
      <c r="Q540">
        <v>1</v>
      </c>
      <c r="R540">
        <v>2</v>
      </c>
      <c r="S540">
        <v>3</v>
      </c>
      <c r="T540">
        <v>3</v>
      </c>
      <c r="U540">
        <v>3</v>
      </c>
      <c r="V540" t="s">
        <v>50</v>
      </c>
    </row>
    <row r="541" spans="1:22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62</v>
      </c>
      <c r="K541">
        <v>1352</v>
      </c>
      <c r="L541">
        <v>11.93</v>
      </c>
      <c r="M541">
        <v>11</v>
      </c>
      <c r="N541" s="4">
        <f t="shared" si="16"/>
        <v>1.1172504650000002E-2</v>
      </c>
      <c r="O541" s="4">
        <f t="shared" si="17"/>
        <v>0.12289755115000002</v>
      </c>
      <c r="P541">
        <v>100</v>
      </c>
      <c r="Q541">
        <v>3.5</v>
      </c>
      <c r="R541">
        <v>3</v>
      </c>
      <c r="S541">
        <v>4</v>
      </c>
      <c r="T541">
        <v>4</v>
      </c>
      <c r="U541">
        <v>3.5</v>
      </c>
      <c r="V541" t="s">
        <v>25</v>
      </c>
    </row>
    <row r="542" spans="1:22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62</v>
      </c>
      <c r="K542">
        <v>2432</v>
      </c>
      <c r="L542">
        <v>12.39</v>
      </c>
      <c r="M542">
        <v>10.77</v>
      </c>
      <c r="N542" s="4">
        <f t="shared" si="16"/>
        <v>1.2050699850000002E-2</v>
      </c>
      <c r="O542" s="4">
        <f t="shared" si="17"/>
        <v>0.12978603738450001</v>
      </c>
      <c r="P542">
        <v>75</v>
      </c>
      <c r="Q542">
        <v>3</v>
      </c>
      <c r="R542">
        <v>3</v>
      </c>
      <c r="S542">
        <v>4</v>
      </c>
      <c r="T542">
        <v>4</v>
      </c>
      <c r="U542">
        <v>4</v>
      </c>
      <c r="V542" t="s">
        <v>25</v>
      </c>
    </row>
    <row r="543" spans="1:22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62</v>
      </c>
      <c r="K543">
        <v>2553</v>
      </c>
      <c r="L543">
        <v>17.95</v>
      </c>
      <c r="M543">
        <v>13.66</v>
      </c>
      <c r="N543" s="4">
        <f t="shared" si="16"/>
        <v>2.5292896249999999E-2</v>
      </c>
      <c r="O543" s="4">
        <f t="shared" si="17"/>
        <v>0.34550096277499998</v>
      </c>
      <c r="P543">
        <v>100</v>
      </c>
      <c r="Q543">
        <v>5</v>
      </c>
      <c r="R543">
        <v>3</v>
      </c>
      <c r="S543">
        <v>4.5</v>
      </c>
      <c r="T543">
        <v>4.5</v>
      </c>
      <c r="U543">
        <v>4</v>
      </c>
      <c r="V543" t="s">
        <v>27</v>
      </c>
    </row>
    <row r="544" spans="1:22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62</v>
      </c>
      <c r="K544">
        <v>2574</v>
      </c>
      <c r="L544">
        <v>10.07</v>
      </c>
      <c r="M544">
        <v>12.74</v>
      </c>
      <c r="N544" s="4">
        <f t="shared" si="16"/>
        <v>7.9602846499999998E-3</v>
      </c>
      <c r="O544" s="4">
        <f t="shared" si="17"/>
        <v>0.101414026441</v>
      </c>
      <c r="P544">
        <v>100</v>
      </c>
      <c r="Q544">
        <v>2.5</v>
      </c>
      <c r="R544">
        <v>2.5</v>
      </c>
      <c r="S544">
        <v>5</v>
      </c>
      <c r="T544">
        <v>5</v>
      </c>
      <c r="U544">
        <v>5</v>
      </c>
      <c r="V544" t="s">
        <v>25</v>
      </c>
    </row>
    <row r="545" spans="1:22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37</v>
      </c>
      <c r="K545">
        <v>2575</v>
      </c>
      <c r="L545">
        <v>8.56</v>
      </c>
      <c r="M545">
        <v>3.33</v>
      </c>
      <c r="N545" s="4">
        <f t="shared" si="16"/>
        <v>5.7519776000000012E-3</v>
      </c>
      <c r="O545" s="4">
        <f t="shared" si="17"/>
        <v>1.9154085408000003E-2</v>
      </c>
      <c r="P545">
        <v>75</v>
      </c>
      <c r="Q545">
        <v>2</v>
      </c>
      <c r="R545">
        <v>3</v>
      </c>
      <c r="S545">
        <v>2</v>
      </c>
      <c r="T545">
        <v>2</v>
      </c>
      <c r="U545">
        <v>2</v>
      </c>
      <c r="V545" t="s">
        <v>50</v>
      </c>
    </row>
    <row r="546" spans="1:22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63</v>
      </c>
      <c r="K546">
        <v>1340</v>
      </c>
      <c r="L546">
        <v>1.56</v>
      </c>
      <c r="M546">
        <v>2.16</v>
      </c>
      <c r="N546" s="4">
        <f t="shared" si="16"/>
        <v>1.9103760000000004E-4</v>
      </c>
      <c r="O546" s="4">
        <f t="shared" si="17"/>
        <v>4.1264121600000011E-4</v>
      </c>
      <c r="P546">
        <v>50</v>
      </c>
      <c r="Q546">
        <v>1</v>
      </c>
      <c r="R546">
        <v>2</v>
      </c>
      <c r="S546">
        <v>2</v>
      </c>
      <c r="T546">
        <v>2</v>
      </c>
      <c r="U546">
        <v>3</v>
      </c>
      <c r="V546" t="s">
        <v>50</v>
      </c>
    </row>
    <row r="547" spans="1:22" x14ac:dyDescent="0.25">
      <c r="A547" t="s">
        <v>86</v>
      </c>
      <c r="B547">
        <v>3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76</v>
      </c>
      <c r="K547">
        <v>1592</v>
      </c>
      <c r="L547">
        <v>20.43</v>
      </c>
      <c r="M547">
        <v>10.39</v>
      </c>
      <c r="N547" s="4">
        <f t="shared" si="16"/>
        <v>3.2764714650000006E-2</v>
      </c>
      <c r="O547" s="4">
        <f t="shared" si="17"/>
        <v>0.34042538521350008</v>
      </c>
      <c r="P547">
        <v>75</v>
      </c>
      <c r="Q547">
        <v>3</v>
      </c>
      <c r="R547">
        <v>4</v>
      </c>
      <c r="S547">
        <v>2</v>
      </c>
      <c r="T547">
        <v>3</v>
      </c>
      <c r="U547">
        <v>2</v>
      </c>
      <c r="V547" t="s">
        <v>25</v>
      </c>
    </row>
    <row r="548" spans="1:22" x14ac:dyDescent="0.25">
      <c r="A548" t="s">
        <v>86</v>
      </c>
      <c r="B548">
        <v>3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76</v>
      </c>
      <c r="K548">
        <v>2560</v>
      </c>
      <c r="L548">
        <v>16.04</v>
      </c>
      <c r="M548">
        <v>8.66</v>
      </c>
      <c r="N548" s="4">
        <f t="shared" si="16"/>
        <v>2.0196605599999997E-2</v>
      </c>
      <c r="O548" s="4">
        <f t="shared" si="17"/>
        <v>0.17490260449599998</v>
      </c>
      <c r="P548">
        <v>100</v>
      </c>
      <c r="Q548">
        <v>3</v>
      </c>
      <c r="R548">
        <v>4</v>
      </c>
      <c r="S548">
        <v>4</v>
      </c>
      <c r="T548">
        <v>4</v>
      </c>
      <c r="U548">
        <v>4</v>
      </c>
      <c r="V548" t="s">
        <v>25</v>
      </c>
    </row>
    <row r="549" spans="1:22" x14ac:dyDescent="0.25">
      <c r="A549" t="s">
        <v>86</v>
      </c>
      <c r="B549">
        <v>3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56</v>
      </c>
      <c r="K549">
        <v>1111</v>
      </c>
      <c r="L549">
        <v>11.9</v>
      </c>
      <c r="M549">
        <v>7.2</v>
      </c>
      <c r="N549" s="4">
        <f t="shared" si="16"/>
        <v>1.1116385000000001E-2</v>
      </c>
      <c r="O549" s="4">
        <f t="shared" si="17"/>
        <v>8.0037972000000013E-2</v>
      </c>
      <c r="P549">
        <v>100</v>
      </c>
      <c r="Q549">
        <v>3</v>
      </c>
      <c r="R549">
        <v>2</v>
      </c>
      <c r="S549">
        <v>3</v>
      </c>
      <c r="T549">
        <v>3</v>
      </c>
      <c r="U549">
        <v>3</v>
      </c>
      <c r="V549" t="s">
        <v>38</v>
      </c>
    </row>
    <row r="550" spans="1:22" x14ac:dyDescent="0.25">
      <c r="A550" t="s">
        <v>86</v>
      </c>
      <c r="B550">
        <v>3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57</v>
      </c>
      <c r="K550">
        <v>2620</v>
      </c>
      <c r="L550">
        <v>2.66</v>
      </c>
      <c r="M550">
        <v>2.08</v>
      </c>
      <c r="N550" s="4">
        <f t="shared" si="16"/>
        <v>5.5543460000000015E-4</v>
      </c>
      <c r="O550" s="4">
        <f t="shared" si="17"/>
        <v>1.1553039680000004E-3</v>
      </c>
      <c r="P550">
        <v>100</v>
      </c>
      <c r="Q550">
        <v>2</v>
      </c>
      <c r="R550">
        <v>1.5</v>
      </c>
      <c r="S550">
        <v>1</v>
      </c>
      <c r="T550">
        <v>2</v>
      </c>
      <c r="U550">
        <v>3</v>
      </c>
      <c r="V550" t="s">
        <v>50</v>
      </c>
    </row>
    <row r="551" spans="1:22" x14ac:dyDescent="0.25">
      <c r="A551" t="s">
        <v>86</v>
      </c>
      <c r="B551">
        <v>3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57</v>
      </c>
      <c r="K551">
        <v>2621</v>
      </c>
      <c r="L551">
        <v>5.0999999999999996</v>
      </c>
      <c r="M551">
        <v>2.66</v>
      </c>
      <c r="N551" s="4">
        <f t="shared" si="16"/>
        <v>2.041785E-3</v>
      </c>
      <c r="O551" s="4">
        <f t="shared" si="17"/>
        <v>5.4311480999999998E-3</v>
      </c>
      <c r="P551">
        <v>75</v>
      </c>
      <c r="Q551">
        <v>3</v>
      </c>
      <c r="R551">
        <v>2</v>
      </c>
      <c r="S551">
        <v>2</v>
      </c>
      <c r="T551">
        <v>2</v>
      </c>
      <c r="U551">
        <v>3</v>
      </c>
      <c r="V551" t="s">
        <v>30</v>
      </c>
    </row>
    <row r="552" spans="1:22" x14ac:dyDescent="0.25">
      <c r="A552" t="s">
        <v>86</v>
      </c>
      <c r="B552">
        <v>3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58</v>
      </c>
      <c r="K552">
        <v>2638</v>
      </c>
      <c r="L552">
        <v>12.24</v>
      </c>
      <c r="M552">
        <v>5.83</v>
      </c>
      <c r="N552" s="4">
        <f t="shared" si="16"/>
        <v>1.1760681600000001E-2</v>
      </c>
      <c r="O552" s="4">
        <f t="shared" si="17"/>
        <v>6.8564773728000003E-2</v>
      </c>
      <c r="P552">
        <v>25</v>
      </c>
      <c r="Q552">
        <v>2</v>
      </c>
      <c r="R552">
        <v>3</v>
      </c>
      <c r="S552">
        <v>3</v>
      </c>
      <c r="T552">
        <v>3</v>
      </c>
      <c r="U552">
        <v>3</v>
      </c>
      <c r="V552" t="s">
        <v>30</v>
      </c>
    </row>
    <row r="553" spans="1:22" x14ac:dyDescent="0.25">
      <c r="A553" t="s">
        <v>86</v>
      </c>
      <c r="B553">
        <v>3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59</v>
      </c>
      <c r="K553">
        <v>2426</v>
      </c>
      <c r="L553">
        <v>21.93</v>
      </c>
      <c r="M553">
        <v>9.84</v>
      </c>
      <c r="N553" s="4">
        <f t="shared" si="16"/>
        <v>3.775260465E-2</v>
      </c>
      <c r="O553" s="4">
        <f t="shared" si="17"/>
        <v>0.37148562975600002</v>
      </c>
      <c r="P553">
        <v>100</v>
      </c>
      <c r="Q553">
        <v>4</v>
      </c>
      <c r="R553">
        <v>3</v>
      </c>
      <c r="S553">
        <v>3.5</v>
      </c>
      <c r="T553">
        <v>3</v>
      </c>
      <c r="U553">
        <v>2</v>
      </c>
      <c r="V553" t="s">
        <v>25</v>
      </c>
    </row>
    <row r="554" spans="1:22" x14ac:dyDescent="0.25">
      <c r="A554" t="s">
        <v>86</v>
      </c>
      <c r="B554">
        <v>3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59</v>
      </c>
      <c r="K554">
        <v>1482</v>
      </c>
      <c r="L554">
        <v>24.16</v>
      </c>
      <c r="M554">
        <v>10.31</v>
      </c>
      <c r="N554" s="4">
        <f t="shared" si="16"/>
        <v>4.5820889600000005E-2</v>
      </c>
      <c r="O554" s="4">
        <f t="shared" si="17"/>
        <v>0.47241337177600007</v>
      </c>
      <c r="P554">
        <v>75</v>
      </c>
      <c r="Q554">
        <v>4.5</v>
      </c>
      <c r="R554">
        <v>3</v>
      </c>
      <c r="S554">
        <v>4</v>
      </c>
      <c r="T554">
        <v>3</v>
      </c>
      <c r="U554">
        <v>2</v>
      </c>
      <c r="V554" t="s">
        <v>25</v>
      </c>
    </row>
    <row r="555" spans="1:22" x14ac:dyDescent="0.25">
      <c r="A555" t="s">
        <v>86</v>
      </c>
      <c r="B555">
        <v>3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59</v>
      </c>
      <c r="K555">
        <v>2548</v>
      </c>
      <c r="L555">
        <v>24.77</v>
      </c>
      <c r="M555">
        <v>10.67</v>
      </c>
      <c r="N555" s="4">
        <f t="shared" si="16"/>
        <v>4.816390265E-2</v>
      </c>
      <c r="O555" s="4">
        <f t="shared" si="17"/>
        <v>0.51390884127549996</v>
      </c>
      <c r="P555">
        <v>100</v>
      </c>
      <c r="Q555">
        <v>4.5</v>
      </c>
      <c r="R555">
        <v>3</v>
      </c>
      <c r="S555">
        <v>4</v>
      </c>
      <c r="T555">
        <v>3</v>
      </c>
      <c r="U555">
        <v>2</v>
      </c>
      <c r="V555" t="s">
        <v>25</v>
      </c>
    </row>
    <row r="556" spans="1:22" x14ac:dyDescent="0.25">
      <c r="A556" t="s">
        <v>86</v>
      </c>
      <c r="B556">
        <v>3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26</v>
      </c>
      <c r="K556">
        <v>2552</v>
      </c>
      <c r="L556">
        <v>16.829999999999998</v>
      </c>
      <c r="M556">
        <v>10.31</v>
      </c>
      <c r="N556" s="4">
        <f t="shared" si="16"/>
        <v>2.2235038649999993E-2</v>
      </c>
      <c r="O556" s="4">
        <f t="shared" si="17"/>
        <v>0.22924324848149993</v>
      </c>
      <c r="P556">
        <v>75</v>
      </c>
      <c r="Q556">
        <v>4</v>
      </c>
      <c r="R556">
        <v>3</v>
      </c>
      <c r="S556">
        <v>4</v>
      </c>
      <c r="T556">
        <v>4</v>
      </c>
      <c r="U556">
        <v>3</v>
      </c>
      <c r="V556" t="s">
        <v>27</v>
      </c>
    </row>
    <row r="557" spans="1:22" x14ac:dyDescent="0.25">
      <c r="A557" t="s">
        <v>86</v>
      </c>
      <c r="B557">
        <v>3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61</v>
      </c>
      <c r="K557">
        <v>1171</v>
      </c>
      <c r="L557">
        <v>8.4</v>
      </c>
      <c r="M557">
        <v>3.91</v>
      </c>
      <c r="N557" s="4">
        <f t="shared" si="16"/>
        <v>5.5389600000000008E-3</v>
      </c>
      <c r="O557" s="4">
        <f t="shared" si="17"/>
        <v>2.1657333600000005E-2</v>
      </c>
      <c r="P557">
        <v>100</v>
      </c>
      <c r="Q557">
        <v>3</v>
      </c>
      <c r="R557">
        <v>2</v>
      </c>
      <c r="S557">
        <v>1</v>
      </c>
      <c r="T557">
        <v>2</v>
      </c>
      <c r="U557">
        <v>1</v>
      </c>
      <c r="V557" t="s">
        <v>50</v>
      </c>
    </row>
    <row r="558" spans="1:22" x14ac:dyDescent="0.25">
      <c r="A558" t="s">
        <v>86</v>
      </c>
      <c r="B558">
        <v>3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61</v>
      </c>
      <c r="K558">
        <v>2631</v>
      </c>
      <c r="L558">
        <v>5.75</v>
      </c>
      <c r="M558">
        <v>4.26</v>
      </c>
      <c r="N558" s="4">
        <f t="shared" si="16"/>
        <v>2.5954062500000001E-3</v>
      </c>
      <c r="O558" s="4">
        <f t="shared" si="17"/>
        <v>1.1056430625E-2</v>
      </c>
      <c r="P558">
        <v>75</v>
      </c>
      <c r="Q558">
        <v>2</v>
      </c>
      <c r="R558">
        <v>3</v>
      </c>
      <c r="S558">
        <v>2</v>
      </c>
      <c r="T558">
        <v>2</v>
      </c>
      <c r="U558">
        <v>2</v>
      </c>
      <c r="V558" t="s">
        <v>50</v>
      </c>
    </row>
    <row r="559" spans="1:22" x14ac:dyDescent="0.25">
      <c r="A559" t="s">
        <v>86</v>
      </c>
      <c r="B559">
        <v>3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32</v>
      </c>
      <c r="K559">
        <v>1595</v>
      </c>
      <c r="L559">
        <v>16.54</v>
      </c>
      <c r="M559">
        <v>7.23</v>
      </c>
      <c r="N559" s="4">
        <f t="shared" si="16"/>
        <v>2.1475370599999998E-2</v>
      </c>
      <c r="O559" s="4">
        <f t="shared" si="17"/>
        <v>0.155266929438</v>
      </c>
      <c r="P559">
        <v>100</v>
      </c>
      <c r="Q559">
        <v>3</v>
      </c>
      <c r="R559">
        <v>2.5</v>
      </c>
      <c r="S559">
        <v>3</v>
      </c>
      <c r="T559">
        <v>4</v>
      </c>
      <c r="U559">
        <v>2</v>
      </c>
      <c r="V559" t="s">
        <v>25</v>
      </c>
    </row>
    <row r="560" spans="1:22" x14ac:dyDescent="0.25">
      <c r="A560" t="s">
        <v>86</v>
      </c>
      <c r="B560">
        <v>3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32</v>
      </c>
      <c r="K560">
        <v>2569</v>
      </c>
      <c r="L560">
        <v>13.73</v>
      </c>
      <c r="M560">
        <v>7.6</v>
      </c>
      <c r="N560" s="4">
        <f t="shared" si="16"/>
        <v>1.4798262650000003E-2</v>
      </c>
      <c r="O560" s="4">
        <f t="shared" si="17"/>
        <v>0.11246679614000002</v>
      </c>
      <c r="P560">
        <v>75</v>
      </c>
      <c r="Q560">
        <v>2.5</v>
      </c>
      <c r="R560">
        <v>2</v>
      </c>
      <c r="S560">
        <v>3</v>
      </c>
      <c r="T560">
        <v>3</v>
      </c>
      <c r="U560">
        <v>3</v>
      </c>
      <c r="V560" t="s">
        <v>38</v>
      </c>
    </row>
    <row r="561" spans="1:22" x14ac:dyDescent="0.25">
      <c r="A561" t="s">
        <v>86</v>
      </c>
      <c r="B561">
        <v>3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32</v>
      </c>
      <c r="K561">
        <v>2634</v>
      </c>
      <c r="L561">
        <v>16.3</v>
      </c>
      <c r="M561">
        <v>7.84</v>
      </c>
      <c r="N561" s="4">
        <f t="shared" si="16"/>
        <v>2.0856665000000003E-2</v>
      </c>
      <c r="O561" s="4">
        <f t="shared" si="17"/>
        <v>0.16351625360000002</v>
      </c>
      <c r="P561">
        <v>100</v>
      </c>
      <c r="Q561">
        <v>3</v>
      </c>
      <c r="R561">
        <v>3</v>
      </c>
      <c r="S561">
        <v>3</v>
      </c>
      <c r="T561">
        <v>3</v>
      </c>
      <c r="U561">
        <v>3</v>
      </c>
      <c r="V561" t="s">
        <v>38</v>
      </c>
    </row>
    <row r="562" spans="1:22" x14ac:dyDescent="0.25">
      <c r="A562" t="s">
        <v>86</v>
      </c>
      <c r="B562">
        <v>3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32</v>
      </c>
      <c r="K562">
        <v>2635</v>
      </c>
      <c r="L562">
        <v>13.73</v>
      </c>
      <c r="M562">
        <v>8.58</v>
      </c>
      <c r="N562" s="4">
        <f t="shared" si="16"/>
        <v>1.4798262650000003E-2</v>
      </c>
      <c r="O562" s="4">
        <f t="shared" si="17"/>
        <v>0.12696909353700003</v>
      </c>
      <c r="P562">
        <v>75</v>
      </c>
      <c r="Q562">
        <v>3</v>
      </c>
      <c r="R562">
        <v>3</v>
      </c>
      <c r="S562">
        <v>3</v>
      </c>
      <c r="T562">
        <v>3</v>
      </c>
      <c r="U562">
        <v>3</v>
      </c>
      <c r="V562" t="s">
        <v>38</v>
      </c>
    </row>
    <row r="563" spans="1:22" x14ac:dyDescent="0.25">
      <c r="A563" t="s">
        <v>86</v>
      </c>
      <c r="B563">
        <v>3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34</v>
      </c>
      <c r="K563">
        <v>2570</v>
      </c>
      <c r="L563">
        <v>16.93</v>
      </c>
      <c r="M563">
        <v>8.1</v>
      </c>
      <c r="N563" s="4">
        <f t="shared" si="16"/>
        <v>2.2500054650000004E-2</v>
      </c>
      <c r="O563" s="4">
        <f t="shared" si="17"/>
        <v>0.18225044266500001</v>
      </c>
      <c r="P563">
        <v>75</v>
      </c>
      <c r="Q563">
        <v>2.5</v>
      </c>
      <c r="R563">
        <v>2</v>
      </c>
      <c r="S563">
        <v>2.5</v>
      </c>
      <c r="T563">
        <v>2.5</v>
      </c>
      <c r="U563">
        <v>2</v>
      </c>
      <c r="V563" t="s">
        <v>38</v>
      </c>
    </row>
    <row r="564" spans="1:22" x14ac:dyDescent="0.25">
      <c r="A564" t="s">
        <v>86</v>
      </c>
      <c r="B564">
        <v>3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35</v>
      </c>
      <c r="K564">
        <v>1788</v>
      </c>
      <c r="L564">
        <v>2.68</v>
      </c>
      <c r="M564">
        <v>2.33</v>
      </c>
      <c r="N564" s="4">
        <f t="shared" si="16"/>
        <v>5.6381840000000014E-4</v>
      </c>
      <c r="O564" s="4">
        <f t="shared" si="17"/>
        <v>1.3136968720000005E-3</v>
      </c>
      <c r="P564">
        <v>75</v>
      </c>
      <c r="Q564">
        <v>1</v>
      </c>
      <c r="R564">
        <v>1.5</v>
      </c>
      <c r="S564">
        <v>2</v>
      </c>
      <c r="T564">
        <v>2</v>
      </c>
      <c r="U564">
        <v>2</v>
      </c>
      <c r="V564" t="s">
        <v>50</v>
      </c>
    </row>
    <row r="565" spans="1:22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35</v>
      </c>
      <c r="K565">
        <v>1259</v>
      </c>
      <c r="L565">
        <v>11.66</v>
      </c>
      <c r="M565">
        <v>6.18</v>
      </c>
      <c r="N565" s="4">
        <f t="shared" si="16"/>
        <v>1.06725146E-2</v>
      </c>
      <c r="O565" s="4">
        <f t="shared" si="17"/>
        <v>6.5956140228000004E-2</v>
      </c>
      <c r="P565">
        <v>75</v>
      </c>
      <c r="Q565">
        <v>3</v>
      </c>
      <c r="R565">
        <v>2</v>
      </c>
      <c r="S565">
        <v>3</v>
      </c>
      <c r="T565">
        <v>3</v>
      </c>
      <c r="U565">
        <v>3</v>
      </c>
      <c r="V565" t="s">
        <v>38</v>
      </c>
    </row>
    <row r="566" spans="1:22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35</v>
      </c>
      <c r="K566">
        <v>1785</v>
      </c>
      <c r="L566">
        <v>3.03</v>
      </c>
      <c r="M566">
        <v>1.75</v>
      </c>
      <c r="N566" s="4">
        <f t="shared" si="16"/>
        <v>7.207006499999998E-4</v>
      </c>
      <c r="O566" s="4">
        <f t="shared" si="17"/>
        <v>1.2612261374999997E-3</v>
      </c>
      <c r="P566">
        <v>75</v>
      </c>
      <c r="Q566">
        <v>1</v>
      </c>
      <c r="R566">
        <v>2</v>
      </c>
      <c r="S566">
        <v>2</v>
      </c>
      <c r="T566">
        <v>2</v>
      </c>
      <c r="U566">
        <v>2</v>
      </c>
      <c r="V566" t="s">
        <v>50</v>
      </c>
    </row>
    <row r="567" spans="1:22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35</v>
      </c>
      <c r="K567">
        <v>2571</v>
      </c>
      <c r="L567">
        <v>6.41</v>
      </c>
      <c r="M567">
        <v>3.26</v>
      </c>
      <c r="N567" s="4">
        <f t="shared" si="16"/>
        <v>3.2254158500000006E-3</v>
      </c>
      <c r="O567" s="4">
        <f t="shared" si="17"/>
        <v>1.0514855671000002E-2</v>
      </c>
      <c r="P567">
        <v>75</v>
      </c>
      <c r="Q567">
        <v>2</v>
      </c>
      <c r="R567">
        <v>2</v>
      </c>
      <c r="S567">
        <v>2</v>
      </c>
      <c r="T567">
        <v>2</v>
      </c>
      <c r="U567">
        <v>2</v>
      </c>
      <c r="V567" t="s">
        <v>30</v>
      </c>
    </row>
    <row r="568" spans="1:22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36</v>
      </c>
      <c r="K568">
        <v>2573</v>
      </c>
      <c r="L568">
        <v>10.78</v>
      </c>
      <c r="M568">
        <v>6.62</v>
      </c>
      <c r="N568" s="4">
        <f t="shared" si="16"/>
        <v>9.1223593999999984E-3</v>
      </c>
      <c r="O568" s="4">
        <f t="shared" si="17"/>
        <v>6.039001922799999E-2</v>
      </c>
      <c r="P568">
        <v>100</v>
      </c>
      <c r="Q568">
        <v>2.5</v>
      </c>
      <c r="R568">
        <v>4</v>
      </c>
      <c r="S568">
        <v>3</v>
      </c>
      <c r="T568">
        <v>3</v>
      </c>
      <c r="U568">
        <v>2</v>
      </c>
      <c r="V568" t="s">
        <v>38</v>
      </c>
    </row>
    <row r="569" spans="1:22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62</v>
      </c>
      <c r="K569">
        <v>2550</v>
      </c>
      <c r="L569">
        <v>14.59</v>
      </c>
      <c r="M569">
        <v>8.68</v>
      </c>
      <c r="N569" s="4">
        <f t="shared" si="16"/>
        <v>1.671014585E-2</v>
      </c>
      <c r="O569" s="4">
        <f t="shared" si="17"/>
        <v>0.14504406597799999</v>
      </c>
      <c r="P569">
        <v>100</v>
      </c>
      <c r="Q569">
        <v>3</v>
      </c>
      <c r="R569">
        <v>2</v>
      </c>
      <c r="S569">
        <v>4</v>
      </c>
      <c r="T569">
        <v>3</v>
      </c>
      <c r="U569">
        <v>3</v>
      </c>
      <c r="V569" t="s">
        <v>38</v>
      </c>
    </row>
    <row r="570" spans="1:22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62</v>
      </c>
      <c r="K570">
        <v>1352</v>
      </c>
      <c r="L570">
        <v>17.95</v>
      </c>
      <c r="M570">
        <v>13.09</v>
      </c>
      <c r="N570" s="4">
        <f t="shared" si="16"/>
        <v>2.5292896249999999E-2</v>
      </c>
      <c r="O570" s="4">
        <f t="shared" si="17"/>
        <v>0.33108401191249998</v>
      </c>
      <c r="P570">
        <v>75</v>
      </c>
      <c r="Q570">
        <v>4</v>
      </c>
      <c r="R570">
        <v>3</v>
      </c>
      <c r="S570">
        <v>4</v>
      </c>
      <c r="T570">
        <v>3.5</v>
      </c>
      <c r="U570">
        <v>3</v>
      </c>
      <c r="V570" t="s">
        <v>25</v>
      </c>
    </row>
    <row r="571" spans="1:22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62</v>
      </c>
      <c r="K571">
        <v>2432</v>
      </c>
      <c r="L571">
        <v>18.87</v>
      </c>
      <c r="M571">
        <v>14.24</v>
      </c>
      <c r="N571" s="4">
        <f t="shared" si="16"/>
        <v>2.7952036650000005E-2</v>
      </c>
      <c r="O571" s="4">
        <f t="shared" si="17"/>
        <v>0.39803700189600005</v>
      </c>
      <c r="P571">
        <v>75</v>
      </c>
      <c r="Q571">
        <v>5</v>
      </c>
      <c r="R571">
        <v>3</v>
      </c>
      <c r="S571">
        <v>5</v>
      </c>
      <c r="T571">
        <v>4</v>
      </c>
      <c r="U571">
        <v>4.5</v>
      </c>
      <c r="V571" t="s">
        <v>27</v>
      </c>
    </row>
    <row r="572" spans="1:22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62</v>
      </c>
      <c r="K572">
        <v>2553</v>
      </c>
      <c r="L572">
        <v>17.72</v>
      </c>
      <c r="M572">
        <v>11.93</v>
      </c>
      <c r="N572" s="4">
        <f t="shared" si="16"/>
        <v>2.46488744E-2</v>
      </c>
      <c r="O572" s="4">
        <f t="shared" si="17"/>
        <v>0.29406107159200001</v>
      </c>
      <c r="P572">
        <v>75</v>
      </c>
      <c r="Q572">
        <v>4</v>
      </c>
      <c r="R572">
        <v>3</v>
      </c>
      <c r="S572">
        <v>5</v>
      </c>
      <c r="T572">
        <v>4</v>
      </c>
      <c r="U572">
        <v>4</v>
      </c>
      <c r="V572" t="s">
        <v>27</v>
      </c>
    </row>
    <row r="573" spans="1:22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62</v>
      </c>
      <c r="K573">
        <v>2574</v>
      </c>
      <c r="L573">
        <v>13.55</v>
      </c>
      <c r="M573">
        <v>9.26</v>
      </c>
      <c r="N573" s="4">
        <f t="shared" si="16"/>
        <v>1.4412796250000002E-2</v>
      </c>
      <c r="O573" s="4">
        <f t="shared" si="17"/>
        <v>0.13346249327500001</v>
      </c>
      <c r="P573">
        <v>75</v>
      </c>
      <c r="Q573">
        <v>3</v>
      </c>
      <c r="R573">
        <v>3</v>
      </c>
      <c r="S573">
        <v>4</v>
      </c>
      <c r="T573">
        <v>4</v>
      </c>
      <c r="U573">
        <v>3.5</v>
      </c>
      <c r="V573" t="s">
        <v>25</v>
      </c>
    </row>
    <row r="574" spans="1:22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37</v>
      </c>
      <c r="K574">
        <v>2575</v>
      </c>
      <c r="L574">
        <v>9.6300000000000008</v>
      </c>
      <c r="M574">
        <v>5.1100000000000003</v>
      </c>
      <c r="N574" s="4">
        <f t="shared" si="16"/>
        <v>7.2798466500000021E-3</v>
      </c>
      <c r="O574" s="4">
        <f t="shared" si="17"/>
        <v>3.7200016381500015E-2</v>
      </c>
      <c r="P574">
        <v>50</v>
      </c>
      <c r="Q574">
        <v>1</v>
      </c>
      <c r="R574">
        <v>0.5</v>
      </c>
      <c r="S574">
        <v>2</v>
      </c>
      <c r="T574">
        <v>2</v>
      </c>
      <c r="U574">
        <v>2</v>
      </c>
      <c r="V574" t="s">
        <v>50</v>
      </c>
    </row>
    <row r="575" spans="1:22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63</v>
      </c>
      <c r="K575">
        <v>1340</v>
      </c>
      <c r="L575">
        <v>2.63</v>
      </c>
      <c r="M575">
        <v>2.39</v>
      </c>
      <c r="N575" s="4">
        <f t="shared" si="16"/>
        <v>5.4297665000000003E-4</v>
      </c>
      <c r="O575" s="4">
        <f t="shared" si="17"/>
        <v>1.2977141935E-3</v>
      </c>
      <c r="P575">
        <v>50</v>
      </c>
      <c r="Q575">
        <v>1</v>
      </c>
      <c r="R575">
        <v>1.5</v>
      </c>
      <c r="S575">
        <v>1</v>
      </c>
      <c r="T575">
        <v>2</v>
      </c>
      <c r="U575">
        <v>2</v>
      </c>
      <c r="V575" t="s">
        <v>50</v>
      </c>
    </row>
    <row r="576" spans="1:22" x14ac:dyDescent="0.25">
      <c r="A576" t="s">
        <v>89</v>
      </c>
      <c r="B576">
        <v>1</v>
      </c>
      <c r="C576" t="s">
        <v>90</v>
      </c>
      <c r="D576" t="s">
        <v>91</v>
      </c>
      <c r="E576" t="s">
        <v>92</v>
      </c>
      <c r="F576">
        <v>150</v>
      </c>
      <c r="G576">
        <v>1300</v>
      </c>
      <c r="H576">
        <v>-2</v>
      </c>
      <c r="I576">
        <v>1983</v>
      </c>
      <c r="J576" t="s">
        <v>76</v>
      </c>
      <c r="K576">
        <v>1592</v>
      </c>
      <c r="L576">
        <v>43.29</v>
      </c>
      <c r="M576">
        <v>17.2</v>
      </c>
      <c r="N576" s="4">
        <f t="shared" si="16"/>
        <v>0.14711089185000001</v>
      </c>
      <c r="O576" s="4">
        <f t="shared" si="17"/>
        <v>2.5303073398200002</v>
      </c>
      <c r="P576">
        <v>20</v>
      </c>
      <c r="Q576">
        <v>4.5</v>
      </c>
      <c r="R576">
        <v>4.5</v>
      </c>
      <c r="S576">
        <v>3.7</v>
      </c>
      <c r="T576">
        <v>4</v>
      </c>
      <c r="U576">
        <v>3</v>
      </c>
      <c r="V576" t="s">
        <v>27</v>
      </c>
    </row>
    <row r="577" spans="1:22" x14ac:dyDescent="0.25">
      <c r="A577" t="s">
        <v>89</v>
      </c>
      <c r="B577">
        <v>1</v>
      </c>
      <c r="C577" t="s">
        <v>90</v>
      </c>
      <c r="D577" t="s">
        <v>91</v>
      </c>
      <c r="E577" t="s">
        <v>92</v>
      </c>
      <c r="F577">
        <v>150</v>
      </c>
      <c r="G577">
        <v>1300</v>
      </c>
      <c r="H577">
        <v>-2</v>
      </c>
      <c r="I577">
        <v>1983</v>
      </c>
      <c r="J577" t="s">
        <v>76</v>
      </c>
      <c r="K577">
        <v>2560</v>
      </c>
      <c r="L577">
        <v>24.94</v>
      </c>
      <c r="M577">
        <v>14.33</v>
      </c>
      <c r="N577" s="4">
        <f t="shared" si="16"/>
        <v>4.8827282600000008E-2</v>
      </c>
      <c r="O577" s="4">
        <f t="shared" si="17"/>
        <v>0.6996949596580001</v>
      </c>
      <c r="P577">
        <v>10</v>
      </c>
      <c r="Q577">
        <v>3</v>
      </c>
      <c r="R577">
        <v>4</v>
      </c>
      <c r="S577">
        <v>3.5</v>
      </c>
      <c r="T577">
        <v>4</v>
      </c>
      <c r="U577">
        <v>3</v>
      </c>
      <c r="V577" t="s">
        <v>25</v>
      </c>
    </row>
    <row r="578" spans="1:22" x14ac:dyDescent="0.25">
      <c r="A578" t="s">
        <v>89</v>
      </c>
      <c r="B578">
        <v>1</v>
      </c>
      <c r="C578" t="s">
        <v>90</v>
      </c>
      <c r="D578" t="s">
        <v>91</v>
      </c>
      <c r="E578" t="s">
        <v>92</v>
      </c>
      <c r="F578">
        <v>150</v>
      </c>
      <c r="G578">
        <v>1300</v>
      </c>
      <c r="H578">
        <v>-2</v>
      </c>
      <c r="I578">
        <v>1983</v>
      </c>
      <c r="J578" t="s">
        <v>24</v>
      </c>
      <c r="K578">
        <v>2562</v>
      </c>
      <c r="L578">
        <v>29.22</v>
      </c>
      <c r="M578">
        <v>13.58</v>
      </c>
      <c r="N578" s="4">
        <f t="shared" si="16"/>
        <v>6.7023959400000013E-2</v>
      </c>
      <c r="O578" s="4">
        <f t="shared" si="17"/>
        <v>0.91018536865200017</v>
      </c>
      <c r="P578">
        <v>30</v>
      </c>
      <c r="Q578">
        <v>3.6</v>
      </c>
      <c r="R578">
        <v>3.8</v>
      </c>
      <c r="S578">
        <v>3.5</v>
      </c>
      <c r="T578">
        <v>3.9</v>
      </c>
      <c r="U578">
        <v>3.7</v>
      </c>
      <c r="V578" t="s">
        <v>25</v>
      </c>
    </row>
    <row r="579" spans="1:22" x14ac:dyDescent="0.25">
      <c r="A579" t="s">
        <v>89</v>
      </c>
      <c r="B579">
        <v>1</v>
      </c>
      <c r="C579" t="s">
        <v>90</v>
      </c>
      <c r="D579" t="s">
        <v>91</v>
      </c>
      <c r="E579" t="s">
        <v>92</v>
      </c>
      <c r="F579">
        <v>150</v>
      </c>
      <c r="G579">
        <v>1300</v>
      </c>
      <c r="H579">
        <v>-2</v>
      </c>
      <c r="I579">
        <v>1983</v>
      </c>
      <c r="J579" t="s">
        <v>80</v>
      </c>
      <c r="K579">
        <v>1252</v>
      </c>
      <c r="L579">
        <v>26.59</v>
      </c>
      <c r="M579">
        <v>10.8</v>
      </c>
      <c r="N579" s="4">
        <f t="shared" ref="N579:N642" si="18">3.14/4*((L579/100)^2)</f>
        <v>5.550170585000002E-2</v>
      </c>
      <c r="O579" s="4">
        <f t="shared" ref="O579:O642" si="19">3.14/4*((L579/100)^2)*M579</f>
        <v>0.59941842318000027</v>
      </c>
      <c r="P579">
        <v>40</v>
      </c>
      <c r="Q579">
        <v>3.6</v>
      </c>
      <c r="R579">
        <v>3.8</v>
      </c>
      <c r="S579">
        <v>2.6</v>
      </c>
      <c r="T579">
        <v>2.6</v>
      </c>
      <c r="U579">
        <v>2.5</v>
      </c>
      <c r="V579" t="s">
        <v>25</v>
      </c>
    </row>
    <row r="580" spans="1:22" x14ac:dyDescent="0.25">
      <c r="A580" t="s">
        <v>89</v>
      </c>
      <c r="B580">
        <v>1</v>
      </c>
      <c r="C580" t="s">
        <v>90</v>
      </c>
      <c r="D580" t="s">
        <v>91</v>
      </c>
      <c r="E580" t="s">
        <v>92</v>
      </c>
      <c r="F580">
        <v>150</v>
      </c>
      <c r="G580">
        <v>1300</v>
      </c>
      <c r="H580">
        <v>-2</v>
      </c>
      <c r="I580">
        <v>1983</v>
      </c>
      <c r="J580" t="s">
        <v>59</v>
      </c>
      <c r="K580">
        <v>2548</v>
      </c>
      <c r="L580">
        <v>35.54</v>
      </c>
      <c r="M580">
        <v>13.02</v>
      </c>
      <c r="N580" s="4">
        <f t="shared" si="18"/>
        <v>9.915269060000001E-2</v>
      </c>
      <c r="O580" s="4">
        <f t="shared" si="19"/>
        <v>1.290968031612</v>
      </c>
      <c r="P580">
        <v>20</v>
      </c>
      <c r="Q580">
        <v>3.2</v>
      </c>
      <c r="R580">
        <v>3.5</v>
      </c>
      <c r="S580">
        <v>2.5</v>
      </c>
      <c r="T580">
        <v>2.5</v>
      </c>
      <c r="U580">
        <v>2.2999999999999998</v>
      </c>
      <c r="V580" t="s">
        <v>25</v>
      </c>
    </row>
    <row r="581" spans="1:22" x14ac:dyDescent="0.25">
      <c r="A581" t="s">
        <v>89</v>
      </c>
      <c r="B581">
        <v>1</v>
      </c>
      <c r="C581" t="s">
        <v>90</v>
      </c>
      <c r="D581" t="s">
        <v>91</v>
      </c>
      <c r="E581" t="s">
        <v>92</v>
      </c>
      <c r="F581">
        <v>150</v>
      </c>
      <c r="G581">
        <v>1300</v>
      </c>
      <c r="H581">
        <v>-2</v>
      </c>
      <c r="I581">
        <v>1983</v>
      </c>
      <c r="J581" t="s">
        <v>59</v>
      </c>
      <c r="K581">
        <v>1482</v>
      </c>
      <c r="L581">
        <v>38.15</v>
      </c>
      <c r="M581">
        <v>16.850000000000001</v>
      </c>
      <c r="N581" s="4">
        <f t="shared" si="18"/>
        <v>0.11425066625000001</v>
      </c>
      <c r="O581" s="4">
        <f t="shared" si="19"/>
        <v>1.9251237263125003</v>
      </c>
      <c r="P581">
        <v>10</v>
      </c>
      <c r="Q581">
        <v>3.5</v>
      </c>
      <c r="R581">
        <v>4</v>
      </c>
      <c r="S581">
        <v>3.3</v>
      </c>
      <c r="T581">
        <v>4</v>
      </c>
      <c r="U581">
        <v>3.5</v>
      </c>
      <c r="V581" t="s">
        <v>27</v>
      </c>
    </row>
    <row r="582" spans="1:22" x14ac:dyDescent="0.25">
      <c r="A582" t="s">
        <v>89</v>
      </c>
      <c r="B582">
        <v>1</v>
      </c>
      <c r="C582" t="s">
        <v>90</v>
      </c>
      <c r="D582" t="s">
        <v>91</v>
      </c>
      <c r="E582" t="s">
        <v>92</v>
      </c>
      <c r="F582">
        <v>150</v>
      </c>
      <c r="G582">
        <v>1300</v>
      </c>
      <c r="H582">
        <v>-2</v>
      </c>
      <c r="I582">
        <v>1983</v>
      </c>
      <c r="J582" t="s">
        <v>26</v>
      </c>
      <c r="K582">
        <v>2552</v>
      </c>
      <c r="L582">
        <v>33.89</v>
      </c>
      <c r="M582">
        <v>14.24</v>
      </c>
      <c r="N582" s="4">
        <f t="shared" si="18"/>
        <v>9.0159769849999988E-2</v>
      </c>
      <c r="O582" s="4">
        <f t="shared" si="19"/>
        <v>1.2838751226639999</v>
      </c>
      <c r="P582">
        <v>20</v>
      </c>
      <c r="Q582">
        <v>3.1</v>
      </c>
      <c r="R582">
        <v>3.5</v>
      </c>
      <c r="S582">
        <v>3.2</v>
      </c>
      <c r="T582">
        <v>3.8</v>
      </c>
      <c r="U582">
        <v>2.5</v>
      </c>
      <c r="V582" t="s">
        <v>25</v>
      </c>
    </row>
    <row r="583" spans="1:22" x14ac:dyDescent="0.25">
      <c r="A583" t="s">
        <v>89</v>
      </c>
      <c r="B583">
        <v>1</v>
      </c>
      <c r="C583" t="s">
        <v>90</v>
      </c>
      <c r="D583" t="s">
        <v>91</v>
      </c>
      <c r="E583" t="s">
        <v>92</v>
      </c>
      <c r="F583">
        <v>150</v>
      </c>
      <c r="G583">
        <v>1300</v>
      </c>
      <c r="H583">
        <v>-2</v>
      </c>
      <c r="I583">
        <v>1983</v>
      </c>
      <c r="J583" t="s">
        <v>33</v>
      </c>
      <c r="K583">
        <v>2547</v>
      </c>
      <c r="L583">
        <v>37.49</v>
      </c>
      <c r="M583">
        <v>17.45</v>
      </c>
      <c r="N583" s="4">
        <f t="shared" si="18"/>
        <v>0.11033175785</v>
      </c>
      <c r="O583" s="4">
        <f t="shared" si="19"/>
        <v>1.9252891744825</v>
      </c>
      <c r="P583">
        <v>40</v>
      </c>
      <c r="Q583">
        <v>4.5</v>
      </c>
      <c r="R583">
        <v>2.6</v>
      </c>
      <c r="S583">
        <v>3.6</v>
      </c>
      <c r="T583">
        <v>2.9</v>
      </c>
      <c r="U583">
        <v>2.2999999999999998</v>
      </c>
      <c r="V583" t="s">
        <v>25</v>
      </c>
    </row>
    <row r="584" spans="1:22" x14ac:dyDescent="0.25">
      <c r="A584" t="s">
        <v>89</v>
      </c>
      <c r="B584">
        <v>1</v>
      </c>
      <c r="C584" t="s">
        <v>90</v>
      </c>
      <c r="D584" t="s">
        <v>91</v>
      </c>
      <c r="E584" t="s">
        <v>92</v>
      </c>
      <c r="F584">
        <v>150</v>
      </c>
      <c r="G584">
        <v>1300</v>
      </c>
      <c r="H584">
        <v>-2</v>
      </c>
      <c r="I584">
        <v>1983</v>
      </c>
      <c r="J584" t="s">
        <v>33</v>
      </c>
      <c r="K584">
        <v>2568</v>
      </c>
      <c r="L584">
        <v>31.63</v>
      </c>
      <c r="M584">
        <v>13.91</v>
      </c>
      <c r="N584" s="4">
        <f t="shared" si="18"/>
        <v>7.853586664999998E-2</v>
      </c>
      <c r="O584" s="4">
        <f t="shared" si="19"/>
        <v>1.0924339051014997</v>
      </c>
      <c r="P584">
        <v>60</v>
      </c>
      <c r="Q584">
        <v>3.6</v>
      </c>
      <c r="R584">
        <v>2.6</v>
      </c>
      <c r="S584">
        <v>3.6</v>
      </c>
      <c r="T584">
        <v>3.3</v>
      </c>
      <c r="U584">
        <v>2.8</v>
      </c>
      <c r="V584" t="s">
        <v>25</v>
      </c>
    </row>
    <row r="585" spans="1:22" x14ac:dyDescent="0.25">
      <c r="A585" t="s">
        <v>89</v>
      </c>
      <c r="B585">
        <v>1</v>
      </c>
      <c r="C585" t="s">
        <v>90</v>
      </c>
      <c r="D585" t="s">
        <v>91</v>
      </c>
      <c r="E585" t="s">
        <v>92</v>
      </c>
      <c r="F585">
        <v>150</v>
      </c>
      <c r="G585">
        <v>1300</v>
      </c>
      <c r="H585">
        <v>-2</v>
      </c>
      <c r="I585">
        <v>1983</v>
      </c>
      <c r="J585" t="s">
        <v>32</v>
      </c>
      <c r="K585">
        <v>1596</v>
      </c>
      <c r="L585">
        <v>20.11</v>
      </c>
      <c r="M585">
        <v>13.55</v>
      </c>
      <c r="N585" s="4">
        <f t="shared" si="18"/>
        <v>3.1746349850000001E-2</v>
      </c>
      <c r="O585" s="4">
        <f t="shared" si="19"/>
        <v>0.43016304046750004</v>
      </c>
      <c r="P585">
        <v>20</v>
      </c>
      <c r="Q585">
        <v>3</v>
      </c>
      <c r="R585">
        <v>4</v>
      </c>
      <c r="S585">
        <v>4</v>
      </c>
      <c r="T585">
        <v>4</v>
      </c>
      <c r="U585">
        <v>4</v>
      </c>
      <c r="V585" t="s">
        <v>38</v>
      </c>
    </row>
    <row r="586" spans="1:22" x14ac:dyDescent="0.25">
      <c r="A586" t="s">
        <v>89</v>
      </c>
      <c r="B586">
        <v>1</v>
      </c>
      <c r="C586" t="s">
        <v>90</v>
      </c>
      <c r="D586" t="s">
        <v>91</v>
      </c>
      <c r="E586" t="s">
        <v>92</v>
      </c>
      <c r="F586">
        <v>150</v>
      </c>
      <c r="G586">
        <v>1300</v>
      </c>
      <c r="H586">
        <v>-2</v>
      </c>
      <c r="I586">
        <v>1983</v>
      </c>
      <c r="J586" t="s">
        <v>32</v>
      </c>
      <c r="K586">
        <v>2569</v>
      </c>
      <c r="L586">
        <v>22.15</v>
      </c>
      <c r="M586">
        <v>14.57</v>
      </c>
      <c r="N586" s="4">
        <f t="shared" si="18"/>
        <v>3.8513866249999994E-2</v>
      </c>
      <c r="O586" s="4">
        <f t="shared" si="19"/>
        <v>0.56114703126249987</v>
      </c>
      <c r="P586">
        <v>20</v>
      </c>
      <c r="Q586">
        <v>3</v>
      </c>
      <c r="R586">
        <v>4</v>
      </c>
      <c r="S586">
        <v>3</v>
      </c>
      <c r="T586">
        <v>3.4</v>
      </c>
      <c r="U586">
        <v>3</v>
      </c>
      <c r="V586" t="s">
        <v>25</v>
      </c>
    </row>
    <row r="587" spans="1:22" x14ac:dyDescent="0.25">
      <c r="A587" t="s">
        <v>89</v>
      </c>
      <c r="B587">
        <v>1</v>
      </c>
      <c r="C587" t="s">
        <v>90</v>
      </c>
      <c r="D587" t="s">
        <v>91</v>
      </c>
      <c r="E587" t="s">
        <v>92</v>
      </c>
      <c r="F587">
        <v>150</v>
      </c>
      <c r="G587">
        <v>1300</v>
      </c>
      <c r="H587">
        <v>-2</v>
      </c>
      <c r="I587">
        <v>1983</v>
      </c>
      <c r="J587" t="s">
        <v>32</v>
      </c>
      <c r="K587">
        <v>2634</v>
      </c>
      <c r="L587">
        <v>40.520000000000003</v>
      </c>
      <c r="M587">
        <v>18.95</v>
      </c>
      <c r="N587" s="4">
        <f t="shared" si="18"/>
        <v>0.12888682640000002</v>
      </c>
      <c r="O587" s="4">
        <f t="shared" si="19"/>
        <v>2.44240536028</v>
      </c>
      <c r="P587">
        <v>10</v>
      </c>
      <c r="Q587">
        <v>4.5</v>
      </c>
      <c r="R587">
        <v>4.5</v>
      </c>
      <c r="S587">
        <v>3</v>
      </c>
      <c r="T587">
        <v>4</v>
      </c>
      <c r="U587">
        <v>2</v>
      </c>
      <c r="V587" t="s">
        <v>25</v>
      </c>
    </row>
    <row r="588" spans="1:22" x14ac:dyDescent="0.25">
      <c r="A588" t="s">
        <v>89</v>
      </c>
      <c r="B588">
        <v>1</v>
      </c>
      <c r="C588" t="s">
        <v>90</v>
      </c>
      <c r="D588" t="s">
        <v>91</v>
      </c>
      <c r="E588" t="s">
        <v>92</v>
      </c>
      <c r="F588">
        <v>150</v>
      </c>
      <c r="G588">
        <v>1300</v>
      </c>
      <c r="H588">
        <v>-2</v>
      </c>
      <c r="I588">
        <v>1983</v>
      </c>
      <c r="J588" t="s">
        <v>32</v>
      </c>
      <c r="K588">
        <v>2635</v>
      </c>
      <c r="L588">
        <v>20.399999999999999</v>
      </c>
      <c r="M588">
        <v>10.199999999999999</v>
      </c>
      <c r="N588" s="4">
        <f t="shared" si="18"/>
        <v>3.2668559999999999E-2</v>
      </c>
      <c r="O588" s="4">
        <f t="shared" si="19"/>
        <v>0.33321931199999999</v>
      </c>
      <c r="P588">
        <v>10</v>
      </c>
      <c r="Q588">
        <v>3.3</v>
      </c>
      <c r="R588">
        <v>4.5</v>
      </c>
      <c r="S588">
        <v>3.3</v>
      </c>
      <c r="T588">
        <v>4</v>
      </c>
      <c r="U588">
        <v>3.5</v>
      </c>
      <c r="V588" t="s">
        <v>25</v>
      </c>
    </row>
    <row r="589" spans="1:22" x14ac:dyDescent="0.25">
      <c r="A589" t="s">
        <v>89</v>
      </c>
      <c r="B589">
        <v>1</v>
      </c>
      <c r="C589" t="s">
        <v>90</v>
      </c>
      <c r="D589" t="s">
        <v>91</v>
      </c>
      <c r="E589" t="s">
        <v>92</v>
      </c>
      <c r="F589">
        <v>150</v>
      </c>
      <c r="G589">
        <v>1300</v>
      </c>
      <c r="H589">
        <v>-2</v>
      </c>
      <c r="I589">
        <v>1983</v>
      </c>
      <c r="J589" t="s">
        <v>34</v>
      </c>
      <c r="K589">
        <v>2570</v>
      </c>
      <c r="L589">
        <v>24.87</v>
      </c>
      <c r="M589">
        <v>11.66</v>
      </c>
      <c r="N589" s="4">
        <f t="shared" si="18"/>
        <v>4.8553576649999999E-2</v>
      </c>
      <c r="O589" s="4">
        <f t="shared" si="19"/>
        <v>0.56613470373899999</v>
      </c>
      <c r="P589">
        <v>40</v>
      </c>
      <c r="Q589">
        <v>3.3</v>
      </c>
      <c r="R589">
        <v>3.4</v>
      </c>
      <c r="S589">
        <v>3.5</v>
      </c>
      <c r="T589">
        <v>4.0999999999999996</v>
      </c>
      <c r="U589">
        <v>3.4</v>
      </c>
      <c r="V589" t="s">
        <v>25</v>
      </c>
    </row>
    <row r="590" spans="1:22" x14ac:dyDescent="0.25">
      <c r="A590" t="s">
        <v>89</v>
      </c>
      <c r="B590">
        <v>1</v>
      </c>
      <c r="C590" t="s">
        <v>90</v>
      </c>
      <c r="D590" t="s">
        <v>91</v>
      </c>
      <c r="E590" t="s">
        <v>92</v>
      </c>
      <c r="F590">
        <v>150</v>
      </c>
      <c r="G590">
        <v>1300</v>
      </c>
      <c r="H590">
        <v>-2</v>
      </c>
      <c r="I590">
        <v>1983</v>
      </c>
      <c r="J590" t="s">
        <v>34</v>
      </c>
      <c r="K590">
        <v>1522</v>
      </c>
      <c r="L590">
        <v>33.159999999999997</v>
      </c>
      <c r="M590">
        <v>14.75</v>
      </c>
      <c r="N590" s="4">
        <f t="shared" si="18"/>
        <v>8.6317469599999974E-2</v>
      </c>
      <c r="O590" s="4">
        <f t="shared" si="19"/>
        <v>1.2731826765999996</v>
      </c>
      <c r="P590">
        <v>40</v>
      </c>
      <c r="Q590">
        <v>3.7</v>
      </c>
      <c r="R590">
        <v>3.5</v>
      </c>
      <c r="S590">
        <v>3.6</v>
      </c>
      <c r="T590">
        <v>3.6</v>
      </c>
      <c r="U590">
        <v>2.9</v>
      </c>
      <c r="V590" t="s">
        <v>25</v>
      </c>
    </row>
    <row r="591" spans="1:22" x14ac:dyDescent="0.25">
      <c r="A591" t="s">
        <v>89</v>
      </c>
      <c r="B591">
        <v>1</v>
      </c>
      <c r="C591" t="s">
        <v>90</v>
      </c>
      <c r="D591" t="s">
        <v>91</v>
      </c>
      <c r="E591" t="s">
        <v>92</v>
      </c>
      <c r="F591">
        <v>150</v>
      </c>
      <c r="G591">
        <v>1300</v>
      </c>
      <c r="H591">
        <v>-2</v>
      </c>
      <c r="I591">
        <v>1983</v>
      </c>
      <c r="J591" t="s">
        <v>35</v>
      </c>
      <c r="K591">
        <v>1788</v>
      </c>
      <c r="L591">
        <v>31.05</v>
      </c>
      <c r="M591">
        <v>15.25</v>
      </c>
      <c r="N591" s="4">
        <f t="shared" si="18"/>
        <v>7.568204625000001E-2</v>
      </c>
      <c r="O591" s="4">
        <f t="shared" si="19"/>
        <v>1.1541512053125</v>
      </c>
      <c r="P591">
        <v>30</v>
      </c>
      <c r="Q591">
        <v>3.2</v>
      </c>
      <c r="R591">
        <v>1.8</v>
      </c>
      <c r="S591">
        <v>2.8</v>
      </c>
      <c r="T591">
        <v>3.5</v>
      </c>
      <c r="U591">
        <v>2.9</v>
      </c>
      <c r="V591" t="s">
        <v>38</v>
      </c>
    </row>
    <row r="592" spans="1:22" x14ac:dyDescent="0.25">
      <c r="A592" t="s">
        <v>89</v>
      </c>
      <c r="B592">
        <v>1</v>
      </c>
      <c r="C592" t="s">
        <v>90</v>
      </c>
      <c r="D592" t="s">
        <v>91</v>
      </c>
      <c r="E592" t="s">
        <v>92</v>
      </c>
      <c r="F592">
        <v>150</v>
      </c>
      <c r="G592">
        <v>1300</v>
      </c>
      <c r="H592">
        <v>-2</v>
      </c>
      <c r="I592">
        <v>1983</v>
      </c>
      <c r="J592" t="s">
        <v>35</v>
      </c>
      <c r="K592">
        <v>2571</v>
      </c>
      <c r="L592">
        <v>31.33</v>
      </c>
      <c r="M592">
        <v>15.67</v>
      </c>
      <c r="N592" s="4">
        <f t="shared" si="18"/>
        <v>7.7053158649999995E-2</v>
      </c>
      <c r="O592" s="4">
        <f t="shared" si="19"/>
        <v>1.2074229960454999</v>
      </c>
      <c r="P592">
        <v>30</v>
      </c>
      <c r="Q592">
        <v>4.0999999999999996</v>
      </c>
      <c r="R592">
        <v>2.2999999999999998</v>
      </c>
      <c r="S592">
        <v>3.4</v>
      </c>
      <c r="T592">
        <v>4</v>
      </c>
      <c r="U592">
        <v>3.1</v>
      </c>
      <c r="V592" t="s">
        <v>25</v>
      </c>
    </row>
    <row r="593" spans="1:22" x14ac:dyDescent="0.25">
      <c r="A593" t="s">
        <v>89</v>
      </c>
      <c r="B593">
        <v>1</v>
      </c>
      <c r="C593" t="s">
        <v>90</v>
      </c>
      <c r="D593" t="s">
        <v>91</v>
      </c>
      <c r="E593" t="s">
        <v>92</v>
      </c>
      <c r="F593">
        <v>150</v>
      </c>
      <c r="G593">
        <v>1300</v>
      </c>
      <c r="H593">
        <v>-2</v>
      </c>
      <c r="I593">
        <v>1983</v>
      </c>
      <c r="J593" t="s">
        <v>36</v>
      </c>
      <c r="K593">
        <v>2573</v>
      </c>
      <c r="L593">
        <v>32.97</v>
      </c>
      <c r="M593">
        <v>14.24</v>
      </c>
      <c r="N593" s="4">
        <f t="shared" si="18"/>
        <v>8.5331140649999998E-2</v>
      </c>
      <c r="O593" s="4">
        <f t="shared" si="19"/>
        <v>1.215115442856</v>
      </c>
      <c r="P593">
        <v>40</v>
      </c>
      <c r="Q593">
        <v>3.2</v>
      </c>
      <c r="R593">
        <v>4</v>
      </c>
      <c r="S593">
        <v>3.1</v>
      </c>
      <c r="T593">
        <v>3.3</v>
      </c>
      <c r="U593">
        <v>3</v>
      </c>
      <c r="V593" t="s">
        <v>25</v>
      </c>
    </row>
    <row r="594" spans="1:22" x14ac:dyDescent="0.25">
      <c r="A594" t="s">
        <v>89</v>
      </c>
      <c r="B594">
        <v>1</v>
      </c>
      <c r="C594" t="s">
        <v>90</v>
      </c>
      <c r="D594" t="s">
        <v>91</v>
      </c>
      <c r="E594" t="s">
        <v>92</v>
      </c>
      <c r="F594">
        <v>150</v>
      </c>
      <c r="G594">
        <v>1300</v>
      </c>
      <c r="H594">
        <v>-2</v>
      </c>
      <c r="I594">
        <v>1983</v>
      </c>
      <c r="J594" t="s">
        <v>62</v>
      </c>
      <c r="K594">
        <v>2550</v>
      </c>
      <c r="L594">
        <v>20.25</v>
      </c>
      <c r="M594">
        <v>10.66</v>
      </c>
      <c r="N594" s="4">
        <f t="shared" si="18"/>
        <v>3.2189906250000004E-2</v>
      </c>
      <c r="O594" s="4">
        <f t="shared" si="19"/>
        <v>0.34314440062500007</v>
      </c>
      <c r="P594">
        <v>30</v>
      </c>
      <c r="Q594">
        <v>2.7</v>
      </c>
      <c r="R594">
        <v>3</v>
      </c>
      <c r="S594">
        <v>4</v>
      </c>
      <c r="T594">
        <v>4.2</v>
      </c>
      <c r="U594">
        <v>3.7</v>
      </c>
      <c r="V594" t="s">
        <v>25</v>
      </c>
    </row>
    <row r="595" spans="1:22" x14ac:dyDescent="0.25">
      <c r="A595" t="s">
        <v>89</v>
      </c>
      <c r="B595">
        <v>1</v>
      </c>
      <c r="C595" t="s">
        <v>90</v>
      </c>
      <c r="D595" t="s">
        <v>91</v>
      </c>
      <c r="E595" t="s">
        <v>92</v>
      </c>
      <c r="F595">
        <v>150</v>
      </c>
      <c r="G595">
        <v>1300</v>
      </c>
      <c r="H595">
        <v>-2</v>
      </c>
      <c r="I595">
        <v>1983</v>
      </c>
      <c r="J595" t="s">
        <v>62</v>
      </c>
      <c r="K595">
        <v>2553</v>
      </c>
      <c r="L595">
        <v>27.44</v>
      </c>
      <c r="M595">
        <v>11.32</v>
      </c>
      <c r="N595" s="4">
        <f t="shared" si="18"/>
        <v>5.9106857600000021E-2</v>
      </c>
      <c r="O595" s="4">
        <f t="shared" si="19"/>
        <v>0.66908962803200023</v>
      </c>
      <c r="P595">
        <v>20</v>
      </c>
      <c r="Q595">
        <v>3.5</v>
      </c>
      <c r="R595">
        <v>3</v>
      </c>
      <c r="S595">
        <v>3.3</v>
      </c>
      <c r="T595">
        <v>4</v>
      </c>
      <c r="U595">
        <v>2.9</v>
      </c>
      <c r="V595" t="s">
        <v>27</v>
      </c>
    </row>
    <row r="596" spans="1:22" x14ac:dyDescent="0.25">
      <c r="A596" t="s">
        <v>89</v>
      </c>
      <c r="B596">
        <v>1</v>
      </c>
      <c r="C596" t="s">
        <v>90</v>
      </c>
      <c r="D596" t="s">
        <v>91</v>
      </c>
      <c r="E596" t="s">
        <v>92</v>
      </c>
      <c r="F596">
        <v>150</v>
      </c>
      <c r="G596">
        <v>1300</v>
      </c>
      <c r="H596">
        <v>-2</v>
      </c>
      <c r="I596">
        <v>1983</v>
      </c>
      <c r="J596" t="s">
        <v>37</v>
      </c>
      <c r="K596">
        <v>2575</v>
      </c>
      <c r="L596">
        <v>19.91</v>
      </c>
      <c r="M596">
        <v>6.77</v>
      </c>
      <c r="N596" s="4">
        <f t="shared" si="18"/>
        <v>3.111803585E-2</v>
      </c>
      <c r="O596" s="4">
        <f t="shared" si="19"/>
        <v>0.21066910270449998</v>
      </c>
      <c r="P596">
        <v>40</v>
      </c>
      <c r="Q596">
        <v>1.6</v>
      </c>
      <c r="R596">
        <v>1.8</v>
      </c>
      <c r="S596">
        <v>2.2999999999999998</v>
      </c>
      <c r="T596">
        <v>2.5</v>
      </c>
      <c r="U596">
        <v>2.2999999999999998</v>
      </c>
      <c r="V596" t="s">
        <v>30</v>
      </c>
    </row>
    <row r="597" spans="1:22" x14ac:dyDescent="0.25">
      <c r="A597" t="s">
        <v>89</v>
      </c>
      <c r="B597">
        <v>2</v>
      </c>
      <c r="C597" t="s">
        <v>90</v>
      </c>
      <c r="D597" t="s">
        <v>91</v>
      </c>
      <c r="E597" t="s">
        <v>92</v>
      </c>
      <c r="F597">
        <v>150</v>
      </c>
      <c r="G597">
        <v>1300</v>
      </c>
      <c r="H597">
        <v>-2</v>
      </c>
      <c r="I597">
        <v>1983</v>
      </c>
      <c r="J597" t="s">
        <v>76</v>
      </c>
      <c r="K597">
        <v>1592</v>
      </c>
      <c r="L597">
        <v>34.11</v>
      </c>
      <c r="M597">
        <v>16.48</v>
      </c>
      <c r="N597" s="4">
        <f t="shared" si="18"/>
        <v>9.1334129850000015E-2</v>
      </c>
      <c r="O597" s="4">
        <f t="shared" si="19"/>
        <v>1.5051864599280003</v>
      </c>
      <c r="P597">
        <v>20</v>
      </c>
      <c r="Q597">
        <v>3.5</v>
      </c>
      <c r="R597">
        <v>3.8</v>
      </c>
      <c r="S597">
        <v>3.2</v>
      </c>
      <c r="T597">
        <v>3.9</v>
      </c>
      <c r="U597">
        <v>2.5</v>
      </c>
      <c r="V597" t="s">
        <v>25</v>
      </c>
    </row>
    <row r="598" spans="1:22" x14ac:dyDescent="0.25">
      <c r="A598" t="s">
        <v>89</v>
      </c>
      <c r="B598">
        <v>2</v>
      </c>
      <c r="C598" t="s">
        <v>90</v>
      </c>
      <c r="D598" t="s">
        <v>91</v>
      </c>
      <c r="E598" t="s">
        <v>92</v>
      </c>
      <c r="F598">
        <v>150</v>
      </c>
      <c r="G598">
        <v>1300</v>
      </c>
      <c r="H598">
        <v>-2</v>
      </c>
      <c r="I598">
        <v>1983</v>
      </c>
      <c r="J598" t="s">
        <v>76</v>
      </c>
      <c r="K598">
        <v>2560</v>
      </c>
      <c r="L598">
        <v>35.83</v>
      </c>
      <c r="M598">
        <v>21.5</v>
      </c>
      <c r="N598" s="4">
        <f t="shared" si="18"/>
        <v>0.10077742865</v>
      </c>
      <c r="O598" s="4">
        <f t="shared" si="19"/>
        <v>2.166714715975</v>
      </c>
      <c r="P598">
        <v>10</v>
      </c>
      <c r="Q598">
        <v>3.3</v>
      </c>
      <c r="R598">
        <v>3.5</v>
      </c>
      <c r="S598">
        <v>4</v>
      </c>
      <c r="T598">
        <v>4.5</v>
      </c>
      <c r="U598">
        <v>3</v>
      </c>
      <c r="V598" t="s">
        <v>27</v>
      </c>
    </row>
    <row r="599" spans="1:22" x14ac:dyDescent="0.25">
      <c r="A599" t="s">
        <v>89</v>
      </c>
      <c r="B599">
        <v>2</v>
      </c>
      <c r="C599" t="s">
        <v>90</v>
      </c>
      <c r="D599" t="s">
        <v>91</v>
      </c>
      <c r="E599" t="s">
        <v>92</v>
      </c>
      <c r="F599">
        <v>150</v>
      </c>
      <c r="G599">
        <v>1300</v>
      </c>
      <c r="H599">
        <v>-2</v>
      </c>
      <c r="I599">
        <v>1983</v>
      </c>
      <c r="J599" t="s">
        <v>24</v>
      </c>
      <c r="K599">
        <v>2562</v>
      </c>
      <c r="L599">
        <v>33.19</v>
      </c>
      <c r="M599">
        <v>14.42</v>
      </c>
      <c r="N599" s="4">
        <f t="shared" si="18"/>
        <v>8.6473723849999989E-2</v>
      </c>
      <c r="O599" s="4">
        <f t="shared" si="19"/>
        <v>1.2469510979169998</v>
      </c>
      <c r="P599">
        <v>30</v>
      </c>
      <c r="Q599">
        <v>3.6</v>
      </c>
      <c r="R599">
        <v>3.7</v>
      </c>
      <c r="S599">
        <v>3.2</v>
      </c>
      <c r="T599">
        <v>3.7</v>
      </c>
      <c r="U599">
        <v>3.2</v>
      </c>
      <c r="V599" t="s">
        <v>25</v>
      </c>
    </row>
    <row r="600" spans="1:22" x14ac:dyDescent="0.25">
      <c r="A600" t="s">
        <v>89</v>
      </c>
      <c r="B600">
        <v>2</v>
      </c>
      <c r="C600" t="s">
        <v>90</v>
      </c>
      <c r="D600" t="s">
        <v>91</v>
      </c>
      <c r="E600" t="s">
        <v>92</v>
      </c>
      <c r="F600">
        <v>150</v>
      </c>
      <c r="G600">
        <v>1300</v>
      </c>
      <c r="H600">
        <v>-2</v>
      </c>
      <c r="I600">
        <v>1983</v>
      </c>
      <c r="J600" t="s">
        <v>80</v>
      </c>
      <c r="K600">
        <v>1252</v>
      </c>
      <c r="L600">
        <v>27.13</v>
      </c>
      <c r="M600">
        <v>11.88</v>
      </c>
      <c r="N600" s="4">
        <f t="shared" si="18"/>
        <v>5.7778896649999988E-2</v>
      </c>
      <c r="O600" s="4">
        <f t="shared" si="19"/>
        <v>0.68641329220199987</v>
      </c>
      <c r="P600">
        <v>90</v>
      </c>
      <c r="Q600">
        <v>3.3</v>
      </c>
      <c r="R600">
        <v>3.7</v>
      </c>
      <c r="S600">
        <v>2.1</v>
      </c>
      <c r="T600">
        <v>2.1</v>
      </c>
      <c r="U600">
        <v>2</v>
      </c>
      <c r="V600" t="s">
        <v>38</v>
      </c>
    </row>
    <row r="601" spans="1:22" x14ac:dyDescent="0.25">
      <c r="A601" t="s">
        <v>89</v>
      </c>
      <c r="B601">
        <v>2</v>
      </c>
      <c r="C601" t="s">
        <v>90</v>
      </c>
      <c r="D601" t="s">
        <v>91</v>
      </c>
      <c r="E601" t="s">
        <v>92</v>
      </c>
      <c r="F601">
        <v>150</v>
      </c>
      <c r="G601">
        <v>1300</v>
      </c>
      <c r="H601">
        <v>-2</v>
      </c>
      <c r="I601">
        <v>1983</v>
      </c>
      <c r="J601" t="s">
        <v>59</v>
      </c>
      <c r="K601">
        <v>2548</v>
      </c>
      <c r="L601">
        <v>49.34</v>
      </c>
      <c r="M601">
        <v>16.850000000000001</v>
      </c>
      <c r="N601" s="4">
        <f t="shared" si="18"/>
        <v>0.19110319460000005</v>
      </c>
      <c r="O601" s="4">
        <f t="shared" si="19"/>
        <v>3.2200888290100012</v>
      </c>
      <c r="P601">
        <v>10</v>
      </c>
      <c r="Q601">
        <v>5</v>
      </c>
      <c r="R601">
        <v>4.5</v>
      </c>
      <c r="S601">
        <v>3.5</v>
      </c>
      <c r="T601">
        <v>3.5</v>
      </c>
      <c r="U601">
        <v>3</v>
      </c>
      <c r="V601" t="s">
        <v>27</v>
      </c>
    </row>
    <row r="602" spans="1:22" x14ac:dyDescent="0.25">
      <c r="A602" t="s">
        <v>89</v>
      </c>
      <c r="B602">
        <v>2</v>
      </c>
      <c r="C602" t="s">
        <v>90</v>
      </c>
      <c r="D602" t="s">
        <v>91</v>
      </c>
      <c r="E602" t="s">
        <v>92</v>
      </c>
      <c r="F602">
        <v>150</v>
      </c>
      <c r="G602">
        <v>1300</v>
      </c>
      <c r="H602">
        <v>-2</v>
      </c>
      <c r="I602">
        <v>1983</v>
      </c>
      <c r="J602" t="s">
        <v>26</v>
      </c>
      <c r="K602">
        <v>2552</v>
      </c>
      <c r="L602">
        <v>15.52</v>
      </c>
      <c r="M602">
        <v>7.83</v>
      </c>
      <c r="N602" s="4">
        <f t="shared" si="18"/>
        <v>1.8908326400000001E-2</v>
      </c>
      <c r="O602" s="4">
        <f t="shared" si="19"/>
        <v>0.14805219571200001</v>
      </c>
      <c r="P602">
        <v>10</v>
      </c>
      <c r="Q602">
        <v>2</v>
      </c>
      <c r="R602">
        <v>4</v>
      </c>
      <c r="S602">
        <v>4</v>
      </c>
      <c r="T602">
        <v>4</v>
      </c>
      <c r="U602">
        <v>4</v>
      </c>
      <c r="V602" t="s">
        <v>30</v>
      </c>
    </row>
    <row r="603" spans="1:22" x14ac:dyDescent="0.25">
      <c r="A603" t="s">
        <v>89</v>
      </c>
      <c r="B603">
        <v>2</v>
      </c>
      <c r="C603" t="s">
        <v>90</v>
      </c>
      <c r="D603" t="s">
        <v>91</v>
      </c>
      <c r="E603" t="s">
        <v>92</v>
      </c>
      <c r="F603">
        <v>150</v>
      </c>
      <c r="G603">
        <v>1300</v>
      </c>
      <c r="H603">
        <v>-2</v>
      </c>
      <c r="I603">
        <v>1983</v>
      </c>
      <c r="J603" t="s">
        <v>33</v>
      </c>
      <c r="K603">
        <v>2547</v>
      </c>
      <c r="L603">
        <v>46.36</v>
      </c>
      <c r="M603">
        <v>19.09</v>
      </c>
      <c r="N603" s="4">
        <f t="shared" si="18"/>
        <v>0.16871609360000001</v>
      </c>
      <c r="O603" s="4">
        <f t="shared" si="19"/>
        <v>3.2207902268240001</v>
      </c>
      <c r="P603">
        <v>40</v>
      </c>
      <c r="Q603">
        <v>4.3</v>
      </c>
      <c r="R603">
        <v>2.6</v>
      </c>
      <c r="S603">
        <v>3.8</v>
      </c>
      <c r="T603">
        <v>2.9</v>
      </c>
      <c r="U603">
        <v>2.6</v>
      </c>
      <c r="V603" t="s">
        <v>27</v>
      </c>
    </row>
    <row r="604" spans="1:22" x14ac:dyDescent="0.25">
      <c r="A604" t="s">
        <v>89</v>
      </c>
      <c r="B604">
        <v>2</v>
      </c>
      <c r="C604" t="s">
        <v>90</v>
      </c>
      <c r="D604" t="s">
        <v>91</v>
      </c>
      <c r="E604" t="s">
        <v>92</v>
      </c>
      <c r="F604">
        <v>150</v>
      </c>
      <c r="G604">
        <v>1300</v>
      </c>
      <c r="H604">
        <v>-2</v>
      </c>
      <c r="I604">
        <v>1983</v>
      </c>
      <c r="J604" t="s">
        <v>33</v>
      </c>
      <c r="K604">
        <v>2568</v>
      </c>
      <c r="L604">
        <v>52.76</v>
      </c>
      <c r="M604">
        <v>21</v>
      </c>
      <c r="N604" s="4">
        <f t="shared" si="18"/>
        <v>0.21851398159999996</v>
      </c>
      <c r="O604" s="4">
        <f t="shared" si="19"/>
        <v>4.5887936135999992</v>
      </c>
      <c r="P604">
        <v>50</v>
      </c>
      <c r="Q604">
        <v>4.5</v>
      </c>
      <c r="R604">
        <v>2.7</v>
      </c>
      <c r="S604">
        <v>3.9</v>
      </c>
      <c r="T604">
        <v>3.4</v>
      </c>
      <c r="U604">
        <v>2.6</v>
      </c>
      <c r="V604" t="s">
        <v>27</v>
      </c>
    </row>
    <row r="605" spans="1:22" x14ac:dyDescent="0.25">
      <c r="A605" t="s">
        <v>89</v>
      </c>
      <c r="B605">
        <v>2</v>
      </c>
      <c r="C605" t="s">
        <v>90</v>
      </c>
      <c r="D605" t="s">
        <v>91</v>
      </c>
      <c r="E605" t="s">
        <v>92</v>
      </c>
      <c r="F605">
        <v>150</v>
      </c>
      <c r="G605">
        <v>1300</v>
      </c>
      <c r="H605">
        <v>-2</v>
      </c>
      <c r="I605">
        <v>1983</v>
      </c>
      <c r="J605" t="s">
        <v>32</v>
      </c>
      <c r="K605">
        <v>1596</v>
      </c>
      <c r="L605">
        <v>42.085000000000001</v>
      </c>
      <c r="M605">
        <v>17.05</v>
      </c>
      <c r="N605" s="4">
        <f t="shared" si="18"/>
        <v>0.1390350571625</v>
      </c>
      <c r="O605" s="4">
        <f t="shared" si="19"/>
        <v>2.370547724620625</v>
      </c>
      <c r="P605">
        <v>40</v>
      </c>
      <c r="Q605">
        <v>3.9</v>
      </c>
      <c r="R605">
        <v>3.9</v>
      </c>
      <c r="S605">
        <v>3.2</v>
      </c>
      <c r="T605">
        <v>3.3</v>
      </c>
      <c r="U605">
        <v>2.4</v>
      </c>
      <c r="V605" t="s">
        <v>27</v>
      </c>
    </row>
    <row r="606" spans="1:22" x14ac:dyDescent="0.25">
      <c r="A606" t="s">
        <v>89</v>
      </c>
      <c r="B606">
        <v>2</v>
      </c>
      <c r="C606" t="s">
        <v>90</v>
      </c>
      <c r="D606" t="s">
        <v>91</v>
      </c>
      <c r="E606" t="s">
        <v>92</v>
      </c>
      <c r="F606">
        <v>150</v>
      </c>
      <c r="G606">
        <v>1300</v>
      </c>
      <c r="H606">
        <v>-2</v>
      </c>
      <c r="I606">
        <v>1983</v>
      </c>
      <c r="J606" t="s">
        <v>32</v>
      </c>
      <c r="K606">
        <v>2634</v>
      </c>
      <c r="L606">
        <v>39.79</v>
      </c>
      <c r="M606">
        <v>17.489999999999998</v>
      </c>
      <c r="N606" s="4">
        <f t="shared" si="18"/>
        <v>0.12428466184999998</v>
      </c>
      <c r="O606" s="4">
        <f t="shared" si="19"/>
        <v>2.1737387357564995</v>
      </c>
      <c r="P606">
        <v>10</v>
      </c>
      <c r="Q606">
        <v>4</v>
      </c>
      <c r="R606">
        <v>4</v>
      </c>
      <c r="S606">
        <v>3.3</v>
      </c>
      <c r="T606">
        <v>2.5</v>
      </c>
      <c r="U606">
        <v>1.5</v>
      </c>
      <c r="V606" t="s">
        <v>38</v>
      </c>
    </row>
    <row r="607" spans="1:22" x14ac:dyDescent="0.25">
      <c r="A607" t="s">
        <v>89</v>
      </c>
      <c r="B607">
        <v>2</v>
      </c>
      <c r="C607" t="s">
        <v>90</v>
      </c>
      <c r="D607" t="s">
        <v>91</v>
      </c>
      <c r="E607" t="s">
        <v>92</v>
      </c>
      <c r="F607">
        <v>150</v>
      </c>
      <c r="G607">
        <v>1300</v>
      </c>
      <c r="H607">
        <v>-2</v>
      </c>
      <c r="I607">
        <v>1983</v>
      </c>
      <c r="J607" t="s">
        <v>32</v>
      </c>
      <c r="K607">
        <v>2635</v>
      </c>
      <c r="L607">
        <v>32.5</v>
      </c>
      <c r="M607">
        <v>14.57</v>
      </c>
      <c r="N607" s="4">
        <f t="shared" si="18"/>
        <v>8.2915625000000007E-2</v>
      </c>
      <c r="O607" s="4">
        <f t="shared" si="19"/>
        <v>1.2080806562500002</v>
      </c>
      <c r="P607">
        <v>10</v>
      </c>
      <c r="Q607">
        <v>2.7</v>
      </c>
      <c r="R607">
        <v>3</v>
      </c>
      <c r="S607">
        <v>3</v>
      </c>
      <c r="T607">
        <v>4</v>
      </c>
      <c r="U607">
        <v>3</v>
      </c>
      <c r="V607" t="s">
        <v>25</v>
      </c>
    </row>
    <row r="608" spans="1:22" x14ac:dyDescent="0.25">
      <c r="A608" t="s">
        <v>89</v>
      </c>
      <c r="B608">
        <v>2</v>
      </c>
      <c r="C608" t="s">
        <v>90</v>
      </c>
      <c r="D608" t="s">
        <v>91</v>
      </c>
      <c r="E608" t="s">
        <v>92</v>
      </c>
      <c r="F608">
        <v>150</v>
      </c>
      <c r="G608">
        <v>1300</v>
      </c>
      <c r="H608">
        <v>-2</v>
      </c>
      <c r="I608">
        <v>1983</v>
      </c>
      <c r="J608" t="s">
        <v>34</v>
      </c>
      <c r="K608">
        <v>2570</v>
      </c>
      <c r="L608">
        <v>49.88</v>
      </c>
      <c r="M608">
        <v>14.05</v>
      </c>
      <c r="N608" s="4">
        <f t="shared" si="18"/>
        <v>0.19530913040000003</v>
      </c>
      <c r="O608" s="4">
        <f t="shared" si="19"/>
        <v>2.7440932821200006</v>
      </c>
      <c r="P608">
        <v>10</v>
      </c>
      <c r="Q608">
        <v>4</v>
      </c>
      <c r="R608">
        <v>4.5</v>
      </c>
      <c r="S608">
        <v>3</v>
      </c>
      <c r="T608">
        <v>4</v>
      </c>
      <c r="U608">
        <v>3</v>
      </c>
      <c r="V608" t="s">
        <v>27</v>
      </c>
    </row>
    <row r="609" spans="1:22" x14ac:dyDescent="0.25">
      <c r="A609" t="s">
        <v>89</v>
      </c>
      <c r="B609">
        <v>2</v>
      </c>
      <c r="C609" t="s">
        <v>90</v>
      </c>
      <c r="D609" t="s">
        <v>91</v>
      </c>
      <c r="E609" t="s">
        <v>92</v>
      </c>
      <c r="F609">
        <v>150</v>
      </c>
      <c r="G609">
        <v>1300</v>
      </c>
      <c r="H609">
        <v>-2</v>
      </c>
      <c r="I609">
        <v>1983</v>
      </c>
      <c r="J609" t="s">
        <v>34</v>
      </c>
      <c r="K609">
        <v>1522</v>
      </c>
      <c r="L609">
        <v>52.26</v>
      </c>
      <c r="M609">
        <v>15.45</v>
      </c>
      <c r="N609" s="4">
        <f t="shared" si="18"/>
        <v>0.21439194659999997</v>
      </c>
      <c r="O609" s="4">
        <f t="shared" si="19"/>
        <v>3.3123555749699993</v>
      </c>
      <c r="P609">
        <v>10</v>
      </c>
      <c r="Q609">
        <v>5</v>
      </c>
      <c r="R609">
        <v>4.5</v>
      </c>
      <c r="S609">
        <v>2.5</v>
      </c>
      <c r="T609">
        <v>2</v>
      </c>
      <c r="U609">
        <v>2.5</v>
      </c>
      <c r="V609" t="s">
        <v>25</v>
      </c>
    </row>
    <row r="610" spans="1:22" x14ac:dyDescent="0.25">
      <c r="A610" t="s">
        <v>89</v>
      </c>
      <c r="B610">
        <v>2</v>
      </c>
      <c r="C610" t="s">
        <v>90</v>
      </c>
      <c r="D610" t="s">
        <v>91</v>
      </c>
      <c r="E610" t="s">
        <v>92</v>
      </c>
      <c r="F610">
        <v>150</v>
      </c>
      <c r="G610">
        <v>1300</v>
      </c>
      <c r="H610">
        <v>-2</v>
      </c>
      <c r="I610">
        <v>1983</v>
      </c>
      <c r="J610" t="s">
        <v>35</v>
      </c>
      <c r="K610">
        <v>1788</v>
      </c>
      <c r="L610">
        <v>32.86</v>
      </c>
      <c r="M610">
        <v>13.86</v>
      </c>
      <c r="N610" s="4">
        <f t="shared" si="18"/>
        <v>8.4762698600000005E-2</v>
      </c>
      <c r="O610" s="4">
        <f t="shared" si="19"/>
        <v>1.1748110025960001</v>
      </c>
      <c r="P610">
        <v>30</v>
      </c>
      <c r="Q610">
        <v>2.8</v>
      </c>
      <c r="R610">
        <v>2</v>
      </c>
      <c r="S610">
        <v>3.1</v>
      </c>
      <c r="T610">
        <v>3.1</v>
      </c>
      <c r="U610">
        <v>2.2999999999999998</v>
      </c>
      <c r="V610" t="s">
        <v>25</v>
      </c>
    </row>
    <row r="611" spans="1:22" x14ac:dyDescent="0.25">
      <c r="A611" t="s">
        <v>89</v>
      </c>
      <c r="B611">
        <v>2</v>
      </c>
      <c r="C611" t="s">
        <v>90</v>
      </c>
      <c r="D611" t="s">
        <v>91</v>
      </c>
      <c r="E611" t="s">
        <v>92</v>
      </c>
      <c r="F611">
        <v>150</v>
      </c>
      <c r="G611">
        <v>1300</v>
      </c>
      <c r="H611">
        <v>-2</v>
      </c>
      <c r="I611">
        <v>1983</v>
      </c>
      <c r="J611" t="s">
        <v>35</v>
      </c>
      <c r="K611">
        <v>2571</v>
      </c>
      <c r="L611">
        <v>39.79</v>
      </c>
      <c r="M611">
        <v>18.02</v>
      </c>
      <c r="N611" s="4">
        <f t="shared" si="18"/>
        <v>0.12428466184999998</v>
      </c>
      <c r="O611" s="4">
        <f t="shared" si="19"/>
        <v>2.2396096065369995</v>
      </c>
      <c r="P611">
        <v>40</v>
      </c>
      <c r="Q611">
        <v>4.3</v>
      </c>
      <c r="R611">
        <v>2.5</v>
      </c>
      <c r="S611">
        <v>3.4</v>
      </c>
      <c r="T611">
        <v>3.8</v>
      </c>
      <c r="U611">
        <v>3.1</v>
      </c>
      <c r="V611" t="s">
        <v>27</v>
      </c>
    </row>
    <row r="612" spans="1:22" x14ac:dyDescent="0.25">
      <c r="A612" t="s">
        <v>89</v>
      </c>
      <c r="B612">
        <v>2</v>
      </c>
      <c r="C612" t="s">
        <v>90</v>
      </c>
      <c r="D612" t="s">
        <v>91</v>
      </c>
      <c r="E612" t="s">
        <v>92</v>
      </c>
      <c r="F612">
        <v>150</v>
      </c>
      <c r="G612">
        <v>1300</v>
      </c>
      <c r="H612">
        <v>-2</v>
      </c>
      <c r="I612">
        <v>1983</v>
      </c>
      <c r="J612" t="s">
        <v>36</v>
      </c>
      <c r="K612">
        <v>2573</v>
      </c>
      <c r="L612">
        <v>8.7200000000000006</v>
      </c>
      <c r="M612">
        <v>10.17</v>
      </c>
      <c r="N612" s="4">
        <f t="shared" si="18"/>
        <v>5.9690144000000001E-3</v>
      </c>
      <c r="O612" s="4">
        <f t="shared" si="19"/>
        <v>6.0704876448000003E-2</v>
      </c>
      <c r="P612">
        <v>10</v>
      </c>
      <c r="Q612">
        <v>1.5</v>
      </c>
      <c r="R612">
        <v>4</v>
      </c>
      <c r="S612">
        <v>4</v>
      </c>
      <c r="T612">
        <v>4</v>
      </c>
      <c r="U612">
        <v>4</v>
      </c>
      <c r="V612" t="s">
        <v>50</v>
      </c>
    </row>
    <row r="613" spans="1:22" x14ac:dyDescent="0.25">
      <c r="A613" t="s">
        <v>89</v>
      </c>
      <c r="B613">
        <v>2</v>
      </c>
      <c r="C613" t="s">
        <v>90</v>
      </c>
      <c r="D613" t="s">
        <v>91</v>
      </c>
      <c r="E613" t="s">
        <v>92</v>
      </c>
      <c r="F613">
        <v>150</v>
      </c>
      <c r="G613">
        <v>1300</v>
      </c>
      <c r="H613">
        <v>-2</v>
      </c>
      <c r="I613">
        <v>1983</v>
      </c>
      <c r="J613" t="s">
        <v>62</v>
      </c>
      <c r="K613">
        <v>2550</v>
      </c>
      <c r="L613">
        <v>27.97</v>
      </c>
      <c r="M613">
        <v>14.65</v>
      </c>
      <c r="N613" s="4">
        <f t="shared" si="18"/>
        <v>6.1412190650000004E-2</v>
      </c>
      <c r="O613" s="4">
        <f t="shared" si="19"/>
        <v>0.89968859302250004</v>
      </c>
      <c r="P613">
        <v>10</v>
      </c>
      <c r="Q613">
        <v>3</v>
      </c>
      <c r="R613">
        <v>3.5</v>
      </c>
      <c r="S613">
        <v>3.5</v>
      </c>
      <c r="T613">
        <v>3</v>
      </c>
      <c r="U613">
        <v>3</v>
      </c>
      <c r="V613" t="s">
        <v>25</v>
      </c>
    </row>
    <row r="614" spans="1:22" x14ac:dyDescent="0.25">
      <c r="A614" t="s">
        <v>89</v>
      </c>
      <c r="B614">
        <v>2</v>
      </c>
      <c r="C614" t="s">
        <v>90</v>
      </c>
      <c r="D614" t="s">
        <v>91</v>
      </c>
      <c r="E614" t="s">
        <v>92</v>
      </c>
      <c r="F614">
        <v>150</v>
      </c>
      <c r="G614">
        <v>1300</v>
      </c>
      <c r="H614">
        <v>-2</v>
      </c>
      <c r="I614">
        <v>1983</v>
      </c>
      <c r="J614" t="s">
        <v>62</v>
      </c>
      <c r="K614">
        <v>2553</v>
      </c>
      <c r="L614">
        <v>39.69</v>
      </c>
      <c r="M614">
        <v>18.25</v>
      </c>
      <c r="N614" s="4">
        <f t="shared" si="18"/>
        <v>0.12366074384999999</v>
      </c>
      <c r="O614" s="4">
        <f t="shared" si="19"/>
        <v>2.2568085752624998</v>
      </c>
      <c r="P614">
        <v>30</v>
      </c>
      <c r="Q614">
        <v>3.9</v>
      </c>
      <c r="R614">
        <v>3.8</v>
      </c>
      <c r="S614">
        <v>4.2</v>
      </c>
      <c r="T614">
        <v>4.0999999999999996</v>
      </c>
      <c r="U614">
        <v>3.6</v>
      </c>
      <c r="V614" t="s">
        <v>27</v>
      </c>
    </row>
    <row r="615" spans="1:22" x14ac:dyDescent="0.25">
      <c r="A615" t="s">
        <v>89</v>
      </c>
      <c r="B615">
        <v>2</v>
      </c>
      <c r="C615" t="s">
        <v>90</v>
      </c>
      <c r="D615" t="s">
        <v>91</v>
      </c>
      <c r="E615" t="s">
        <v>92</v>
      </c>
      <c r="F615">
        <v>150</v>
      </c>
      <c r="G615">
        <v>1300</v>
      </c>
      <c r="H615">
        <v>-2</v>
      </c>
      <c r="I615">
        <v>1983</v>
      </c>
      <c r="J615" t="s">
        <v>37</v>
      </c>
      <c r="K615">
        <v>2575</v>
      </c>
      <c r="L615">
        <v>13.81</v>
      </c>
      <c r="M615">
        <v>10.62</v>
      </c>
      <c r="N615" s="4">
        <f t="shared" si="18"/>
        <v>1.497121385E-2</v>
      </c>
      <c r="O615" s="4">
        <f t="shared" si="19"/>
        <v>0.15899429108699997</v>
      </c>
      <c r="P615">
        <v>10</v>
      </c>
      <c r="Q615">
        <v>1.5</v>
      </c>
      <c r="R615">
        <v>3</v>
      </c>
      <c r="S615">
        <v>2</v>
      </c>
      <c r="T615">
        <v>4</v>
      </c>
      <c r="U615">
        <v>3</v>
      </c>
      <c r="V615" t="s">
        <v>50</v>
      </c>
    </row>
    <row r="616" spans="1:22" x14ac:dyDescent="0.25">
      <c r="A616" t="s">
        <v>89</v>
      </c>
      <c r="B616">
        <v>3</v>
      </c>
      <c r="C616" t="s">
        <v>90</v>
      </c>
      <c r="D616" t="s">
        <v>91</v>
      </c>
      <c r="E616" t="s">
        <v>92</v>
      </c>
      <c r="F616">
        <v>150</v>
      </c>
      <c r="G616">
        <v>1300</v>
      </c>
      <c r="H616">
        <v>-2</v>
      </c>
      <c r="I616">
        <v>1983</v>
      </c>
      <c r="J616" t="s">
        <v>24</v>
      </c>
      <c r="K616">
        <v>2562</v>
      </c>
      <c r="L616">
        <v>38.79</v>
      </c>
      <c r="M616">
        <v>14.56</v>
      </c>
      <c r="N616" s="4">
        <f t="shared" si="18"/>
        <v>0.11811613184999997</v>
      </c>
      <c r="O616" s="4">
        <f t="shared" si="19"/>
        <v>1.7197708797359996</v>
      </c>
      <c r="P616">
        <v>50</v>
      </c>
      <c r="Q616">
        <v>3.9</v>
      </c>
      <c r="R616">
        <v>3.6</v>
      </c>
      <c r="S616">
        <v>3.2</v>
      </c>
      <c r="T616">
        <v>3.5</v>
      </c>
      <c r="U616">
        <v>2.4</v>
      </c>
      <c r="V616" t="s">
        <v>27</v>
      </c>
    </row>
    <row r="617" spans="1:22" x14ac:dyDescent="0.25">
      <c r="A617" t="s">
        <v>89</v>
      </c>
      <c r="B617">
        <v>3</v>
      </c>
      <c r="C617" t="s">
        <v>90</v>
      </c>
      <c r="D617" t="s">
        <v>91</v>
      </c>
      <c r="E617" t="s">
        <v>92</v>
      </c>
      <c r="F617">
        <v>150</v>
      </c>
      <c r="G617">
        <v>1300</v>
      </c>
      <c r="H617">
        <v>-2</v>
      </c>
      <c r="I617">
        <v>1983</v>
      </c>
      <c r="J617" t="s">
        <v>80</v>
      </c>
      <c r="K617">
        <v>1252</v>
      </c>
      <c r="L617">
        <v>26.05</v>
      </c>
      <c r="M617">
        <v>12.15</v>
      </c>
      <c r="N617" s="4">
        <f t="shared" si="18"/>
        <v>5.3270296250000009E-2</v>
      </c>
      <c r="O617" s="4">
        <f t="shared" si="19"/>
        <v>0.6472340994375001</v>
      </c>
      <c r="P617">
        <v>10</v>
      </c>
      <c r="Q617">
        <v>3</v>
      </c>
      <c r="R617">
        <v>3</v>
      </c>
      <c r="S617">
        <v>2.5</v>
      </c>
      <c r="T617">
        <v>3.3</v>
      </c>
      <c r="U617">
        <v>3</v>
      </c>
      <c r="V617" t="s">
        <v>38</v>
      </c>
    </row>
    <row r="618" spans="1:22" x14ac:dyDescent="0.25">
      <c r="A618" t="s">
        <v>89</v>
      </c>
      <c r="B618">
        <v>3</v>
      </c>
      <c r="C618" t="s">
        <v>90</v>
      </c>
      <c r="D618" t="s">
        <v>91</v>
      </c>
      <c r="E618" t="s">
        <v>92</v>
      </c>
      <c r="F618">
        <v>150</v>
      </c>
      <c r="G618">
        <v>1300</v>
      </c>
      <c r="H618">
        <v>-2</v>
      </c>
      <c r="I618">
        <v>1983</v>
      </c>
      <c r="J618" t="s">
        <v>59</v>
      </c>
      <c r="K618">
        <v>2548</v>
      </c>
      <c r="L618">
        <v>26.51</v>
      </c>
      <c r="M618">
        <v>7.66</v>
      </c>
      <c r="N618" s="4">
        <f t="shared" si="18"/>
        <v>5.5168237850000003E-2</v>
      </c>
      <c r="O618" s="4">
        <f t="shared" si="19"/>
        <v>0.42258870193100001</v>
      </c>
      <c r="P618">
        <v>10</v>
      </c>
      <c r="Q618">
        <v>2.5</v>
      </c>
      <c r="R618">
        <v>3</v>
      </c>
      <c r="S618">
        <v>3</v>
      </c>
      <c r="T618">
        <v>3</v>
      </c>
      <c r="U618">
        <v>3</v>
      </c>
      <c r="V618" t="s">
        <v>38</v>
      </c>
    </row>
    <row r="619" spans="1:22" x14ac:dyDescent="0.25">
      <c r="A619" t="s">
        <v>89</v>
      </c>
      <c r="B619">
        <v>3</v>
      </c>
      <c r="C619" t="s">
        <v>90</v>
      </c>
      <c r="D619" t="s">
        <v>91</v>
      </c>
      <c r="E619" t="s">
        <v>92</v>
      </c>
      <c r="F619">
        <v>150</v>
      </c>
      <c r="G619">
        <v>1300</v>
      </c>
      <c r="H619">
        <v>-2</v>
      </c>
      <c r="I619">
        <v>1983</v>
      </c>
      <c r="J619" t="s">
        <v>26</v>
      </c>
      <c r="K619">
        <v>2552</v>
      </c>
      <c r="L619">
        <v>14.24</v>
      </c>
      <c r="M619">
        <v>7.12</v>
      </c>
      <c r="N619" s="4">
        <f t="shared" si="18"/>
        <v>1.5918041599999998E-2</v>
      </c>
      <c r="O619" s="4">
        <f t="shared" si="19"/>
        <v>0.11333645619199999</v>
      </c>
      <c r="P619">
        <v>10</v>
      </c>
      <c r="Q619">
        <v>2</v>
      </c>
      <c r="R619">
        <v>3</v>
      </c>
      <c r="S619">
        <v>3</v>
      </c>
      <c r="T619">
        <v>4</v>
      </c>
      <c r="U619">
        <v>4</v>
      </c>
      <c r="V619" t="s">
        <v>30</v>
      </c>
    </row>
    <row r="620" spans="1:22" x14ac:dyDescent="0.25">
      <c r="A620" t="s">
        <v>89</v>
      </c>
      <c r="B620">
        <v>3</v>
      </c>
      <c r="C620" t="s">
        <v>90</v>
      </c>
      <c r="D620" t="s">
        <v>91</v>
      </c>
      <c r="E620" t="s">
        <v>92</v>
      </c>
      <c r="F620">
        <v>150</v>
      </c>
      <c r="G620">
        <v>1300</v>
      </c>
      <c r="H620">
        <v>-2</v>
      </c>
      <c r="I620">
        <v>1983</v>
      </c>
      <c r="J620" t="s">
        <v>33</v>
      </c>
      <c r="K620">
        <v>2547</v>
      </c>
      <c r="L620">
        <v>42.95</v>
      </c>
      <c r="M620">
        <v>13.91</v>
      </c>
      <c r="N620" s="4">
        <f t="shared" si="18"/>
        <v>0.14480914625000002</v>
      </c>
      <c r="O620" s="4">
        <f t="shared" si="19"/>
        <v>2.0142952243375003</v>
      </c>
      <c r="P620">
        <v>50</v>
      </c>
      <c r="Q620">
        <v>4.2</v>
      </c>
      <c r="R620">
        <v>2.8</v>
      </c>
      <c r="S620">
        <v>2</v>
      </c>
      <c r="T620">
        <v>2.5</v>
      </c>
      <c r="U620">
        <v>1.7</v>
      </c>
      <c r="V620" t="s">
        <v>25</v>
      </c>
    </row>
    <row r="621" spans="1:22" x14ac:dyDescent="0.25">
      <c r="A621" t="s">
        <v>89</v>
      </c>
      <c r="B621">
        <v>3</v>
      </c>
      <c r="C621" t="s">
        <v>90</v>
      </c>
      <c r="D621" t="s">
        <v>91</v>
      </c>
      <c r="E621" t="s">
        <v>92</v>
      </c>
      <c r="F621">
        <v>150</v>
      </c>
      <c r="G621">
        <v>1300</v>
      </c>
      <c r="H621">
        <v>-2</v>
      </c>
      <c r="I621">
        <v>1983</v>
      </c>
      <c r="J621" t="s">
        <v>33</v>
      </c>
      <c r="K621">
        <v>2568</v>
      </c>
      <c r="L621">
        <v>40.08</v>
      </c>
      <c r="M621">
        <v>12.27</v>
      </c>
      <c r="N621" s="4">
        <f t="shared" si="18"/>
        <v>0.12610290239999999</v>
      </c>
      <c r="O621" s="4">
        <f t="shared" si="19"/>
        <v>1.5472826124479999</v>
      </c>
      <c r="P621">
        <v>50</v>
      </c>
      <c r="Q621">
        <v>4.0999999999999996</v>
      </c>
      <c r="R621">
        <v>2.5</v>
      </c>
      <c r="S621">
        <v>2.2999999999999998</v>
      </c>
      <c r="T621">
        <v>2.6</v>
      </c>
      <c r="U621">
        <v>1.7</v>
      </c>
      <c r="V621" t="s">
        <v>25</v>
      </c>
    </row>
    <row r="622" spans="1:22" x14ac:dyDescent="0.25">
      <c r="A622" t="s">
        <v>89</v>
      </c>
      <c r="B622">
        <v>3</v>
      </c>
      <c r="C622" t="s">
        <v>90</v>
      </c>
      <c r="D622" t="s">
        <v>91</v>
      </c>
      <c r="E622" t="s">
        <v>92</v>
      </c>
      <c r="F622">
        <v>150</v>
      </c>
      <c r="G622">
        <v>1300</v>
      </c>
      <c r="H622">
        <v>-2</v>
      </c>
      <c r="I622">
        <v>1983</v>
      </c>
      <c r="J622" t="s">
        <v>32</v>
      </c>
      <c r="K622">
        <v>1596</v>
      </c>
      <c r="L622">
        <v>33.81</v>
      </c>
      <c r="M622">
        <v>10.93</v>
      </c>
      <c r="N622" s="4">
        <f t="shared" si="18"/>
        <v>8.9734613850000006E-2</v>
      </c>
      <c r="O622" s="4">
        <f t="shared" si="19"/>
        <v>0.98079932938050007</v>
      </c>
      <c r="P622">
        <v>10</v>
      </c>
      <c r="Q622">
        <v>3.3</v>
      </c>
      <c r="R622">
        <v>4</v>
      </c>
      <c r="S622">
        <v>3.3</v>
      </c>
      <c r="T622">
        <v>4</v>
      </c>
      <c r="U622">
        <v>2.7</v>
      </c>
      <c r="V622" t="s">
        <v>25</v>
      </c>
    </row>
    <row r="623" spans="1:22" x14ac:dyDescent="0.25">
      <c r="A623" t="s">
        <v>89</v>
      </c>
      <c r="B623">
        <v>3</v>
      </c>
      <c r="C623" t="s">
        <v>90</v>
      </c>
      <c r="D623" t="s">
        <v>91</v>
      </c>
      <c r="E623" t="s">
        <v>92</v>
      </c>
      <c r="F623">
        <v>150</v>
      </c>
      <c r="G623">
        <v>1300</v>
      </c>
      <c r="H623">
        <v>-2</v>
      </c>
      <c r="I623">
        <v>1983</v>
      </c>
      <c r="J623" t="s">
        <v>32</v>
      </c>
      <c r="K623">
        <v>2569</v>
      </c>
      <c r="L623">
        <v>31.33</v>
      </c>
      <c r="M623">
        <v>10.199999999999999</v>
      </c>
      <c r="N623" s="4">
        <f t="shared" si="18"/>
        <v>7.7053158649999995E-2</v>
      </c>
      <c r="O623" s="4">
        <f t="shared" si="19"/>
        <v>0.78594221822999988</v>
      </c>
      <c r="P623">
        <v>10</v>
      </c>
      <c r="Q623">
        <v>3.5</v>
      </c>
      <c r="R623">
        <v>4</v>
      </c>
      <c r="S623">
        <v>3</v>
      </c>
      <c r="T623">
        <v>4</v>
      </c>
      <c r="U623">
        <v>3</v>
      </c>
      <c r="V623" t="s">
        <v>27</v>
      </c>
    </row>
    <row r="624" spans="1:22" x14ac:dyDescent="0.25">
      <c r="A624" t="s">
        <v>89</v>
      </c>
      <c r="B624">
        <v>3</v>
      </c>
      <c r="C624" t="s">
        <v>90</v>
      </c>
      <c r="D624" t="s">
        <v>91</v>
      </c>
      <c r="E624" t="s">
        <v>92</v>
      </c>
      <c r="F624">
        <v>150</v>
      </c>
      <c r="G624">
        <v>1300</v>
      </c>
      <c r="H624">
        <v>-2</v>
      </c>
      <c r="I624">
        <v>1983</v>
      </c>
      <c r="J624" t="s">
        <v>32</v>
      </c>
      <c r="K624">
        <v>2634</v>
      </c>
      <c r="L624">
        <v>40.22</v>
      </c>
      <c r="M624">
        <v>18.22</v>
      </c>
      <c r="N624" s="4">
        <f t="shared" si="18"/>
        <v>0.1269853994</v>
      </c>
      <c r="O624" s="4">
        <f t="shared" si="19"/>
        <v>2.3136739770679999</v>
      </c>
      <c r="P624">
        <v>10</v>
      </c>
      <c r="Q624">
        <v>4</v>
      </c>
      <c r="R624">
        <v>4.5</v>
      </c>
      <c r="S624">
        <v>3</v>
      </c>
      <c r="T624">
        <v>3.5</v>
      </c>
      <c r="U624">
        <v>2</v>
      </c>
      <c r="V624" t="s">
        <v>25</v>
      </c>
    </row>
    <row r="625" spans="1:22" x14ac:dyDescent="0.25">
      <c r="A625" t="s">
        <v>89</v>
      </c>
      <c r="B625">
        <v>3</v>
      </c>
      <c r="C625" t="s">
        <v>90</v>
      </c>
      <c r="D625" t="s">
        <v>91</v>
      </c>
      <c r="E625" t="s">
        <v>92</v>
      </c>
      <c r="F625">
        <v>150</v>
      </c>
      <c r="G625">
        <v>1300</v>
      </c>
      <c r="H625">
        <v>-2</v>
      </c>
      <c r="I625">
        <v>1983</v>
      </c>
      <c r="J625" t="s">
        <v>32</v>
      </c>
      <c r="K625">
        <v>2635</v>
      </c>
      <c r="L625">
        <v>30.75</v>
      </c>
      <c r="M625">
        <v>14.57</v>
      </c>
      <c r="N625" s="4">
        <f t="shared" si="18"/>
        <v>7.4226656249999995E-2</v>
      </c>
      <c r="O625" s="4">
        <f t="shared" si="19"/>
        <v>1.0814823815624999</v>
      </c>
      <c r="P625">
        <v>20</v>
      </c>
      <c r="Q625">
        <v>3.8</v>
      </c>
      <c r="R625">
        <v>4</v>
      </c>
      <c r="S625">
        <v>3.5</v>
      </c>
      <c r="T625">
        <v>4</v>
      </c>
      <c r="U625">
        <v>2.9</v>
      </c>
      <c r="V625" t="s">
        <v>25</v>
      </c>
    </row>
    <row r="626" spans="1:22" x14ac:dyDescent="0.25">
      <c r="A626" t="s">
        <v>89</v>
      </c>
      <c r="B626">
        <v>3</v>
      </c>
      <c r="C626" t="s">
        <v>90</v>
      </c>
      <c r="D626" t="s">
        <v>91</v>
      </c>
      <c r="E626" t="s">
        <v>92</v>
      </c>
      <c r="F626">
        <v>150</v>
      </c>
      <c r="G626">
        <v>1300</v>
      </c>
      <c r="H626">
        <v>-2</v>
      </c>
      <c r="I626">
        <v>1983</v>
      </c>
      <c r="J626" t="s">
        <v>34</v>
      </c>
      <c r="K626">
        <v>2570</v>
      </c>
      <c r="L626">
        <v>35.4</v>
      </c>
      <c r="M626">
        <v>14.05</v>
      </c>
      <c r="N626" s="4">
        <f t="shared" si="18"/>
        <v>9.8373059999999984E-2</v>
      </c>
      <c r="O626" s="4">
        <f t="shared" si="19"/>
        <v>1.3821414929999998</v>
      </c>
      <c r="P626">
        <v>10</v>
      </c>
      <c r="Q626">
        <v>3</v>
      </c>
      <c r="R626">
        <v>3</v>
      </c>
      <c r="S626">
        <v>3.3</v>
      </c>
      <c r="T626">
        <v>3.5</v>
      </c>
      <c r="U626">
        <v>3</v>
      </c>
      <c r="V626" t="s">
        <v>27</v>
      </c>
    </row>
    <row r="627" spans="1:22" x14ac:dyDescent="0.25">
      <c r="A627" t="s">
        <v>89</v>
      </c>
      <c r="B627">
        <v>3</v>
      </c>
      <c r="C627" t="s">
        <v>90</v>
      </c>
      <c r="D627" t="s">
        <v>91</v>
      </c>
      <c r="E627" t="s">
        <v>92</v>
      </c>
      <c r="F627">
        <v>150</v>
      </c>
      <c r="G627">
        <v>1300</v>
      </c>
      <c r="H627">
        <v>-2</v>
      </c>
      <c r="I627">
        <v>1983</v>
      </c>
      <c r="J627" t="s">
        <v>34</v>
      </c>
      <c r="K627">
        <v>1522</v>
      </c>
      <c r="L627">
        <v>42.43</v>
      </c>
      <c r="M627">
        <v>13.35</v>
      </c>
      <c r="N627" s="4">
        <f t="shared" si="18"/>
        <v>0.14132393465000001</v>
      </c>
      <c r="O627" s="4">
        <f t="shared" si="19"/>
        <v>1.8866745275775001</v>
      </c>
      <c r="P627">
        <v>40</v>
      </c>
      <c r="Q627">
        <v>4</v>
      </c>
      <c r="R627">
        <v>3.4</v>
      </c>
      <c r="S627">
        <v>3</v>
      </c>
      <c r="T627">
        <v>3.5</v>
      </c>
      <c r="U627">
        <v>2.1</v>
      </c>
      <c r="V627" t="s">
        <v>27</v>
      </c>
    </row>
    <row r="628" spans="1:22" x14ac:dyDescent="0.25">
      <c r="A628" t="s">
        <v>89</v>
      </c>
      <c r="B628">
        <v>3</v>
      </c>
      <c r="C628" t="s">
        <v>90</v>
      </c>
      <c r="D628" t="s">
        <v>91</v>
      </c>
      <c r="E628" t="s">
        <v>92</v>
      </c>
      <c r="F628">
        <v>150</v>
      </c>
      <c r="G628">
        <v>1300</v>
      </c>
      <c r="H628">
        <v>-2</v>
      </c>
      <c r="I628">
        <v>1983</v>
      </c>
      <c r="J628" t="s">
        <v>35</v>
      </c>
      <c r="K628">
        <v>1788</v>
      </c>
      <c r="L628">
        <v>17.329999999999998</v>
      </c>
      <c r="M628">
        <v>8.32</v>
      </c>
      <c r="N628" s="4">
        <f t="shared" si="18"/>
        <v>2.3575818649999997E-2</v>
      </c>
      <c r="O628" s="4">
        <f t="shared" si="19"/>
        <v>0.19615081116799998</v>
      </c>
      <c r="P628">
        <v>40</v>
      </c>
      <c r="Q628">
        <v>1.9</v>
      </c>
      <c r="R628">
        <v>2.1</v>
      </c>
      <c r="S628">
        <v>2.5</v>
      </c>
      <c r="T628">
        <v>3</v>
      </c>
      <c r="U628">
        <v>2.8</v>
      </c>
      <c r="V628" t="s">
        <v>30</v>
      </c>
    </row>
    <row r="629" spans="1:22" x14ac:dyDescent="0.25">
      <c r="A629" t="s">
        <v>89</v>
      </c>
      <c r="B629">
        <v>3</v>
      </c>
      <c r="C629" t="s">
        <v>90</v>
      </c>
      <c r="D629" t="s">
        <v>91</v>
      </c>
      <c r="E629" t="s">
        <v>92</v>
      </c>
      <c r="F629">
        <v>150</v>
      </c>
      <c r="G629">
        <v>1300</v>
      </c>
      <c r="H629">
        <v>-2</v>
      </c>
      <c r="I629">
        <v>1983</v>
      </c>
      <c r="J629" t="s">
        <v>35</v>
      </c>
      <c r="K629">
        <v>2571</v>
      </c>
      <c r="L629">
        <v>41.87</v>
      </c>
      <c r="M629">
        <v>15.25</v>
      </c>
      <c r="N629" s="4">
        <f t="shared" si="18"/>
        <v>0.13761810664999999</v>
      </c>
      <c r="O629" s="4">
        <f t="shared" si="19"/>
        <v>2.0986761264124998</v>
      </c>
      <c r="P629">
        <v>30</v>
      </c>
      <c r="Q629">
        <v>4.2</v>
      </c>
      <c r="R629">
        <v>2.8</v>
      </c>
      <c r="S629">
        <v>2.6</v>
      </c>
      <c r="T629">
        <v>3.3</v>
      </c>
      <c r="U629">
        <v>2.2000000000000002</v>
      </c>
      <c r="V629" t="s">
        <v>25</v>
      </c>
    </row>
    <row r="630" spans="1:22" x14ac:dyDescent="0.25">
      <c r="A630" t="s">
        <v>89</v>
      </c>
      <c r="B630">
        <v>3</v>
      </c>
      <c r="C630" t="s">
        <v>90</v>
      </c>
      <c r="D630" t="s">
        <v>91</v>
      </c>
      <c r="E630" t="s">
        <v>92</v>
      </c>
      <c r="F630">
        <v>150</v>
      </c>
      <c r="G630">
        <v>1300</v>
      </c>
      <c r="H630">
        <v>-2</v>
      </c>
      <c r="I630">
        <v>1983</v>
      </c>
      <c r="J630" t="s">
        <v>62</v>
      </c>
      <c r="K630">
        <v>2550</v>
      </c>
      <c r="L630">
        <v>9.99</v>
      </c>
      <c r="M630">
        <v>5.33</v>
      </c>
      <c r="N630" s="4">
        <f t="shared" si="18"/>
        <v>7.8343078500000014E-3</v>
      </c>
      <c r="O630" s="4">
        <f t="shared" si="19"/>
        <v>4.175686084050001E-2</v>
      </c>
      <c r="P630">
        <v>10</v>
      </c>
      <c r="Q630">
        <v>1.5</v>
      </c>
      <c r="R630">
        <v>2.5</v>
      </c>
      <c r="S630">
        <v>3</v>
      </c>
      <c r="T630">
        <v>3</v>
      </c>
      <c r="U630">
        <v>3</v>
      </c>
      <c r="V630" t="s">
        <v>50</v>
      </c>
    </row>
    <row r="631" spans="1:22" x14ac:dyDescent="0.25">
      <c r="A631" t="s">
        <v>93</v>
      </c>
      <c r="B631">
        <v>1</v>
      </c>
      <c r="C631" t="s">
        <v>66</v>
      </c>
      <c r="D631" t="s">
        <v>67</v>
      </c>
      <c r="E631" t="s">
        <v>68</v>
      </c>
      <c r="F631">
        <v>180</v>
      </c>
      <c r="G631">
        <v>1080</v>
      </c>
      <c r="H631">
        <v>-3</v>
      </c>
      <c r="I631">
        <v>1981</v>
      </c>
      <c r="J631" t="s">
        <v>56</v>
      </c>
      <c r="K631">
        <v>1111</v>
      </c>
      <c r="L631">
        <v>2.84</v>
      </c>
      <c r="M631">
        <v>3.41</v>
      </c>
      <c r="N631" s="4">
        <f t="shared" si="18"/>
        <v>6.3314959999999994E-4</v>
      </c>
      <c r="O631" s="4">
        <f t="shared" si="19"/>
        <v>2.159040136E-3</v>
      </c>
      <c r="P631">
        <v>3</v>
      </c>
      <c r="Q631">
        <v>1</v>
      </c>
      <c r="R631">
        <v>2</v>
      </c>
      <c r="S631">
        <v>3</v>
      </c>
      <c r="T631">
        <v>3</v>
      </c>
      <c r="U631">
        <v>3</v>
      </c>
      <c r="V631" t="s">
        <v>50</v>
      </c>
    </row>
    <row r="632" spans="1:22" x14ac:dyDescent="0.25">
      <c r="A632" t="s">
        <v>93</v>
      </c>
      <c r="B632">
        <v>1</v>
      </c>
      <c r="C632" t="s">
        <v>66</v>
      </c>
      <c r="D632" t="s">
        <v>67</v>
      </c>
      <c r="E632" t="s">
        <v>68</v>
      </c>
      <c r="F632">
        <v>180</v>
      </c>
      <c r="G632">
        <v>1080</v>
      </c>
      <c r="H632">
        <v>-3</v>
      </c>
      <c r="I632">
        <v>1981</v>
      </c>
      <c r="J632" t="s">
        <v>24</v>
      </c>
      <c r="K632">
        <v>2562</v>
      </c>
      <c r="L632">
        <v>7.99</v>
      </c>
      <c r="M632">
        <v>5.49</v>
      </c>
      <c r="N632" s="4">
        <f t="shared" si="18"/>
        <v>5.0114478499999997E-3</v>
      </c>
      <c r="O632" s="4">
        <f t="shared" si="19"/>
        <v>2.75128486965E-2</v>
      </c>
      <c r="P632">
        <v>17</v>
      </c>
      <c r="Q632">
        <v>2</v>
      </c>
      <c r="R632">
        <v>3</v>
      </c>
      <c r="S632">
        <v>2.5</v>
      </c>
      <c r="T632">
        <v>3.3</v>
      </c>
      <c r="U632">
        <v>3</v>
      </c>
      <c r="V632" t="s">
        <v>30</v>
      </c>
    </row>
    <row r="633" spans="1:22" x14ac:dyDescent="0.25">
      <c r="A633" t="s">
        <v>93</v>
      </c>
      <c r="B633">
        <v>1</v>
      </c>
      <c r="C633" t="s">
        <v>66</v>
      </c>
      <c r="D633" t="s">
        <v>67</v>
      </c>
      <c r="E633" t="s">
        <v>68</v>
      </c>
      <c r="F633">
        <v>180</v>
      </c>
      <c r="G633">
        <v>1080</v>
      </c>
      <c r="H633">
        <v>-3</v>
      </c>
      <c r="I633">
        <v>1981</v>
      </c>
      <c r="J633" t="s">
        <v>59</v>
      </c>
      <c r="K633">
        <v>2426</v>
      </c>
      <c r="L633">
        <v>8.3000000000000007</v>
      </c>
      <c r="M633">
        <v>5.93</v>
      </c>
      <c r="N633" s="4">
        <f t="shared" si="18"/>
        <v>5.4078650000000013E-3</v>
      </c>
      <c r="O633" s="4">
        <f t="shared" si="19"/>
        <v>3.2068639450000005E-2</v>
      </c>
      <c r="P633">
        <v>4</v>
      </c>
      <c r="Q633">
        <v>2</v>
      </c>
      <c r="R633">
        <v>3.5</v>
      </c>
      <c r="S633">
        <v>3</v>
      </c>
      <c r="T633">
        <v>3</v>
      </c>
      <c r="U633">
        <v>3</v>
      </c>
      <c r="V633" t="s">
        <v>50</v>
      </c>
    </row>
    <row r="634" spans="1:22" x14ac:dyDescent="0.25">
      <c r="A634" t="s">
        <v>93</v>
      </c>
      <c r="B634">
        <v>1</v>
      </c>
      <c r="C634" t="s">
        <v>66</v>
      </c>
      <c r="D634" t="s">
        <v>67</v>
      </c>
      <c r="E634" t="s">
        <v>68</v>
      </c>
      <c r="F634">
        <v>180</v>
      </c>
      <c r="G634">
        <v>1080</v>
      </c>
      <c r="H634">
        <v>-3</v>
      </c>
      <c r="I634">
        <v>1981</v>
      </c>
      <c r="J634" t="s">
        <v>59</v>
      </c>
      <c r="K634">
        <v>2548</v>
      </c>
      <c r="L634">
        <v>15.58</v>
      </c>
      <c r="M634">
        <v>8.06</v>
      </c>
      <c r="N634" s="4">
        <f t="shared" si="18"/>
        <v>1.9054807399999998E-2</v>
      </c>
      <c r="O634" s="4">
        <f t="shared" si="19"/>
        <v>0.15358174764399998</v>
      </c>
      <c r="P634">
        <v>27</v>
      </c>
      <c r="Q634">
        <v>3</v>
      </c>
      <c r="R634">
        <v>3.5</v>
      </c>
      <c r="S634">
        <v>3</v>
      </c>
      <c r="T634">
        <v>2.5</v>
      </c>
      <c r="U634">
        <v>3</v>
      </c>
      <c r="V634" t="s">
        <v>38</v>
      </c>
    </row>
    <row r="635" spans="1:22" x14ac:dyDescent="0.25">
      <c r="A635" t="s">
        <v>93</v>
      </c>
      <c r="B635">
        <v>1</v>
      </c>
      <c r="C635" t="s">
        <v>66</v>
      </c>
      <c r="D635" t="s">
        <v>67</v>
      </c>
      <c r="E635" t="s">
        <v>68</v>
      </c>
      <c r="F635">
        <v>180</v>
      </c>
      <c r="G635">
        <v>1080</v>
      </c>
      <c r="H635">
        <v>-3</v>
      </c>
      <c r="I635">
        <v>1981</v>
      </c>
      <c r="J635" t="s">
        <v>32</v>
      </c>
      <c r="K635">
        <v>1596</v>
      </c>
      <c r="L635">
        <v>4.5599999999999996</v>
      </c>
      <c r="M635">
        <v>3.58</v>
      </c>
      <c r="N635" s="4">
        <f t="shared" si="18"/>
        <v>1.6322975999999998E-3</v>
      </c>
      <c r="O635" s="4">
        <f t="shared" si="19"/>
        <v>5.8436254079999991E-3</v>
      </c>
      <c r="P635">
        <v>13</v>
      </c>
      <c r="Q635">
        <v>2</v>
      </c>
      <c r="R635">
        <v>3</v>
      </c>
      <c r="S635">
        <v>2</v>
      </c>
      <c r="T635">
        <v>3</v>
      </c>
      <c r="U635">
        <v>3</v>
      </c>
      <c r="V635" t="s">
        <v>50</v>
      </c>
    </row>
    <row r="636" spans="1:22" x14ac:dyDescent="0.25">
      <c r="A636" t="s">
        <v>93</v>
      </c>
      <c r="B636">
        <v>1</v>
      </c>
      <c r="C636" t="s">
        <v>66</v>
      </c>
      <c r="D636" t="s">
        <v>67</v>
      </c>
      <c r="E636" t="s">
        <v>68</v>
      </c>
      <c r="F636">
        <v>180</v>
      </c>
      <c r="G636">
        <v>1080</v>
      </c>
      <c r="H636">
        <v>-3</v>
      </c>
      <c r="I636">
        <v>1981</v>
      </c>
      <c r="J636" t="s">
        <v>32</v>
      </c>
      <c r="K636">
        <v>2634</v>
      </c>
      <c r="L636">
        <v>5.43</v>
      </c>
      <c r="M636">
        <v>4.4400000000000004</v>
      </c>
      <c r="N636" s="4">
        <f t="shared" si="18"/>
        <v>2.3145646499999994E-3</v>
      </c>
      <c r="O636" s="4">
        <f t="shared" si="19"/>
        <v>1.0276667045999999E-2</v>
      </c>
      <c r="P636">
        <v>9</v>
      </c>
      <c r="Q636">
        <v>1</v>
      </c>
      <c r="R636">
        <v>2</v>
      </c>
      <c r="S636">
        <v>2</v>
      </c>
      <c r="T636">
        <v>3</v>
      </c>
      <c r="U636">
        <v>3</v>
      </c>
      <c r="V636" t="s">
        <v>50</v>
      </c>
    </row>
    <row r="637" spans="1:22" x14ac:dyDescent="0.25">
      <c r="A637" t="s">
        <v>93</v>
      </c>
      <c r="B637">
        <v>1</v>
      </c>
      <c r="C637" t="s">
        <v>66</v>
      </c>
      <c r="D637" t="s">
        <v>67</v>
      </c>
      <c r="E637" t="s">
        <v>68</v>
      </c>
      <c r="F637">
        <v>180</v>
      </c>
      <c r="G637">
        <v>1080</v>
      </c>
      <c r="H637">
        <v>-3</v>
      </c>
      <c r="I637">
        <v>1981</v>
      </c>
      <c r="J637" t="s">
        <v>35</v>
      </c>
      <c r="K637">
        <v>1788</v>
      </c>
      <c r="L637">
        <v>13.07</v>
      </c>
      <c r="M637">
        <v>8.1199999999999992</v>
      </c>
      <c r="N637" s="4">
        <f t="shared" si="18"/>
        <v>1.3409754650000003E-2</v>
      </c>
      <c r="O637" s="4">
        <f t="shared" si="19"/>
        <v>0.10888720775800001</v>
      </c>
      <c r="P637">
        <v>14</v>
      </c>
      <c r="Q637">
        <v>1.5</v>
      </c>
      <c r="R637">
        <v>1.5</v>
      </c>
      <c r="S637">
        <v>2</v>
      </c>
      <c r="T637">
        <v>3</v>
      </c>
      <c r="U637">
        <v>3</v>
      </c>
      <c r="V637" t="s">
        <v>30</v>
      </c>
    </row>
    <row r="638" spans="1:22" x14ac:dyDescent="0.25">
      <c r="A638" t="s">
        <v>93</v>
      </c>
      <c r="B638">
        <v>1</v>
      </c>
      <c r="C638" t="s">
        <v>66</v>
      </c>
      <c r="D638" t="s">
        <v>67</v>
      </c>
      <c r="E638" t="s">
        <v>68</v>
      </c>
      <c r="F638">
        <v>180</v>
      </c>
      <c r="G638">
        <v>1080</v>
      </c>
      <c r="H638">
        <v>-3</v>
      </c>
      <c r="I638">
        <v>1981</v>
      </c>
      <c r="J638" t="s">
        <v>35</v>
      </c>
      <c r="K638">
        <v>2571</v>
      </c>
      <c r="L638">
        <v>23.55</v>
      </c>
      <c r="M638">
        <v>14.36</v>
      </c>
      <c r="N638" s="4">
        <f t="shared" si="18"/>
        <v>4.3536296250000009E-2</v>
      </c>
      <c r="O638" s="4">
        <f t="shared" si="19"/>
        <v>0.62518121415000005</v>
      </c>
      <c r="P638">
        <v>37</v>
      </c>
      <c r="Q638">
        <v>4</v>
      </c>
      <c r="R638">
        <v>2</v>
      </c>
      <c r="S638">
        <v>3</v>
      </c>
      <c r="T638">
        <v>3.5</v>
      </c>
      <c r="U638">
        <v>2</v>
      </c>
      <c r="V638" t="s">
        <v>27</v>
      </c>
    </row>
    <row r="639" spans="1:22" x14ac:dyDescent="0.25">
      <c r="A639" t="s">
        <v>93</v>
      </c>
      <c r="B639">
        <v>1</v>
      </c>
      <c r="C639" t="s">
        <v>66</v>
      </c>
      <c r="D639" t="s">
        <v>67</v>
      </c>
      <c r="E639" t="s">
        <v>68</v>
      </c>
      <c r="F639">
        <v>180</v>
      </c>
      <c r="G639">
        <v>1080</v>
      </c>
      <c r="H639">
        <v>-3</v>
      </c>
      <c r="I639">
        <v>1981</v>
      </c>
      <c r="J639" t="s">
        <v>35</v>
      </c>
      <c r="K639">
        <v>2622</v>
      </c>
      <c r="L639">
        <v>16.25</v>
      </c>
      <c r="M639">
        <v>9.77</v>
      </c>
      <c r="N639" s="4">
        <f t="shared" si="18"/>
        <v>2.0728906250000002E-2</v>
      </c>
      <c r="O639" s="4">
        <f t="shared" si="19"/>
        <v>0.20252141406250002</v>
      </c>
      <c r="P639">
        <v>85</v>
      </c>
      <c r="Q639">
        <v>4</v>
      </c>
      <c r="R639">
        <v>2</v>
      </c>
      <c r="S639">
        <v>2.5</v>
      </c>
      <c r="T639">
        <v>4</v>
      </c>
      <c r="U639">
        <v>2.5</v>
      </c>
      <c r="V639" t="s">
        <v>27</v>
      </c>
    </row>
    <row r="640" spans="1:22" x14ac:dyDescent="0.25">
      <c r="A640" t="s">
        <v>93</v>
      </c>
      <c r="B640">
        <v>1</v>
      </c>
      <c r="C640" t="s">
        <v>66</v>
      </c>
      <c r="D640" t="s">
        <v>67</v>
      </c>
      <c r="E640" t="s">
        <v>68</v>
      </c>
      <c r="F640">
        <v>180</v>
      </c>
      <c r="G640">
        <v>1080</v>
      </c>
      <c r="H640">
        <v>-3</v>
      </c>
      <c r="I640">
        <v>1981</v>
      </c>
      <c r="J640" t="s">
        <v>62</v>
      </c>
      <c r="K640">
        <v>2431</v>
      </c>
      <c r="L640">
        <v>17.079999999999998</v>
      </c>
      <c r="M640">
        <v>10.25</v>
      </c>
      <c r="N640" s="4">
        <f t="shared" si="18"/>
        <v>2.2900522399999994E-2</v>
      </c>
      <c r="O640" s="4">
        <f t="shared" si="19"/>
        <v>0.23473035459999994</v>
      </c>
      <c r="P640">
        <v>7</v>
      </c>
      <c r="Q640">
        <v>2.5</v>
      </c>
      <c r="R640">
        <v>3</v>
      </c>
      <c r="S640">
        <v>3</v>
      </c>
      <c r="T640">
        <v>3.5</v>
      </c>
      <c r="U640">
        <v>3</v>
      </c>
      <c r="V640" t="s">
        <v>30</v>
      </c>
    </row>
    <row r="641" spans="1:22" x14ac:dyDescent="0.25">
      <c r="A641" t="s">
        <v>93</v>
      </c>
      <c r="B641">
        <v>1</v>
      </c>
      <c r="C641" t="s">
        <v>66</v>
      </c>
      <c r="D641" t="s">
        <v>67</v>
      </c>
      <c r="E641" t="s">
        <v>68</v>
      </c>
      <c r="F641">
        <v>180</v>
      </c>
      <c r="G641">
        <v>1080</v>
      </c>
      <c r="H641">
        <v>-3</v>
      </c>
      <c r="I641">
        <v>1981</v>
      </c>
      <c r="J641" t="s">
        <v>62</v>
      </c>
      <c r="K641">
        <v>2553</v>
      </c>
      <c r="L641">
        <v>14.69</v>
      </c>
      <c r="M641">
        <v>9.68</v>
      </c>
      <c r="N641" s="4">
        <f t="shared" si="18"/>
        <v>1.6939993850000001E-2</v>
      </c>
      <c r="O641" s="4">
        <f t="shared" si="19"/>
        <v>0.163979140468</v>
      </c>
      <c r="P641">
        <v>21</v>
      </c>
      <c r="Q641">
        <v>3</v>
      </c>
      <c r="R641">
        <v>3</v>
      </c>
      <c r="S641">
        <v>3.3</v>
      </c>
      <c r="T641">
        <v>3.5</v>
      </c>
      <c r="U641">
        <v>3.3</v>
      </c>
      <c r="V641" t="s">
        <v>38</v>
      </c>
    </row>
    <row r="642" spans="1:22" x14ac:dyDescent="0.25">
      <c r="A642" t="s">
        <v>93</v>
      </c>
      <c r="B642">
        <v>1</v>
      </c>
      <c r="C642" t="s">
        <v>66</v>
      </c>
      <c r="D642" t="s">
        <v>67</v>
      </c>
      <c r="E642" t="s">
        <v>68</v>
      </c>
      <c r="F642">
        <v>180</v>
      </c>
      <c r="G642">
        <v>1080</v>
      </c>
      <c r="H642">
        <v>-3</v>
      </c>
      <c r="I642">
        <v>1981</v>
      </c>
      <c r="J642" t="s">
        <v>62</v>
      </c>
      <c r="K642">
        <v>2574</v>
      </c>
      <c r="L642">
        <v>11.62</v>
      </c>
      <c r="M642">
        <v>7.4</v>
      </c>
      <c r="N642" s="4">
        <f t="shared" si="18"/>
        <v>1.0599415399999999E-2</v>
      </c>
      <c r="O642" s="4">
        <f t="shared" si="19"/>
        <v>7.8435673959999994E-2</v>
      </c>
      <c r="P642">
        <v>33</v>
      </c>
      <c r="Q642">
        <v>3</v>
      </c>
      <c r="R642">
        <v>3</v>
      </c>
      <c r="S642">
        <v>3.5</v>
      </c>
      <c r="T642">
        <v>3.5</v>
      </c>
      <c r="U642">
        <v>3.3</v>
      </c>
      <c r="V642" t="s">
        <v>38</v>
      </c>
    </row>
    <row r="643" spans="1:22" x14ac:dyDescent="0.25">
      <c r="A643" t="s">
        <v>93</v>
      </c>
      <c r="B643">
        <v>1</v>
      </c>
      <c r="C643" t="s">
        <v>66</v>
      </c>
      <c r="D643" t="s">
        <v>67</v>
      </c>
      <c r="E643" t="s">
        <v>68</v>
      </c>
      <c r="F643">
        <v>180</v>
      </c>
      <c r="G643">
        <v>1080</v>
      </c>
      <c r="H643">
        <v>-3</v>
      </c>
      <c r="I643">
        <v>1981</v>
      </c>
      <c r="J643" t="s">
        <v>37</v>
      </c>
      <c r="K643">
        <v>2575</v>
      </c>
      <c r="L643">
        <v>9.48</v>
      </c>
      <c r="M643">
        <v>6.16</v>
      </c>
      <c r="N643" s="4">
        <f t="shared" ref="N643:N706" si="20">3.14/4*((L643/100)^2)</f>
        <v>7.054826400000002E-3</v>
      </c>
      <c r="O643" s="4">
        <f t="shared" ref="O643:O706" si="21">3.14/4*((L643/100)^2)*M643</f>
        <v>4.3457730624000011E-2</v>
      </c>
      <c r="P643">
        <v>50</v>
      </c>
      <c r="Q643">
        <v>2</v>
      </c>
      <c r="R643">
        <v>1.8</v>
      </c>
      <c r="S643">
        <v>2.5</v>
      </c>
      <c r="T643">
        <v>3</v>
      </c>
      <c r="U643">
        <v>2.5</v>
      </c>
      <c r="V643" t="s">
        <v>30</v>
      </c>
    </row>
    <row r="644" spans="1:22" x14ac:dyDescent="0.25">
      <c r="A644" t="s">
        <v>93</v>
      </c>
      <c r="B644">
        <v>1</v>
      </c>
      <c r="C644" t="s">
        <v>66</v>
      </c>
      <c r="D644" t="s">
        <v>67</v>
      </c>
      <c r="E644" t="s">
        <v>68</v>
      </c>
      <c r="F644">
        <v>180</v>
      </c>
      <c r="G644">
        <v>1080</v>
      </c>
      <c r="H644">
        <v>-3</v>
      </c>
      <c r="I644">
        <v>1981</v>
      </c>
      <c r="J644" t="s">
        <v>35</v>
      </c>
      <c r="K644">
        <v>1785</v>
      </c>
      <c r="L644">
        <v>10.24</v>
      </c>
      <c r="M644">
        <v>6.95</v>
      </c>
      <c r="N644" s="4">
        <f t="shared" si="20"/>
        <v>8.2313216000000008E-3</v>
      </c>
      <c r="O644" s="4">
        <f t="shared" si="21"/>
        <v>5.7207685120000004E-2</v>
      </c>
      <c r="P644">
        <v>46</v>
      </c>
      <c r="Q644">
        <v>2</v>
      </c>
      <c r="R644">
        <v>2</v>
      </c>
      <c r="S644">
        <v>3</v>
      </c>
      <c r="T644">
        <v>4</v>
      </c>
      <c r="U644">
        <v>3</v>
      </c>
      <c r="V644" t="s">
        <v>30</v>
      </c>
    </row>
    <row r="645" spans="1:22" x14ac:dyDescent="0.25">
      <c r="A645" t="s">
        <v>93</v>
      </c>
      <c r="B645">
        <v>3</v>
      </c>
      <c r="C645" t="s">
        <v>66</v>
      </c>
      <c r="D645" t="s">
        <v>67</v>
      </c>
      <c r="E645" t="s">
        <v>68</v>
      </c>
      <c r="F645">
        <v>180</v>
      </c>
      <c r="G645">
        <v>1080</v>
      </c>
      <c r="H645">
        <v>-3</v>
      </c>
      <c r="I645">
        <v>1981</v>
      </c>
      <c r="J645" t="s">
        <v>76</v>
      </c>
      <c r="K645">
        <v>1592</v>
      </c>
      <c r="L645">
        <v>14.22</v>
      </c>
      <c r="M645">
        <v>11.45</v>
      </c>
      <c r="N645" s="4">
        <f t="shared" si="20"/>
        <v>1.5873359399999998E-2</v>
      </c>
      <c r="O645" s="4">
        <f t="shared" si="21"/>
        <v>0.18174996512999997</v>
      </c>
      <c r="P645">
        <v>35</v>
      </c>
      <c r="Q645">
        <v>3</v>
      </c>
      <c r="R645">
        <v>3</v>
      </c>
      <c r="S645">
        <v>3</v>
      </c>
      <c r="T645">
        <v>4</v>
      </c>
      <c r="U645">
        <v>3</v>
      </c>
      <c r="V645" t="s">
        <v>25</v>
      </c>
    </row>
    <row r="646" spans="1:22" x14ac:dyDescent="0.25">
      <c r="A646" t="s">
        <v>93</v>
      </c>
      <c r="B646">
        <v>3</v>
      </c>
      <c r="C646" t="s">
        <v>66</v>
      </c>
      <c r="D646" t="s">
        <v>67</v>
      </c>
      <c r="E646" t="s">
        <v>68</v>
      </c>
      <c r="F646">
        <v>180</v>
      </c>
      <c r="G646">
        <v>1080</v>
      </c>
      <c r="H646">
        <v>-3</v>
      </c>
      <c r="I646">
        <v>1981</v>
      </c>
      <c r="J646" t="s">
        <v>76</v>
      </c>
      <c r="K646">
        <v>2560</v>
      </c>
      <c r="L646">
        <v>9.16</v>
      </c>
      <c r="M646">
        <v>7.23</v>
      </c>
      <c r="N646" s="4">
        <f t="shared" si="20"/>
        <v>6.5865896000000005E-3</v>
      </c>
      <c r="O646" s="4">
        <f t="shared" si="21"/>
        <v>4.7621042808000009E-2</v>
      </c>
      <c r="P646">
        <v>17</v>
      </c>
      <c r="Q646">
        <v>3</v>
      </c>
      <c r="R646">
        <v>4</v>
      </c>
      <c r="S646">
        <v>3</v>
      </c>
      <c r="T646">
        <v>4</v>
      </c>
      <c r="U646">
        <v>4</v>
      </c>
      <c r="V646" t="s">
        <v>38</v>
      </c>
    </row>
    <row r="647" spans="1:22" x14ac:dyDescent="0.25">
      <c r="A647" t="s">
        <v>93</v>
      </c>
      <c r="B647">
        <v>3</v>
      </c>
      <c r="C647" t="s">
        <v>66</v>
      </c>
      <c r="D647" t="s">
        <v>67</v>
      </c>
      <c r="E647" t="s">
        <v>68</v>
      </c>
      <c r="F647">
        <v>180</v>
      </c>
      <c r="G647">
        <v>1080</v>
      </c>
      <c r="H647">
        <v>-3</v>
      </c>
      <c r="I647">
        <v>1981</v>
      </c>
      <c r="J647" t="s">
        <v>56</v>
      </c>
      <c r="K647">
        <v>1111</v>
      </c>
      <c r="L647">
        <v>6.92</v>
      </c>
      <c r="M647">
        <v>4.54</v>
      </c>
      <c r="N647" s="4">
        <f t="shared" si="20"/>
        <v>3.7590823999999997E-3</v>
      </c>
      <c r="O647" s="4">
        <f t="shared" si="21"/>
        <v>1.7066234095999999E-2</v>
      </c>
      <c r="P647">
        <v>48</v>
      </c>
      <c r="Q647">
        <v>3</v>
      </c>
      <c r="R647">
        <v>3</v>
      </c>
      <c r="S647">
        <v>2.5</v>
      </c>
      <c r="T647">
        <v>2</v>
      </c>
      <c r="U647">
        <v>2</v>
      </c>
      <c r="V647" t="s">
        <v>38</v>
      </c>
    </row>
    <row r="648" spans="1:22" x14ac:dyDescent="0.25">
      <c r="A648" t="s">
        <v>93</v>
      </c>
      <c r="B648">
        <v>3</v>
      </c>
      <c r="C648" t="s">
        <v>66</v>
      </c>
      <c r="D648" t="s">
        <v>67</v>
      </c>
      <c r="E648" t="s">
        <v>68</v>
      </c>
      <c r="F648">
        <v>180</v>
      </c>
      <c r="G648">
        <v>1080</v>
      </c>
      <c r="H648">
        <v>-3</v>
      </c>
      <c r="I648">
        <v>1981</v>
      </c>
      <c r="J648" t="s">
        <v>24</v>
      </c>
      <c r="K648">
        <v>2562</v>
      </c>
      <c r="L648">
        <v>8.83</v>
      </c>
      <c r="M648">
        <v>8.6</v>
      </c>
      <c r="N648" s="4">
        <f t="shared" si="20"/>
        <v>6.1205586500000008E-3</v>
      </c>
      <c r="O648" s="4">
        <f t="shared" si="21"/>
        <v>5.2636804390000007E-2</v>
      </c>
      <c r="P648">
        <v>63</v>
      </c>
      <c r="Q648">
        <v>3</v>
      </c>
      <c r="R648">
        <v>3.5</v>
      </c>
      <c r="S648">
        <v>3.5</v>
      </c>
      <c r="T648">
        <v>3.5</v>
      </c>
      <c r="U648">
        <v>3</v>
      </c>
      <c r="V648" t="s">
        <v>38</v>
      </c>
    </row>
    <row r="649" spans="1:22" x14ac:dyDescent="0.25">
      <c r="A649" t="s">
        <v>93</v>
      </c>
      <c r="B649">
        <v>3</v>
      </c>
      <c r="C649" t="s">
        <v>66</v>
      </c>
      <c r="D649" t="s">
        <v>67</v>
      </c>
      <c r="E649" t="s">
        <v>68</v>
      </c>
      <c r="F649">
        <v>180</v>
      </c>
      <c r="G649">
        <v>1080</v>
      </c>
      <c r="H649">
        <v>-3</v>
      </c>
      <c r="I649">
        <v>1981</v>
      </c>
      <c r="J649" t="s">
        <v>59</v>
      </c>
      <c r="K649">
        <v>2426</v>
      </c>
      <c r="L649">
        <v>17.420000000000002</v>
      </c>
      <c r="M649">
        <v>9.01</v>
      </c>
      <c r="N649" s="4">
        <f t="shared" si="20"/>
        <v>2.3821327400000005E-2</v>
      </c>
      <c r="O649" s="4">
        <f t="shared" si="21"/>
        <v>0.21463015987400005</v>
      </c>
      <c r="P649">
        <v>45</v>
      </c>
      <c r="Q649">
        <v>4.5</v>
      </c>
      <c r="R649">
        <v>4.5</v>
      </c>
      <c r="S649">
        <v>3</v>
      </c>
      <c r="T649">
        <v>2</v>
      </c>
      <c r="U649">
        <v>1.5</v>
      </c>
      <c r="V649" t="s">
        <v>27</v>
      </c>
    </row>
    <row r="650" spans="1:22" x14ac:dyDescent="0.25">
      <c r="A650" t="s">
        <v>93</v>
      </c>
      <c r="B650">
        <v>3</v>
      </c>
      <c r="C650" t="s">
        <v>66</v>
      </c>
      <c r="D650" t="s">
        <v>67</v>
      </c>
      <c r="E650" t="s">
        <v>68</v>
      </c>
      <c r="F650">
        <v>180</v>
      </c>
      <c r="G650">
        <v>1080</v>
      </c>
      <c r="H650">
        <v>-3</v>
      </c>
      <c r="I650">
        <v>1981</v>
      </c>
      <c r="J650" t="s">
        <v>59</v>
      </c>
      <c r="K650">
        <v>2548</v>
      </c>
      <c r="L650">
        <v>13.04</v>
      </c>
      <c r="M650">
        <v>9.36</v>
      </c>
      <c r="N650" s="4">
        <f t="shared" si="20"/>
        <v>1.3348265599999999E-2</v>
      </c>
      <c r="O650" s="4">
        <f t="shared" si="21"/>
        <v>0.12493976601599999</v>
      </c>
      <c r="P650">
        <v>55</v>
      </c>
      <c r="Q650">
        <v>4</v>
      </c>
      <c r="R650">
        <v>4</v>
      </c>
      <c r="S650">
        <v>3</v>
      </c>
      <c r="T650">
        <v>2.5</v>
      </c>
      <c r="U650">
        <v>2</v>
      </c>
      <c r="V650" t="s">
        <v>25</v>
      </c>
    </row>
    <row r="651" spans="1:22" x14ac:dyDescent="0.25">
      <c r="A651" t="s">
        <v>93</v>
      </c>
      <c r="B651">
        <v>3</v>
      </c>
      <c r="C651" t="s">
        <v>66</v>
      </c>
      <c r="D651" t="s">
        <v>67</v>
      </c>
      <c r="E651" t="s">
        <v>68</v>
      </c>
      <c r="F651">
        <v>180</v>
      </c>
      <c r="G651">
        <v>1080</v>
      </c>
      <c r="H651">
        <v>-3</v>
      </c>
      <c r="I651">
        <v>1981</v>
      </c>
      <c r="J651" t="s">
        <v>32</v>
      </c>
      <c r="K651">
        <v>1596</v>
      </c>
      <c r="L651">
        <v>17.27</v>
      </c>
      <c r="M651">
        <v>9.01</v>
      </c>
      <c r="N651" s="4">
        <f t="shared" si="20"/>
        <v>2.341285265E-2</v>
      </c>
      <c r="O651" s="4">
        <f t="shared" si="21"/>
        <v>0.21094980237649999</v>
      </c>
      <c r="P651">
        <v>48</v>
      </c>
      <c r="Q651">
        <v>3.5</v>
      </c>
      <c r="R651">
        <v>3</v>
      </c>
      <c r="S651">
        <v>3.3</v>
      </c>
      <c r="T651">
        <v>4</v>
      </c>
      <c r="U651">
        <v>3</v>
      </c>
      <c r="V651" t="s">
        <v>27</v>
      </c>
    </row>
    <row r="652" spans="1:22" x14ac:dyDescent="0.25">
      <c r="A652" t="s">
        <v>93</v>
      </c>
      <c r="B652">
        <v>3</v>
      </c>
      <c r="C652" t="s">
        <v>66</v>
      </c>
      <c r="D652" t="s">
        <v>67</v>
      </c>
      <c r="E652" t="s">
        <v>68</v>
      </c>
      <c r="F652">
        <v>180</v>
      </c>
      <c r="G652">
        <v>1080</v>
      </c>
      <c r="H652">
        <v>-3</v>
      </c>
      <c r="I652">
        <v>1981</v>
      </c>
      <c r="J652" t="s">
        <v>32</v>
      </c>
      <c r="K652">
        <v>2634</v>
      </c>
      <c r="L652">
        <v>11.84</v>
      </c>
      <c r="M652">
        <v>9.1300000000000008</v>
      </c>
      <c r="N652" s="4">
        <f t="shared" si="20"/>
        <v>1.1004569600000002E-2</v>
      </c>
      <c r="O652" s="4">
        <f t="shared" si="21"/>
        <v>0.10047172044800003</v>
      </c>
      <c r="P652">
        <v>18</v>
      </c>
      <c r="Q652">
        <v>2.5</v>
      </c>
      <c r="R652">
        <v>3.5</v>
      </c>
      <c r="S652">
        <v>2.5</v>
      </c>
      <c r="T652">
        <v>3.5</v>
      </c>
      <c r="U652">
        <v>3</v>
      </c>
      <c r="V652" t="s">
        <v>38</v>
      </c>
    </row>
    <row r="653" spans="1:22" x14ac:dyDescent="0.25">
      <c r="A653" t="s">
        <v>93</v>
      </c>
      <c r="B653">
        <v>3</v>
      </c>
      <c r="C653" t="s">
        <v>66</v>
      </c>
      <c r="D653" t="s">
        <v>67</v>
      </c>
      <c r="E653" t="s">
        <v>68</v>
      </c>
      <c r="F653">
        <v>180</v>
      </c>
      <c r="G653">
        <v>1080</v>
      </c>
      <c r="H653">
        <v>-3</v>
      </c>
      <c r="I653">
        <v>1981</v>
      </c>
      <c r="J653" t="s">
        <v>35</v>
      </c>
      <c r="K653">
        <v>1788</v>
      </c>
      <c r="L653">
        <v>9.5399999999999991</v>
      </c>
      <c r="M653">
        <v>6.83</v>
      </c>
      <c r="N653" s="4">
        <f t="shared" si="20"/>
        <v>7.1444105999999979E-3</v>
      </c>
      <c r="O653" s="4">
        <f t="shared" si="21"/>
        <v>4.8796324397999989E-2</v>
      </c>
      <c r="P653">
        <v>13</v>
      </c>
      <c r="Q653">
        <v>2.5</v>
      </c>
      <c r="R653">
        <v>1.8</v>
      </c>
      <c r="S653">
        <v>2.5</v>
      </c>
      <c r="T653">
        <v>4</v>
      </c>
      <c r="U653">
        <v>3</v>
      </c>
      <c r="V653" t="s">
        <v>38</v>
      </c>
    </row>
    <row r="654" spans="1:22" x14ac:dyDescent="0.25">
      <c r="A654" t="s">
        <v>93</v>
      </c>
      <c r="B654">
        <v>3</v>
      </c>
      <c r="C654" t="s">
        <v>66</v>
      </c>
      <c r="D654" t="s">
        <v>67</v>
      </c>
      <c r="E654" t="s">
        <v>68</v>
      </c>
      <c r="F654">
        <v>180</v>
      </c>
      <c r="G654">
        <v>1080</v>
      </c>
      <c r="H654">
        <v>-3</v>
      </c>
      <c r="I654">
        <v>1981</v>
      </c>
      <c r="J654" t="s">
        <v>35</v>
      </c>
      <c r="K654">
        <v>1785</v>
      </c>
      <c r="L654">
        <v>7.89</v>
      </c>
      <c r="M654">
        <v>5.65</v>
      </c>
      <c r="N654" s="4">
        <f t="shared" si="20"/>
        <v>4.88678985E-3</v>
      </c>
      <c r="O654" s="4">
        <f t="shared" si="21"/>
        <v>2.7610362652500001E-2</v>
      </c>
      <c r="P654">
        <v>45</v>
      </c>
      <c r="Q654">
        <v>2.5</v>
      </c>
      <c r="R654">
        <v>2</v>
      </c>
      <c r="S654">
        <v>3</v>
      </c>
      <c r="T654">
        <v>3.3</v>
      </c>
      <c r="U654">
        <v>2.5</v>
      </c>
      <c r="V654" t="s">
        <v>38</v>
      </c>
    </row>
    <row r="655" spans="1:22" x14ac:dyDescent="0.25">
      <c r="A655" t="s">
        <v>93</v>
      </c>
      <c r="B655">
        <v>3</v>
      </c>
      <c r="C655" t="s">
        <v>66</v>
      </c>
      <c r="D655" t="s">
        <v>67</v>
      </c>
      <c r="E655" t="s">
        <v>68</v>
      </c>
      <c r="F655">
        <v>180</v>
      </c>
      <c r="G655">
        <v>1080</v>
      </c>
      <c r="H655">
        <v>-3</v>
      </c>
      <c r="I655">
        <v>1981</v>
      </c>
      <c r="J655" t="s">
        <v>35</v>
      </c>
      <c r="K655">
        <v>2571</v>
      </c>
      <c r="L655">
        <v>12.72</v>
      </c>
      <c r="M655">
        <v>10.6</v>
      </c>
      <c r="N655" s="4">
        <f t="shared" si="20"/>
        <v>1.2701174400000001E-2</v>
      </c>
      <c r="O655" s="4">
        <f t="shared" si="21"/>
        <v>0.13463244864000001</v>
      </c>
      <c r="P655">
        <v>37</v>
      </c>
      <c r="Q655">
        <v>3</v>
      </c>
      <c r="R655">
        <v>2</v>
      </c>
      <c r="S655">
        <v>3.5</v>
      </c>
      <c r="T655">
        <v>4.5</v>
      </c>
      <c r="U655">
        <v>4.3</v>
      </c>
      <c r="V655" t="s">
        <v>27</v>
      </c>
    </row>
    <row r="656" spans="1:22" x14ac:dyDescent="0.25">
      <c r="A656" t="s">
        <v>93</v>
      </c>
      <c r="B656">
        <v>3</v>
      </c>
      <c r="C656" t="s">
        <v>66</v>
      </c>
      <c r="D656" t="s">
        <v>67</v>
      </c>
      <c r="E656" t="s">
        <v>68</v>
      </c>
      <c r="F656">
        <v>180</v>
      </c>
      <c r="G656">
        <v>1080</v>
      </c>
      <c r="H656">
        <v>-3</v>
      </c>
      <c r="I656">
        <v>1981</v>
      </c>
      <c r="J656" t="s">
        <v>35</v>
      </c>
      <c r="K656">
        <v>2622</v>
      </c>
      <c r="L656">
        <v>11.07</v>
      </c>
      <c r="M656">
        <v>8.9499999999999993</v>
      </c>
      <c r="N656" s="4">
        <f t="shared" si="20"/>
        <v>9.6197746500000011E-3</v>
      </c>
      <c r="O656" s="4">
        <f t="shared" si="21"/>
        <v>8.6096983117499998E-2</v>
      </c>
      <c r="P656">
        <v>70</v>
      </c>
      <c r="Q656">
        <v>3</v>
      </c>
      <c r="R656">
        <v>2</v>
      </c>
      <c r="S656">
        <v>2.5</v>
      </c>
      <c r="T656">
        <v>4</v>
      </c>
      <c r="U656">
        <v>3</v>
      </c>
      <c r="V656" t="s">
        <v>25</v>
      </c>
    </row>
    <row r="657" spans="1:22" x14ac:dyDescent="0.25">
      <c r="A657" t="s">
        <v>93</v>
      </c>
      <c r="B657">
        <v>3</v>
      </c>
      <c r="C657" t="s">
        <v>66</v>
      </c>
      <c r="D657" t="s">
        <v>67</v>
      </c>
      <c r="E657" t="s">
        <v>68</v>
      </c>
      <c r="F657">
        <v>180</v>
      </c>
      <c r="G657">
        <v>1080</v>
      </c>
      <c r="H657">
        <v>-3</v>
      </c>
      <c r="I657">
        <v>1981</v>
      </c>
      <c r="J657" t="s">
        <v>62</v>
      </c>
      <c r="K657">
        <v>2431</v>
      </c>
      <c r="L657">
        <v>10.25</v>
      </c>
      <c r="M657">
        <v>10.02</v>
      </c>
      <c r="N657" s="4">
        <f t="shared" si="20"/>
        <v>8.2474062499999987E-3</v>
      </c>
      <c r="O657" s="4">
        <f t="shared" si="21"/>
        <v>8.2639010624999981E-2</v>
      </c>
      <c r="P657">
        <v>36</v>
      </c>
      <c r="Q657">
        <v>3</v>
      </c>
      <c r="R657">
        <v>3</v>
      </c>
      <c r="S657">
        <v>4</v>
      </c>
      <c r="T657">
        <v>4.5</v>
      </c>
      <c r="U657">
        <v>3.5</v>
      </c>
      <c r="V657" t="s">
        <v>38</v>
      </c>
    </row>
    <row r="658" spans="1:22" x14ac:dyDescent="0.25">
      <c r="A658" t="s">
        <v>93</v>
      </c>
      <c r="B658">
        <v>3</v>
      </c>
      <c r="C658" t="s">
        <v>66</v>
      </c>
      <c r="D658" t="s">
        <v>67</v>
      </c>
      <c r="E658" t="s">
        <v>68</v>
      </c>
      <c r="F658">
        <v>180</v>
      </c>
      <c r="G658">
        <v>1080</v>
      </c>
      <c r="H658">
        <v>-3</v>
      </c>
      <c r="I658">
        <v>1981</v>
      </c>
      <c r="J658" t="s">
        <v>62</v>
      </c>
      <c r="K658">
        <v>2432</v>
      </c>
      <c r="L658">
        <v>14.46</v>
      </c>
      <c r="M658">
        <v>11.73</v>
      </c>
      <c r="N658" s="4">
        <f t="shared" si="20"/>
        <v>1.6413690600000003E-2</v>
      </c>
      <c r="O658" s="4">
        <f t="shared" si="21"/>
        <v>0.19253259073800003</v>
      </c>
      <c r="P658">
        <v>60</v>
      </c>
      <c r="Q658">
        <v>4.5</v>
      </c>
      <c r="R658">
        <v>4</v>
      </c>
      <c r="S658">
        <v>3.5</v>
      </c>
      <c r="T658">
        <v>3.5</v>
      </c>
      <c r="U658">
        <v>2.5</v>
      </c>
      <c r="V658" t="s">
        <v>27</v>
      </c>
    </row>
    <row r="659" spans="1:22" x14ac:dyDescent="0.25">
      <c r="A659" t="s">
        <v>93</v>
      </c>
      <c r="B659">
        <v>3</v>
      </c>
      <c r="C659" t="s">
        <v>66</v>
      </c>
      <c r="D659" t="s">
        <v>67</v>
      </c>
      <c r="E659" t="s">
        <v>68</v>
      </c>
      <c r="F659">
        <v>180</v>
      </c>
      <c r="G659">
        <v>1080</v>
      </c>
      <c r="H659">
        <v>-3</v>
      </c>
      <c r="I659">
        <v>1981</v>
      </c>
      <c r="J659" t="s">
        <v>62</v>
      </c>
      <c r="K659">
        <v>2550</v>
      </c>
      <c r="L659">
        <v>15.37</v>
      </c>
      <c r="M659">
        <v>10.82</v>
      </c>
      <c r="N659" s="4">
        <f t="shared" si="20"/>
        <v>1.8544596650000002E-2</v>
      </c>
      <c r="O659" s="4">
        <f t="shared" si="21"/>
        <v>0.20065253575300002</v>
      </c>
      <c r="P659">
        <v>13</v>
      </c>
      <c r="Q659">
        <v>3</v>
      </c>
      <c r="R659">
        <v>2.7</v>
      </c>
      <c r="S659">
        <v>3.5</v>
      </c>
      <c r="T659">
        <v>3.5</v>
      </c>
      <c r="U659">
        <v>3</v>
      </c>
      <c r="V659" t="s">
        <v>38</v>
      </c>
    </row>
    <row r="660" spans="1:22" x14ac:dyDescent="0.25">
      <c r="A660" t="s">
        <v>93</v>
      </c>
      <c r="B660">
        <v>3</v>
      </c>
      <c r="C660" t="s">
        <v>66</v>
      </c>
      <c r="D660" t="s">
        <v>67</v>
      </c>
      <c r="E660" t="s">
        <v>68</v>
      </c>
      <c r="F660">
        <v>180</v>
      </c>
      <c r="G660">
        <v>1080</v>
      </c>
      <c r="H660">
        <v>-3</v>
      </c>
      <c r="I660">
        <v>1981</v>
      </c>
      <c r="J660" t="s">
        <v>62</v>
      </c>
      <c r="K660">
        <v>2553</v>
      </c>
      <c r="L660">
        <v>11.96</v>
      </c>
      <c r="M660">
        <v>9.91</v>
      </c>
      <c r="N660" s="4">
        <f t="shared" si="20"/>
        <v>1.1228765600000003E-2</v>
      </c>
      <c r="O660" s="4">
        <f t="shared" si="21"/>
        <v>0.11127706709600003</v>
      </c>
      <c r="P660">
        <v>33</v>
      </c>
      <c r="Q660">
        <v>4</v>
      </c>
      <c r="R660">
        <v>4</v>
      </c>
      <c r="S660">
        <v>4</v>
      </c>
      <c r="T660">
        <v>4</v>
      </c>
      <c r="U660">
        <v>4</v>
      </c>
      <c r="V660" t="s">
        <v>25</v>
      </c>
    </row>
    <row r="661" spans="1:22" x14ac:dyDescent="0.25">
      <c r="A661" t="s">
        <v>93</v>
      </c>
      <c r="B661">
        <v>3</v>
      </c>
      <c r="C661" t="s">
        <v>66</v>
      </c>
      <c r="D661" t="s">
        <v>67</v>
      </c>
      <c r="E661" t="s">
        <v>68</v>
      </c>
      <c r="F661">
        <v>180</v>
      </c>
      <c r="G661">
        <v>1080</v>
      </c>
      <c r="H661">
        <v>-3</v>
      </c>
      <c r="I661">
        <v>1981</v>
      </c>
      <c r="J661" t="s">
        <v>62</v>
      </c>
      <c r="K661">
        <v>2574</v>
      </c>
      <c r="L661">
        <v>12.41</v>
      </c>
      <c r="M661">
        <v>9.68</v>
      </c>
      <c r="N661" s="4">
        <f t="shared" si="20"/>
        <v>1.2089635850000001E-2</v>
      </c>
      <c r="O661" s="4">
        <f t="shared" si="21"/>
        <v>0.117027675028</v>
      </c>
      <c r="P661">
        <v>67</v>
      </c>
      <c r="Q661">
        <v>4</v>
      </c>
      <c r="R661">
        <v>4</v>
      </c>
      <c r="S661">
        <v>3.5</v>
      </c>
      <c r="T661">
        <v>4</v>
      </c>
      <c r="U661">
        <v>3</v>
      </c>
      <c r="V661" t="s">
        <v>25</v>
      </c>
    </row>
    <row r="662" spans="1:22" x14ac:dyDescent="0.25">
      <c r="A662" t="s">
        <v>93</v>
      </c>
      <c r="B662">
        <v>3</v>
      </c>
      <c r="C662" t="s">
        <v>66</v>
      </c>
      <c r="D662" t="s">
        <v>67</v>
      </c>
      <c r="E662" t="s">
        <v>68</v>
      </c>
      <c r="F662">
        <v>180</v>
      </c>
      <c r="G662">
        <v>1080</v>
      </c>
      <c r="H662">
        <v>-3</v>
      </c>
      <c r="I662">
        <v>1981</v>
      </c>
      <c r="J662" t="s">
        <v>37</v>
      </c>
      <c r="K662">
        <v>2575</v>
      </c>
      <c r="L662">
        <v>7.94</v>
      </c>
      <c r="M662">
        <v>6.16</v>
      </c>
      <c r="N662" s="4">
        <f t="shared" si="20"/>
        <v>4.9489225999999999E-3</v>
      </c>
      <c r="O662" s="4">
        <f t="shared" si="21"/>
        <v>3.0485363216000001E-2</v>
      </c>
      <c r="P662">
        <v>51</v>
      </c>
      <c r="Q662">
        <v>2.5</v>
      </c>
      <c r="R662">
        <v>2</v>
      </c>
      <c r="S662">
        <v>2.5</v>
      </c>
      <c r="T662">
        <v>4.5</v>
      </c>
      <c r="U662">
        <v>4</v>
      </c>
      <c r="V662" t="s">
        <v>38</v>
      </c>
    </row>
    <row r="663" spans="1:22" x14ac:dyDescent="0.25">
      <c r="A663" t="s">
        <v>93</v>
      </c>
      <c r="B663">
        <v>3</v>
      </c>
      <c r="C663" t="s">
        <v>66</v>
      </c>
      <c r="D663" t="s">
        <v>67</v>
      </c>
      <c r="E663" t="s">
        <v>68</v>
      </c>
      <c r="F663">
        <v>180</v>
      </c>
      <c r="G663">
        <v>1080</v>
      </c>
      <c r="H663">
        <v>-3</v>
      </c>
      <c r="I663">
        <v>1981</v>
      </c>
      <c r="J663" t="s">
        <v>57</v>
      </c>
      <c r="K663">
        <v>2621</v>
      </c>
      <c r="L663">
        <v>5.98</v>
      </c>
      <c r="M663">
        <v>4.03</v>
      </c>
      <c r="N663" s="4">
        <f t="shared" si="20"/>
        <v>2.8071914000000007E-3</v>
      </c>
      <c r="O663" s="4">
        <f t="shared" si="21"/>
        <v>1.1312981342000003E-2</v>
      </c>
      <c r="P663">
        <v>43</v>
      </c>
      <c r="Q663">
        <v>2.5</v>
      </c>
      <c r="R663">
        <v>2</v>
      </c>
      <c r="S663">
        <v>3.3</v>
      </c>
      <c r="T663">
        <v>4</v>
      </c>
      <c r="U663">
        <v>3.5</v>
      </c>
      <c r="V663" t="s">
        <v>38</v>
      </c>
    </row>
    <row r="664" spans="1:22" x14ac:dyDescent="0.25">
      <c r="A664" t="s">
        <v>94</v>
      </c>
      <c r="B664">
        <v>1</v>
      </c>
      <c r="C664" t="s">
        <v>21</v>
      </c>
      <c r="D664" t="s">
        <v>95</v>
      </c>
      <c r="E664" t="s">
        <v>96</v>
      </c>
      <c r="F664">
        <v>150</v>
      </c>
      <c r="G664">
        <v>900</v>
      </c>
      <c r="H664">
        <v>-2</v>
      </c>
      <c r="I664">
        <v>1986</v>
      </c>
      <c r="J664" t="s">
        <v>76</v>
      </c>
      <c r="K664">
        <v>3266</v>
      </c>
      <c r="L664">
        <v>21.86</v>
      </c>
      <c r="M664">
        <v>10</v>
      </c>
      <c r="N664" s="4">
        <f t="shared" si="20"/>
        <v>3.7511978599999996E-2</v>
      </c>
      <c r="O664" s="4">
        <f t="shared" si="21"/>
        <v>0.37511978599999996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50</v>
      </c>
    </row>
    <row r="665" spans="1:22" x14ac:dyDescent="0.25">
      <c r="A665" t="s">
        <v>94</v>
      </c>
      <c r="B665">
        <v>1</v>
      </c>
      <c r="C665" t="s">
        <v>21</v>
      </c>
      <c r="D665" t="s">
        <v>95</v>
      </c>
      <c r="E665" t="s">
        <v>96</v>
      </c>
      <c r="F665">
        <v>150</v>
      </c>
      <c r="G665">
        <v>900</v>
      </c>
      <c r="H665">
        <v>-2</v>
      </c>
      <c r="I665">
        <v>1986</v>
      </c>
      <c r="J665" t="s">
        <v>76</v>
      </c>
      <c r="K665">
        <v>3267</v>
      </c>
      <c r="L665">
        <v>33.65</v>
      </c>
      <c r="M665">
        <v>15.36</v>
      </c>
      <c r="N665" s="4">
        <f t="shared" si="20"/>
        <v>8.8887316249999987E-2</v>
      </c>
      <c r="O665" s="4">
        <f t="shared" si="21"/>
        <v>1.3653091775999997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50</v>
      </c>
    </row>
    <row r="666" spans="1:22" x14ac:dyDescent="0.25">
      <c r="A666" t="s">
        <v>94</v>
      </c>
      <c r="B666">
        <v>1</v>
      </c>
      <c r="C666" t="s">
        <v>21</v>
      </c>
      <c r="D666" t="s">
        <v>95</v>
      </c>
      <c r="E666" t="s">
        <v>96</v>
      </c>
      <c r="F666">
        <v>150</v>
      </c>
      <c r="G666">
        <v>900</v>
      </c>
      <c r="H666">
        <v>-2</v>
      </c>
      <c r="I666">
        <v>1986</v>
      </c>
      <c r="J666" t="s">
        <v>76</v>
      </c>
      <c r="K666">
        <v>3268</v>
      </c>
      <c r="L666">
        <v>18.010000000000002</v>
      </c>
      <c r="M666">
        <v>3.26</v>
      </c>
      <c r="N666" s="4">
        <f t="shared" si="20"/>
        <v>2.5462267850000001E-2</v>
      </c>
      <c r="O666" s="4">
        <f t="shared" si="21"/>
        <v>8.3006993190999995E-2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50</v>
      </c>
    </row>
    <row r="667" spans="1:22" x14ac:dyDescent="0.25">
      <c r="A667" t="s">
        <v>94</v>
      </c>
      <c r="B667">
        <v>1</v>
      </c>
      <c r="C667" t="s">
        <v>21</v>
      </c>
      <c r="D667" t="s">
        <v>95</v>
      </c>
      <c r="E667" t="s">
        <v>96</v>
      </c>
      <c r="F667">
        <v>150</v>
      </c>
      <c r="G667">
        <v>900</v>
      </c>
      <c r="H667">
        <v>-2</v>
      </c>
      <c r="I667">
        <v>1986</v>
      </c>
      <c r="J667" t="s">
        <v>76</v>
      </c>
      <c r="K667">
        <v>3269</v>
      </c>
      <c r="L667">
        <v>24.72</v>
      </c>
      <c r="M667">
        <v>11.29</v>
      </c>
      <c r="N667" s="4">
        <f t="shared" si="20"/>
        <v>4.7969654399999992E-2</v>
      </c>
      <c r="O667" s="4">
        <f t="shared" si="21"/>
        <v>0.54157739817599981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50</v>
      </c>
    </row>
    <row r="668" spans="1:22" x14ac:dyDescent="0.25">
      <c r="A668" t="s">
        <v>94</v>
      </c>
      <c r="B668">
        <v>1</v>
      </c>
      <c r="C668" t="s">
        <v>21</v>
      </c>
      <c r="D668" t="s">
        <v>95</v>
      </c>
      <c r="E668" t="s">
        <v>96</v>
      </c>
      <c r="F668">
        <v>150</v>
      </c>
      <c r="G668">
        <v>900</v>
      </c>
      <c r="H668">
        <v>-2</v>
      </c>
      <c r="I668">
        <v>1986</v>
      </c>
      <c r="J668" t="s">
        <v>76</v>
      </c>
      <c r="K668">
        <v>2770</v>
      </c>
      <c r="L668">
        <v>20.85</v>
      </c>
      <c r="M668">
        <v>9.52</v>
      </c>
      <c r="N668" s="4">
        <f t="shared" si="20"/>
        <v>3.4125716250000007E-2</v>
      </c>
      <c r="O668" s="4">
        <f t="shared" si="21"/>
        <v>0.32487681870000007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50</v>
      </c>
    </row>
    <row r="669" spans="1:22" x14ac:dyDescent="0.25">
      <c r="A669" t="s">
        <v>94</v>
      </c>
      <c r="B669">
        <v>1</v>
      </c>
      <c r="C669" t="s">
        <v>21</v>
      </c>
      <c r="D669" t="s">
        <v>95</v>
      </c>
      <c r="E669" t="s">
        <v>96</v>
      </c>
      <c r="F669">
        <v>150</v>
      </c>
      <c r="G669">
        <v>900</v>
      </c>
      <c r="H669">
        <v>-2</v>
      </c>
      <c r="I669">
        <v>1986</v>
      </c>
      <c r="J669" t="s">
        <v>76</v>
      </c>
      <c r="K669">
        <v>2460</v>
      </c>
      <c r="L669">
        <v>29.6</v>
      </c>
      <c r="M669">
        <v>13.52</v>
      </c>
      <c r="N669" s="4">
        <f t="shared" si="20"/>
        <v>6.877856000000003E-2</v>
      </c>
      <c r="O669" s="4">
        <f t="shared" si="21"/>
        <v>0.92988613120000041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50</v>
      </c>
    </row>
    <row r="670" spans="1:22" x14ac:dyDescent="0.25">
      <c r="A670" t="s">
        <v>94</v>
      </c>
      <c r="B670">
        <v>1</v>
      </c>
      <c r="C670" t="s">
        <v>21</v>
      </c>
      <c r="D670" t="s">
        <v>95</v>
      </c>
      <c r="E670" t="s">
        <v>96</v>
      </c>
      <c r="F670">
        <v>150</v>
      </c>
      <c r="G670">
        <v>900</v>
      </c>
      <c r="H670">
        <v>-2</v>
      </c>
      <c r="I670">
        <v>1986</v>
      </c>
      <c r="J670" t="s">
        <v>24</v>
      </c>
      <c r="K670">
        <v>2562</v>
      </c>
      <c r="L670">
        <v>40.44</v>
      </c>
      <c r="M670">
        <v>17.059999999999999</v>
      </c>
      <c r="N670" s="4">
        <f t="shared" si="20"/>
        <v>0.1283783976</v>
      </c>
      <c r="O670" s="4">
        <f t="shared" si="21"/>
        <v>2.1901354630559999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50</v>
      </c>
    </row>
    <row r="671" spans="1:22" x14ac:dyDescent="0.25">
      <c r="A671" t="s">
        <v>94</v>
      </c>
      <c r="B671">
        <v>1</v>
      </c>
      <c r="C671" t="s">
        <v>21</v>
      </c>
      <c r="D671" t="s">
        <v>95</v>
      </c>
      <c r="E671" t="s">
        <v>96</v>
      </c>
      <c r="F671">
        <v>150</v>
      </c>
      <c r="G671">
        <v>900</v>
      </c>
      <c r="H671">
        <v>-2</v>
      </c>
      <c r="I671">
        <v>1986</v>
      </c>
      <c r="J671" t="s">
        <v>32</v>
      </c>
      <c r="K671">
        <v>3270</v>
      </c>
      <c r="L671">
        <v>27.7</v>
      </c>
      <c r="M671">
        <v>12.62</v>
      </c>
      <c r="N671" s="4">
        <f t="shared" si="20"/>
        <v>6.0232264999999986E-2</v>
      </c>
      <c r="O671" s="4">
        <f t="shared" si="21"/>
        <v>0.76013118429999982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50</v>
      </c>
    </row>
    <row r="672" spans="1:22" x14ac:dyDescent="0.25">
      <c r="A672" t="s">
        <v>94</v>
      </c>
      <c r="B672">
        <v>1</v>
      </c>
      <c r="C672" t="s">
        <v>21</v>
      </c>
      <c r="D672" t="s">
        <v>95</v>
      </c>
      <c r="E672" t="s">
        <v>96</v>
      </c>
      <c r="F672">
        <v>150</v>
      </c>
      <c r="G672">
        <v>900</v>
      </c>
      <c r="H672">
        <v>-2</v>
      </c>
      <c r="I672">
        <v>1986</v>
      </c>
      <c r="J672" t="s">
        <v>32</v>
      </c>
      <c r="K672">
        <v>3271</v>
      </c>
      <c r="L672">
        <v>18.73</v>
      </c>
      <c r="M672">
        <v>8.5299999999999994</v>
      </c>
      <c r="N672" s="4">
        <f t="shared" si="20"/>
        <v>2.7538812650000001E-2</v>
      </c>
      <c r="O672" s="4">
        <f t="shared" si="21"/>
        <v>0.2349060719045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50</v>
      </c>
    </row>
    <row r="673" spans="1:22" x14ac:dyDescent="0.25">
      <c r="A673" t="s">
        <v>94</v>
      </c>
      <c r="B673">
        <v>1</v>
      </c>
      <c r="C673" t="s">
        <v>21</v>
      </c>
      <c r="D673" t="s">
        <v>95</v>
      </c>
      <c r="E673" t="s">
        <v>96</v>
      </c>
      <c r="F673">
        <v>150</v>
      </c>
      <c r="G673">
        <v>900</v>
      </c>
      <c r="H673">
        <v>-2</v>
      </c>
      <c r="I673">
        <v>1986</v>
      </c>
      <c r="J673" t="s">
        <v>32</v>
      </c>
      <c r="K673">
        <v>2569</v>
      </c>
      <c r="L673">
        <v>36.65</v>
      </c>
      <c r="M673">
        <v>16.690000000000001</v>
      </c>
      <c r="N673" s="4">
        <f t="shared" si="20"/>
        <v>0.10544296625000001</v>
      </c>
      <c r="O673" s="4">
        <f t="shared" si="21"/>
        <v>1.7598431067125002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50</v>
      </c>
    </row>
    <row r="674" spans="1:22" x14ac:dyDescent="0.25">
      <c r="A674" t="s">
        <v>94</v>
      </c>
      <c r="B674">
        <v>1</v>
      </c>
      <c r="C674" t="s">
        <v>21</v>
      </c>
      <c r="D674" t="s">
        <v>95</v>
      </c>
      <c r="E674" t="s">
        <v>96</v>
      </c>
      <c r="F674">
        <v>150</v>
      </c>
      <c r="G674">
        <v>900</v>
      </c>
      <c r="H674">
        <v>-2</v>
      </c>
      <c r="I674">
        <v>1986</v>
      </c>
      <c r="J674" t="s">
        <v>32</v>
      </c>
      <c r="K674">
        <v>1596</v>
      </c>
      <c r="L674">
        <v>25.84</v>
      </c>
      <c r="M674">
        <v>11.76</v>
      </c>
      <c r="N674" s="4">
        <f t="shared" si="20"/>
        <v>5.2414889600000007E-2</v>
      </c>
      <c r="O674" s="4">
        <f t="shared" si="21"/>
        <v>0.6163991016960001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50</v>
      </c>
    </row>
    <row r="675" spans="1:22" x14ac:dyDescent="0.25">
      <c r="A675" t="s">
        <v>94</v>
      </c>
      <c r="B675">
        <v>1</v>
      </c>
      <c r="C675" t="s">
        <v>21</v>
      </c>
      <c r="D675" t="s">
        <v>95</v>
      </c>
      <c r="E675" t="s">
        <v>96</v>
      </c>
      <c r="F675">
        <v>150</v>
      </c>
      <c r="G675">
        <v>900</v>
      </c>
      <c r="H675">
        <v>-2</v>
      </c>
      <c r="I675">
        <v>1986</v>
      </c>
      <c r="J675" t="s">
        <v>32</v>
      </c>
      <c r="K675">
        <v>3068</v>
      </c>
      <c r="L675">
        <v>4.1399999999999997</v>
      </c>
      <c r="M675">
        <v>1.89</v>
      </c>
      <c r="N675" s="4">
        <f t="shared" si="20"/>
        <v>1.3454586000000001E-3</v>
      </c>
      <c r="O675" s="4">
        <f t="shared" si="21"/>
        <v>2.5429167540000001E-3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50</v>
      </c>
    </row>
    <row r="676" spans="1:22" x14ac:dyDescent="0.25">
      <c r="A676" t="s">
        <v>94</v>
      </c>
      <c r="B676">
        <v>1</v>
      </c>
      <c r="C676" t="s">
        <v>21</v>
      </c>
      <c r="D676" t="s">
        <v>95</v>
      </c>
      <c r="E676" t="s">
        <v>96</v>
      </c>
      <c r="F676">
        <v>150</v>
      </c>
      <c r="G676">
        <v>900</v>
      </c>
      <c r="H676">
        <v>-2</v>
      </c>
      <c r="I676">
        <v>1986</v>
      </c>
      <c r="J676" t="s">
        <v>36</v>
      </c>
      <c r="K676">
        <v>3272</v>
      </c>
      <c r="L676">
        <v>26.63</v>
      </c>
      <c r="M676">
        <v>11.4</v>
      </c>
      <c r="N676" s="4">
        <f t="shared" si="20"/>
        <v>5.5668816649999994E-2</v>
      </c>
      <c r="O676" s="4">
        <f t="shared" si="21"/>
        <v>0.63462450980999996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50</v>
      </c>
    </row>
    <row r="677" spans="1:22" x14ac:dyDescent="0.25">
      <c r="A677" t="s">
        <v>94</v>
      </c>
      <c r="B677">
        <v>1</v>
      </c>
      <c r="C677" t="s">
        <v>21</v>
      </c>
      <c r="D677" t="s">
        <v>95</v>
      </c>
      <c r="E677" t="s">
        <v>96</v>
      </c>
      <c r="F677">
        <v>150</v>
      </c>
      <c r="G677">
        <v>900</v>
      </c>
      <c r="H677">
        <v>-2</v>
      </c>
      <c r="I677">
        <v>1986</v>
      </c>
      <c r="J677" t="s">
        <v>36</v>
      </c>
      <c r="K677">
        <v>3273</v>
      </c>
      <c r="L677">
        <v>10.1</v>
      </c>
      <c r="M677">
        <v>4.32</v>
      </c>
      <c r="N677" s="4">
        <f t="shared" si="20"/>
        <v>8.0077849999999982E-3</v>
      </c>
      <c r="O677" s="4">
        <f t="shared" si="21"/>
        <v>3.4593631199999995E-2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50</v>
      </c>
    </row>
    <row r="678" spans="1:22" x14ac:dyDescent="0.25">
      <c r="A678" t="s">
        <v>94</v>
      </c>
      <c r="B678">
        <v>1</v>
      </c>
      <c r="C678" t="s">
        <v>21</v>
      </c>
      <c r="D678" t="s">
        <v>95</v>
      </c>
      <c r="E678" t="s">
        <v>96</v>
      </c>
      <c r="F678">
        <v>150</v>
      </c>
      <c r="G678">
        <v>900</v>
      </c>
      <c r="H678">
        <v>-2</v>
      </c>
      <c r="I678">
        <v>1986</v>
      </c>
      <c r="J678" t="s">
        <v>36</v>
      </c>
      <c r="K678">
        <v>2573</v>
      </c>
      <c r="L678">
        <v>23.62</v>
      </c>
      <c r="M678">
        <v>10.11</v>
      </c>
      <c r="N678" s="4">
        <f t="shared" si="20"/>
        <v>4.3795495400000009E-2</v>
      </c>
      <c r="O678" s="4">
        <f t="shared" si="21"/>
        <v>0.44277245849400004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50</v>
      </c>
    </row>
    <row r="679" spans="1:22" x14ac:dyDescent="0.25">
      <c r="A679" t="s">
        <v>94</v>
      </c>
      <c r="B679">
        <v>1</v>
      </c>
      <c r="C679" t="s">
        <v>21</v>
      </c>
      <c r="D679" t="s">
        <v>95</v>
      </c>
      <c r="E679" t="s">
        <v>96</v>
      </c>
      <c r="F679">
        <v>150</v>
      </c>
      <c r="G679">
        <v>900</v>
      </c>
      <c r="H679">
        <v>-2</v>
      </c>
      <c r="I679">
        <v>1986</v>
      </c>
      <c r="J679" t="s">
        <v>97</v>
      </c>
      <c r="K679">
        <v>1257</v>
      </c>
      <c r="L679">
        <v>21.07</v>
      </c>
      <c r="M679">
        <v>9.6199999999999992</v>
      </c>
      <c r="N679" s="4">
        <f t="shared" si="20"/>
        <v>3.4849674650000002E-2</v>
      </c>
      <c r="O679" s="4">
        <f t="shared" si="21"/>
        <v>0.33525387013300001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50</v>
      </c>
    </row>
    <row r="680" spans="1:22" x14ac:dyDescent="0.25">
      <c r="A680" t="s">
        <v>94</v>
      </c>
      <c r="B680">
        <v>1</v>
      </c>
      <c r="C680" t="s">
        <v>21</v>
      </c>
      <c r="D680" t="s">
        <v>95</v>
      </c>
      <c r="E680" t="s">
        <v>96</v>
      </c>
      <c r="F680">
        <v>150</v>
      </c>
      <c r="G680">
        <v>900</v>
      </c>
      <c r="H680">
        <v>-2</v>
      </c>
      <c r="I680">
        <v>1986</v>
      </c>
      <c r="J680" t="s">
        <v>97</v>
      </c>
      <c r="K680">
        <v>1825</v>
      </c>
      <c r="L680">
        <v>19.809999999999999</v>
      </c>
      <c r="M680">
        <v>9.0500000000000007</v>
      </c>
      <c r="N680" s="4">
        <f t="shared" si="20"/>
        <v>3.080623385E-2</v>
      </c>
      <c r="O680" s="4">
        <f t="shared" si="21"/>
        <v>0.27879641634250002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50</v>
      </c>
    </row>
    <row r="681" spans="1:22" x14ac:dyDescent="0.25">
      <c r="A681" t="s">
        <v>94</v>
      </c>
      <c r="B681">
        <v>1</v>
      </c>
      <c r="C681" t="s">
        <v>21</v>
      </c>
      <c r="D681" t="s">
        <v>95</v>
      </c>
      <c r="E681" t="s">
        <v>96</v>
      </c>
      <c r="F681">
        <v>150</v>
      </c>
      <c r="G681">
        <v>900</v>
      </c>
      <c r="H681">
        <v>-2</v>
      </c>
      <c r="I681">
        <v>1986</v>
      </c>
      <c r="J681" t="s">
        <v>98</v>
      </c>
      <c r="K681">
        <v>2768</v>
      </c>
      <c r="L681">
        <v>32.090000000000003</v>
      </c>
      <c r="M681">
        <v>12.03</v>
      </c>
      <c r="N681" s="4">
        <f t="shared" si="20"/>
        <v>8.0836795850000018E-2</v>
      </c>
      <c r="O681" s="4">
        <f t="shared" si="21"/>
        <v>0.97246665407550015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50</v>
      </c>
    </row>
    <row r="682" spans="1:22" x14ac:dyDescent="0.25">
      <c r="A682" t="s">
        <v>94</v>
      </c>
      <c r="B682">
        <v>1</v>
      </c>
      <c r="C682" t="s">
        <v>21</v>
      </c>
      <c r="D682" t="s">
        <v>95</v>
      </c>
      <c r="E682" t="s">
        <v>96</v>
      </c>
      <c r="F682">
        <v>150</v>
      </c>
      <c r="G682">
        <v>900</v>
      </c>
      <c r="H682">
        <v>-2</v>
      </c>
      <c r="I682">
        <v>1986</v>
      </c>
      <c r="J682" t="s">
        <v>98</v>
      </c>
      <c r="K682">
        <v>1609</v>
      </c>
      <c r="L682">
        <v>33.99</v>
      </c>
      <c r="M682">
        <v>12.75</v>
      </c>
      <c r="N682" s="4">
        <f t="shared" si="20"/>
        <v>9.0692627850000013E-2</v>
      </c>
      <c r="O682" s="4">
        <f t="shared" si="21"/>
        <v>1.1563310050875002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50</v>
      </c>
    </row>
    <row r="683" spans="1:22" x14ac:dyDescent="0.25">
      <c r="A683" t="s">
        <v>94</v>
      </c>
      <c r="B683">
        <v>1</v>
      </c>
      <c r="C683" t="s">
        <v>21</v>
      </c>
      <c r="D683" t="s">
        <v>95</v>
      </c>
      <c r="E683" t="s">
        <v>96</v>
      </c>
      <c r="F683">
        <v>150</v>
      </c>
      <c r="G683">
        <v>900</v>
      </c>
      <c r="H683">
        <v>-2</v>
      </c>
      <c r="I683">
        <v>1986</v>
      </c>
      <c r="J683" t="s">
        <v>98</v>
      </c>
      <c r="K683">
        <v>3275</v>
      </c>
      <c r="L683">
        <v>15.25</v>
      </c>
      <c r="M683">
        <v>5.72</v>
      </c>
      <c r="N683" s="4">
        <f t="shared" si="20"/>
        <v>1.8256156249999999E-2</v>
      </c>
      <c r="O683" s="4">
        <f t="shared" si="21"/>
        <v>0.10442521375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50</v>
      </c>
    </row>
    <row r="684" spans="1:22" x14ac:dyDescent="0.25">
      <c r="A684" t="s">
        <v>94</v>
      </c>
      <c r="B684">
        <v>1</v>
      </c>
      <c r="C684" t="s">
        <v>21</v>
      </c>
      <c r="D684" t="s">
        <v>95</v>
      </c>
      <c r="E684" t="s">
        <v>96</v>
      </c>
      <c r="F684">
        <v>150</v>
      </c>
      <c r="G684">
        <v>900</v>
      </c>
      <c r="H684">
        <v>-2</v>
      </c>
      <c r="I684">
        <v>1986</v>
      </c>
      <c r="J684" t="s">
        <v>98</v>
      </c>
      <c r="K684">
        <v>3274</v>
      </c>
      <c r="L684">
        <v>26.87</v>
      </c>
      <c r="M684">
        <v>10.08</v>
      </c>
      <c r="N684" s="4">
        <f t="shared" si="20"/>
        <v>5.667675665E-2</v>
      </c>
      <c r="O684" s="4">
        <f t="shared" si="21"/>
        <v>0.57130170703200001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50</v>
      </c>
    </row>
    <row r="685" spans="1:22" x14ac:dyDescent="0.25">
      <c r="A685" t="s">
        <v>94</v>
      </c>
      <c r="B685">
        <v>2</v>
      </c>
      <c r="C685" t="s">
        <v>21</v>
      </c>
      <c r="D685" t="s">
        <v>95</v>
      </c>
      <c r="E685" t="s">
        <v>96</v>
      </c>
      <c r="F685">
        <v>150</v>
      </c>
      <c r="G685">
        <v>900</v>
      </c>
      <c r="H685">
        <v>-2</v>
      </c>
      <c r="I685">
        <v>1986</v>
      </c>
      <c r="J685" t="s">
        <v>76</v>
      </c>
      <c r="K685">
        <v>3266</v>
      </c>
      <c r="L685">
        <v>25.73</v>
      </c>
      <c r="M685">
        <v>11.75</v>
      </c>
      <c r="N685" s="4">
        <f t="shared" si="20"/>
        <v>5.1969582650000012E-2</v>
      </c>
      <c r="O685" s="4">
        <f t="shared" si="21"/>
        <v>0.61064259613750016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50</v>
      </c>
    </row>
    <row r="686" spans="1:22" x14ac:dyDescent="0.25">
      <c r="A686" t="s">
        <v>94</v>
      </c>
      <c r="B686">
        <v>2</v>
      </c>
      <c r="C686" t="s">
        <v>21</v>
      </c>
      <c r="D686" t="s">
        <v>95</v>
      </c>
      <c r="E686" t="s">
        <v>96</v>
      </c>
      <c r="F686">
        <v>150</v>
      </c>
      <c r="G686">
        <v>900</v>
      </c>
      <c r="H686">
        <v>-2</v>
      </c>
      <c r="I686">
        <v>1986</v>
      </c>
      <c r="J686" t="s">
        <v>76</v>
      </c>
      <c r="K686">
        <v>3267</v>
      </c>
      <c r="L686">
        <v>19.91</v>
      </c>
      <c r="M686">
        <v>13.63</v>
      </c>
      <c r="N686" s="4">
        <f t="shared" si="20"/>
        <v>3.111803585E-2</v>
      </c>
      <c r="O686" s="4">
        <f t="shared" si="21"/>
        <v>0.42413882863550001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50</v>
      </c>
    </row>
    <row r="687" spans="1:22" x14ac:dyDescent="0.25">
      <c r="A687" t="s">
        <v>94</v>
      </c>
      <c r="B687">
        <v>2</v>
      </c>
      <c r="C687" t="s">
        <v>21</v>
      </c>
      <c r="D687" t="s">
        <v>95</v>
      </c>
      <c r="E687" t="s">
        <v>96</v>
      </c>
      <c r="F687">
        <v>150</v>
      </c>
      <c r="G687">
        <v>900</v>
      </c>
      <c r="H687">
        <v>-2</v>
      </c>
      <c r="I687">
        <v>1986</v>
      </c>
      <c r="J687" t="s">
        <v>76</v>
      </c>
      <c r="K687">
        <v>3268</v>
      </c>
      <c r="L687">
        <v>17.690000000000001</v>
      </c>
      <c r="M687">
        <v>8.08</v>
      </c>
      <c r="N687" s="4">
        <f t="shared" si="20"/>
        <v>2.456548385E-2</v>
      </c>
      <c r="O687" s="4">
        <f t="shared" si="21"/>
        <v>0.198489109508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50</v>
      </c>
    </row>
    <row r="688" spans="1:22" x14ac:dyDescent="0.25">
      <c r="A688" t="s">
        <v>94</v>
      </c>
      <c r="B688">
        <v>2</v>
      </c>
      <c r="C688" t="s">
        <v>21</v>
      </c>
      <c r="D688" t="s">
        <v>95</v>
      </c>
      <c r="E688" t="s">
        <v>96</v>
      </c>
      <c r="F688">
        <v>150</v>
      </c>
      <c r="G688">
        <v>900</v>
      </c>
      <c r="H688">
        <v>-2</v>
      </c>
      <c r="I688">
        <v>1986</v>
      </c>
      <c r="J688" t="s">
        <v>76</v>
      </c>
      <c r="K688">
        <v>3269</v>
      </c>
      <c r="L688">
        <v>25.71</v>
      </c>
      <c r="M688">
        <v>11.74</v>
      </c>
      <c r="N688" s="4">
        <f t="shared" si="20"/>
        <v>5.1888821850000003E-2</v>
      </c>
      <c r="O688" s="4">
        <f t="shared" si="21"/>
        <v>0.60917476851899999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50</v>
      </c>
    </row>
    <row r="689" spans="1:22" x14ac:dyDescent="0.25">
      <c r="A689" t="s">
        <v>94</v>
      </c>
      <c r="B689">
        <v>2</v>
      </c>
      <c r="C689" t="s">
        <v>21</v>
      </c>
      <c r="D689" t="s">
        <v>95</v>
      </c>
      <c r="E689" t="s">
        <v>96</v>
      </c>
      <c r="F689">
        <v>150</v>
      </c>
      <c r="G689">
        <v>900</v>
      </c>
      <c r="H689">
        <v>-2</v>
      </c>
      <c r="I689">
        <v>1986</v>
      </c>
      <c r="J689" t="s">
        <v>76</v>
      </c>
      <c r="K689">
        <v>2770</v>
      </c>
      <c r="L689">
        <v>11.25</v>
      </c>
      <c r="M689">
        <v>5.14</v>
      </c>
      <c r="N689" s="4">
        <f t="shared" si="20"/>
        <v>9.9351562500000004E-3</v>
      </c>
      <c r="O689" s="4">
        <f t="shared" si="21"/>
        <v>5.1066703125000001E-2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50</v>
      </c>
    </row>
    <row r="690" spans="1:22" x14ac:dyDescent="0.25">
      <c r="A690" t="s">
        <v>94</v>
      </c>
      <c r="B690">
        <v>2</v>
      </c>
      <c r="C690" t="s">
        <v>21</v>
      </c>
      <c r="D690" t="s">
        <v>95</v>
      </c>
      <c r="E690" t="s">
        <v>96</v>
      </c>
      <c r="F690">
        <v>150</v>
      </c>
      <c r="G690">
        <v>900</v>
      </c>
      <c r="H690">
        <v>-2</v>
      </c>
      <c r="I690">
        <v>1986</v>
      </c>
      <c r="J690" t="s">
        <v>76</v>
      </c>
      <c r="K690">
        <v>2460</v>
      </c>
      <c r="L690">
        <v>25.85</v>
      </c>
      <c r="M690">
        <v>11.8</v>
      </c>
      <c r="N690" s="4">
        <f t="shared" si="20"/>
        <v>5.2455466249999999E-2</v>
      </c>
      <c r="O690" s="4">
        <f t="shared" si="21"/>
        <v>0.61897450175000002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50</v>
      </c>
    </row>
    <row r="691" spans="1:22" x14ac:dyDescent="0.25">
      <c r="A691" t="s">
        <v>94</v>
      </c>
      <c r="B691">
        <v>2</v>
      </c>
      <c r="C691" t="s">
        <v>21</v>
      </c>
      <c r="D691" t="s">
        <v>95</v>
      </c>
      <c r="E691" t="s">
        <v>96</v>
      </c>
      <c r="F691">
        <v>150</v>
      </c>
      <c r="G691">
        <v>900</v>
      </c>
      <c r="H691">
        <v>-2</v>
      </c>
      <c r="I691">
        <v>1986</v>
      </c>
      <c r="J691" t="s">
        <v>24</v>
      </c>
      <c r="K691">
        <v>2562</v>
      </c>
      <c r="L691">
        <v>33.6</v>
      </c>
      <c r="M691">
        <v>14.17</v>
      </c>
      <c r="N691" s="4">
        <f t="shared" si="20"/>
        <v>8.8623360000000012E-2</v>
      </c>
      <c r="O691" s="4">
        <f t="shared" si="21"/>
        <v>1.2557930112000002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50</v>
      </c>
    </row>
    <row r="692" spans="1:22" x14ac:dyDescent="0.25">
      <c r="A692" t="s">
        <v>94</v>
      </c>
      <c r="B692">
        <v>2</v>
      </c>
      <c r="C692" t="s">
        <v>21</v>
      </c>
      <c r="D692" t="s">
        <v>95</v>
      </c>
      <c r="E692" t="s">
        <v>96</v>
      </c>
      <c r="F692">
        <v>150</v>
      </c>
      <c r="G692">
        <v>900</v>
      </c>
      <c r="H692">
        <v>-2</v>
      </c>
      <c r="I692">
        <v>1986</v>
      </c>
      <c r="J692" t="s">
        <v>32</v>
      </c>
      <c r="K692">
        <v>3270</v>
      </c>
      <c r="L692">
        <v>35.78</v>
      </c>
      <c r="M692">
        <v>16.29</v>
      </c>
      <c r="N692" s="4">
        <f t="shared" si="20"/>
        <v>0.1004963594</v>
      </c>
      <c r="O692" s="4">
        <f t="shared" si="21"/>
        <v>1.637085694626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50</v>
      </c>
    </row>
    <row r="693" spans="1:22" x14ac:dyDescent="0.25">
      <c r="A693" t="s">
        <v>94</v>
      </c>
      <c r="B693">
        <v>2</v>
      </c>
      <c r="C693" t="s">
        <v>21</v>
      </c>
      <c r="D693" t="s">
        <v>95</v>
      </c>
      <c r="E693" t="s">
        <v>96</v>
      </c>
      <c r="F693">
        <v>150</v>
      </c>
      <c r="G693">
        <v>900</v>
      </c>
      <c r="H693">
        <v>-2</v>
      </c>
      <c r="I693">
        <v>1986</v>
      </c>
      <c r="J693" t="s">
        <v>32</v>
      </c>
      <c r="K693">
        <v>3271</v>
      </c>
      <c r="L693">
        <v>23.46</v>
      </c>
      <c r="M693">
        <v>10.68</v>
      </c>
      <c r="N693" s="4">
        <f t="shared" si="20"/>
        <v>4.3204170600000001E-2</v>
      </c>
      <c r="O693" s="4">
        <f t="shared" si="21"/>
        <v>0.46142054200799998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50</v>
      </c>
    </row>
    <row r="694" spans="1:22" x14ac:dyDescent="0.25">
      <c r="A694" t="s">
        <v>94</v>
      </c>
      <c r="B694">
        <v>2</v>
      </c>
      <c r="C694" t="s">
        <v>21</v>
      </c>
      <c r="D694" t="s">
        <v>95</v>
      </c>
      <c r="E694" t="s">
        <v>96</v>
      </c>
      <c r="F694">
        <v>150</v>
      </c>
      <c r="G694">
        <v>900</v>
      </c>
      <c r="H694">
        <v>-2</v>
      </c>
      <c r="I694">
        <v>1986</v>
      </c>
      <c r="J694" t="s">
        <v>32</v>
      </c>
      <c r="K694">
        <v>2569</v>
      </c>
      <c r="L694">
        <v>27.79</v>
      </c>
      <c r="M694">
        <v>12.65</v>
      </c>
      <c r="N694" s="4">
        <f t="shared" si="20"/>
        <v>6.0624301849999992E-2</v>
      </c>
      <c r="O694" s="4">
        <f t="shared" si="21"/>
        <v>0.76689741840249992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50</v>
      </c>
    </row>
    <row r="695" spans="1:22" x14ac:dyDescent="0.25">
      <c r="A695" t="s">
        <v>94</v>
      </c>
      <c r="B695">
        <v>2</v>
      </c>
      <c r="C695" t="s">
        <v>21</v>
      </c>
      <c r="D695" t="s">
        <v>95</v>
      </c>
      <c r="E695" t="s">
        <v>96</v>
      </c>
      <c r="F695">
        <v>150</v>
      </c>
      <c r="G695">
        <v>900</v>
      </c>
      <c r="H695">
        <v>-2</v>
      </c>
      <c r="I695">
        <v>1986</v>
      </c>
      <c r="J695" t="s">
        <v>32</v>
      </c>
      <c r="K695">
        <v>1596</v>
      </c>
      <c r="L695">
        <v>32.880000000000003</v>
      </c>
      <c r="M695">
        <v>14.98</v>
      </c>
      <c r="N695" s="4">
        <f t="shared" si="20"/>
        <v>8.4865910400000022E-2</v>
      </c>
      <c r="O695" s="4">
        <f t="shared" si="21"/>
        <v>1.2712913377920003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50</v>
      </c>
    </row>
    <row r="696" spans="1:22" x14ac:dyDescent="0.25">
      <c r="A696" t="s">
        <v>94</v>
      </c>
      <c r="B696">
        <v>2</v>
      </c>
      <c r="C696" t="s">
        <v>21</v>
      </c>
      <c r="D696" t="s">
        <v>95</v>
      </c>
      <c r="E696" t="s">
        <v>96</v>
      </c>
      <c r="F696">
        <v>150</v>
      </c>
      <c r="G696">
        <v>900</v>
      </c>
      <c r="H696">
        <v>-2</v>
      </c>
      <c r="I696">
        <v>1986</v>
      </c>
      <c r="J696" t="s">
        <v>32</v>
      </c>
      <c r="K696">
        <v>3068</v>
      </c>
      <c r="L696">
        <v>32.15</v>
      </c>
      <c r="M696">
        <v>14.64</v>
      </c>
      <c r="N696" s="4">
        <f t="shared" si="20"/>
        <v>8.1139366250000011E-2</v>
      </c>
      <c r="O696" s="4">
        <f t="shared" si="21"/>
        <v>1.1878803219000003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50</v>
      </c>
    </row>
    <row r="697" spans="1:22" x14ac:dyDescent="0.25">
      <c r="A697" t="s">
        <v>94</v>
      </c>
      <c r="B697">
        <v>2</v>
      </c>
      <c r="C697" t="s">
        <v>21</v>
      </c>
      <c r="D697" t="s">
        <v>95</v>
      </c>
      <c r="E697" t="s">
        <v>96</v>
      </c>
      <c r="F697">
        <v>150</v>
      </c>
      <c r="G697">
        <v>900</v>
      </c>
      <c r="H697">
        <v>-2</v>
      </c>
      <c r="I697">
        <v>1986</v>
      </c>
      <c r="J697" t="s">
        <v>36</v>
      </c>
      <c r="K697">
        <v>3272</v>
      </c>
      <c r="L697">
        <v>35.369999999999997</v>
      </c>
      <c r="M697">
        <v>15.14</v>
      </c>
      <c r="N697" s="4">
        <f t="shared" si="20"/>
        <v>9.8206396649999972E-2</v>
      </c>
      <c r="O697" s="4">
        <f t="shared" si="21"/>
        <v>1.4868448452809997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50</v>
      </c>
    </row>
    <row r="698" spans="1:22" x14ac:dyDescent="0.25">
      <c r="A698" t="s">
        <v>94</v>
      </c>
      <c r="B698">
        <v>2</v>
      </c>
      <c r="C698" t="s">
        <v>21</v>
      </c>
      <c r="D698" t="s">
        <v>95</v>
      </c>
      <c r="E698" t="s">
        <v>96</v>
      </c>
      <c r="F698">
        <v>150</v>
      </c>
      <c r="G698">
        <v>900</v>
      </c>
      <c r="H698">
        <v>-2</v>
      </c>
      <c r="I698">
        <v>1986</v>
      </c>
      <c r="J698" t="s">
        <v>36</v>
      </c>
      <c r="K698">
        <v>3273</v>
      </c>
      <c r="L698">
        <v>24.72</v>
      </c>
      <c r="M698">
        <v>10.58</v>
      </c>
      <c r="N698" s="4">
        <f t="shared" si="20"/>
        <v>4.7969654399999992E-2</v>
      </c>
      <c r="O698" s="4">
        <f t="shared" si="21"/>
        <v>0.50751894355199989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50</v>
      </c>
    </row>
    <row r="699" spans="1:22" x14ac:dyDescent="0.25">
      <c r="A699" t="s">
        <v>94</v>
      </c>
      <c r="B699">
        <v>2</v>
      </c>
      <c r="C699" t="s">
        <v>21</v>
      </c>
      <c r="D699" t="s">
        <v>95</v>
      </c>
      <c r="E699" t="s">
        <v>96</v>
      </c>
      <c r="F699">
        <v>150</v>
      </c>
      <c r="G699">
        <v>900</v>
      </c>
      <c r="H699">
        <v>-2</v>
      </c>
      <c r="I699">
        <v>1986</v>
      </c>
      <c r="J699" t="s">
        <v>36</v>
      </c>
      <c r="K699">
        <v>2573</v>
      </c>
      <c r="L699">
        <v>27.66</v>
      </c>
      <c r="M699">
        <v>11.83</v>
      </c>
      <c r="N699" s="4">
        <f t="shared" si="20"/>
        <v>6.0058434600000002E-2</v>
      </c>
      <c r="O699" s="4">
        <f t="shared" si="21"/>
        <v>0.71049128131799999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50</v>
      </c>
    </row>
    <row r="700" spans="1:22" x14ac:dyDescent="0.25">
      <c r="A700" t="s">
        <v>94</v>
      </c>
      <c r="B700">
        <v>2</v>
      </c>
      <c r="C700" t="s">
        <v>21</v>
      </c>
      <c r="D700" t="s">
        <v>95</v>
      </c>
      <c r="E700" t="s">
        <v>96</v>
      </c>
      <c r="F700">
        <v>150</v>
      </c>
      <c r="G700">
        <v>900</v>
      </c>
      <c r="H700">
        <v>-2</v>
      </c>
      <c r="I700">
        <v>1986</v>
      </c>
      <c r="J700" t="s">
        <v>97</v>
      </c>
      <c r="K700">
        <v>1257</v>
      </c>
      <c r="L700">
        <v>26.18</v>
      </c>
      <c r="M700">
        <v>11.96</v>
      </c>
      <c r="N700" s="4">
        <f t="shared" si="20"/>
        <v>5.3803303399999995E-2</v>
      </c>
      <c r="O700" s="4">
        <f t="shared" si="21"/>
        <v>0.64348750866399995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50</v>
      </c>
    </row>
    <row r="701" spans="1:22" x14ac:dyDescent="0.25">
      <c r="A701" t="s">
        <v>94</v>
      </c>
      <c r="B701">
        <v>2</v>
      </c>
      <c r="C701" t="s">
        <v>21</v>
      </c>
      <c r="D701" t="s">
        <v>95</v>
      </c>
      <c r="E701" t="s">
        <v>96</v>
      </c>
      <c r="F701">
        <v>150</v>
      </c>
      <c r="G701">
        <v>900</v>
      </c>
      <c r="H701">
        <v>-2</v>
      </c>
      <c r="I701">
        <v>1986</v>
      </c>
      <c r="J701" t="s">
        <v>97</v>
      </c>
      <c r="K701">
        <v>1825</v>
      </c>
      <c r="L701">
        <v>17.5</v>
      </c>
      <c r="M701">
        <v>7.99</v>
      </c>
      <c r="N701" s="4">
        <f t="shared" si="20"/>
        <v>2.4040624999999999E-2</v>
      </c>
      <c r="O701" s="4">
        <f t="shared" si="21"/>
        <v>0.19208459375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50</v>
      </c>
    </row>
    <row r="702" spans="1:22" x14ac:dyDescent="0.25">
      <c r="A702" t="s">
        <v>94</v>
      </c>
      <c r="B702">
        <v>2</v>
      </c>
      <c r="C702" t="s">
        <v>21</v>
      </c>
      <c r="D702" t="s">
        <v>95</v>
      </c>
      <c r="E702" t="s">
        <v>96</v>
      </c>
      <c r="F702">
        <v>150</v>
      </c>
      <c r="G702">
        <v>900</v>
      </c>
      <c r="H702">
        <v>-2</v>
      </c>
      <c r="I702">
        <v>1986</v>
      </c>
      <c r="J702" t="s">
        <v>98</v>
      </c>
      <c r="K702">
        <v>2768</v>
      </c>
      <c r="L702">
        <v>29.91</v>
      </c>
      <c r="M702">
        <v>11.22</v>
      </c>
      <c r="N702" s="4">
        <f t="shared" si="20"/>
        <v>7.0226735849999999E-2</v>
      </c>
      <c r="O702" s="4">
        <f t="shared" si="21"/>
        <v>0.78794397623700008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50</v>
      </c>
    </row>
    <row r="703" spans="1:22" x14ac:dyDescent="0.25">
      <c r="A703" t="s">
        <v>94</v>
      </c>
      <c r="B703">
        <v>2</v>
      </c>
      <c r="C703" t="s">
        <v>21</v>
      </c>
      <c r="D703" t="s">
        <v>95</v>
      </c>
      <c r="E703" t="s">
        <v>96</v>
      </c>
      <c r="F703">
        <v>150</v>
      </c>
      <c r="G703">
        <v>900</v>
      </c>
      <c r="H703">
        <v>-2</v>
      </c>
      <c r="I703">
        <v>1986</v>
      </c>
      <c r="J703" t="s">
        <v>98</v>
      </c>
      <c r="K703">
        <v>1609</v>
      </c>
      <c r="L703">
        <v>21.89</v>
      </c>
      <c r="M703">
        <v>8.2100000000000009</v>
      </c>
      <c r="N703" s="4">
        <f t="shared" si="20"/>
        <v>3.7615009850000006E-2</v>
      </c>
      <c r="O703" s="4">
        <f t="shared" si="21"/>
        <v>0.30881923086850011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50</v>
      </c>
    </row>
    <row r="704" spans="1:22" x14ac:dyDescent="0.25">
      <c r="A704" t="s">
        <v>94</v>
      </c>
      <c r="B704">
        <v>2</v>
      </c>
      <c r="C704" t="s">
        <v>21</v>
      </c>
      <c r="D704" t="s">
        <v>95</v>
      </c>
      <c r="E704" t="s">
        <v>96</v>
      </c>
      <c r="F704">
        <v>150</v>
      </c>
      <c r="G704">
        <v>900</v>
      </c>
      <c r="H704">
        <v>-2</v>
      </c>
      <c r="I704">
        <v>1986</v>
      </c>
      <c r="J704" t="s">
        <v>98</v>
      </c>
      <c r="K704">
        <v>3275</v>
      </c>
      <c r="L704">
        <v>28.19</v>
      </c>
      <c r="M704">
        <v>10.57</v>
      </c>
      <c r="N704" s="4">
        <f t="shared" si="20"/>
        <v>6.2382073850000018E-2</v>
      </c>
      <c r="O704" s="4">
        <f t="shared" si="21"/>
        <v>0.65937852059450019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50</v>
      </c>
    </row>
    <row r="705" spans="1:22" x14ac:dyDescent="0.25">
      <c r="A705" t="s">
        <v>94</v>
      </c>
      <c r="B705">
        <v>2</v>
      </c>
      <c r="C705" t="s">
        <v>21</v>
      </c>
      <c r="D705" t="s">
        <v>95</v>
      </c>
      <c r="E705" t="s">
        <v>96</v>
      </c>
      <c r="F705">
        <v>150</v>
      </c>
      <c r="G705">
        <v>900</v>
      </c>
      <c r="H705">
        <v>-2</v>
      </c>
      <c r="I705">
        <v>1986</v>
      </c>
      <c r="J705" t="s">
        <v>98</v>
      </c>
      <c r="K705">
        <v>3274</v>
      </c>
      <c r="L705">
        <v>19.920000000000002</v>
      </c>
      <c r="M705">
        <v>7.47</v>
      </c>
      <c r="N705" s="4">
        <f t="shared" si="20"/>
        <v>3.1149302400000002E-2</v>
      </c>
      <c r="O705" s="4">
        <f t="shared" si="21"/>
        <v>0.232685288928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50</v>
      </c>
    </row>
    <row r="706" spans="1:22" x14ac:dyDescent="0.25">
      <c r="A706" t="s">
        <v>94</v>
      </c>
      <c r="B706">
        <v>3</v>
      </c>
      <c r="C706" t="s">
        <v>21</v>
      </c>
      <c r="D706" t="s">
        <v>95</v>
      </c>
      <c r="E706" t="s">
        <v>96</v>
      </c>
      <c r="F706">
        <v>150</v>
      </c>
      <c r="G706">
        <v>900</v>
      </c>
      <c r="H706">
        <v>-2</v>
      </c>
      <c r="I706">
        <v>1986</v>
      </c>
      <c r="J706" t="s">
        <v>76</v>
      </c>
      <c r="K706">
        <v>3266</v>
      </c>
      <c r="L706">
        <v>20.16</v>
      </c>
      <c r="M706">
        <v>9.2100000000000009</v>
      </c>
      <c r="N706" s="4">
        <f t="shared" si="20"/>
        <v>3.1904409600000003E-2</v>
      </c>
      <c r="O706" s="4">
        <f t="shared" si="21"/>
        <v>0.29383961241600004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50</v>
      </c>
    </row>
    <row r="707" spans="1:22" x14ac:dyDescent="0.25">
      <c r="A707" t="s">
        <v>94</v>
      </c>
      <c r="B707">
        <v>3</v>
      </c>
      <c r="C707" t="s">
        <v>21</v>
      </c>
      <c r="D707" t="s">
        <v>95</v>
      </c>
      <c r="E707" t="s">
        <v>96</v>
      </c>
      <c r="F707">
        <v>150</v>
      </c>
      <c r="G707">
        <v>900</v>
      </c>
      <c r="H707">
        <v>-2</v>
      </c>
      <c r="I707">
        <v>1986</v>
      </c>
      <c r="J707" t="s">
        <v>76</v>
      </c>
      <c r="K707">
        <v>3267</v>
      </c>
      <c r="L707">
        <v>16.63</v>
      </c>
      <c r="M707">
        <v>7.59</v>
      </c>
      <c r="N707" s="4">
        <f t="shared" ref="N707:N737" si="22">3.14/4*((L707/100)^2)</f>
        <v>2.1709716650000002E-2</v>
      </c>
      <c r="O707" s="4">
        <f t="shared" ref="O707:O737" si="23">3.14/4*((L707/100)^2)*M707</f>
        <v>0.16477674937350001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50</v>
      </c>
    </row>
    <row r="708" spans="1:22" x14ac:dyDescent="0.25">
      <c r="A708" t="s">
        <v>94</v>
      </c>
      <c r="B708">
        <v>3</v>
      </c>
      <c r="C708" t="s">
        <v>21</v>
      </c>
      <c r="D708" t="s">
        <v>95</v>
      </c>
      <c r="E708" t="s">
        <v>96</v>
      </c>
      <c r="F708">
        <v>150</v>
      </c>
      <c r="G708">
        <v>900</v>
      </c>
      <c r="H708">
        <v>-2</v>
      </c>
      <c r="I708">
        <v>1986</v>
      </c>
      <c r="J708" t="s">
        <v>76</v>
      </c>
      <c r="K708">
        <v>3268</v>
      </c>
      <c r="L708">
        <v>14.31</v>
      </c>
      <c r="M708">
        <v>6.53</v>
      </c>
      <c r="N708" s="4">
        <f t="shared" si="22"/>
        <v>1.6074923850000002E-2</v>
      </c>
      <c r="O708" s="4">
        <f t="shared" si="23"/>
        <v>0.10496925274050002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50</v>
      </c>
    </row>
    <row r="709" spans="1:22" x14ac:dyDescent="0.25">
      <c r="A709" t="s">
        <v>94</v>
      </c>
      <c r="B709">
        <v>3</v>
      </c>
      <c r="C709" t="s">
        <v>21</v>
      </c>
      <c r="D709" t="s">
        <v>95</v>
      </c>
      <c r="E709" t="s">
        <v>96</v>
      </c>
      <c r="F709">
        <v>150</v>
      </c>
      <c r="G709">
        <v>900</v>
      </c>
      <c r="H709">
        <v>-2</v>
      </c>
      <c r="I709">
        <v>1986</v>
      </c>
      <c r="J709" t="s">
        <v>76</v>
      </c>
      <c r="K709">
        <v>3269</v>
      </c>
      <c r="L709">
        <v>25.34</v>
      </c>
      <c r="M709">
        <v>11.57</v>
      </c>
      <c r="N709" s="4">
        <f t="shared" si="22"/>
        <v>5.0406074600000003E-2</v>
      </c>
      <c r="O709" s="4">
        <f t="shared" si="23"/>
        <v>0.58319828312200006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50</v>
      </c>
    </row>
    <row r="710" spans="1:22" x14ac:dyDescent="0.25">
      <c r="A710" t="s">
        <v>94</v>
      </c>
      <c r="B710">
        <v>3</v>
      </c>
      <c r="C710" t="s">
        <v>21</v>
      </c>
      <c r="D710" t="s">
        <v>95</v>
      </c>
      <c r="E710" t="s">
        <v>96</v>
      </c>
      <c r="F710">
        <v>150</v>
      </c>
      <c r="G710">
        <v>900</v>
      </c>
      <c r="H710">
        <v>-2</v>
      </c>
      <c r="I710">
        <v>1986</v>
      </c>
      <c r="J710" t="s">
        <v>76</v>
      </c>
      <c r="K710">
        <v>2770</v>
      </c>
      <c r="L710">
        <v>15.23</v>
      </c>
      <c r="M710">
        <v>6.96</v>
      </c>
      <c r="N710" s="4">
        <f t="shared" si="22"/>
        <v>1.8208302649999997E-2</v>
      </c>
      <c r="O710" s="4">
        <f t="shared" si="23"/>
        <v>0.12672978644399999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50</v>
      </c>
    </row>
    <row r="711" spans="1:22" x14ac:dyDescent="0.25">
      <c r="A711" t="s">
        <v>94</v>
      </c>
      <c r="B711">
        <v>3</v>
      </c>
      <c r="C711" t="s">
        <v>21</v>
      </c>
      <c r="D711" t="s">
        <v>95</v>
      </c>
      <c r="E711" t="s">
        <v>96</v>
      </c>
      <c r="F711">
        <v>150</v>
      </c>
      <c r="G711">
        <v>900</v>
      </c>
      <c r="H711">
        <v>-2</v>
      </c>
      <c r="I711">
        <v>1986</v>
      </c>
      <c r="J711" t="s">
        <v>76</v>
      </c>
      <c r="K711">
        <v>2460</v>
      </c>
      <c r="L711">
        <v>24.16</v>
      </c>
      <c r="M711">
        <v>11.03</v>
      </c>
      <c r="N711" s="4">
        <f t="shared" si="22"/>
        <v>4.5820889600000005E-2</v>
      </c>
      <c r="O711" s="4">
        <f t="shared" si="23"/>
        <v>0.50540441228800004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50</v>
      </c>
    </row>
    <row r="712" spans="1:22" x14ac:dyDescent="0.25">
      <c r="A712" t="s">
        <v>94</v>
      </c>
      <c r="B712">
        <v>3</v>
      </c>
      <c r="C712" t="s">
        <v>21</v>
      </c>
      <c r="D712" t="s">
        <v>95</v>
      </c>
      <c r="E712" t="s">
        <v>96</v>
      </c>
      <c r="F712">
        <v>150</v>
      </c>
      <c r="G712">
        <v>900</v>
      </c>
      <c r="H712">
        <v>-2</v>
      </c>
      <c r="I712">
        <v>1986</v>
      </c>
      <c r="J712" t="s">
        <v>24</v>
      </c>
      <c r="K712">
        <v>2562</v>
      </c>
      <c r="L712">
        <v>29.11</v>
      </c>
      <c r="M712">
        <v>12.28</v>
      </c>
      <c r="N712" s="4">
        <f t="shared" si="22"/>
        <v>6.6520279849999989E-2</v>
      </c>
      <c r="O712" s="4">
        <f t="shared" si="23"/>
        <v>0.81686903655799981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50</v>
      </c>
    </row>
    <row r="713" spans="1:22" x14ac:dyDescent="0.25">
      <c r="A713" t="s">
        <v>94</v>
      </c>
      <c r="B713">
        <v>3</v>
      </c>
      <c r="C713" t="s">
        <v>21</v>
      </c>
      <c r="D713" t="s">
        <v>95</v>
      </c>
      <c r="E713" t="s">
        <v>96</v>
      </c>
      <c r="F713">
        <v>150</v>
      </c>
      <c r="G713">
        <v>900</v>
      </c>
      <c r="H713">
        <v>-2</v>
      </c>
      <c r="I713">
        <v>1986</v>
      </c>
      <c r="J713" t="s">
        <v>32</v>
      </c>
      <c r="K713">
        <v>3270</v>
      </c>
      <c r="L713">
        <v>29.29</v>
      </c>
      <c r="M713">
        <v>13.33</v>
      </c>
      <c r="N713" s="4">
        <f t="shared" si="22"/>
        <v>6.7345471850000005E-2</v>
      </c>
      <c r="O713" s="4">
        <f t="shared" si="23"/>
        <v>0.8977151397605001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50</v>
      </c>
    </row>
    <row r="714" spans="1:22" x14ac:dyDescent="0.25">
      <c r="A714" t="s">
        <v>94</v>
      </c>
      <c r="B714">
        <v>3</v>
      </c>
      <c r="C714" t="s">
        <v>21</v>
      </c>
      <c r="D714" t="s">
        <v>95</v>
      </c>
      <c r="E714" t="s">
        <v>96</v>
      </c>
      <c r="F714">
        <v>150</v>
      </c>
      <c r="G714">
        <v>900</v>
      </c>
      <c r="H714">
        <v>-2</v>
      </c>
      <c r="I714">
        <v>1986</v>
      </c>
      <c r="J714" t="s">
        <v>32</v>
      </c>
      <c r="K714">
        <v>3271</v>
      </c>
      <c r="L714">
        <v>12.2</v>
      </c>
      <c r="M714">
        <v>5.56</v>
      </c>
      <c r="N714" s="4">
        <f t="shared" si="22"/>
        <v>1.168394E-2</v>
      </c>
      <c r="O714" s="4">
        <f t="shared" si="23"/>
        <v>6.49627064E-2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50</v>
      </c>
    </row>
    <row r="715" spans="1:22" x14ac:dyDescent="0.25">
      <c r="A715" t="s">
        <v>94</v>
      </c>
      <c r="B715">
        <v>3</v>
      </c>
      <c r="C715" t="s">
        <v>21</v>
      </c>
      <c r="D715" t="s">
        <v>95</v>
      </c>
      <c r="E715" t="s">
        <v>96</v>
      </c>
      <c r="F715">
        <v>150</v>
      </c>
      <c r="G715">
        <v>900</v>
      </c>
      <c r="H715">
        <v>-2</v>
      </c>
      <c r="I715">
        <v>1986</v>
      </c>
      <c r="J715" t="s">
        <v>32</v>
      </c>
      <c r="K715">
        <v>2569</v>
      </c>
      <c r="L715">
        <v>22.89</v>
      </c>
      <c r="M715">
        <v>10.42</v>
      </c>
      <c r="N715" s="4">
        <f t="shared" si="22"/>
        <v>4.113023985E-2</v>
      </c>
      <c r="O715" s="4">
        <f t="shared" si="23"/>
        <v>0.42857709923699999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50</v>
      </c>
    </row>
    <row r="716" spans="1:22" x14ac:dyDescent="0.25">
      <c r="A716" t="s">
        <v>94</v>
      </c>
      <c r="B716">
        <v>3</v>
      </c>
      <c r="C716" t="s">
        <v>21</v>
      </c>
      <c r="D716" t="s">
        <v>95</v>
      </c>
      <c r="E716" t="s">
        <v>96</v>
      </c>
      <c r="F716">
        <v>150</v>
      </c>
      <c r="G716">
        <v>900</v>
      </c>
      <c r="H716">
        <v>-2</v>
      </c>
      <c r="I716">
        <v>1986</v>
      </c>
      <c r="J716" t="s">
        <v>32</v>
      </c>
      <c r="K716">
        <v>1596</v>
      </c>
      <c r="L716">
        <v>30.15</v>
      </c>
      <c r="M716">
        <v>13.73</v>
      </c>
      <c r="N716" s="4">
        <f t="shared" si="22"/>
        <v>7.1358266249999996E-2</v>
      </c>
      <c r="O716" s="4">
        <f t="shared" si="23"/>
        <v>0.97974899561249995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50</v>
      </c>
    </row>
    <row r="717" spans="1:22" x14ac:dyDescent="0.25">
      <c r="A717" t="s">
        <v>94</v>
      </c>
      <c r="B717">
        <v>3</v>
      </c>
      <c r="C717" t="s">
        <v>21</v>
      </c>
      <c r="D717" t="s">
        <v>95</v>
      </c>
      <c r="E717" t="s">
        <v>96</v>
      </c>
      <c r="F717">
        <v>150</v>
      </c>
      <c r="G717">
        <v>900</v>
      </c>
      <c r="H717">
        <v>-2</v>
      </c>
      <c r="I717">
        <v>1986</v>
      </c>
      <c r="J717" t="s">
        <v>32</v>
      </c>
      <c r="K717">
        <v>3068</v>
      </c>
      <c r="L717">
        <v>29.76</v>
      </c>
      <c r="M717">
        <v>13.55</v>
      </c>
      <c r="N717" s="4">
        <f t="shared" si="22"/>
        <v>6.9524121600000016E-2</v>
      </c>
      <c r="O717" s="4">
        <f t="shared" si="23"/>
        <v>0.94205184768000028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50</v>
      </c>
    </row>
    <row r="718" spans="1:22" x14ac:dyDescent="0.25">
      <c r="A718" t="s">
        <v>94</v>
      </c>
      <c r="B718">
        <v>3</v>
      </c>
      <c r="C718" t="s">
        <v>21</v>
      </c>
      <c r="D718" t="s">
        <v>95</v>
      </c>
      <c r="E718" t="s">
        <v>96</v>
      </c>
      <c r="F718">
        <v>150</v>
      </c>
      <c r="G718">
        <v>900</v>
      </c>
      <c r="H718">
        <v>-2</v>
      </c>
      <c r="I718">
        <v>1986</v>
      </c>
      <c r="J718" t="s">
        <v>36</v>
      </c>
      <c r="K718">
        <v>3272</v>
      </c>
      <c r="L718">
        <v>33.68</v>
      </c>
      <c r="M718">
        <v>14.41</v>
      </c>
      <c r="N718" s="4">
        <f t="shared" si="22"/>
        <v>8.90458784E-2</v>
      </c>
      <c r="O718" s="4">
        <f t="shared" si="23"/>
        <v>1.2831511077440001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50</v>
      </c>
    </row>
    <row r="719" spans="1:22" x14ac:dyDescent="0.25">
      <c r="A719" t="s">
        <v>94</v>
      </c>
      <c r="B719">
        <v>3</v>
      </c>
      <c r="C719" t="s">
        <v>21</v>
      </c>
      <c r="D719" t="s">
        <v>95</v>
      </c>
      <c r="E719" t="s">
        <v>96</v>
      </c>
      <c r="F719">
        <v>150</v>
      </c>
      <c r="G719">
        <v>900</v>
      </c>
      <c r="H719">
        <v>-2</v>
      </c>
      <c r="I719">
        <v>1986</v>
      </c>
      <c r="J719" t="s">
        <v>36</v>
      </c>
      <c r="K719">
        <v>3273</v>
      </c>
      <c r="L719">
        <v>25.85</v>
      </c>
      <c r="M719">
        <v>11.06</v>
      </c>
      <c r="N719" s="4">
        <f t="shared" si="22"/>
        <v>5.2455466249999999E-2</v>
      </c>
      <c r="O719" s="4">
        <f t="shared" si="23"/>
        <v>0.58015745672499996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50</v>
      </c>
    </row>
    <row r="720" spans="1:22" x14ac:dyDescent="0.25">
      <c r="A720" t="s">
        <v>94</v>
      </c>
      <c r="B720">
        <v>3</v>
      </c>
      <c r="C720" t="s">
        <v>21</v>
      </c>
      <c r="D720" t="s">
        <v>95</v>
      </c>
      <c r="E720" t="s">
        <v>96</v>
      </c>
      <c r="F720">
        <v>150</v>
      </c>
      <c r="G720">
        <v>900</v>
      </c>
      <c r="H720">
        <v>-2</v>
      </c>
      <c r="I720">
        <v>1986</v>
      </c>
      <c r="J720" t="s">
        <v>36</v>
      </c>
      <c r="K720">
        <v>2573</v>
      </c>
      <c r="L720">
        <v>20.72</v>
      </c>
      <c r="M720">
        <v>8.8699999999999992</v>
      </c>
      <c r="N720" s="4">
        <f t="shared" si="22"/>
        <v>3.3701494400000004E-2</v>
      </c>
      <c r="O720" s="4">
        <f t="shared" si="23"/>
        <v>0.298932255328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50</v>
      </c>
    </row>
    <row r="721" spans="1:22" x14ac:dyDescent="0.25">
      <c r="A721" t="s">
        <v>94</v>
      </c>
      <c r="B721">
        <v>3</v>
      </c>
      <c r="C721" t="s">
        <v>21</v>
      </c>
      <c r="D721" t="s">
        <v>95</v>
      </c>
      <c r="E721" t="s">
        <v>96</v>
      </c>
      <c r="F721">
        <v>150</v>
      </c>
      <c r="G721">
        <v>900</v>
      </c>
      <c r="H721">
        <v>-2</v>
      </c>
      <c r="I721">
        <v>1986</v>
      </c>
      <c r="J721" t="s">
        <v>97</v>
      </c>
      <c r="K721">
        <v>1257</v>
      </c>
      <c r="L721">
        <v>21.27</v>
      </c>
      <c r="M721">
        <v>9.7200000000000006</v>
      </c>
      <c r="N721" s="4">
        <f t="shared" si="22"/>
        <v>3.5514412650000007E-2</v>
      </c>
      <c r="O721" s="4">
        <f t="shared" si="23"/>
        <v>0.34520009095800008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50</v>
      </c>
    </row>
    <row r="722" spans="1:22" x14ac:dyDescent="0.25">
      <c r="A722" t="s">
        <v>94</v>
      </c>
      <c r="B722">
        <v>3</v>
      </c>
      <c r="C722" t="s">
        <v>21</v>
      </c>
      <c r="D722" t="s">
        <v>95</v>
      </c>
      <c r="E722" t="s">
        <v>96</v>
      </c>
      <c r="F722">
        <v>150</v>
      </c>
      <c r="G722">
        <v>900</v>
      </c>
      <c r="H722">
        <v>-2</v>
      </c>
      <c r="I722">
        <v>1986</v>
      </c>
      <c r="J722" t="s">
        <v>97</v>
      </c>
      <c r="K722">
        <v>1825</v>
      </c>
      <c r="L722">
        <v>19.63</v>
      </c>
      <c r="M722">
        <v>8.9700000000000006</v>
      </c>
      <c r="N722" s="4">
        <f t="shared" si="22"/>
        <v>3.0248946650000004E-2</v>
      </c>
      <c r="O722" s="4">
        <f t="shared" si="23"/>
        <v>0.27133305145050007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50</v>
      </c>
    </row>
    <row r="723" spans="1:22" x14ac:dyDescent="0.25">
      <c r="A723" t="s">
        <v>94</v>
      </c>
      <c r="B723">
        <v>3</v>
      </c>
      <c r="C723" t="s">
        <v>21</v>
      </c>
      <c r="D723" t="s">
        <v>95</v>
      </c>
      <c r="E723" t="s">
        <v>96</v>
      </c>
      <c r="F723">
        <v>150</v>
      </c>
      <c r="G723">
        <v>900</v>
      </c>
      <c r="H723">
        <v>-2</v>
      </c>
      <c r="I723">
        <v>1986</v>
      </c>
      <c r="J723" t="s">
        <v>98</v>
      </c>
      <c r="K723">
        <v>2768</v>
      </c>
      <c r="L723">
        <v>26.37</v>
      </c>
      <c r="M723">
        <v>9.89</v>
      </c>
      <c r="N723" s="4">
        <f t="shared" si="22"/>
        <v>5.4587086649999998E-2</v>
      </c>
      <c r="O723" s="4">
        <f t="shared" si="23"/>
        <v>0.53986628696850003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50</v>
      </c>
    </row>
    <row r="724" spans="1:22" x14ac:dyDescent="0.25">
      <c r="A724" t="s">
        <v>94</v>
      </c>
      <c r="B724">
        <v>3</v>
      </c>
      <c r="C724" t="s">
        <v>21</v>
      </c>
      <c r="D724" t="s">
        <v>95</v>
      </c>
      <c r="E724" t="s">
        <v>96</v>
      </c>
      <c r="F724">
        <v>150</v>
      </c>
      <c r="G724">
        <v>900</v>
      </c>
      <c r="H724">
        <v>-2</v>
      </c>
      <c r="I724">
        <v>1986</v>
      </c>
      <c r="J724" t="s">
        <v>98</v>
      </c>
      <c r="K724">
        <v>1609</v>
      </c>
      <c r="L724">
        <v>26.19</v>
      </c>
      <c r="M724">
        <v>9.82</v>
      </c>
      <c r="N724" s="4">
        <f t="shared" si="22"/>
        <v>5.3844413850000009E-2</v>
      </c>
      <c r="O724" s="4">
        <f t="shared" si="23"/>
        <v>0.5287521440070001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50</v>
      </c>
    </row>
    <row r="725" spans="1:22" x14ac:dyDescent="0.25">
      <c r="A725" t="s">
        <v>94</v>
      </c>
      <c r="B725">
        <v>3</v>
      </c>
      <c r="C725" t="s">
        <v>21</v>
      </c>
      <c r="D725" t="s">
        <v>95</v>
      </c>
      <c r="E725" t="s">
        <v>96</v>
      </c>
      <c r="F725">
        <v>150</v>
      </c>
      <c r="G725">
        <v>900</v>
      </c>
      <c r="H725">
        <v>-2</v>
      </c>
      <c r="I725">
        <v>1986</v>
      </c>
      <c r="J725" t="s">
        <v>98</v>
      </c>
      <c r="K725">
        <v>3275</v>
      </c>
      <c r="L725">
        <v>17.350000000000001</v>
      </c>
      <c r="M725">
        <v>6.51</v>
      </c>
      <c r="N725" s="4">
        <f t="shared" si="22"/>
        <v>2.3630266250000004E-2</v>
      </c>
      <c r="O725" s="4">
        <f t="shared" si="23"/>
        <v>0.15383303328750003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50</v>
      </c>
    </row>
    <row r="726" spans="1:22" x14ac:dyDescent="0.25">
      <c r="A726" t="s">
        <v>94</v>
      </c>
      <c r="B726">
        <v>3</v>
      </c>
      <c r="C726" t="s">
        <v>21</v>
      </c>
      <c r="D726" t="s">
        <v>95</v>
      </c>
      <c r="E726" t="s">
        <v>96</v>
      </c>
      <c r="F726">
        <v>150</v>
      </c>
      <c r="G726">
        <v>900</v>
      </c>
      <c r="H726">
        <v>-2</v>
      </c>
      <c r="I726">
        <v>1986</v>
      </c>
      <c r="J726" t="s">
        <v>98</v>
      </c>
      <c r="K726">
        <v>3274</v>
      </c>
      <c r="L726">
        <v>20.57</v>
      </c>
      <c r="M726">
        <v>7.71</v>
      </c>
      <c r="N726" s="4">
        <f t="shared" si="22"/>
        <v>3.3215304649999999E-2</v>
      </c>
      <c r="O726" s="4">
        <f t="shared" si="23"/>
        <v>0.25608999885149997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50</v>
      </c>
    </row>
    <row r="727" spans="1:22" x14ac:dyDescent="0.25">
      <c r="A727" t="s">
        <v>99</v>
      </c>
      <c r="B727">
        <v>1</v>
      </c>
      <c r="C727" t="s">
        <v>100</v>
      </c>
      <c r="D727" t="s">
        <v>101</v>
      </c>
      <c r="E727" t="s">
        <v>102</v>
      </c>
      <c r="F727">
        <v>150</v>
      </c>
      <c r="G727">
        <v>1750</v>
      </c>
      <c r="H727">
        <v>-2</v>
      </c>
      <c r="I727">
        <v>1986</v>
      </c>
      <c r="J727" t="s">
        <v>76</v>
      </c>
      <c r="K727" t="s">
        <v>44</v>
      </c>
      <c r="L727">
        <v>27.68</v>
      </c>
      <c r="M727">
        <v>12.64</v>
      </c>
      <c r="N727" s="4">
        <f t="shared" si="22"/>
        <v>6.0145318399999995E-2</v>
      </c>
      <c r="O727" s="4">
        <f t="shared" si="23"/>
        <v>0.76023682457599995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50</v>
      </c>
    </row>
    <row r="728" spans="1:22" x14ac:dyDescent="0.25">
      <c r="A728" t="s">
        <v>99</v>
      </c>
      <c r="B728">
        <v>1</v>
      </c>
      <c r="C728" t="s">
        <v>100</v>
      </c>
      <c r="D728" t="s">
        <v>101</v>
      </c>
      <c r="E728" t="s">
        <v>102</v>
      </c>
      <c r="F728">
        <v>150</v>
      </c>
      <c r="G728">
        <v>1750</v>
      </c>
      <c r="H728">
        <v>-2</v>
      </c>
      <c r="I728">
        <v>1986</v>
      </c>
      <c r="J728" t="s">
        <v>24</v>
      </c>
      <c r="K728" t="s">
        <v>44</v>
      </c>
      <c r="L728">
        <v>30.93</v>
      </c>
      <c r="M728">
        <v>13.05</v>
      </c>
      <c r="N728" s="4">
        <f t="shared" si="22"/>
        <v>7.5098194650000005E-2</v>
      </c>
      <c r="O728" s="4">
        <f t="shared" si="23"/>
        <v>0.9800314401825001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50</v>
      </c>
    </row>
    <row r="729" spans="1:22" x14ac:dyDescent="0.25">
      <c r="A729" t="s">
        <v>99</v>
      </c>
      <c r="B729">
        <v>1</v>
      </c>
      <c r="C729" t="s">
        <v>100</v>
      </c>
      <c r="D729" t="s">
        <v>101</v>
      </c>
      <c r="E729" t="s">
        <v>102</v>
      </c>
      <c r="F729">
        <v>150</v>
      </c>
      <c r="G729">
        <v>1750</v>
      </c>
      <c r="H729">
        <v>-2</v>
      </c>
      <c r="I729">
        <v>1986</v>
      </c>
      <c r="J729" t="s">
        <v>32</v>
      </c>
      <c r="K729" t="s">
        <v>44</v>
      </c>
      <c r="L729">
        <v>26.16</v>
      </c>
      <c r="M729">
        <v>11.89</v>
      </c>
      <c r="N729" s="4">
        <f t="shared" si="22"/>
        <v>5.3721129600000007E-2</v>
      </c>
      <c r="O729" s="4">
        <f t="shared" si="23"/>
        <v>0.63874423094400012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50</v>
      </c>
    </row>
    <row r="730" spans="1:22" x14ac:dyDescent="0.25">
      <c r="A730" t="s">
        <v>99</v>
      </c>
      <c r="B730">
        <v>1</v>
      </c>
      <c r="C730" t="s">
        <v>100</v>
      </c>
      <c r="D730" t="s">
        <v>101</v>
      </c>
      <c r="E730" t="s">
        <v>102</v>
      </c>
      <c r="F730">
        <v>150</v>
      </c>
      <c r="G730">
        <v>1750</v>
      </c>
      <c r="H730">
        <v>-2</v>
      </c>
      <c r="I730">
        <v>1986</v>
      </c>
      <c r="J730" t="s">
        <v>36</v>
      </c>
      <c r="K730" t="s">
        <v>44</v>
      </c>
      <c r="L730">
        <v>38.51</v>
      </c>
      <c r="M730">
        <v>16.46</v>
      </c>
      <c r="N730" s="4">
        <f t="shared" si="22"/>
        <v>0.11641707785000001</v>
      </c>
      <c r="O730" s="4">
        <f t="shared" si="23"/>
        <v>1.9162251014110003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50</v>
      </c>
    </row>
    <row r="731" spans="1:22" x14ac:dyDescent="0.25">
      <c r="A731" t="s">
        <v>99</v>
      </c>
      <c r="B731">
        <v>1</v>
      </c>
      <c r="C731" t="s">
        <v>100</v>
      </c>
      <c r="D731" t="s">
        <v>101</v>
      </c>
      <c r="E731" t="s">
        <v>102</v>
      </c>
      <c r="F731">
        <v>150</v>
      </c>
      <c r="G731">
        <v>1750</v>
      </c>
      <c r="H731">
        <v>-2</v>
      </c>
      <c r="I731">
        <v>1986</v>
      </c>
      <c r="J731" t="s">
        <v>97</v>
      </c>
      <c r="K731" t="s">
        <v>44</v>
      </c>
      <c r="L731">
        <v>24</v>
      </c>
      <c r="M731">
        <v>10.96</v>
      </c>
      <c r="N731" s="4">
        <f t="shared" si="22"/>
        <v>4.5215999999999999E-2</v>
      </c>
      <c r="O731" s="4">
        <f t="shared" si="23"/>
        <v>0.49556736000000001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50</v>
      </c>
    </row>
    <row r="732" spans="1:22" x14ac:dyDescent="0.25">
      <c r="A732" t="s">
        <v>99</v>
      </c>
      <c r="B732">
        <v>1</v>
      </c>
      <c r="C732" t="s">
        <v>100</v>
      </c>
      <c r="D732" t="s">
        <v>101</v>
      </c>
      <c r="E732" t="s">
        <v>102</v>
      </c>
      <c r="F732">
        <v>150</v>
      </c>
      <c r="G732">
        <v>1750</v>
      </c>
      <c r="H732">
        <v>-2</v>
      </c>
      <c r="I732">
        <v>1986</v>
      </c>
      <c r="J732" t="s">
        <v>98</v>
      </c>
      <c r="K732" t="s">
        <v>44</v>
      </c>
      <c r="L732">
        <v>29.02</v>
      </c>
      <c r="M732">
        <v>10.87</v>
      </c>
      <c r="N732" s="4">
        <f t="shared" si="22"/>
        <v>6.6109591400000001E-2</v>
      </c>
      <c r="O732" s="4">
        <f t="shared" si="23"/>
        <v>0.71861125851800001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50</v>
      </c>
    </row>
    <row r="733" spans="1:22" x14ac:dyDescent="0.25">
      <c r="A733" t="s">
        <v>103</v>
      </c>
      <c r="B733">
        <v>1</v>
      </c>
      <c r="C733" t="s">
        <v>47</v>
      </c>
      <c r="D733" t="s">
        <v>104</v>
      </c>
      <c r="E733" t="s">
        <v>79</v>
      </c>
      <c r="F733">
        <v>100</v>
      </c>
      <c r="G733">
        <v>1250</v>
      </c>
      <c r="H733">
        <v>-2</v>
      </c>
      <c r="I733">
        <v>1983</v>
      </c>
      <c r="J733" t="s">
        <v>59</v>
      </c>
      <c r="K733">
        <v>2548</v>
      </c>
      <c r="L733">
        <v>41.63</v>
      </c>
      <c r="M733">
        <v>12.64</v>
      </c>
      <c r="N733" s="4">
        <f t="shared" si="22"/>
        <v>0.13604496665000002</v>
      </c>
      <c r="O733" s="4">
        <f t="shared" si="23"/>
        <v>1.7196083784560003</v>
      </c>
      <c r="P733">
        <v>28</v>
      </c>
      <c r="Q733">
        <v>4.2</v>
      </c>
      <c r="R733">
        <v>3.2</v>
      </c>
      <c r="S733">
        <v>2.2999999999999998</v>
      </c>
      <c r="T733">
        <v>1.9</v>
      </c>
      <c r="U733">
        <v>1.7</v>
      </c>
      <c r="V733" t="s">
        <v>38</v>
      </c>
    </row>
    <row r="734" spans="1:22" x14ac:dyDescent="0.25">
      <c r="A734" t="s">
        <v>103</v>
      </c>
      <c r="B734">
        <v>1</v>
      </c>
      <c r="C734" t="s">
        <v>47</v>
      </c>
      <c r="D734" t="s">
        <v>104</v>
      </c>
      <c r="E734" t="s">
        <v>79</v>
      </c>
      <c r="F734">
        <v>100</v>
      </c>
      <c r="G734">
        <v>1250</v>
      </c>
      <c r="H734">
        <v>-2</v>
      </c>
      <c r="I734">
        <v>1983</v>
      </c>
      <c r="J734" t="s">
        <v>26</v>
      </c>
      <c r="K734">
        <v>2552</v>
      </c>
      <c r="L734">
        <v>33.35</v>
      </c>
      <c r="M734">
        <v>10.61</v>
      </c>
      <c r="N734" s="4">
        <f t="shared" si="22"/>
        <v>8.7309466250000009E-2</v>
      </c>
      <c r="O734" s="4">
        <f t="shared" si="23"/>
        <v>0.92635343691250005</v>
      </c>
      <c r="P734">
        <v>33</v>
      </c>
      <c r="Q734">
        <v>4.5</v>
      </c>
      <c r="R734">
        <v>4</v>
      </c>
      <c r="S734">
        <v>2.8</v>
      </c>
      <c r="T734">
        <v>3</v>
      </c>
      <c r="U734">
        <v>1.5</v>
      </c>
      <c r="V734" t="s">
        <v>25</v>
      </c>
    </row>
    <row r="735" spans="1:22" x14ac:dyDescent="0.25">
      <c r="A735" t="s">
        <v>103</v>
      </c>
      <c r="B735">
        <v>1</v>
      </c>
      <c r="C735" t="s">
        <v>47</v>
      </c>
      <c r="D735" t="s">
        <v>104</v>
      </c>
      <c r="E735" t="s">
        <v>79</v>
      </c>
      <c r="F735">
        <v>100</v>
      </c>
      <c r="G735">
        <v>1250</v>
      </c>
      <c r="H735">
        <v>-2</v>
      </c>
      <c r="I735">
        <v>1983</v>
      </c>
      <c r="J735" t="s">
        <v>33</v>
      </c>
      <c r="K735">
        <v>2568</v>
      </c>
      <c r="L735">
        <v>28.21</v>
      </c>
      <c r="M735">
        <v>9.4700000000000006</v>
      </c>
      <c r="N735" s="4">
        <f t="shared" si="22"/>
        <v>6.2470621850000005E-2</v>
      </c>
      <c r="O735" s="4">
        <f t="shared" si="23"/>
        <v>0.59159678891950007</v>
      </c>
      <c r="P735">
        <v>94</v>
      </c>
      <c r="Q735">
        <v>4.5999999999999996</v>
      </c>
      <c r="R735">
        <v>3</v>
      </c>
      <c r="S735">
        <v>2</v>
      </c>
      <c r="T735">
        <v>1.8</v>
      </c>
      <c r="U735">
        <v>1.2</v>
      </c>
      <c r="V735" t="s">
        <v>25</v>
      </c>
    </row>
    <row r="736" spans="1:22" x14ac:dyDescent="0.25">
      <c r="A736" t="s">
        <v>103</v>
      </c>
      <c r="B736">
        <v>1</v>
      </c>
      <c r="C736" t="s">
        <v>47</v>
      </c>
      <c r="D736" t="s">
        <v>104</v>
      </c>
      <c r="E736" t="s">
        <v>79</v>
      </c>
      <c r="F736">
        <v>100</v>
      </c>
      <c r="G736">
        <v>1250</v>
      </c>
      <c r="H736">
        <v>-2</v>
      </c>
      <c r="I736">
        <v>1983</v>
      </c>
      <c r="J736" t="s">
        <v>34</v>
      </c>
      <c r="K736">
        <v>1522</v>
      </c>
      <c r="L736">
        <v>27.36</v>
      </c>
      <c r="M736">
        <v>11.49</v>
      </c>
      <c r="N736" s="4">
        <f t="shared" si="22"/>
        <v>5.8762713600000002E-2</v>
      </c>
      <c r="O736" s="4">
        <f t="shared" si="23"/>
        <v>0.67518357926400008</v>
      </c>
      <c r="P736">
        <v>67</v>
      </c>
      <c r="Q736">
        <v>4.7</v>
      </c>
      <c r="R736">
        <v>3.3</v>
      </c>
      <c r="S736">
        <v>3.4</v>
      </c>
      <c r="T736">
        <v>3.4</v>
      </c>
      <c r="U736">
        <v>3</v>
      </c>
      <c r="V736" t="s">
        <v>25</v>
      </c>
    </row>
    <row r="737" spans="1:22" x14ac:dyDescent="0.25">
      <c r="A737" t="s">
        <v>103</v>
      </c>
      <c r="B737">
        <v>1</v>
      </c>
      <c r="C737" t="s">
        <v>47</v>
      </c>
      <c r="D737" t="s">
        <v>104</v>
      </c>
      <c r="E737" t="s">
        <v>79</v>
      </c>
      <c r="F737">
        <v>100</v>
      </c>
      <c r="G737">
        <v>1250</v>
      </c>
      <c r="H737">
        <v>-2</v>
      </c>
      <c r="I737">
        <v>1983</v>
      </c>
      <c r="J737" t="s">
        <v>62</v>
      </c>
      <c r="K737" t="s">
        <v>44</v>
      </c>
      <c r="L737">
        <v>22.34</v>
      </c>
      <c r="M737">
        <v>8.84</v>
      </c>
      <c r="N737" s="4">
        <f t="shared" si="22"/>
        <v>3.9177434599999998E-2</v>
      </c>
      <c r="O737" s="4">
        <f t="shared" si="23"/>
        <v>0.34632852186399998</v>
      </c>
      <c r="P737">
        <v>25</v>
      </c>
      <c r="Q737">
        <v>3.8</v>
      </c>
      <c r="R737">
        <v>3.5</v>
      </c>
      <c r="S737">
        <v>3</v>
      </c>
      <c r="T737">
        <v>3.5</v>
      </c>
      <c r="U737">
        <v>3</v>
      </c>
      <c r="V737" t="s">
        <v>38</v>
      </c>
    </row>
    <row r="739" spans="1:22" x14ac:dyDescent="0.25">
      <c r="C739" s="5" t="s">
        <v>122</v>
      </c>
    </row>
    <row r="740" spans="1:22" x14ac:dyDescent="0.25">
      <c r="C740" s="5" t="s">
        <v>123</v>
      </c>
    </row>
    <row r="741" spans="1:22" x14ac:dyDescent="0.25">
      <c r="C741" s="5" t="s">
        <v>124</v>
      </c>
    </row>
    <row r="742" spans="1:22" x14ac:dyDescent="0.25">
      <c r="C742" s="5" t="s">
        <v>125</v>
      </c>
    </row>
    <row r="743" spans="1:22" x14ac:dyDescent="0.25">
      <c r="C743" s="5" t="s">
        <v>126</v>
      </c>
    </row>
    <row r="744" spans="1:22" x14ac:dyDescent="0.25">
      <c r="C744" s="5" t="s">
        <v>127</v>
      </c>
    </row>
    <row r="745" spans="1:22" x14ac:dyDescent="0.25">
      <c r="C745" s="5" t="s">
        <v>128</v>
      </c>
    </row>
    <row r="746" spans="1:22" x14ac:dyDescent="0.25">
      <c r="C746" s="5" t="s">
        <v>129</v>
      </c>
    </row>
    <row r="747" spans="1:22" x14ac:dyDescent="0.25">
      <c r="C747" s="5" t="s">
        <v>130</v>
      </c>
    </row>
    <row r="748" spans="1:22" x14ac:dyDescent="0.25">
      <c r="C748" s="5" t="s">
        <v>131</v>
      </c>
    </row>
    <row r="749" spans="1:22" x14ac:dyDescent="0.25">
      <c r="C749" s="5" t="s">
        <v>132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37"/>
  <sheetViews>
    <sheetView topLeftCell="Q1" workbookViewId="0">
      <pane ySplit="1" topLeftCell="A122" activePane="bottomLeft" state="frozen"/>
      <selection pane="bottomLeft" activeCell="AB81" sqref="AB81"/>
    </sheetView>
  </sheetViews>
  <sheetFormatPr baseColWidth="10" defaultColWidth="9.140625" defaultRowHeight="15" x14ac:dyDescent="0.25"/>
  <cols>
    <col min="1" max="1" width="7.42578125" bestFit="1" customWidth="1"/>
    <col min="2" max="2" width="4.42578125" bestFit="1" customWidth="1"/>
    <col min="3" max="3" width="30.140625" bestFit="1" customWidth="1"/>
    <col min="4" max="4" width="13.28515625" bestFit="1" customWidth="1"/>
    <col min="5" max="6" width="8.28515625" bestFit="1" customWidth="1"/>
    <col min="7" max="7" width="7.7109375" bestFit="1" customWidth="1"/>
    <col min="8" max="8" width="6.28515625" bestFit="1" customWidth="1"/>
    <col min="9" max="9" width="6.42578125" customWidth="1"/>
    <col min="10" max="10" width="5.7109375" customWidth="1"/>
    <col min="11" max="11" width="7.28515625" bestFit="1" customWidth="1"/>
    <col min="12" max="13" width="6" bestFit="1" customWidth="1"/>
    <col min="14" max="15" width="6" style="4" customWidth="1"/>
    <col min="16" max="16" width="4.85546875" bestFit="1" customWidth="1"/>
    <col min="17" max="17" width="4" bestFit="1" customWidth="1"/>
    <col min="18" max="18" width="7.28515625" bestFit="1" customWidth="1"/>
    <col min="19" max="19" width="9.28515625" bestFit="1" customWidth="1"/>
    <col min="20" max="20" width="10.42578125" bestFit="1" customWidth="1"/>
    <col min="21" max="21" width="9.7109375" bestFit="1" customWidth="1"/>
    <col min="22" max="22" width="8" bestFit="1" customWidth="1"/>
    <col min="23" max="23" width="12.28515625" customWidth="1"/>
    <col min="24" max="24" width="32.85546875" bestFit="1" customWidth="1"/>
    <col min="25" max="25" width="17.7109375" bestFit="1" customWidth="1"/>
    <col min="26" max="26" width="19" bestFit="1" customWidth="1"/>
    <col min="27" max="27" width="25.42578125" bestFit="1" customWidth="1"/>
    <col min="28" max="28" width="12.7109375" bestFit="1" customWidth="1"/>
    <col min="29" max="29" width="15.85546875" bestFit="1" customWidth="1"/>
    <col min="30" max="30" width="12.85546875" bestFit="1" customWidth="1"/>
    <col min="31" max="31" width="13.5703125" bestFit="1" customWidth="1"/>
    <col min="32" max="32" width="14.42578125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105</v>
      </c>
      <c r="O1" s="3" t="s">
        <v>106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9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>
        <v>100</v>
      </c>
      <c r="G2">
        <v>850</v>
      </c>
      <c r="H2">
        <v>-2</v>
      </c>
      <c r="I2">
        <v>1980</v>
      </c>
      <c r="J2" t="s">
        <v>24</v>
      </c>
      <c r="K2">
        <v>1520</v>
      </c>
      <c r="L2">
        <v>18.45</v>
      </c>
      <c r="M2">
        <v>9.9600000000000009</v>
      </c>
      <c r="N2" s="4">
        <f>3.14/4*((L2/100)^2)</f>
        <v>2.6721596250000004E-2</v>
      </c>
      <c r="O2" s="4">
        <f>3.14/4*((L2/100)^2)*M2</f>
        <v>0.26614709865000008</v>
      </c>
      <c r="P2">
        <v>40</v>
      </c>
      <c r="Q2">
        <v>4</v>
      </c>
      <c r="R2">
        <v>3</v>
      </c>
      <c r="S2">
        <v>3.5</v>
      </c>
      <c r="T2">
        <v>4</v>
      </c>
      <c r="U2">
        <v>3.5</v>
      </c>
      <c r="V2" t="s">
        <v>25</v>
      </c>
    </row>
    <row r="3" spans="1:29" x14ac:dyDescent="0.25">
      <c r="A3" t="s">
        <v>20</v>
      </c>
      <c r="B3">
        <v>1</v>
      </c>
      <c r="C3" s="2" t="s">
        <v>21</v>
      </c>
      <c r="D3" t="s">
        <v>22</v>
      </c>
      <c r="E3" t="s">
        <v>23</v>
      </c>
      <c r="F3">
        <v>100</v>
      </c>
      <c r="G3">
        <v>850</v>
      </c>
      <c r="H3">
        <v>-2</v>
      </c>
      <c r="I3">
        <v>1980</v>
      </c>
      <c r="J3" t="s">
        <v>26</v>
      </c>
      <c r="K3">
        <v>1487</v>
      </c>
      <c r="L3">
        <v>13.15</v>
      </c>
      <c r="M3">
        <v>9.65</v>
      </c>
      <c r="N3" s="4">
        <f t="shared" ref="N3:N66" si="0">3.14/4*((L3/100)^2)</f>
        <v>1.3574416250000002E-2</v>
      </c>
      <c r="O3" s="4">
        <f t="shared" ref="O3:O66" si="1">3.14/4*((L3/100)^2)*M3</f>
        <v>0.13099311681250003</v>
      </c>
      <c r="P3">
        <v>90</v>
      </c>
      <c r="Q3">
        <v>4.5</v>
      </c>
      <c r="R3">
        <v>4</v>
      </c>
      <c r="S3">
        <v>3.5</v>
      </c>
      <c r="T3">
        <v>3.5</v>
      </c>
      <c r="U3">
        <v>3</v>
      </c>
      <c r="V3" t="s">
        <v>27</v>
      </c>
      <c r="X3" t="s">
        <v>133</v>
      </c>
    </row>
    <row r="4" spans="1:29" ht="15.75" thickBot="1" x14ac:dyDescent="0.3">
      <c r="A4" t="s">
        <v>20</v>
      </c>
      <c r="B4">
        <v>1</v>
      </c>
      <c r="C4" t="s">
        <v>21</v>
      </c>
      <c r="D4" t="s">
        <v>22</v>
      </c>
      <c r="E4" t="s">
        <v>23</v>
      </c>
      <c r="F4">
        <v>100</v>
      </c>
      <c r="G4">
        <v>850</v>
      </c>
      <c r="H4">
        <v>-2</v>
      </c>
      <c r="I4">
        <v>1980</v>
      </c>
      <c r="J4" t="s">
        <v>29</v>
      </c>
      <c r="K4">
        <v>1362</v>
      </c>
      <c r="L4">
        <v>10.32</v>
      </c>
      <c r="M4">
        <v>6.5</v>
      </c>
      <c r="N4" s="4">
        <f t="shared" si="0"/>
        <v>8.3604383999999997E-3</v>
      </c>
      <c r="O4" s="4">
        <f t="shared" si="1"/>
        <v>5.43428496E-2</v>
      </c>
      <c r="P4">
        <v>50</v>
      </c>
      <c r="Q4">
        <v>2.2999999999999998</v>
      </c>
      <c r="R4">
        <v>2.5</v>
      </c>
      <c r="S4">
        <v>3</v>
      </c>
      <c r="T4">
        <v>3.5</v>
      </c>
      <c r="U4">
        <v>3</v>
      </c>
      <c r="V4" t="s">
        <v>30</v>
      </c>
    </row>
    <row r="5" spans="1:29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>
        <v>100</v>
      </c>
      <c r="G5">
        <v>850</v>
      </c>
      <c r="H5">
        <v>-2</v>
      </c>
      <c r="I5">
        <v>1980</v>
      </c>
      <c r="J5" t="s">
        <v>32</v>
      </c>
      <c r="K5">
        <v>1596</v>
      </c>
      <c r="L5">
        <v>14.8</v>
      </c>
      <c r="M5">
        <v>9.48</v>
      </c>
      <c r="N5" s="4">
        <f t="shared" si="0"/>
        <v>1.7194640000000008E-2</v>
      </c>
      <c r="O5" s="4">
        <f t="shared" si="1"/>
        <v>0.16300518720000007</v>
      </c>
      <c r="P5">
        <v>70</v>
      </c>
      <c r="Q5">
        <v>3.7</v>
      </c>
      <c r="R5">
        <v>3</v>
      </c>
      <c r="S5">
        <v>3.3</v>
      </c>
      <c r="T5">
        <v>4</v>
      </c>
      <c r="U5">
        <v>3.5</v>
      </c>
      <c r="V5" t="s">
        <v>25</v>
      </c>
      <c r="X5" s="15" t="s">
        <v>134</v>
      </c>
      <c r="Y5" s="15"/>
    </row>
    <row r="6" spans="1:29" x14ac:dyDescent="0.25">
      <c r="A6" t="s">
        <v>20</v>
      </c>
      <c r="B6">
        <v>1</v>
      </c>
      <c r="C6" t="s">
        <v>21</v>
      </c>
      <c r="D6" t="s">
        <v>22</v>
      </c>
      <c r="E6" t="s">
        <v>23</v>
      </c>
      <c r="F6">
        <v>100</v>
      </c>
      <c r="G6">
        <v>850</v>
      </c>
      <c r="H6">
        <v>-2</v>
      </c>
      <c r="I6">
        <v>1980</v>
      </c>
      <c r="J6" t="s">
        <v>33</v>
      </c>
      <c r="K6">
        <v>2088</v>
      </c>
      <c r="L6">
        <v>14.5</v>
      </c>
      <c r="M6">
        <v>10.78</v>
      </c>
      <c r="N6" s="4">
        <f t="shared" si="0"/>
        <v>1.6504624999999998E-2</v>
      </c>
      <c r="O6" s="4">
        <f t="shared" si="1"/>
        <v>0.17791985749999997</v>
      </c>
      <c r="P6">
        <v>90</v>
      </c>
      <c r="Q6">
        <v>4</v>
      </c>
      <c r="R6">
        <v>2.7</v>
      </c>
      <c r="S6">
        <v>3.3</v>
      </c>
      <c r="T6">
        <v>3</v>
      </c>
      <c r="U6">
        <v>3</v>
      </c>
      <c r="V6" t="s">
        <v>25</v>
      </c>
      <c r="X6" s="12" t="s">
        <v>135</v>
      </c>
      <c r="Y6" s="12">
        <v>0.3137950721511486</v>
      </c>
    </row>
    <row r="7" spans="1:29" x14ac:dyDescent="0.25">
      <c r="A7" t="s">
        <v>20</v>
      </c>
      <c r="B7">
        <v>1</v>
      </c>
      <c r="C7" t="s">
        <v>21</v>
      </c>
      <c r="D7" t="s">
        <v>22</v>
      </c>
      <c r="E7" t="s">
        <v>23</v>
      </c>
      <c r="F7">
        <v>100</v>
      </c>
      <c r="G7">
        <v>850</v>
      </c>
      <c r="H7">
        <v>-2</v>
      </c>
      <c r="I7">
        <v>1980</v>
      </c>
      <c r="J7" t="s">
        <v>34</v>
      </c>
      <c r="K7">
        <v>1522</v>
      </c>
      <c r="L7">
        <v>17.010000000000002</v>
      </c>
      <c r="M7">
        <v>12.28</v>
      </c>
      <c r="N7" s="4">
        <f t="shared" si="0"/>
        <v>2.2713197850000009E-2</v>
      </c>
      <c r="O7" s="4">
        <f t="shared" si="1"/>
        <v>0.27891806959800008</v>
      </c>
      <c r="P7">
        <v>70</v>
      </c>
      <c r="Q7">
        <v>5</v>
      </c>
      <c r="R7">
        <v>4</v>
      </c>
      <c r="S7">
        <v>5</v>
      </c>
      <c r="T7">
        <v>4</v>
      </c>
      <c r="U7">
        <v>4.5</v>
      </c>
      <c r="V7" t="s">
        <v>27</v>
      </c>
      <c r="X7" s="12" t="s">
        <v>136</v>
      </c>
      <c r="Y7" s="12">
        <v>9.8467347306344544E-2</v>
      </c>
    </row>
    <row r="8" spans="1:29" x14ac:dyDescent="0.25">
      <c r="A8" t="s">
        <v>20</v>
      </c>
      <c r="B8">
        <v>1</v>
      </c>
      <c r="C8" t="s">
        <v>21</v>
      </c>
      <c r="D8" t="s">
        <v>22</v>
      </c>
      <c r="E8" t="s">
        <v>23</v>
      </c>
      <c r="F8">
        <v>100</v>
      </c>
      <c r="G8">
        <v>850</v>
      </c>
      <c r="H8">
        <v>-2</v>
      </c>
      <c r="I8">
        <v>1980</v>
      </c>
      <c r="J8" t="s">
        <v>35</v>
      </c>
      <c r="K8">
        <v>1521</v>
      </c>
      <c r="L8">
        <v>13.93</v>
      </c>
      <c r="M8">
        <v>9.77</v>
      </c>
      <c r="N8" s="4">
        <f t="shared" si="0"/>
        <v>1.5232524650000002E-2</v>
      </c>
      <c r="O8" s="4">
        <f t="shared" si="1"/>
        <v>0.14882176583050002</v>
      </c>
      <c r="P8">
        <v>80</v>
      </c>
      <c r="Q8">
        <v>4</v>
      </c>
      <c r="R8">
        <v>2</v>
      </c>
      <c r="S8">
        <v>3</v>
      </c>
      <c r="T8">
        <v>3</v>
      </c>
      <c r="U8">
        <v>3</v>
      </c>
      <c r="V8" t="s">
        <v>25</v>
      </c>
      <c r="X8" s="12" t="s">
        <v>137</v>
      </c>
      <c r="Y8" s="12">
        <v>9.7239101185508492E-2</v>
      </c>
    </row>
    <row r="9" spans="1:29" x14ac:dyDescent="0.25">
      <c r="A9" t="s">
        <v>20</v>
      </c>
      <c r="B9">
        <v>1</v>
      </c>
      <c r="C9" t="s">
        <v>21</v>
      </c>
      <c r="D9" t="s">
        <v>22</v>
      </c>
      <c r="E9" t="s">
        <v>23</v>
      </c>
      <c r="F9">
        <v>100</v>
      </c>
      <c r="G9">
        <v>850</v>
      </c>
      <c r="H9">
        <v>-2</v>
      </c>
      <c r="I9">
        <v>1980</v>
      </c>
      <c r="J9" t="s">
        <v>36</v>
      </c>
      <c r="K9">
        <v>1523</v>
      </c>
      <c r="L9">
        <v>19.05</v>
      </c>
      <c r="M9">
        <v>11.26</v>
      </c>
      <c r="N9" s="4">
        <f t="shared" si="0"/>
        <v>2.8487846250000004E-2</v>
      </c>
      <c r="O9" s="4">
        <f t="shared" si="1"/>
        <v>0.32077314877500002</v>
      </c>
      <c r="P9">
        <v>100</v>
      </c>
      <c r="Q9">
        <v>5</v>
      </c>
      <c r="R9">
        <v>4.5</v>
      </c>
      <c r="S9">
        <v>3.5</v>
      </c>
      <c r="T9">
        <v>4</v>
      </c>
      <c r="U9">
        <v>2</v>
      </c>
      <c r="V9" t="s">
        <v>27</v>
      </c>
      <c r="X9" s="12" t="s">
        <v>138</v>
      </c>
      <c r="Y9" s="12">
        <v>56.260935695856787</v>
      </c>
    </row>
    <row r="10" spans="1:29" ht="15.75" thickBot="1" x14ac:dyDescent="0.3">
      <c r="A10" t="s">
        <v>20</v>
      </c>
      <c r="B10">
        <v>1</v>
      </c>
      <c r="C10" t="s">
        <v>21</v>
      </c>
      <c r="D10" t="s">
        <v>22</v>
      </c>
      <c r="E10" t="s">
        <v>23</v>
      </c>
      <c r="F10">
        <v>100</v>
      </c>
      <c r="G10">
        <v>850</v>
      </c>
      <c r="H10">
        <v>-2</v>
      </c>
      <c r="I10">
        <v>1980</v>
      </c>
      <c r="J10" t="s">
        <v>37</v>
      </c>
      <c r="K10">
        <v>1524</v>
      </c>
      <c r="L10">
        <v>7.62</v>
      </c>
      <c r="M10">
        <v>6.59</v>
      </c>
      <c r="N10" s="4">
        <f t="shared" si="0"/>
        <v>4.5580554000000002E-3</v>
      </c>
      <c r="O10" s="4">
        <f t="shared" si="1"/>
        <v>3.0037585086000001E-2</v>
      </c>
      <c r="P10">
        <v>80</v>
      </c>
      <c r="Q10">
        <v>2.5</v>
      </c>
      <c r="R10">
        <v>2.5</v>
      </c>
      <c r="S10">
        <v>3.3</v>
      </c>
      <c r="T10">
        <v>3.5</v>
      </c>
      <c r="U10">
        <v>3.5</v>
      </c>
      <c r="V10" t="s">
        <v>38</v>
      </c>
      <c r="X10" s="13" t="s">
        <v>139</v>
      </c>
      <c r="Y10" s="13">
        <v>736</v>
      </c>
    </row>
    <row r="11" spans="1:29" x14ac:dyDescent="0.25">
      <c r="A11" t="s">
        <v>20</v>
      </c>
      <c r="B11">
        <v>1</v>
      </c>
      <c r="C11" t="s">
        <v>21</v>
      </c>
      <c r="D11" s="2" t="s">
        <v>22</v>
      </c>
      <c r="E11" t="s">
        <v>23</v>
      </c>
      <c r="F11">
        <v>100</v>
      </c>
      <c r="G11">
        <v>850</v>
      </c>
      <c r="H11">
        <v>-2</v>
      </c>
      <c r="I11">
        <v>1980</v>
      </c>
      <c r="J11" t="s">
        <v>39</v>
      </c>
      <c r="K11">
        <v>1525</v>
      </c>
      <c r="L11">
        <v>14.75</v>
      </c>
      <c r="M11">
        <v>9.1300000000000008</v>
      </c>
      <c r="N11" s="4">
        <f t="shared" si="0"/>
        <v>1.7078656249999997E-2</v>
      </c>
      <c r="O11" s="4">
        <f t="shared" si="1"/>
        <v>0.15592813156249999</v>
      </c>
      <c r="P11">
        <v>50</v>
      </c>
      <c r="Q11">
        <v>4</v>
      </c>
      <c r="R11">
        <v>4</v>
      </c>
      <c r="S11">
        <v>3.3</v>
      </c>
      <c r="T11">
        <v>3</v>
      </c>
      <c r="U11">
        <v>3</v>
      </c>
      <c r="V11" t="s">
        <v>25</v>
      </c>
    </row>
    <row r="12" spans="1:29" ht="15.75" thickBot="1" x14ac:dyDescent="0.3">
      <c r="A12" t="s">
        <v>20</v>
      </c>
      <c r="B12">
        <v>2</v>
      </c>
      <c r="C12" t="s">
        <v>21</v>
      </c>
      <c r="D12" t="s">
        <v>22</v>
      </c>
      <c r="E12" t="s">
        <v>23</v>
      </c>
      <c r="F12">
        <v>100</v>
      </c>
      <c r="G12">
        <v>850</v>
      </c>
      <c r="H12">
        <v>-2</v>
      </c>
      <c r="I12">
        <v>1980</v>
      </c>
      <c r="J12" t="s">
        <v>24</v>
      </c>
      <c r="K12">
        <v>1520</v>
      </c>
      <c r="L12">
        <v>8.15</v>
      </c>
      <c r="M12">
        <v>6.72</v>
      </c>
      <c r="N12" s="4">
        <f t="shared" si="0"/>
        <v>5.2141662500000008E-3</v>
      </c>
      <c r="O12" s="4">
        <f t="shared" si="1"/>
        <v>3.5039197200000004E-2</v>
      </c>
      <c r="P12">
        <v>70</v>
      </c>
      <c r="Q12">
        <v>1.5</v>
      </c>
      <c r="R12">
        <v>3</v>
      </c>
      <c r="S12">
        <v>3</v>
      </c>
      <c r="T12">
        <v>3</v>
      </c>
      <c r="U12">
        <v>3</v>
      </c>
      <c r="V12" t="s">
        <v>30</v>
      </c>
      <c r="X12" t="s">
        <v>140</v>
      </c>
    </row>
    <row r="13" spans="1:29" x14ac:dyDescent="0.25">
      <c r="A13" t="s">
        <v>20</v>
      </c>
      <c r="B13">
        <v>2</v>
      </c>
      <c r="C13" t="s">
        <v>21</v>
      </c>
      <c r="D13" t="s">
        <v>22</v>
      </c>
      <c r="E13" t="s">
        <v>23</v>
      </c>
      <c r="F13">
        <v>100</v>
      </c>
      <c r="G13">
        <v>850</v>
      </c>
      <c r="H13">
        <v>-2</v>
      </c>
      <c r="I13">
        <v>1980</v>
      </c>
      <c r="J13" t="s">
        <v>26</v>
      </c>
      <c r="K13">
        <v>1487</v>
      </c>
      <c r="L13">
        <v>15.07</v>
      </c>
      <c r="M13">
        <v>7.17</v>
      </c>
      <c r="N13" s="4">
        <f t="shared" si="0"/>
        <v>1.782773465E-2</v>
      </c>
      <c r="O13" s="4">
        <f t="shared" si="1"/>
        <v>0.12782485744049998</v>
      </c>
      <c r="P13">
        <v>10</v>
      </c>
      <c r="Q13">
        <v>4</v>
      </c>
      <c r="R13">
        <v>4</v>
      </c>
      <c r="S13">
        <v>3.3</v>
      </c>
      <c r="T13">
        <v>3</v>
      </c>
      <c r="U13">
        <v>2</v>
      </c>
      <c r="V13" t="s">
        <v>25</v>
      </c>
      <c r="X13" s="14"/>
      <c r="Y13" s="14" t="s">
        <v>145</v>
      </c>
      <c r="Z13" s="14" t="s">
        <v>146</v>
      </c>
      <c r="AA13" s="14" t="s">
        <v>147</v>
      </c>
      <c r="AB13" s="14" t="s">
        <v>148</v>
      </c>
      <c r="AC13" s="14" t="s">
        <v>149</v>
      </c>
    </row>
    <row r="14" spans="1:29" x14ac:dyDescent="0.25">
      <c r="A14" t="s">
        <v>20</v>
      </c>
      <c r="B14">
        <v>2</v>
      </c>
      <c r="C14" t="s">
        <v>21</v>
      </c>
      <c r="D14" t="s">
        <v>22</v>
      </c>
      <c r="E14" t="s">
        <v>23</v>
      </c>
      <c r="F14">
        <v>100</v>
      </c>
      <c r="G14">
        <v>850</v>
      </c>
      <c r="H14">
        <v>-2</v>
      </c>
      <c r="I14">
        <v>1980</v>
      </c>
      <c r="J14" t="s">
        <v>29</v>
      </c>
      <c r="K14">
        <v>1362</v>
      </c>
      <c r="L14">
        <v>8.99</v>
      </c>
      <c r="M14">
        <v>6.05</v>
      </c>
      <c r="N14" s="4">
        <f t="shared" si="0"/>
        <v>6.3443778500000009E-3</v>
      </c>
      <c r="O14" s="4">
        <f t="shared" si="1"/>
        <v>3.8383485992500008E-2</v>
      </c>
      <c r="P14">
        <v>60</v>
      </c>
      <c r="Q14">
        <v>2.5</v>
      </c>
      <c r="R14">
        <v>3</v>
      </c>
      <c r="S14">
        <v>3</v>
      </c>
      <c r="T14">
        <v>4</v>
      </c>
      <c r="U14">
        <v>4</v>
      </c>
      <c r="V14" t="s">
        <v>30</v>
      </c>
      <c r="X14" s="12" t="s">
        <v>141</v>
      </c>
      <c r="Y14" s="12">
        <v>1</v>
      </c>
      <c r="Z14" s="12">
        <v>253758.58191858511</v>
      </c>
      <c r="AA14" s="12">
        <v>253758.58191858511</v>
      </c>
      <c r="AB14" s="12">
        <v>80.169068426871789</v>
      </c>
      <c r="AC14" s="12">
        <v>2.7877239447966471E-18</v>
      </c>
    </row>
    <row r="15" spans="1:29" x14ac:dyDescent="0.25">
      <c r="A15" t="s">
        <v>20</v>
      </c>
      <c r="B15">
        <v>2</v>
      </c>
      <c r="C15" t="s">
        <v>21</v>
      </c>
      <c r="D15" t="s">
        <v>22</v>
      </c>
      <c r="E15" t="s">
        <v>23</v>
      </c>
      <c r="F15">
        <v>100</v>
      </c>
      <c r="G15">
        <v>850</v>
      </c>
      <c r="H15">
        <v>-2</v>
      </c>
      <c r="I15">
        <v>1980</v>
      </c>
      <c r="J15" t="s">
        <v>32</v>
      </c>
      <c r="K15">
        <v>1596</v>
      </c>
      <c r="L15">
        <v>13.13</v>
      </c>
      <c r="M15">
        <v>6.08</v>
      </c>
      <c r="N15" s="4">
        <f t="shared" si="0"/>
        <v>1.3533156649999999E-2</v>
      </c>
      <c r="O15" s="4">
        <f t="shared" si="1"/>
        <v>8.2281592431999992E-2</v>
      </c>
      <c r="P15">
        <v>80</v>
      </c>
      <c r="Q15">
        <v>3.5</v>
      </c>
      <c r="R15">
        <v>4</v>
      </c>
      <c r="S15">
        <v>4</v>
      </c>
      <c r="T15">
        <v>3.5</v>
      </c>
      <c r="U15">
        <v>3.5</v>
      </c>
      <c r="V15" t="s">
        <v>27</v>
      </c>
      <c r="X15" s="12" t="s">
        <v>142</v>
      </c>
      <c r="Y15" s="12">
        <v>734</v>
      </c>
      <c r="Z15" s="12">
        <v>2323324.9778640261</v>
      </c>
      <c r="AA15" s="12">
        <v>3165.2928853733324</v>
      </c>
      <c r="AB15" s="12"/>
      <c r="AC15" s="12"/>
    </row>
    <row r="16" spans="1:29" ht="15.75" thickBot="1" x14ac:dyDescent="0.3">
      <c r="A16" t="s">
        <v>20</v>
      </c>
      <c r="B16">
        <v>2</v>
      </c>
      <c r="C16" t="s">
        <v>21</v>
      </c>
      <c r="D16" t="s">
        <v>22</v>
      </c>
      <c r="E16" t="s">
        <v>23</v>
      </c>
      <c r="F16">
        <v>100</v>
      </c>
      <c r="G16">
        <v>850</v>
      </c>
      <c r="H16">
        <v>-2</v>
      </c>
      <c r="I16">
        <v>1980</v>
      </c>
      <c r="J16" t="s">
        <v>33</v>
      </c>
      <c r="K16">
        <v>2088</v>
      </c>
      <c r="L16">
        <v>10.78</v>
      </c>
      <c r="M16">
        <v>8.93</v>
      </c>
      <c r="N16" s="4">
        <f t="shared" si="0"/>
        <v>9.1223593999999984E-3</v>
      </c>
      <c r="O16" s="4">
        <f t="shared" si="1"/>
        <v>8.146266944199998E-2</v>
      </c>
      <c r="P16">
        <v>100</v>
      </c>
      <c r="Q16">
        <v>3</v>
      </c>
      <c r="R16">
        <v>2</v>
      </c>
      <c r="S16">
        <v>3</v>
      </c>
      <c r="T16">
        <v>3</v>
      </c>
      <c r="U16">
        <v>3</v>
      </c>
      <c r="V16" t="s">
        <v>25</v>
      </c>
      <c r="X16" s="13" t="s">
        <v>143</v>
      </c>
      <c r="Y16" s="13">
        <v>735</v>
      </c>
      <c r="Z16" s="13">
        <v>2577083.5597826112</v>
      </c>
      <c r="AA16" s="13"/>
      <c r="AB16" s="13"/>
      <c r="AC16" s="13"/>
    </row>
    <row r="17" spans="1:32" ht="15.75" thickBot="1" x14ac:dyDescent="0.3">
      <c r="A17" t="s">
        <v>20</v>
      </c>
      <c r="B17">
        <v>2</v>
      </c>
      <c r="C17" t="s">
        <v>21</v>
      </c>
      <c r="D17" t="s">
        <v>22</v>
      </c>
      <c r="E17" t="s">
        <v>23</v>
      </c>
      <c r="F17">
        <v>100</v>
      </c>
      <c r="G17">
        <v>850</v>
      </c>
      <c r="H17">
        <v>-2</v>
      </c>
      <c r="I17">
        <v>1980</v>
      </c>
      <c r="J17" t="s">
        <v>34</v>
      </c>
      <c r="K17">
        <v>1522</v>
      </c>
      <c r="L17">
        <v>13.08</v>
      </c>
      <c r="M17">
        <v>9.7899999999999991</v>
      </c>
      <c r="N17" s="4">
        <f t="shared" si="0"/>
        <v>1.3430282400000002E-2</v>
      </c>
      <c r="O17" s="4">
        <f t="shared" si="1"/>
        <v>0.131482464696</v>
      </c>
      <c r="P17">
        <v>90</v>
      </c>
      <c r="Q17">
        <v>5</v>
      </c>
      <c r="R17">
        <v>4.5</v>
      </c>
      <c r="S17">
        <v>5</v>
      </c>
      <c r="T17">
        <v>4</v>
      </c>
      <c r="U17">
        <v>4</v>
      </c>
      <c r="V17" t="s">
        <v>27</v>
      </c>
    </row>
    <row r="18" spans="1:32" x14ac:dyDescent="0.25">
      <c r="A18" t="s">
        <v>20</v>
      </c>
      <c r="B18">
        <v>2</v>
      </c>
      <c r="C18" t="s">
        <v>21</v>
      </c>
      <c r="D18" t="s">
        <v>22</v>
      </c>
      <c r="E18" t="s">
        <v>23</v>
      </c>
      <c r="F18">
        <v>100</v>
      </c>
      <c r="G18">
        <v>850</v>
      </c>
      <c r="H18">
        <v>-2</v>
      </c>
      <c r="I18">
        <v>1980</v>
      </c>
      <c r="J18" t="s">
        <v>35</v>
      </c>
      <c r="K18">
        <v>1521</v>
      </c>
      <c r="L18">
        <v>10.220000000000001</v>
      </c>
      <c r="M18">
        <v>8.32</v>
      </c>
      <c r="N18" s="4">
        <f t="shared" si="0"/>
        <v>8.1991994000000026E-3</v>
      </c>
      <c r="O18" s="4">
        <f t="shared" si="1"/>
        <v>6.8217339008000019E-2</v>
      </c>
      <c r="P18">
        <v>100</v>
      </c>
      <c r="Q18">
        <v>3</v>
      </c>
      <c r="R18">
        <v>1.8</v>
      </c>
      <c r="S18">
        <v>3</v>
      </c>
      <c r="T18">
        <v>3</v>
      </c>
      <c r="U18">
        <v>3</v>
      </c>
      <c r="V18" t="s">
        <v>38</v>
      </c>
      <c r="X18" s="14"/>
      <c r="Y18" s="14" t="s">
        <v>150</v>
      </c>
      <c r="Z18" s="14" t="s">
        <v>138</v>
      </c>
      <c r="AA18" s="14" t="s">
        <v>151</v>
      </c>
      <c r="AB18" s="14" t="s">
        <v>152</v>
      </c>
      <c r="AC18" s="14" t="s">
        <v>153</v>
      </c>
      <c r="AD18" s="14" t="s">
        <v>154</v>
      </c>
      <c r="AE18" s="14" t="s">
        <v>155</v>
      </c>
      <c r="AF18" s="14" t="s">
        <v>156</v>
      </c>
    </row>
    <row r="19" spans="1:32" x14ac:dyDescent="0.25">
      <c r="A19" t="s">
        <v>20</v>
      </c>
      <c r="B19">
        <v>2</v>
      </c>
      <c r="C19" t="s">
        <v>21</v>
      </c>
      <c r="D19" t="s">
        <v>22</v>
      </c>
      <c r="E19" t="s">
        <v>23</v>
      </c>
      <c r="F19">
        <v>100</v>
      </c>
      <c r="G19">
        <v>850</v>
      </c>
      <c r="H19">
        <v>-2</v>
      </c>
      <c r="I19">
        <v>1980</v>
      </c>
      <c r="J19" t="s">
        <v>36</v>
      </c>
      <c r="K19">
        <v>1523</v>
      </c>
      <c r="L19">
        <v>18.71</v>
      </c>
      <c r="M19">
        <v>10.9</v>
      </c>
      <c r="N19" s="4">
        <f t="shared" si="0"/>
        <v>2.7480031850000006E-2</v>
      </c>
      <c r="O19" s="4">
        <f t="shared" si="1"/>
        <v>0.2995323471650001</v>
      </c>
      <c r="P19">
        <v>100</v>
      </c>
      <c r="Q19">
        <v>4</v>
      </c>
      <c r="R19">
        <v>4</v>
      </c>
      <c r="S19">
        <v>3.3</v>
      </c>
      <c r="T19">
        <v>4</v>
      </c>
      <c r="U19">
        <v>3</v>
      </c>
      <c r="V19" t="s">
        <v>27</v>
      </c>
      <c r="X19" s="12" t="s">
        <v>144</v>
      </c>
      <c r="Y19" s="12">
        <v>213.92204952200257</v>
      </c>
      <c r="Z19" s="12">
        <v>5.1183003719639997</v>
      </c>
      <c r="AA19" s="12">
        <v>41.795524681158206</v>
      </c>
      <c r="AB19" s="12">
        <v>2.7284508301840921E-196</v>
      </c>
      <c r="AC19" s="12">
        <v>203.87379605356517</v>
      </c>
      <c r="AD19" s="12">
        <v>223.97030299043996</v>
      </c>
      <c r="AE19" s="12">
        <v>200.70381347065904</v>
      </c>
      <c r="AF19" s="12">
        <v>227.14028557334609</v>
      </c>
    </row>
    <row r="20" spans="1:32" ht="15.75" thickBot="1" x14ac:dyDescent="0.3">
      <c r="A20" t="s">
        <v>20</v>
      </c>
      <c r="B20">
        <v>2</v>
      </c>
      <c r="C20" t="s">
        <v>21</v>
      </c>
      <c r="D20" t="s">
        <v>22</v>
      </c>
      <c r="E20" t="s">
        <v>23</v>
      </c>
      <c r="F20">
        <v>100</v>
      </c>
      <c r="G20">
        <v>850</v>
      </c>
      <c r="H20">
        <v>-2</v>
      </c>
      <c r="I20">
        <v>1980</v>
      </c>
      <c r="J20" t="s">
        <v>37</v>
      </c>
      <c r="K20">
        <v>1524</v>
      </c>
      <c r="L20">
        <v>8.23</v>
      </c>
      <c r="M20">
        <v>6.5</v>
      </c>
      <c r="N20" s="4">
        <f t="shared" si="0"/>
        <v>5.3170326500000002E-3</v>
      </c>
      <c r="O20" s="4">
        <f t="shared" si="1"/>
        <v>3.4560712224999998E-2</v>
      </c>
      <c r="P20">
        <v>70</v>
      </c>
      <c r="Q20">
        <v>2</v>
      </c>
      <c r="R20">
        <v>2</v>
      </c>
      <c r="S20">
        <v>3.3</v>
      </c>
      <c r="T20">
        <v>4</v>
      </c>
      <c r="U20">
        <v>3.5</v>
      </c>
      <c r="V20" t="s">
        <v>30</v>
      </c>
      <c r="X20" s="13" t="s">
        <v>12</v>
      </c>
      <c r="Y20" s="13">
        <v>-4.513815696181994</v>
      </c>
      <c r="Z20" s="13">
        <v>0.50412751758803387</v>
      </c>
      <c r="AA20" s="13">
        <v>-8.9537181342094936</v>
      </c>
      <c r="AB20" s="13">
        <v>2.7877239447963852E-18</v>
      </c>
      <c r="AC20" s="13">
        <v>-5.5035194472330318</v>
      </c>
      <c r="AD20" s="13">
        <v>-3.5241119451309566</v>
      </c>
      <c r="AE20" s="13">
        <v>-5.8157472053129178</v>
      </c>
      <c r="AF20" s="13">
        <v>-3.2118841870510701</v>
      </c>
    </row>
    <row r="21" spans="1:32" x14ac:dyDescent="0.25">
      <c r="A21" t="s">
        <v>20</v>
      </c>
      <c r="B21">
        <v>2</v>
      </c>
      <c r="C21" t="s">
        <v>21</v>
      </c>
      <c r="D21" t="s">
        <v>22</v>
      </c>
      <c r="E21" t="s">
        <v>23</v>
      </c>
      <c r="F21">
        <v>100</v>
      </c>
      <c r="G21">
        <v>850</v>
      </c>
      <c r="H21">
        <v>-2</v>
      </c>
      <c r="I21">
        <v>1980</v>
      </c>
      <c r="J21" t="s">
        <v>39</v>
      </c>
      <c r="K21">
        <v>1525</v>
      </c>
      <c r="L21">
        <v>17.52</v>
      </c>
      <c r="M21">
        <v>9.2200000000000006</v>
      </c>
      <c r="N21" s="4">
        <f t="shared" si="0"/>
        <v>2.40956064E-2</v>
      </c>
      <c r="O21" s="4">
        <f t="shared" si="1"/>
        <v>0.22216149100800001</v>
      </c>
      <c r="P21">
        <v>60</v>
      </c>
      <c r="Q21">
        <v>4</v>
      </c>
      <c r="R21">
        <v>3</v>
      </c>
      <c r="S21">
        <v>3</v>
      </c>
      <c r="T21">
        <v>3</v>
      </c>
      <c r="U21">
        <v>2</v>
      </c>
      <c r="V21" t="s">
        <v>25</v>
      </c>
    </row>
    <row r="22" spans="1:32" x14ac:dyDescent="0.25">
      <c r="A22" t="s">
        <v>20</v>
      </c>
      <c r="B22">
        <v>3</v>
      </c>
      <c r="C22" t="s">
        <v>21</v>
      </c>
      <c r="D22" t="s">
        <v>22</v>
      </c>
      <c r="E22" t="s">
        <v>23</v>
      </c>
      <c r="F22">
        <v>100</v>
      </c>
      <c r="G22">
        <v>850</v>
      </c>
      <c r="H22">
        <v>-2</v>
      </c>
      <c r="I22">
        <v>1980</v>
      </c>
      <c r="J22" t="s">
        <v>24</v>
      </c>
      <c r="K22">
        <v>1520</v>
      </c>
      <c r="L22">
        <v>10.75</v>
      </c>
      <c r="M22">
        <v>5.91</v>
      </c>
      <c r="N22" s="4">
        <f t="shared" si="0"/>
        <v>9.071656249999999E-3</v>
      </c>
      <c r="O22" s="4">
        <f t="shared" si="1"/>
        <v>5.3613488437499995E-2</v>
      </c>
      <c r="P22">
        <v>50</v>
      </c>
      <c r="Q22">
        <v>2.7</v>
      </c>
      <c r="R22">
        <v>4</v>
      </c>
      <c r="S22">
        <v>3.3</v>
      </c>
      <c r="T22">
        <v>3.5</v>
      </c>
      <c r="U22">
        <v>3</v>
      </c>
      <c r="V22" t="s">
        <v>38</v>
      </c>
    </row>
    <row r="23" spans="1:32" x14ac:dyDescent="0.25">
      <c r="A23" t="s">
        <v>20</v>
      </c>
      <c r="B23">
        <v>3</v>
      </c>
      <c r="C23" t="s">
        <v>21</v>
      </c>
      <c r="D23" t="s">
        <v>22</v>
      </c>
      <c r="E23" t="s">
        <v>23</v>
      </c>
      <c r="F23">
        <v>100</v>
      </c>
      <c r="G23">
        <v>850</v>
      </c>
      <c r="H23">
        <v>-2</v>
      </c>
      <c r="I23">
        <v>1980</v>
      </c>
      <c r="J23" t="s">
        <v>26</v>
      </c>
      <c r="K23">
        <v>1487</v>
      </c>
      <c r="L23">
        <v>21.52</v>
      </c>
      <c r="M23">
        <v>8.77</v>
      </c>
      <c r="N23" s="4">
        <f t="shared" si="0"/>
        <v>3.6354166399999999E-2</v>
      </c>
      <c r="O23" s="4">
        <f t="shared" si="1"/>
        <v>0.31882603932799997</v>
      </c>
      <c r="P23">
        <v>20</v>
      </c>
      <c r="Q23">
        <v>4</v>
      </c>
      <c r="R23">
        <v>3.5</v>
      </c>
      <c r="S23">
        <v>3</v>
      </c>
      <c r="T23">
        <v>3</v>
      </c>
      <c r="U23">
        <v>1</v>
      </c>
      <c r="V23" t="s">
        <v>38</v>
      </c>
    </row>
    <row r="24" spans="1:32" x14ac:dyDescent="0.25">
      <c r="A24" t="s">
        <v>20</v>
      </c>
      <c r="B24">
        <v>3</v>
      </c>
      <c r="C24" t="s">
        <v>21</v>
      </c>
      <c r="D24" t="s">
        <v>22</v>
      </c>
      <c r="E24" t="s">
        <v>23</v>
      </c>
      <c r="F24">
        <v>100</v>
      </c>
      <c r="G24">
        <v>850</v>
      </c>
      <c r="H24">
        <v>-2</v>
      </c>
      <c r="I24">
        <v>1980</v>
      </c>
      <c r="J24" t="s">
        <v>29</v>
      </c>
      <c r="K24">
        <v>1362</v>
      </c>
      <c r="L24">
        <v>15.22</v>
      </c>
      <c r="M24">
        <v>6.5</v>
      </c>
      <c r="N24" s="4">
        <f t="shared" si="0"/>
        <v>1.8184399399999999E-2</v>
      </c>
      <c r="O24" s="4">
        <f t="shared" si="1"/>
        <v>0.1181985961</v>
      </c>
      <c r="P24">
        <v>30</v>
      </c>
      <c r="Q24">
        <v>3</v>
      </c>
      <c r="R24">
        <v>4</v>
      </c>
      <c r="S24">
        <v>3</v>
      </c>
      <c r="T24">
        <v>3</v>
      </c>
      <c r="U24">
        <v>3</v>
      </c>
      <c r="V24" t="s">
        <v>38</v>
      </c>
    </row>
    <row r="25" spans="1:32" x14ac:dyDescent="0.25">
      <c r="A25" t="s">
        <v>20</v>
      </c>
      <c r="B25">
        <v>3</v>
      </c>
      <c r="C25" t="s">
        <v>21</v>
      </c>
      <c r="D25" t="s">
        <v>22</v>
      </c>
      <c r="E25" t="s">
        <v>23</v>
      </c>
      <c r="F25">
        <v>100</v>
      </c>
      <c r="G25">
        <v>850</v>
      </c>
      <c r="H25">
        <v>-2</v>
      </c>
      <c r="I25">
        <v>1980</v>
      </c>
      <c r="J25" t="s">
        <v>32</v>
      </c>
      <c r="K25">
        <v>1596</v>
      </c>
      <c r="L25">
        <v>9.73</v>
      </c>
      <c r="M25">
        <v>8.67</v>
      </c>
      <c r="N25" s="4">
        <f t="shared" si="0"/>
        <v>7.4318226500000003E-3</v>
      </c>
      <c r="O25" s="4">
        <f t="shared" si="1"/>
        <v>6.4433902375500007E-2</v>
      </c>
      <c r="P25">
        <v>70</v>
      </c>
      <c r="Q25">
        <v>2.7</v>
      </c>
      <c r="R25">
        <v>4</v>
      </c>
      <c r="S25">
        <v>3.5</v>
      </c>
      <c r="T25">
        <v>3.5</v>
      </c>
      <c r="U25">
        <v>3.5</v>
      </c>
      <c r="V25" t="s">
        <v>25</v>
      </c>
    </row>
    <row r="26" spans="1:32" x14ac:dyDescent="0.25">
      <c r="A26" t="s">
        <v>20</v>
      </c>
      <c r="B26">
        <v>3</v>
      </c>
      <c r="C26" t="s">
        <v>21</v>
      </c>
      <c r="D26" t="s">
        <v>22</v>
      </c>
      <c r="E26" t="s">
        <v>23</v>
      </c>
      <c r="F26">
        <v>100</v>
      </c>
      <c r="G26">
        <v>850</v>
      </c>
      <c r="H26">
        <v>-2</v>
      </c>
      <c r="I26">
        <v>1980</v>
      </c>
      <c r="J26" t="s">
        <v>33</v>
      </c>
      <c r="K26">
        <v>2088</v>
      </c>
      <c r="L26">
        <v>17.149999999999999</v>
      </c>
      <c r="M26">
        <v>8.2200000000000006</v>
      </c>
      <c r="N26" s="4">
        <f t="shared" si="0"/>
        <v>2.3088616249999996E-2</v>
      </c>
      <c r="O26" s="4">
        <f t="shared" si="1"/>
        <v>0.18978842557499997</v>
      </c>
      <c r="P26">
        <v>60</v>
      </c>
      <c r="Q26">
        <v>5</v>
      </c>
      <c r="R26">
        <v>2.7</v>
      </c>
      <c r="S26">
        <v>3.5</v>
      </c>
      <c r="T26">
        <v>3</v>
      </c>
      <c r="U26">
        <v>2</v>
      </c>
      <c r="V26" t="s">
        <v>25</v>
      </c>
    </row>
    <row r="27" spans="1:32" x14ac:dyDescent="0.25">
      <c r="A27" t="s">
        <v>20</v>
      </c>
      <c r="B27">
        <v>3</v>
      </c>
      <c r="C27" t="s">
        <v>21</v>
      </c>
      <c r="D27" t="s">
        <v>22</v>
      </c>
      <c r="E27" t="s">
        <v>23</v>
      </c>
      <c r="F27">
        <v>100</v>
      </c>
      <c r="G27">
        <v>850</v>
      </c>
      <c r="H27">
        <v>-2</v>
      </c>
      <c r="I27">
        <v>1980</v>
      </c>
      <c r="J27" t="s">
        <v>34</v>
      </c>
      <c r="K27">
        <v>1522</v>
      </c>
      <c r="L27">
        <v>16.13</v>
      </c>
      <c r="M27">
        <v>9.9499999999999993</v>
      </c>
      <c r="N27" s="4">
        <f t="shared" si="0"/>
        <v>2.042388665E-2</v>
      </c>
      <c r="O27" s="4">
        <f t="shared" si="1"/>
        <v>0.2032176721675</v>
      </c>
      <c r="P27">
        <v>50</v>
      </c>
      <c r="Q27">
        <v>4.3</v>
      </c>
      <c r="R27">
        <v>4.5</v>
      </c>
      <c r="S27">
        <v>3.3</v>
      </c>
      <c r="T27">
        <v>3.5</v>
      </c>
      <c r="U27">
        <v>3</v>
      </c>
      <c r="V27" t="s">
        <v>25</v>
      </c>
    </row>
    <row r="28" spans="1:32" x14ac:dyDescent="0.25">
      <c r="A28" t="s">
        <v>20</v>
      </c>
      <c r="B28">
        <v>3</v>
      </c>
      <c r="C28" t="s">
        <v>21</v>
      </c>
      <c r="D28" t="s">
        <v>22</v>
      </c>
      <c r="E28" t="s">
        <v>23</v>
      </c>
      <c r="F28">
        <v>100</v>
      </c>
      <c r="G28">
        <v>850</v>
      </c>
      <c r="H28">
        <v>-2</v>
      </c>
      <c r="I28">
        <v>1980</v>
      </c>
      <c r="J28" t="s">
        <v>35</v>
      </c>
      <c r="K28">
        <v>1521</v>
      </c>
      <c r="L28">
        <v>8.7799999999999994</v>
      </c>
      <c r="M28">
        <v>5.79</v>
      </c>
      <c r="N28" s="4">
        <f t="shared" si="0"/>
        <v>6.0514393999999989E-3</v>
      </c>
      <c r="O28" s="4">
        <f t="shared" si="1"/>
        <v>3.5037834125999992E-2</v>
      </c>
      <c r="P28">
        <v>50</v>
      </c>
      <c r="Q28">
        <v>2.5</v>
      </c>
      <c r="R28">
        <v>2</v>
      </c>
      <c r="S28">
        <v>3.2</v>
      </c>
      <c r="T28">
        <v>3.3</v>
      </c>
      <c r="U28">
        <v>3</v>
      </c>
      <c r="V28" t="s">
        <v>38</v>
      </c>
    </row>
    <row r="29" spans="1:32" x14ac:dyDescent="0.25">
      <c r="A29" t="s">
        <v>20</v>
      </c>
      <c r="B29">
        <v>3</v>
      </c>
      <c r="C29" t="s">
        <v>21</v>
      </c>
      <c r="D29" t="s">
        <v>22</v>
      </c>
      <c r="E29" t="s">
        <v>23</v>
      </c>
      <c r="F29">
        <v>100</v>
      </c>
      <c r="G29">
        <v>850</v>
      </c>
      <c r="H29">
        <v>-2</v>
      </c>
      <c r="I29">
        <v>1980</v>
      </c>
      <c r="J29" t="s">
        <v>36</v>
      </c>
      <c r="K29">
        <v>1523</v>
      </c>
      <c r="L29">
        <v>17.18</v>
      </c>
      <c r="M29">
        <v>9.99</v>
      </c>
      <c r="N29" s="4">
        <f t="shared" si="0"/>
        <v>2.3169463400000003E-2</v>
      </c>
      <c r="O29" s="4">
        <f t="shared" si="1"/>
        <v>0.23146293936600004</v>
      </c>
      <c r="P29">
        <v>90</v>
      </c>
      <c r="Q29">
        <v>4.3</v>
      </c>
      <c r="R29">
        <v>4.5</v>
      </c>
      <c r="S29">
        <v>3.5</v>
      </c>
      <c r="T29">
        <v>4</v>
      </c>
      <c r="U29">
        <v>3.3</v>
      </c>
      <c r="V29" t="s">
        <v>25</v>
      </c>
    </row>
    <row r="30" spans="1:32" x14ac:dyDescent="0.25">
      <c r="A30" t="s">
        <v>20</v>
      </c>
      <c r="B30">
        <v>3</v>
      </c>
      <c r="C30" t="s">
        <v>21</v>
      </c>
      <c r="D30" t="s">
        <v>22</v>
      </c>
      <c r="E30" t="s">
        <v>23</v>
      </c>
      <c r="F30">
        <v>100</v>
      </c>
      <c r="G30">
        <v>850</v>
      </c>
      <c r="H30">
        <v>-2</v>
      </c>
      <c r="I30">
        <v>1980</v>
      </c>
      <c r="J30" t="s">
        <v>37</v>
      </c>
      <c r="K30">
        <v>1524</v>
      </c>
      <c r="L30">
        <v>12.39</v>
      </c>
      <c r="M30">
        <v>5.55</v>
      </c>
      <c r="N30" s="4">
        <f t="shared" si="0"/>
        <v>1.2050699850000002E-2</v>
      </c>
      <c r="O30" s="4">
        <f t="shared" si="1"/>
        <v>6.6881384167500016E-2</v>
      </c>
      <c r="P30">
        <v>80</v>
      </c>
      <c r="Q30">
        <v>3</v>
      </c>
      <c r="R30">
        <v>2.5</v>
      </c>
      <c r="S30">
        <v>2</v>
      </c>
      <c r="T30">
        <v>2</v>
      </c>
      <c r="U30">
        <v>2</v>
      </c>
      <c r="V30" t="s">
        <v>38</v>
      </c>
    </row>
    <row r="31" spans="1:32" x14ac:dyDescent="0.25">
      <c r="A31" t="s">
        <v>20</v>
      </c>
      <c r="B31">
        <v>3</v>
      </c>
      <c r="C31" t="s">
        <v>21</v>
      </c>
      <c r="D31" t="s">
        <v>22</v>
      </c>
      <c r="E31" t="s">
        <v>23</v>
      </c>
      <c r="F31">
        <v>100</v>
      </c>
      <c r="G31">
        <v>850</v>
      </c>
      <c r="H31">
        <v>-2</v>
      </c>
      <c r="I31">
        <v>1980</v>
      </c>
      <c r="J31" t="s">
        <v>39</v>
      </c>
      <c r="K31">
        <v>1525</v>
      </c>
      <c r="L31">
        <v>14.75</v>
      </c>
      <c r="M31">
        <v>7.79</v>
      </c>
      <c r="N31" s="4">
        <f t="shared" si="0"/>
        <v>1.7078656249999997E-2</v>
      </c>
      <c r="O31" s="4">
        <f t="shared" si="1"/>
        <v>0.13304273218749998</v>
      </c>
      <c r="P31">
        <v>30</v>
      </c>
      <c r="Q31">
        <v>4</v>
      </c>
      <c r="R31">
        <v>4</v>
      </c>
      <c r="S31">
        <v>4</v>
      </c>
      <c r="T31">
        <v>2.5</v>
      </c>
      <c r="U31">
        <v>2</v>
      </c>
      <c r="V31" t="s">
        <v>25</v>
      </c>
    </row>
    <row r="32" spans="1:32" x14ac:dyDescent="0.25">
      <c r="A32" t="s">
        <v>40</v>
      </c>
      <c r="B32">
        <v>1</v>
      </c>
      <c r="C32" t="s">
        <v>41</v>
      </c>
      <c r="D32" t="s">
        <v>42</v>
      </c>
      <c r="E32" t="s">
        <v>43</v>
      </c>
      <c r="F32">
        <v>200</v>
      </c>
      <c r="G32">
        <v>1400</v>
      </c>
      <c r="H32">
        <v>-2</v>
      </c>
      <c r="I32">
        <v>1980</v>
      </c>
      <c r="J32" t="s">
        <v>26</v>
      </c>
      <c r="K32">
        <v>1487</v>
      </c>
      <c r="L32">
        <v>27.98</v>
      </c>
      <c r="M32">
        <v>8.64</v>
      </c>
      <c r="N32" s="4">
        <f t="shared" si="0"/>
        <v>6.1456111399999992E-2</v>
      </c>
      <c r="O32" s="4">
        <f t="shared" si="1"/>
        <v>0.53098080249599999</v>
      </c>
      <c r="P32" t="s">
        <v>44</v>
      </c>
      <c r="Q32">
        <v>2.2999999999999998</v>
      </c>
      <c r="R32">
        <v>4</v>
      </c>
      <c r="S32">
        <v>2</v>
      </c>
      <c r="T32">
        <v>2</v>
      </c>
      <c r="U32">
        <v>2</v>
      </c>
      <c r="V32" t="s">
        <v>30</v>
      </c>
    </row>
    <row r="33" spans="1:25" x14ac:dyDescent="0.25">
      <c r="A33" t="s">
        <v>40</v>
      </c>
      <c r="B33">
        <v>1</v>
      </c>
      <c r="C33" t="s">
        <v>41</v>
      </c>
      <c r="D33" t="s">
        <v>42</v>
      </c>
      <c r="E33" t="s">
        <v>43</v>
      </c>
      <c r="F33">
        <v>200</v>
      </c>
      <c r="G33">
        <v>1400</v>
      </c>
      <c r="H33">
        <v>-2</v>
      </c>
      <c r="I33">
        <v>1980</v>
      </c>
      <c r="J33" t="s">
        <v>32</v>
      </c>
      <c r="K33">
        <v>1596</v>
      </c>
      <c r="L33">
        <v>25.99</v>
      </c>
      <c r="M33">
        <v>9.6</v>
      </c>
      <c r="N33" s="4">
        <f t="shared" si="0"/>
        <v>5.3025187849999982E-2</v>
      </c>
      <c r="O33" s="4">
        <f t="shared" si="1"/>
        <v>0.50904180335999982</v>
      </c>
      <c r="P33" t="s">
        <v>44</v>
      </c>
      <c r="Q33">
        <v>4</v>
      </c>
      <c r="R33">
        <v>4</v>
      </c>
      <c r="S33">
        <v>3</v>
      </c>
      <c r="T33">
        <v>4</v>
      </c>
      <c r="U33">
        <v>2.7</v>
      </c>
      <c r="V33" t="s">
        <v>27</v>
      </c>
    </row>
    <row r="34" spans="1:25" x14ac:dyDescent="0.25">
      <c r="A34" t="s">
        <v>40</v>
      </c>
      <c r="B34">
        <v>1</v>
      </c>
      <c r="C34" t="s">
        <v>41</v>
      </c>
      <c r="D34" t="s">
        <v>42</v>
      </c>
      <c r="E34" t="s">
        <v>43</v>
      </c>
      <c r="F34">
        <v>200</v>
      </c>
      <c r="G34">
        <v>1400</v>
      </c>
      <c r="H34">
        <v>-2</v>
      </c>
      <c r="I34">
        <v>1980</v>
      </c>
      <c r="J34" t="s">
        <v>33</v>
      </c>
      <c r="K34">
        <v>2088</v>
      </c>
      <c r="L34">
        <v>33.409999999999997</v>
      </c>
      <c r="M34">
        <v>8.35</v>
      </c>
      <c r="N34" s="4">
        <f t="shared" si="0"/>
        <v>8.7623905849999989E-2</v>
      </c>
      <c r="O34" s="4">
        <f t="shared" si="1"/>
        <v>0.73165961384749989</v>
      </c>
      <c r="P34" t="s">
        <v>44</v>
      </c>
      <c r="Q34">
        <v>4</v>
      </c>
      <c r="R34">
        <v>2.8</v>
      </c>
      <c r="S34">
        <v>2.5</v>
      </c>
      <c r="T34">
        <v>1.5</v>
      </c>
      <c r="U34">
        <v>1.5</v>
      </c>
      <c r="V34" t="s">
        <v>38</v>
      </c>
    </row>
    <row r="35" spans="1:25" x14ac:dyDescent="0.25">
      <c r="A35" t="s">
        <v>40</v>
      </c>
      <c r="B35">
        <v>1</v>
      </c>
      <c r="C35" t="s">
        <v>41</v>
      </c>
      <c r="D35" t="s">
        <v>42</v>
      </c>
      <c r="E35" t="s">
        <v>43</v>
      </c>
      <c r="F35">
        <v>200</v>
      </c>
      <c r="G35">
        <v>1400</v>
      </c>
      <c r="H35">
        <v>-2</v>
      </c>
      <c r="I35">
        <v>1980</v>
      </c>
      <c r="J35" t="s">
        <v>35</v>
      </c>
      <c r="K35">
        <v>1521</v>
      </c>
      <c r="L35">
        <v>33.299999999999997</v>
      </c>
      <c r="M35">
        <v>13.32</v>
      </c>
      <c r="N35" s="4">
        <f t="shared" si="0"/>
        <v>8.7047864999999988E-2</v>
      </c>
      <c r="O35" s="4">
        <f t="shared" si="1"/>
        <v>1.1594775617999999</v>
      </c>
      <c r="P35" t="s">
        <v>44</v>
      </c>
      <c r="Q35">
        <v>4</v>
      </c>
      <c r="R35">
        <v>2.2999999999999998</v>
      </c>
      <c r="S35">
        <v>3.3</v>
      </c>
      <c r="T35">
        <v>2</v>
      </c>
      <c r="U35">
        <v>1</v>
      </c>
      <c r="V35" t="s">
        <v>25</v>
      </c>
    </row>
    <row r="36" spans="1:25" x14ac:dyDescent="0.25">
      <c r="A36" t="s">
        <v>40</v>
      </c>
      <c r="B36">
        <v>1</v>
      </c>
      <c r="C36" t="s">
        <v>41</v>
      </c>
      <c r="D36" t="s">
        <v>42</v>
      </c>
      <c r="E36" t="s">
        <v>43</v>
      </c>
      <c r="F36">
        <v>200</v>
      </c>
      <c r="G36">
        <v>1400</v>
      </c>
      <c r="H36">
        <v>-2</v>
      </c>
      <c r="I36">
        <v>1980</v>
      </c>
      <c r="J36" t="s">
        <v>36</v>
      </c>
      <c r="K36">
        <v>1523</v>
      </c>
      <c r="L36">
        <v>33.130000000000003</v>
      </c>
      <c r="M36">
        <v>12.33</v>
      </c>
      <c r="N36" s="4">
        <f t="shared" si="0"/>
        <v>8.6161356650000021E-2</v>
      </c>
      <c r="O36" s="4">
        <f t="shared" si="1"/>
        <v>1.0623695274945002</v>
      </c>
      <c r="P36" t="s">
        <v>44</v>
      </c>
      <c r="Q36">
        <v>4</v>
      </c>
      <c r="R36">
        <v>4</v>
      </c>
      <c r="S36">
        <v>3.5</v>
      </c>
      <c r="T36">
        <v>4</v>
      </c>
      <c r="U36">
        <v>2.7</v>
      </c>
      <c r="V36" t="s">
        <v>25</v>
      </c>
    </row>
    <row r="37" spans="1:25" x14ac:dyDescent="0.25">
      <c r="A37" t="s">
        <v>40</v>
      </c>
      <c r="B37">
        <v>1</v>
      </c>
      <c r="C37" t="s">
        <v>41</v>
      </c>
      <c r="D37" t="s">
        <v>42</v>
      </c>
      <c r="E37" t="s">
        <v>43</v>
      </c>
      <c r="F37">
        <v>200</v>
      </c>
      <c r="G37">
        <v>1400</v>
      </c>
      <c r="H37">
        <v>-2</v>
      </c>
      <c r="I37">
        <v>1980</v>
      </c>
      <c r="J37" t="s">
        <v>37</v>
      </c>
      <c r="K37">
        <v>1524</v>
      </c>
      <c r="L37">
        <v>12.79</v>
      </c>
      <c r="M37">
        <v>8.82</v>
      </c>
      <c r="N37" s="4">
        <f t="shared" si="0"/>
        <v>1.2841351849999998E-2</v>
      </c>
      <c r="O37" s="4">
        <f t="shared" si="1"/>
        <v>0.11326072331699999</v>
      </c>
      <c r="P37" t="s">
        <v>44</v>
      </c>
      <c r="Q37">
        <v>2.5</v>
      </c>
      <c r="R37">
        <v>3</v>
      </c>
      <c r="S37">
        <v>3.3</v>
      </c>
      <c r="T37">
        <v>4</v>
      </c>
      <c r="U37">
        <v>4</v>
      </c>
      <c r="V37" t="s">
        <v>30</v>
      </c>
    </row>
    <row r="38" spans="1:25" x14ac:dyDescent="0.25">
      <c r="A38" t="s">
        <v>40</v>
      </c>
      <c r="B38">
        <v>2</v>
      </c>
      <c r="C38" t="s">
        <v>41</v>
      </c>
      <c r="D38" t="s">
        <v>42</v>
      </c>
      <c r="E38" t="s">
        <v>43</v>
      </c>
      <c r="F38">
        <v>200</v>
      </c>
      <c r="G38">
        <v>1400</v>
      </c>
      <c r="H38">
        <v>-2</v>
      </c>
      <c r="I38">
        <v>1980</v>
      </c>
      <c r="J38" t="s">
        <v>24</v>
      </c>
      <c r="K38">
        <v>1520</v>
      </c>
      <c r="L38">
        <v>25.92</v>
      </c>
      <c r="M38">
        <v>12.12</v>
      </c>
      <c r="N38" s="4">
        <f t="shared" si="0"/>
        <v>5.2739942400000017E-2</v>
      </c>
      <c r="O38" s="4">
        <f t="shared" si="1"/>
        <v>0.63920810188800015</v>
      </c>
      <c r="P38" t="s">
        <v>44</v>
      </c>
      <c r="Q38">
        <v>3.3</v>
      </c>
      <c r="R38">
        <v>3</v>
      </c>
      <c r="S38">
        <v>4</v>
      </c>
      <c r="T38">
        <v>3.5</v>
      </c>
      <c r="U38">
        <v>3.5</v>
      </c>
      <c r="V38" t="s">
        <v>25</v>
      </c>
    </row>
    <row r="39" spans="1:25" x14ac:dyDescent="0.25">
      <c r="A39" t="s">
        <v>40</v>
      </c>
      <c r="B39">
        <v>2</v>
      </c>
      <c r="C39" t="s">
        <v>41</v>
      </c>
      <c r="D39" t="s">
        <v>42</v>
      </c>
      <c r="E39" t="s">
        <v>43</v>
      </c>
      <c r="F39">
        <v>200</v>
      </c>
      <c r="G39">
        <v>1400</v>
      </c>
      <c r="H39">
        <v>-2</v>
      </c>
      <c r="I39">
        <v>1980</v>
      </c>
      <c r="J39" t="s">
        <v>26</v>
      </c>
      <c r="K39">
        <v>1487</v>
      </c>
      <c r="L39">
        <v>26.94</v>
      </c>
      <c r="M39">
        <v>9.93</v>
      </c>
      <c r="N39" s="4">
        <f t="shared" si="0"/>
        <v>5.697244260000002E-2</v>
      </c>
      <c r="O39" s="4">
        <f t="shared" si="1"/>
        <v>0.56573635501800024</v>
      </c>
      <c r="P39" t="s">
        <v>44</v>
      </c>
      <c r="Q39">
        <v>3.3</v>
      </c>
      <c r="R39">
        <v>4</v>
      </c>
      <c r="S39">
        <v>3</v>
      </c>
      <c r="T39">
        <v>3.5</v>
      </c>
      <c r="U39">
        <v>3</v>
      </c>
      <c r="V39" t="s">
        <v>25</v>
      </c>
      <c r="X39" t="s">
        <v>133</v>
      </c>
    </row>
    <row r="40" spans="1:25" ht="15.75" thickBot="1" x14ac:dyDescent="0.3">
      <c r="A40" t="s">
        <v>40</v>
      </c>
      <c r="B40">
        <v>2</v>
      </c>
      <c r="C40" t="s">
        <v>41</v>
      </c>
      <c r="D40" t="s">
        <v>42</v>
      </c>
      <c r="E40" t="s">
        <v>43</v>
      </c>
      <c r="F40">
        <v>200</v>
      </c>
      <c r="G40">
        <v>1400</v>
      </c>
      <c r="H40">
        <v>-2</v>
      </c>
      <c r="I40">
        <v>1980</v>
      </c>
      <c r="J40" t="s">
        <v>45</v>
      </c>
      <c r="K40">
        <v>1362</v>
      </c>
      <c r="L40">
        <v>11.88</v>
      </c>
      <c r="M40">
        <v>8.23</v>
      </c>
      <c r="N40" s="4">
        <f t="shared" si="0"/>
        <v>1.1079050400000002E-2</v>
      </c>
      <c r="O40" s="4">
        <f t="shared" si="1"/>
        <v>9.1180584792000016E-2</v>
      </c>
      <c r="P40" t="s">
        <v>44</v>
      </c>
      <c r="Q40">
        <v>2</v>
      </c>
      <c r="R40">
        <v>4</v>
      </c>
      <c r="S40">
        <v>4</v>
      </c>
      <c r="T40">
        <v>4</v>
      </c>
      <c r="U40">
        <v>4</v>
      </c>
      <c r="V40" t="s">
        <v>30</v>
      </c>
    </row>
    <row r="41" spans="1:25" x14ac:dyDescent="0.25">
      <c r="A41" t="s">
        <v>40</v>
      </c>
      <c r="B41">
        <v>2</v>
      </c>
      <c r="C41" t="s">
        <v>41</v>
      </c>
      <c r="D41" t="s">
        <v>42</v>
      </c>
      <c r="E41" t="s">
        <v>43</v>
      </c>
      <c r="F41">
        <v>200</v>
      </c>
      <c r="G41">
        <v>1400</v>
      </c>
      <c r="H41">
        <v>-2</v>
      </c>
      <c r="I41">
        <v>1980</v>
      </c>
      <c r="J41" t="s">
        <v>32</v>
      </c>
      <c r="K41">
        <v>1596</v>
      </c>
      <c r="L41">
        <v>24.42</v>
      </c>
      <c r="M41">
        <v>10.47</v>
      </c>
      <c r="N41" s="4">
        <f t="shared" si="0"/>
        <v>4.6812407400000013E-2</v>
      </c>
      <c r="O41" s="4">
        <f t="shared" si="1"/>
        <v>0.49012590547800017</v>
      </c>
      <c r="P41" t="s">
        <v>44</v>
      </c>
      <c r="Q41">
        <v>4.5</v>
      </c>
      <c r="R41">
        <v>4</v>
      </c>
      <c r="S41">
        <v>4.3</v>
      </c>
      <c r="T41">
        <v>3.7</v>
      </c>
      <c r="U41">
        <v>3.3</v>
      </c>
      <c r="V41" t="s">
        <v>27</v>
      </c>
      <c r="X41" s="15" t="s">
        <v>134</v>
      </c>
      <c r="Y41" s="15"/>
    </row>
    <row r="42" spans="1:25" x14ac:dyDescent="0.25">
      <c r="A42" t="s">
        <v>40</v>
      </c>
      <c r="B42">
        <v>2</v>
      </c>
      <c r="C42" t="s">
        <v>41</v>
      </c>
      <c r="D42" t="s">
        <v>42</v>
      </c>
      <c r="E42" t="s">
        <v>43</v>
      </c>
      <c r="F42">
        <v>200</v>
      </c>
      <c r="G42">
        <v>1400</v>
      </c>
      <c r="H42">
        <v>-2</v>
      </c>
      <c r="I42">
        <v>1980</v>
      </c>
      <c r="J42" t="s">
        <v>33</v>
      </c>
      <c r="K42">
        <v>2088</v>
      </c>
      <c r="L42">
        <v>31.74</v>
      </c>
      <c r="M42">
        <v>11.69</v>
      </c>
      <c r="N42" s="4">
        <f t="shared" si="0"/>
        <v>7.9083066599999988E-2</v>
      </c>
      <c r="O42" s="4">
        <f t="shared" si="1"/>
        <v>0.92448104855399982</v>
      </c>
      <c r="P42" t="s">
        <v>44</v>
      </c>
      <c r="Q42">
        <v>4</v>
      </c>
      <c r="R42">
        <v>2.5</v>
      </c>
      <c r="S42">
        <v>3</v>
      </c>
      <c r="T42">
        <v>3</v>
      </c>
      <c r="U42">
        <v>2</v>
      </c>
      <c r="V42" t="s">
        <v>25</v>
      </c>
      <c r="X42" s="12" t="s">
        <v>135</v>
      </c>
      <c r="Y42" s="12">
        <v>0.18511855882282394</v>
      </c>
    </row>
    <row r="43" spans="1:25" x14ac:dyDescent="0.25">
      <c r="A43" t="s">
        <v>40</v>
      </c>
      <c r="B43">
        <v>2</v>
      </c>
      <c r="C43" t="s">
        <v>41</v>
      </c>
      <c r="D43" t="s">
        <v>42</v>
      </c>
      <c r="E43" t="s">
        <v>43</v>
      </c>
      <c r="F43">
        <v>200</v>
      </c>
      <c r="G43">
        <v>1400</v>
      </c>
      <c r="H43">
        <v>-2</v>
      </c>
      <c r="I43">
        <v>1980</v>
      </c>
      <c r="J43" t="s">
        <v>34</v>
      </c>
      <c r="K43">
        <v>1522</v>
      </c>
      <c r="L43">
        <v>39.72</v>
      </c>
      <c r="M43">
        <v>13.82</v>
      </c>
      <c r="N43" s="4">
        <f t="shared" si="0"/>
        <v>0.1238477544</v>
      </c>
      <c r="O43" s="4">
        <f t="shared" si="1"/>
        <v>1.7115759658080001</v>
      </c>
      <c r="P43" t="s">
        <v>44</v>
      </c>
      <c r="Q43">
        <v>5</v>
      </c>
      <c r="R43">
        <v>4</v>
      </c>
      <c r="S43">
        <v>3.3</v>
      </c>
      <c r="T43">
        <v>3</v>
      </c>
      <c r="U43">
        <v>2</v>
      </c>
      <c r="V43" t="s">
        <v>27</v>
      </c>
      <c r="X43" s="12" t="s">
        <v>136</v>
      </c>
      <c r="Y43" s="12">
        <v>3.4268880820639322E-2</v>
      </c>
    </row>
    <row r="44" spans="1:25" x14ac:dyDescent="0.25">
      <c r="A44" t="s">
        <v>40</v>
      </c>
      <c r="B44">
        <v>2</v>
      </c>
      <c r="C44" t="s">
        <v>41</v>
      </c>
      <c r="D44" t="s">
        <v>42</v>
      </c>
      <c r="E44" t="s">
        <v>43</v>
      </c>
      <c r="F44">
        <v>200</v>
      </c>
      <c r="G44">
        <v>1400</v>
      </c>
      <c r="H44">
        <v>-2</v>
      </c>
      <c r="I44">
        <v>1980</v>
      </c>
      <c r="J44" t="s">
        <v>35</v>
      </c>
      <c r="K44">
        <v>1521</v>
      </c>
      <c r="L44">
        <v>31.38</v>
      </c>
      <c r="M44">
        <v>13.32</v>
      </c>
      <c r="N44" s="4">
        <f t="shared" si="0"/>
        <v>7.7299295399999982E-2</v>
      </c>
      <c r="O44" s="4">
        <f t="shared" si="1"/>
        <v>1.0296266147279998</v>
      </c>
      <c r="P44" t="s">
        <v>44</v>
      </c>
      <c r="Q44">
        <v>4.3</v>
      </c>
      <c r="R44">
        <v>2.7</v>
      </c>
      <c r="S44">
        <v>4</v>
      </c>
      <c r="T44">
        <v>3.5</v>
      </c>
      <c r="U44">
        <v>3.3</v>
      </c>
      <c r="V44" t="s">
        <v>27</v>
      </c>
      <c r="X44" s="12" t="s">
        <v>137</v>
      </c>
      <c r="Y44" s="12">
        <v>3.2953170849005314E-2</v>
      </c>
    </row>
    <row r="45" spans="1:25" x14ac:dyDescent="0.25">
      <c r="A45" t="s">
        <v>40</v>
      </c>
      <c r="B45">
        <v>2</v>
      </c>
      <c r="C45" t="s">
        <v>41</v>
      </c>
      <c r="D45" t="s">
        <v>42</v>
      </c>
      <c r="E45" t="s">
        <v>43</v>
      </c>
      <c r="F45">
        <v>200</v>
      </c>
      <c r="G45">
        <v>1400</v>
      </c>
      <c r="H45">
        <v>-2</v>
      </c>
      <c r="I45">
        <v>1980</v>
      </c>
      <c r="J45" t="s">
        <v>36</v>
      </c>
      <c r="K45">
        <v>1523</v>
      </c>
      <c r="L45">
        <v>31.72</v>
      </c>
      <c r="M45">
        <v>9.9600000000000009</v>
      </c>
      <c r="N45" s="4">
        <f t="shared" si="0"/>
        <v>7.8983434399999997E-2</v>
      </c>
      <c r="O45" s="4">
        <f t="shared" si="1"/>
        <v>0.78667500662400003</v>
      </c>
      <c r="P45" t="s">
        <v>44</v>
      </c>
      <c r="Q45">
        <v>4.5</v>
      </c>
      <c r="R45">
        <v>4</v>
      </c>
      <c r="S45">
        <v>3.5</v>
      </c>
      <c r="T45">
        <v>3.5</v>
      </c>
      <c r="U45">
        <v>3</v>
      </c>
      <c r="V45" t="s">
        <v>27</v>
      </c>
      <c r="X45" s="12" t="s">
        <v>138</v>
      </c>
      <c r="Y45" s="12">
        <v>58.229670592748882</v>
      </c>
    </row>
    <row r="46" spans="1:25" ht="15.75" thickBot="1" x14ac:dyDescent="0.3">
      <c r="A46" t="s">
        <v>40</v>
      </c>
      <c r="B46">
        <v>2</v>
      </c>
      <c r="C46" t="s">
        <v>41</v>
      </c>
      <c r="D46" t="s">
        <v>42</v>
      </c>
      <c r="E46" t="s">
        <v>43</v>
      </c>
      <c r="F46">
        <v>200</v>
      </c>
      <c r="G46">
        <v>1400</v>
      </c>
      <c r="H46">
        <v>-2</v>
      </c>
      <c r="I46">
        <v>1980</v>
      </c>
      <c r="J46" t="s">
        <v>37</v>
      </c>
      <c r="K46">
        <v>1524</v>
      </c>
      <c r="L46">
        <v>23.36</v>
      </c>
      <c r="M46">
        <v>10.33</v>
      </c>
      <c r="N46" s="4">
        <f t="shared" si="0"/>
        <v>4.28366336E-2</v>
      </c>
      <c r="O46" s="4">
        <f t="shared" si="1"/>
        <v>0.44250242508800003</v>
      </c>
      <c r="P46" t="s">
        <v>44</v>
      </c>
      <c r="Q46">
        <v>3.3</v>
      </c>
      <c r="R46">
        <v>3</v>
      </c>
      <c r="S46">
        <v>3</v>
      </c>
      <c r="T46">
        <v>4</v>
      </c>
      <c r="U46">
        <v>4</v>
      </c>
      <c r="V46" t="s">
        <v>25</v>
      </c>
      <c r="X46" s="13" t="s">
        <v>139</v>
      </c>
      <c r="Y46" s="13">
        <v>736</v>
      </c>
    </row>
    <row r="47" spans="1:25" x14ac:dyDescent="0.25">
      <c r="A47" t="s">
        <v>40</v>
      </c>
      <c r="B47">
        <v>3</v>
      </c>
      <c r="C47" t="s">
        <v>41</v>
      </c>
      <c r="D47" t="s">
        <v>42</v>
      </c>
      <c r="E47" t="s">
        <v>43</v>
      </c>
      <c r="F47">
        <v>200</v>
      </c>
      <c r="G47">
        <v>1400</v>
      </c>
      <c r="H47">
        <v>-2</v>
      </c>
      <c r="I47">
        <v>1980</v>
      </c>
      <c r="J47" t="s">
        <v>24</v>
      </c>
      <c r="K47">
        <v>1520</v>
      </c>
      <c r="L47">
        <v>13.99</v>
      </c>
      <c r="M47">
        <v>5.59</v>
      </c>
      <c r="N47" s="4">
        <f t="shared" si="0"/>
        <v>1.5364027849999998E-2</v>
      </c>
      <c r="O47" s="4">
        <f t="shared" si="1"/>
        <v>8.5884915681499988E-2</v>
      </c>
      <c r="P47" t="s">
        <v>44</v>
      </c>
      <c r="Q47">
        <v>2</v>
      </c>
      <c r="R47">
        <v>4</v>
      </c>
      <c r="S47">
        <v>3</v>
      </c>
      <c r="T47">
        <v>4</v>
      </c>
      <c r="U47">
        <v>3</v>
      </c>
      <c r="V47" t="s">
        <v>30</v>
      </c>
    </row>
    <row r="48" spans="1:25" ht="15.75" thickBot="1" x14ac:dyDescent="0.3">
      <c r="A48" t="s">
        <v>40</v>
      </c>
      <c r="B48">
        <v>3</v>
      </c>
      <c r="C48" t="s">
        <v>41</v>
      </c>
      <c r="D48" t="s">
        <v>42</v>
      </c>
      <c r="E48" t="s">
        <v>43</v>
      </c>
      <c r="F48">
        <v>200</v>
      </c>
      <c r="G48">
        <v>1400</v>
      </c>
      <c r="H48">
        <v>-2</v>
      </c>
      <c r="I48">
        <v>1980</v>
      </c>
      <c r="J48" t="s">
        <v>26</v>
      </c>
      <c r="K48">
        <v>1487</v>
      </c>
      <c r="L48">
        <v>3.0720000000000001</v>
      </c>
      <c r="M48">
        <v>9.93</v>
      </c>
      <c r="N48" s="4">
        <f t="shared" si="0"/>
        <v>7.4081894399999999E-4</v>
      </c>
      <c r="O48" s="4">
        <f t="shared" si="1"/>
        <v>7.3563321139199995E-3</v>
      </c>
      <c r="P48" t="s">
        <v>44</v>
      </c>
      <c r="Q48">
        <v>3</v>
      </c>
      <c r="R48">
        <v>4</v>
      </c>
      <c r="S48">
        <v>2</v>
      </c>
      <c r="T48">
        <v>2</v>
      </c>
      <c r="U48">
        <v>1</v>
      </c>
      <c r="V48" t="s">
        <v>25</v>
      </c>
      <c r="X48" t="s">
        <v>140</v>
      </c>
    </row>
    <row r="49" spans="1:32" x14ac:dyDescent="0.25">
      <c r="A49" t="s">
        <v>40</v>
      </c>
      <c r="B49">
        <v>3</v>
      </c>
      <c r="C49" t="s">
        <v>41</v>
      </c>
      <c r="D49" t="s">
        <v>42</v>
      </c>
      <c r="E49" t="s">
        <v>43</v>
      </c>
      <c r="F49">
        <v>200</v>
      </c>
      <c r="G49">
        <v>1400</v>
      </c>
      <c r="H49">
        <v>-2</v>
      </c>
      <c r="I49">
        <v>1980</v>
      </c>
      <c r="J49" t="s">
        <v>45</v>
      </c>
      <c r="K49">
        <v>1362</v>
      </c>
      <c r="L49">
        <v>26.5</v>
      </c>
      <c r="M49">
        <v>10.97</v>
      </c>
      <c r="N49" s="4">
        <f t="shared" si="0"/>
        <v>5.5126625000000012E-2</v>
      </c>
      <c r="O49" s="4">
        <f t="shared" si="1"/>
        <v>0.60473907625000012</v>
      </c>
      <c r="P49" t="s">
        <v>44</v>
      </c>
      <c r="Q49">
        <v>3.5</v>
      </c>
      <c r="R49">
        <v>3.5</v>
      </c>
      <c r="S49">
        <v>3.7</v>
      </c>
      <c r="T49">
        <v>4</v>
      </c>
      <c r="U49">
        <v>3.7</v>
      </c>
      <c r="V49" t="s">
        <v>25</v>
      </c>
      <c r="X49" s="14"/>
      <c r="Y49" s="14" t="s">
        <v>145</v>
      </c>
      <c r="Z49" s="14" t="s">
        <v>146</v>
      </c>
      <c r="AA49" s="14" t="s">
        <v>147</v>
      </c>
      <c r="AB49" s="14" t="s">
        <v>148</v>
      </c>
      <c r="AC49" s="14" t="s">
        <v>149</v>
      </c>
    </row>
    <row r="50" spans="1:32" x14ac:dyDescent="0.25">
      <c r="A50" t="s">
        <v>40</v>
      </c>
      <c r="B50">
        <v>3</v>
      </c>
      <c r="C50" t="s">
        <v>41</v>
      </c>
      <c r="D50" t="s">
        <v>42</v>
      </c>
      <c r="E50" t="s">
        <v>43</v>
      </c>
      <c r="F50">
        <v>200</v>
      </c>
      <c r="G50">
        <v>1400</v>
      </c>
      <c r="H50">
        <v>-2</v>
      </c>
      <c r="I50">
        <v>1980</v>
      </c>
      <c r="J50" t="s">
        <v>32</v>
      </c>
      <c r="K50">
        <v>1596</v>
      </c>
      <c r="L50">
        <v>24.42</v>
      </c>
      <c r="M50">
        <v>7.85</v>
      </c>
      <c r="N50" s="4">
        <f t="shared" si="0"/>
        <v>4.6812407400000013E-2</v>
      </c>
      <c r="O50" s="4">
        <f t="shared" si="1"/>
        <v>0.36747739809000007</v>
      </c>
      <c r="P50" t="s">
        <v>44</v>
      </c>
      <c r="Q50">
        <v>3</v>
      </c>
      <c r="R50">
        <v>3.5</v>
      </c>
      <c r="S50">
        <v>3.3</v>
      </c>
      <c r="T50">
        <v>3.3</v>
      </c>
      <c r="U50">
        <v>3.3</v>
      </c>
      <c r="V50" t="s">
        <v>25</v>
      </c>
      <c r="X50" s="12" t="s">
        <v>141</v>
      </c>
      <c r="Y50" s="12">
        <v>1</v>
      </c>
      <c r="Z50" s="12">
        <v>88313.769375019241</v>
      </c>
      <c r="AA50" s="12">
        <v>88313.769375019241</v>
      </c>
      <c r="AB50" s="12">
        <v>26.045923158946739</v>
      </c>
      <c r="AC50" s="12">
        <v>4.2505946805235214E-7</v>
      </c>
    </row>
    <row r="51" spans="1:32" x14ac:dyDescent="0.25">
      <c r="A51" t="s">
        <v>40</v>
      </c>
      <c r="B51">
        <v>3</v>
      </c>
      <c r="C51" t="s">
        <v>41</v>
      </c>
      <c r="D51" t="s">
        <v>42</v>
      </c>
      <c r="E51" t="s">
        <v>43</v>
      </c>
      <c r="F51">
        <v>200</v>
      </c>
      <c r="G51">
        <v>1400</v>
      </c>
      <c r="H51">
        <v>-2</v>
      </c>
      <c r="I51">
        <v>1980</v>
      </c>
      <c r="J51" t="s">
        <v>33</v>
      </c>
      <c r="K51">
        <v>2088</v>
      </c>
      <c r="L51">
        <v>32.99</v>
      </c>
      <c r="M51">
        <v>12.53</v>
      </c>
      <c r="N51" s="4">
        <f t="shared" si="0"/>
        <v>8.5434697850000019E-2</v>
      </c>
      <c r="O51" s="4">
        <f t="shared" si="1"/>
        <v>1.0704967640605001</v>
      </c>
      <c r="P51" t="s">
        <v>44</v>
      </c>
      <c r="Q51">
        <v>5</v>
      </c>
      <c r="R51">
        <v>2.5</v>
      </c>
      <c r="S51">
        <v>4</v>
      </c>
      <c r="T51">
        <v>3</v>
      </c>
      <c r="U51">
        <v>2</v>
      </c>
      <c r="V51" t="s">
        <v>25</v>
      </c>
      <c r="X51" s="12" t="s">
        <v>142</v>
      </c>
      <c r="Y51" s="12">
        <v>734</v>
      </c>
      <c r="Z51" s="12">
        <v>2488769.790407592</v>
      </c>
      <c r="AA51" s="12">
        <v>3390.6945373400436</v>
      </c>
      <c r="AB51" s="12"/>
      <c r="AC51" s="12"/>
    </row>
    <row r="52" spans="1:32" ht="15.75" thickBot="1" x14ac:dyDescent="0.3">
      <c r="A52" t="s">
        <v>40</v>
      </c>
      <c r="B52">
        <v>3</v>
      </c>
      <c r="C52" t="s">
        <v>41</v>
      </c>
      <c r="D52" t="s">
        <v>42</v>
      </c>
      <c r="E52" t="s">
        <v>43</v>
      </c>
      <c r="F52">
        <v>200</v>
      </c>
      <c r="G52">
        <v>1400</v>
      </c>
      <c r="H52">
        <v>-2</v>
      </c>
      <c r="I52">
        <v>1980</v>
      </c>
      <c r="J52" t="s">
        <v>34</v>
      </c>
      <c r="K52">
        <v>1522</v>
      </c>
      <c r="L52">
        <v>30.48</v>
      </c>
      <c r="M52">
        <v>12.09</v>
      </c>
      <c r="N52" s="4">
        <f t="shared" si="0"/>
        <v>7.2928886400000004E-2</v>
      </c>
      <c r="O52" s="4">
        <f t="shared" si="1"/>
        <v>0.88171023657600001</v>
      </c>
      <c r="P52" t="s">
        <v>44</v>
      </c>
      <c r="Q52">
        <v>4.5</v>
      </c>
      <c r="R52">
        <v>4</v>
      </c>
      <c r="S52">
        <v>3.5</v>
      </c>
      <c r="T52">
        <v>3.5</v>
      </c>
      <c r="U52">
        <v>2.5</v>
      </c>
      <c r="V52" t="s">
        <v>27</v>
      </c>
      <c r="X52" s="13" t="s">
        <v>143</v>
      </c>
      <c r="Y52" s="13">
        <v>735</v>
      </c>
      <c r="Z52" s="13">
        <v>2577083.5597826112</v>
      </c>
      <c r="AA52" s="13"/>
      <c r="AB52" s="13"/>
      <c r="AC52" s="13"/>
    </row>
    <row r="53" spans="1:32" ht="15.75" thickBot="1" x14ac:dyDescent="0.3">
      <c r="A53" t="s">
        <v>40</v>
      </c>
      <c r="B53">
        <v>3</v>
      </c>
      <c r="C53" t="s">
        <v>41</v>
      </c>
      <c r="D53" t="s">
        <v>42</v>
      </c>
      <c r="E53" t="s">
        <v>43</v>
      </c>
      <c r="F53">
        <v>200</v>
      </c>
      <c r="G53">
        <v>1400</v>
      </c>
      <c r="H53">
        <v>-2</v>
      </c>
      <c r="I53">
        <v>1980</v>
      </c>
      <c r="J53" t="s">
        <v>35</v>
      </c>
      <c r="K53">
        <v>1521</v>
      </c>
      <c r="L53">
        <v>9.99</v>
      </c>
      <c r="M53">
        <v>7.49</v>
      </c>
      <c r="N53" s="4">
        <f t="shared" si="0"/>
        <v>7.8343078500000014E-3</v>
      </c>
      <c r="O53" s="4">
        <f t="shared" si="1"/>
        <v>5.8678965796500011E-2</v>
      </c>
      <c r="P53" t="s">
        <v>44</v>
      </c>
      <c r="Q53">
        <v>2</v>
      </c>
      <c r="R53">
        <v>2</v>
      </c>
      <c r="S53">
        <v>3</v>
      </c>
      <c r="T53">
        <v>4</v>
      </c>
      <c r="U53">
        <v>4</v>
      </c>
      <c r="V53" t="s">
        <v>30</v>
      </c>
    </row>
    <row r="54" spans="1:32" x14ac:dyDescent="0.25">
      <c r="A54" t="s">
        <v>40</v>
      </c>
      <c r="B54">
        <v>3</v>
      </c>
      <c r="C54" t="s">
        <v>41</v>
      </c>
      <c r="D54" t="s">
        <v>42</v>
      </c>
      <c r="E54" t="s">
        <v>43</v>
      </c>
      <c r="F54">
        <v>200</v>
      </c>
      <c r="G54">
        <v>1400</v>
      </c>
      <c r="H54">
        <v>-2</v>
      </c>
      <c r="I54">
        <v>1980</v>
      </c>
      <c r="J54" t="s">
        <v>36</v>
      </c>
      <c r="K54">
        <v>1523</v>
      </c>
      <c r="L54">
        <v>39.65</v>
      </c>
      <c r="M54">
        <v>10.56</v>
      </c>
      <c r="N54" s="4">
        <f t="shared" si="0"/>
        <v>0.12341161624999998</v>
      </c>
      <c r="O54" s="4">
        <f t="shared" si="1"/>
        <v>1.3032266675999999</v>
      </c>
      <c r="P54" t="s">
        <v>44</v>
      </c>
      <c r="Q54">
        <v>4</v>
      </c>
      <c r="R54">
        <v>4.5</v>
      </c>
      <c r="S54">
        <v>3</v>
      </c>
      <c r="T54">
        <v>3</v>
      </c>
      <c r="U54">
        <v>1</v>
      </c>
      <c r="V54" t="s">
        <v>27</v>
      </c>
      <c r="X54" s="14"/>
      <c r="Y54" s="14" t="s">
        <v>150</v>
      </c>
      <c r="Z54" s="14" t="s">
        <v>138</v>
      </c>
      <c r="AA54" s="14" t="s">
        <v>151</v>
      </c>
      <c r="AB54" s="14" t="s">
        <v>152</v>
      </c>
      <c r="AC54" s="14" t="s">
        <v>153</v>
      </c>
      <c r="AD54" s="14" t="s">
        <v>154</v>
      </c>
      <c r="AE54" s="14" t="s">
        <v>155</v>
      </c>
      <c r="AF54" s="14" t="s">
        <v>156</v>
      </c>
    </row>
    <row r="55" spans="1:32" x14ac:dyDescent="0.25">
      <c r="A55" t="s">
        <v>40</v>
      </c>
      <c r="B55">
        <v>3</v>
      </c>
      <c r="C55" t="s">
        <v>41</v>
      </c>
      <c r="D55" t="s">
        <v>42</v>
      </c>
      <c r="E55" t="s">
        <v>43</v>
      </c>
      <c r="F55">
        <v>200</v>
      </c>
      <c r="G55">
        <v>1400</v>
      </c>
      <c r="H55">
        <v>-2</v>
      </c>
      <c r="I55">
        <v>1980</v>
      </c>
      <c r="J55" t="s">
        <v>37</v>
      </c>
      <c r="K55">
        <v>1524</v>
      </c>
      <c r="L55">
        <v>22.72</v>
      </c>
      <c r="M55">
        <v>11.52</v>
      </c>
      <c r="N55" s="4">
        <f t="shared" si="0"/>
        <v>4.0521574399999996E-2</v>
      </c>
      <c r="O55" s="4">
        <f t="shared" si="1"/>
        <v>0.46680853708799996</v>
      </c>
      <c r="P55" t="s">
        <v>44</v>
      </c>
      <c r="Q55">
        <v>3</v>
      </c>
      <c r="R55">
        <v>2.5</v>
      </c>
      <c r="S55">
        <v>3.5</v>
      </c>
      <c r="T55">
        <v>3.5</v>
      </c>
      <c r="U55">
        <v>2.8</v>
      </c>
      <c r="V55" t="s">
        <v>25</v>
      </c>
      <c r="X55" s="12" t="s">
        <v>144</v>
      </c>
      <c r="Y55" s="12">
        <v>179.09725727114059</v>
      </c>
      <c r="Z55" s="12">
        <v>2.5549068870444831</v>
      </c>
      <c r="AA55" s="12">
        <v>70.099328542779247</v>
      </c>
      <c r="AB55" s="12">
        <v>0</v>
      </c>
      <c r="AC55" s="12">
        <v>174.08146098651804</v>
      </c>
      <c r="AD55" s="12">
        <v>184.11305355576314</v>
      </c>
      <c r="AE55" s="12">
        <v>172.49909775179248</v>
      </c>
      <c r="AF55" s="12">
        <v>185.69541679048871</v>
      </c>
    </row>
    <row r="56" spans="1:32" ht="15.75" thickBot="1" x14ac:dyDescent="0.3">
      <c r="A56" t="s">
        <v>46</v>
      </c>
      <c r="B56">
        <v>1</v>
      </c>
      <c r="C56" t="s">
        <v>47</v>
      </c>
      <c r="D56" t="s">
        <v>48</v>
      </c>
      <c r="E56" t="s">
        <v>49</v>
      </c>
      <c r="F56">
        <v>130</v>
      </c>
      <c r="G56">
        <v>1000</v>
      </c>
      <c r="H56">
        <v>-3</v>
      </c>
      <c r="I56">
        <v>1980</v>
      </c>
      <c r="J56" t="s">
        <v>24</v>
      </c>
      <c r="K56">
        <v>1520</v>
      </c>
      <c r="L56">
        <v>10.1</v>
      </c>
      <c r="M56">
        <v>8.1999999999999993</v>
      </c>
      <c r="N56" s="4">
        <f t="shared" si="0"/>
        <v>8.0077849999999982E-3</v>
      </c>
      <c r="O56" s="4">
        <f t="shared" si="1"/>
        <v>6.5663836999999975E-2</v>
      </c>
      <c r="P56">
        <v>60</v>
      </c>
      <c r="Q56">
        <v>3</v>
      </c>
      <c r="R56">
        <v>4</v>
      </c>
      <c r="S56">
        <v>3.5</v>
      </c>
      <c r="T56">
        <v>3.5</v>
      </c>
      <c r="U56">
        <v>3.2</v>
      </c>
      <c r="V56" t="s">
        <v>38</v>
      </c>
      <c r="X56" s="13" t="s">
        <v>106</v>
      </c>
      <c r="Y56" s="13">
        <v>-20.796031593872762</v>
      </c>
      <c r="Z56" s="13">
        <v>4.0748402850862009</v>
      </c>
      <c r="AA56" s="13">
        <v>-5.1035206631252867</v>
      </c>
      <c r="AB56" s="13">
        <v>4.2505946805235214E-7</v>
      </c>
      <c r="AC56" s="13">
        <v>-28.795762960211924</v>
      </c>
      <c r="AD56" s="13">
        <v>-12.7963002275336</v>
      </c>
      <c r="AE56" s="13">
        <v>-31.319486030980215</v>
      </c>
      <c r="AF56" s="13">
        <v>-10.272577156765308</v>
      </c>
    </row>
    <row r="57" spans="1:32" x14ac:dyDescent="0.25">
      <c r="A57" t="s">
        <v>46</v>
      </c>
      <c r="B57">
        <v>1</v>
      </c>
      <c r="C57" t="s">
        <v>47</v>
      </c>
      <c r="D57" t="s">
        <v>48</v>
      </c>
      <c r="E57" t="s">
        <v>49</v>
      </c>
      <c r="F57">
        <v>130</v>
      </c>
      <c r="G57">
        <v>1000</v>
      </c>
      <c r="H57">
        <v>-3</v>
      </c>
      <c r="I57">
        <v>1980</v>
      </c>
      <c r="J57" t="s">
        <v>45</v>
      </c>
      <c r="K57">
        <v>1362</v>
      </c>
      <c r="L57">
        <v>4.7</v>
      </c>
      <c r="M57">
        <v>5.5</v>
      </c>
      <c r="N57" s="4">
        <f t="shared" si="0"/>
        <v>1.7340650000000001E-3</v>
      </c>
      <c r="O57" s="4">
        <f t="shared" si="1"/>
        <v>9.5373575000000013E-3</v>
      </c>
      <c r="P57">
        <v>20</v>
      </c>
      <c r="Q57">
        <v>1</v>
      </c>
      <c r="R57">
        <v>1.5</v>
      </c>
      <c r="S57">
        <v>2</v>
      </c>
      <c r="T57">
        <v>3</v>
      </c>
      <c r="U57">
        <v>3</v>
      </c>
      <c r="V57" t="s">
        <v>50</v>
      </c>
    </row>
    <row r="58" spans="1:32" x14ac:dyDescent="0.25">
      <c r="A58" t="s">
        <v>46</v>
      </c>
      <c r="B58">
        <v>1</v>
      </c>
      <c r="C58" t="s">
        <v>47</v>
      </c>
      <c r="D58" t="s">
        <v>48</v>
      </c>
      <c r="E58" t="s">
        <v>49</v>
      </c>
      <c r="F58">
        <v>130</v>
      </c>
      <c r="G58">
        <v>1000</v>
      </c>
      <c r="H58">
        <v>-3</v>
      </c>
      <c r="I58">
        <v>1980</v>
      </c>
      <c r="J58" t="s">
        <v>32</v>
      </c>
      <c r="K58">
        <v>1596</v>
      </c>
      <c r="L58">
        <v>17</v>
      </c>
      <c r="M58">
        <v>12.6</v>
      </c>
      <c r="N58" s="4">
        <f t="shared" si="0"/>
        <v>2.2686500000000005E-2</v>
      </c>
      <c r="O58" s="4">
        <f t="shared" si="1"/>
        <v>0.28584990000000005</v>
      </c>
      <c r="P58">
        <v>50</v>
      </c>
      <c r="Q58">
        <v>4.3</v>
      </c>
      <c r="R58">
        <v>4</v>
      </c>
      <c r="S58">
        <v>3.2</v>
      </c>
      <c r="T58">
        <v>4</v>
      </c>
      <c r="U58">
        <v>3.5</v>
      </c>
      <c r="V58" t="s">
        <v>25</v>
      </c>
    </row>
    <row r="59" spans="1:32" x14ac:dyDescent="0.25">
      <c r="A59" t="s">
        <v>46</v>
      </c>
      <c r="B59">
        <v>1</v>
      </c>
      <c r="C59" t="s">
        <v>47</v>
      </c>
      <c r="D59" t="s">
        <v>48</v>
      </c>
      <c r="E59" t="s">
        <v>49</v>
      </c>
      <c r="F59">
        <v>130</v>
      </c>
      <c r="G59">
        <v>1000</v>
      </c>
      <c r="H59">
        <v>-3</v>
      </c>
      <c r="I59">
        <v>1980</v>
      </c>
      <c r="J59" t="s">
        <v>33</v>
      </c>
      <c r="K59">
        <v>2088</v>
      </c>
      <c r="L59">
        <v>10.3</v>
      </c>
      <c r="M59">
        <v>9.4</v>
      </c>
      <c r="N59" s="4">
        <f t="shared" si="0"/>
        <v>8.3280650000000025E-3</v>
      </c>
      <c r="O59" s="4">
        <f t="shared" si="1"/>
        <v>7.8283811000000023E-2</v>
      </c>
      <c r="P59">
        <v>80</v>
      </c>
      <c r="Q59">
        <v>3</v>
      </c>
      <c r="R59">
        <v>2.5</v>
      </c>
      <c r="S59">
        <v>3</v>
      </c>
      <c r="T59">
        <v>3</v>
      </c>
      <c r="U59">
        <v>3</v>
      </c>
      <c r="V59" t="s">
        <v>25</v>
      </c>
    </row>
    <row r="60" spans="1:32" x14ac:dyDescent="0.25">
      <c r="A60" t="s">
        <v>46</v>
      </c>
      <c r="B60">
        <v>1</v>
      </c>
      <c r="C60" t="s">
        <v>47</v>
      </c>
      <c r="D60" t="s">
        <v>48</v>
      </c>
      <c r="E60" t="s">
        <v>49</v>
      </c>
      <c r="F60">
        <v>130</v>
      </c>
      <c r="G60">
        <v>1000</v>
      </c>
      <c r="H60">
        <v>-3</v>
      </c>
      <c r="I60">
        <v>1980</v>
      </c>
      <c r="J60" t="s">
        <v>34</v>
      </c>
      <c r="K60">
        <v>1522</v>
      </c>
      <c r="L60">
        <v>21.6</v>
      </c>
      <c r="M60">
        <v>12</v>
      </c>
      <c r="N60" s="4">
        <f t="shared" si="0"/>
        <v>3.6624960000000012E-2</v>
      </c>
      <c r="O60" s="4">
        <f t="shared" si="1"/>
        <v>0.43949952000000014</v>
      </c>
      <c r="P60">
        <v>40</v>
      </c>
      <c r="Q60">
        <v>4</v>
      </c>
      <c r="R60">
        <v>3.7</v>
      </c>
      <c r="S60">
        <v>3.5</v>
      </c>
      <c r="T60">
        <v>3.5</v>
      </c>
      <c r="U60">
        <v>3</v>
      </c>
      <c r="V60" t="s">
        <v>25</v>
      </c>
    </row>
    <row r="61" spans="1:32" x14ac:dyDescent="0.25">
      <c r="A61" t="s">
        <v>46</v>
      </c>
      <c r="B61">
        <v>1</v>
      </c>
      <c r="C61" t="s">
        <v>47</v>
      </c>
      <c r="D61" t="s">
        <v>48</v>
      </c>
      <c r="E61" t="s">
        <v>49</v>
      </c>
      <c r="F61">
        <v>130</v>
      </c>
      <c r="G61">
        <v>1000</v>
      </c>
      <c r="H61">
        <v>-3</v>
      </c>
      <c r="I61">
        <v>1980</v>
      </c>
      <c r="J61" t="s">
        <v>35</v>
      </c>
      <c r="K61">
        <v>1521</v>
      </c>
      <c r="L61">
        <v>11.3</v>
      </c>
      <c r="M61">
        <v>10</v>
      </c>
      <c r="N61" s="4">
        <f t="shared" si="0"/>
        <v>1.0023665000000001E-2</v>
      </c>
      <c r="O61" s="4">
        <f t="shared" si="1"/>
        <v>0.10023665000000001</v>
      </c>
      <c r="P61">
        <v>40</v>
      </c>
      <c r="Q61">
        <v>2.7</v>
      </c>
      <c r="R61">
        <v>2</v>
      </c>
      <c r="S61">
        <v>3.2</v>
      </c>
      <c r="T61">
        <v>4</v>
      </c>
      <c r="U61">
        <v>3</v>
      </c>
      <c r="V61" t="s">
        <v>38</v>
      </c>
    </row>
    <row r="62" spans="1:32" x14ac:dyDescent="0.25">
      <c r="A62" t="s">
        <v>46</v>
      </c>
      <c r="B62">
        <v>1</v>
      </c>
      <c r="C62" t="s">
        <v>47</v>
      </c>
      <c r="D62" t="s">
        <v>48</v>
      </c>
      <c r="E62" t="s">
        <v>49</v>
      </c>
      <c r="F62">
        <v>130</v>
      </c>
      <c r="G62">
        <v>1000</v>
      </c>
      <c r="H62">
        <v>-3</v>
      </c>
      <c r="I62">
        <v>1980</v>
      </c>
      <c r="J62" t="s">
        <v>36</v>
      </c>
      <c r="K62">
        <v>1523</v>
      </c>
      <c r="L62">
        <v>12.7</v>
      </c>
      <c r="M62">
        <v>9.3000000000000007</v>
      </c>
      <c r="N62" s="4">
        <f t="shared" si="0"/>
        <v>1.2661265000000001E-2</v>
      </c>
      <c r="O62" s="4">
        <f t="shared" si="1"/>
        <v>0.11774976450000002</v>
      </c>
      <c r="P62">
        <v>80</v>
      </c>
      <c r="Q62">
        <v>2.9</v>
      </c>
      <c r="R62">
        <v>4</v>
      </c>
      <c r="S62">
        <v>3.2</v>
      </c>
      <c r="T62">
        <v>3.9</v>
      </c>
      <c r="U62">
        <v>3.4</v>
      </c>
      <c r="V62" t="s">
        <v>25</v>
      </c>
    </row>
    <row r="63" spans="1:32" x14ac:dyDescent="0.25">
      <c r="A63" t="s">
        <v>46</v>
      </c>
      <c r="B63">
        <v>1</v>
      </c>
      <c r="C63" t="s">
        <v>47</v>
      </c>
      <c r="D63" t="s">
        <v>48</v>
      </c>
      <c r="E63" t="s">
        <v>49</v>
      </c>
      <c r="F63">
        <v>130</v>
      </c>
      <c r="G63">
        <v>1000</v>
      </c>
      <c r="H63">
        <v>-3</v>
      </c>
      <c r="I63">
        <v>1980</v>
      </c>
      <c r="J63" t="s">
        <v>37</v>
      </c>
      <c r="K63">
        <v>1524</v>
      </c>
      <c r="L63">
        <v>5.4</v>
      </c>
      <c r="M63">
        <v>4.5</v>
      </c>
      <c r="N63" s="4">
        <f t="shared" si="0"/>
        <v>2.2890600000000007E-3</v>
      </c>
      <c r="O63" s="4">
        <f t="shared" si="1"/>
        <v>1.0300770000000004E-2</v>
      </c>
      <c r="P63">
        <v>20</v>
      </c>
      <c r="Q63">
        <v>1</v>
      </c>
      <c r="R63">
        <v>2</v>
      </c>
      <c r="S63">
        <v>3</v>
      </c>
      <c r="T63">
        <v>3</v>
      </c>
      <c r="U63">
        <v>3</v>
      </c>
      <c r="V63" t="s">
        <v>50</v>
      </c>
    </row>
    <row r="64" spans="1:32" x14ac:dyDescent="0.25">
      <c r="A64" t="s">
        <v>46</v>
      </c>
      <c r="B64">
        <v>2</v>
      </c>
      <c r="C64" t="s">
        <v>47</v>
      </c>
      <c r="D64" t="s">
        <v>48</v>
      </c>
      <c r="E64" t="s">
        <v>49</v>
      </c>
      <c r="F64">
        <v>130</v>
      </c>
      <c r="G64">
        <v>1000</v>
      </c>
      <c r="H64">
        <v>-3</v>
      </c>
      <c r="I64">
        <v>1980</v>
      </c>
      <c r="J64" t="s">
        <v>24</v>
      </c>
      <c r="K64">
        <v>1520</v>
      </c>
      <c r="L64">
        <v>6.8</v>
      </c>
      <c r="M64">
        <v>5.5</v>
      </c>
      <c r="N64" s="4">
        <f t="shared" si="0"/>
        <v>3.6298400000000005E-3</v>
      </c>
      <c r="O64" s="4">
        <f t="shared" si="1"/>
        <v>1.9964120000000002E-2</v>
      </c>
      <c r="P64">
        <v>60</v>
      </c>
      <c r="Q64">
        <v>2.5</v>
      </c>
      <c r="R64">
        <v>3.5</v>
      </c>
      <c r="S64">
        <v>3.5</v>
      </c>
      <c r="T64">
        <v>3.5</v>
      </c>
      <c r="U64">
        <v>3</v>
      </c>
      <c r="V64" t="s">
        <v>30</v>
      </c>
    </row>
    <row r="65" spans="1:25" x14ac:dyDescent="0.25">
      <c r="A65" t="s">
        <v>46</v>
      </c>
      <c r="B65">
        <v>2</v>
      </c>
      <c r="C65" t="s">
        <v>47</v>
      </c>
      <c r="D65" t="s">
        <v>48</v>
      </c>
      <c r="E65" t="s">
        <v>49</v>
      </c>
      <c r="F65">
        <v>130</v>
      </c>
      <c r="G65">
        <v>1000</v>
      </c>
      <c r="H65">
        <v>-3</v>
      </c>
      <c r="I65">
        <v>1980</v>
      </c>
      <c r="J65" t="s">
        <v>26</v>
      </c>
      <c r="K65">
        <v>1487</v>
      </c>
      <c r="L65">
        <v>17.8</v>
      </c>
      <c r="M65">
        <v>10</v>
      </c>
      <c r="N65" s="4">
        <f t="shared" si="0"/>
        <v>2.4871940000000006E-2</v>
      </c>
      <c r="O65" s="4">
        <f t="shared" si="1"/>
        <v>0.24871940000000006</v>
      </c>
      <c r="P65">
        <v>10</v>
      </c>
      <c r="Q65">
        <v>4</v>
      </c>
      <c r="R65">
        <v>4</v>
      </c>
      <c r="S65">
        <v>3.5</v>
      </c>
      <c r="T65">
        <v>4</v>
      </c>
      <c r="U65">
        <v>2</v>
      </c>
      <c r="V65" t="s">
        <v>25</v>
      </c>
    </row>
    <row r="66" spans="1:25" x14ac:dyDescent="0.25">
      <c r="A66" t="s">
        <v>46</v>
      </c>
      <c r="B66">
        <v>2</v>
      </c>
      <c r="C66" t="s">
        <v>47</v>
      </c>
      <c r="D66" t="s">
        <v>48</v>
      </c>
      <c r="E66" t="s">
        <v>49</v>
      </c>
      <c r="F66">
        <v>130</v>
      </c>
      <c r="G66">
        <v>1000</v>
      </c>
      <c r="H66">
        <v>-3</v>
      </c>
      <c r="I66">
        <v>1980</v>
      </c>
      <c r="J66" t="s">
        <v>32</v>
      </c>
      <c r="K66">
        <v>1596</v>
      </c>
      <c r="L66">
        <v>20.399999999999999</v>
      </c>
      <c r="M66">
        <v>10.199999999999999</v>
      </c>
      <c r="N66" s="4">
        <f t="shared" si="0"/>
        <v>3.2668559999999999E-2</v>
      </c>
      <c r="O66" s="4">
        <f t="shared" si="1"/>
        <v>0.33321931199999999</v>
      </c>
      <c r="P66">
        <v>60</v>
      </c>
      <c r="Q66">
        <v>4</v>
      </c>
      <c r="R66">
        <v>4</v>
      </c>
      <c r="S66">
        <v>3</v>
      </c>
      <c r="T66">
        <v>3</v>
      </c>
      <c r="U66">
        <v>2.5</v>
      </c>
      <c r="V66" t="s">
        <v>25</v>
      </c>
    </row>
    <row r="67" spans="1:25" x14ac:dyDescent="0.25">
      <c r="A67" t="s">
        <v>46</v>
      </c>
      <c r="B67">
        <v>2</v>
      </c>
      <c r="C67" t="s">
        <v>47</v>
      </c>
      <c r="D67" t="s">
        <v>48</v>
      </c>
      <c r="E67" t="s">
        <v>49</v>
      </c>
      <c r="F67">
        <v>130</v>
      </c>
      <c r="G67">
        <v>1000</v>
      </c>
      <c r="H67">
        <v>-3</v>
      </c>
      <c r="I67">
        <v>1980</v>
      </c>
      <c r="J67" t="s">
        <v>33</v>
      </c>
      <c r="K67">
        <v>2088</v>
      </c>
      <c r="L67">
        <v>19.100000000000001</v>
      </c>
      <c r="M67">
        <v>9.6999999999999993</v>
      </c>
      <c r="N67" s="4">
        <f t="shared" ref="N67:N130" si="2">3.14/4*((L67/100)^2)</f>
        <v>2.8637585E-2</v>
      </c>
      <c r="O67" s="4">
        <f t="shared" ref="O67:O130" si="3">3.14/4*((L67/100)^2)*M67</f>
        <v>0.27778457449999999</v>
      </c>
      <c r="P67">
        <v>60</v>
      </c>
      <c r="Q67">
        <v>3.7</v>
      </c>
      <c r="R67">
        <v>3</v>
      </c>
      <c r="S67">
        <v>2</v>
      </c>
      <c r="T67">
        <v>2</v>
      </c>
      <c r="U67">
        <v>1.5</v>
      </c>
      <c r="V67" t="s">
        <v>25</v>
      </c>
    </row>
    <row r="68" spans="1:25" x14ac:dyDescent="0.25">
      <c r="A68" t="s">
        <v>46</v>
      </c>
      <c r="B68">
        <v>2</v>
      </c>
      <c r="C68" t="s">
        <v>47</v>
      </c>
      <c r="D68" t="s">
        <v>48</v>
      </c>
      <c r="E68" t="s">
        <v>49</v>
      </c>
      <c r="F68">
        <v>130</v>
      </c>
      <c r="G68">
        <v>1000</v>
      </c>
      <c r="H68">
        <v>-3</v>
      </c>
      <c r="I68">
        <v>1980</v>
      </c>
      <c r="J68" t="s">
        <v>34</v>
      </c>
      <c r="K68">
        <v>1522</v>
      </c>
      <c r="L68">
        <v>15.5</v>
      </c>
      <c r="M68">
        <v>9.8000000000000007</v>
      </c>
      <c r="N68" s="4">
        <f t="shared" si="2"/>
        <v>1.8859625000000001E-2</v>
      </c>
      <c r="O68" s="4">
        <f t="shared" si="3"/>
        <v>0.18482432500000004</v>
      </c>
      <c r="P68">
        <v>40</v>
      </c>
      <c r="Q68">
        <v>4</v>
      </c>
      <c r="R68">
        <v>3.5</v>
      </c>
      <c r="S68">
        <v>3.5</v>
      </c>
      <c r="T68">
        <v>3.5</v>
      </c>
      <c r="U68">
        <v>3</v>
      </c>
      <c r="V68" t="s">
        <v>25</v>
      </c>
    </row>
    <row r="69" spans="1:25" x14ac:dyDescent="0.25">
      <c r="A69" t="s">
        <v>46</v>
      </c>
      <c r="B69">
        <v>2</v>
      </c>
      <c r="C69" t="s">
        <v>47</v>
      </c>
      <c r="D69" t="s">
        <v>48</v>
      </c>
      <c r="E69" t="s">
        <v>49</v>
      </c>
      <c r="F69">
        <v>130</v>
      </c>
      <c r="G69">
        <v>1000</v>
      </c>
      <c r="H69">
        <v>-3</v>
      </c>
      <c r="I69">
        <v>1980</v>
      </c>
      <c r="J69" t="s">
        <v>35</v>
      </c>
      <c r="K69">
        <v>1521</v>
      </c>
      <c r="L69">
        <v>13.5</v>
      </c>
      <c r="M69">
        <v>7.7</v>
      </c>
      <c r="N69" s="4">
        <f t="shared" si="2"/>
        <v>1.4306625000000002E-2</v>
      </c>
      <c r="O69" s="4">
        <f t="shared" si="3"/>
        <v>0.11016101250000002</v>
      </c>
      <c r="P69">
        <v>30</v>
      </c>
      <c r="Q69">
        <v>3</v>
      </c>
      <c r="R69">
        <v>2</v>
      </c>
      <c r="S69">
        <v>3.3</v>
      </c>
      <c r="T69">
        <v>4</v>
      </c>
      <c r="U69">
        <v>3.5</v>
      </c>
      <c r="V69" t="s">
        <v>25</v>
      </c>
    </row>
    <row r="70" spans="1:25" x14ac:dyDescent="0.25">
      <c r="A70" t="s">
        <v>46</v>
      </c>
      <c r="B70">
        <v>2</v>
      </c>
      <c r="C70" t="s">
        <v>47</v>
      </c>
      <c r="D70" t="s">
        <v>48</v>
      </c>
      <c r="E70" t="s">
        <v>49</v>
      </c>
      <c r="F70">
        <v>130</v>
      </c>
      <c r="G70">
        <v>1000</v>
      </c>
      <c r="H70">
        <v>-3</v>
      </c>
      <c r="I70">
        <v>1980</v>
      </c>
      <c r="J70" t="s">
        <v>36</v>
      </c>
      <c r="K70">
        <v>1523</v>
      </c>
      <c r="L70">
        <v>20.8</v>
      </c>
      <c r="M70">
        <v>12</v>
      </c>
      <c r="N70" s="4">
        <f t="shared" si="2"/>
        <v>3.3962240000000012E-2</v>
      </c>
      <c r="O70" s="4">
        <f t="shared" si="3"/>
        <v>0.40754688000000017</v>
      </c>
      <c r="P70">
        <v>20</v>
      </c>
      <c r="Q70">
        <v>3</v>
      </c>
      <c r="R70">
        <v>4</v>
      </c>
      <c r="S70">
        <v>3</v>
      </c>
      <c r="T70">
        <v>3.5</v>
      </c>
      <c r="U70">
        <v>3</v>
      </c>
      <c r="V70" t="s">
        <v>38</v>
      </c>
    </row>
    <row r="71" spans="1:25" x14ac:dyDescent="0.25">
      <c r="A71" t="s">
        <v>46</v>
      </c>
      <c r="B71">
        <v>2</v>
      </c>
      <c r="C71" t="s">
        <v>47</v>
      </c>
      <c r="D71" t="s">
        <v>48</v>
      </c>
      <c r="E71" t="s">
        <v>49</v>
      </c>
      <c r="F71">
        <v>130</v>
      </c>
      <c r="G71">
        <v>1000</v>
      </c>
      <c r="H71">
        <v>-3</v>
      </c>
      <c r="I71">
        <v>1980</v>
      </c>
      <c r="J71" t="s">
        <v>37</v>
      </c>
      <c r="K71">
        <v>1524</v>
      </c>
      <c r="L71">
        <v>11.5</v>
      </c>
      <c r="M71">
        <v>5.8</v>
      </c>
      <c r="N71" s="4">
        <f t="shared" si="2"/>
        <v>1.0381625E-2</v>
      </c>
      <c r="O71" s="4">
        <f t="shared" si="3"/>
        <v>6.0213425000000001E-2</v>
      </c>
      <c r="P71">
        <v>40</v>
      </c>
      <c r="Q71">
        <v>1.5</v>
      </c>
      <c r="R71">
        <v>2</v>
      </c>
      <c r="S71">
        <v>2.5</v>
      </c>
      <c r="T71">
        <v>3.5</v>
      </c>
      <c r="U71">
        <v>2.5</v>
      </c>
      <c r="V71" t="s">
        <v>50</v>
      </c>
    </row>
    <row r="72" spans="1:25" x14ac:dyDescent="0.25">
      <c r="A72" t="s">
        <v>46</v>
      </c>
      <c r="B72">
        <v>3</v>
      </c>
      <c r="C72" t="s">
        <v>47</v>
      </c>
      <c r="D72" t="s">
        <v>48</v>
      </c>
      <c r="E72" t="s">
        <v>49</v>
      </c>
      <c r="F72">
        <v>130</v>
      </c>
      <c r="G72">
        <v>1000</v>
      </c>
      <c r="H72">
        <v>-3</v>
      </c>
      <c r="I72">
        <v>1980</v>
      </c>
      <c r="J72" t="s">
        <v>26</v>
      </c>
      <c r="K72">
        <v>1487</v>
      </c>
      <c r="L72">
        <v>37.6</v>
      </c>
      <c r="M72">
        <v>13</v>
      </c>
      <c r="N72" s="4">
        <f t="shared" si="2"/>
        <v>0.11098016000000001</v>
      </c>
      <c r="O72" s="4">
        <f t="shared" si="3"/>
        <v>1.4427420800000001</v>
      </c>
      <c r="P72">
        <v>10</v>
      </c>
      <c r="Q72">
        <v>5</v>
      </c>
      <c r="R72">
        <v>4</v>
      </c>
      <c r="S72">
        <v>2</v>
      </c>
      <c r="T72">
        <v>2</v>
      </c>
      <c r="U72">
        <v>1</v>
      </c>
      <c r="V72" t="s">
        <v>25</v>
      </c>
    </row>
    <row r="73" spans="1:25" x14ac:dyDescent="0.25">
      <c r="A73" t="s">
        <v>46</v>
      </c>
      <c r="B73">
        <v>3</v>
      </c>
      <c r="C73" t="s">
        <v>47</v>
      </c>
      <c r="D73" t="s">
        <v>48</v>
      </c>
      <c r="E73" t="s">
        <v>49</v>
      </c>
      <c r="F73">
        <v>130</v>
      </c>
      <c r="G73">
        <v>1000</v>
      </c>
      <c r="H73">
        <v>-3</v>
      </c>
      <c r="I73">
        <v>1980</v>
      </c>
      <c r="J73" t="s">
        <v>32</v>
      </c>
      <c r="K73">
        <v>1596</v>
      </c>
      <c r="L73">
        <v>24.5</v>
      </c>
      <c r="M73">
        <v>12</v>
      </c>
      <c r="N73" s="4">
        <f t="shared" si="2"/>
        <v>4.7119624999999998E-2</v>
      </c>
      <c r="O73" s="4">
        <f t="shared" si="3"/>
        <v>0.56543549999999998</v>
      </c>
      <c r="P73">
        <v>20</v>
      </c>
      <c r="Q73">
        <v>4</v>
      </c>
      <c r="R73">
        <v>4</v>
      </c>
      <c r="S73">
        <v>4</v>
      </c>
      <c r="T73">
        <v>4</v>
      </c>
      <c r="U73">
        <v>2</v>
      </c>
      <c r="V73" t="s">
        <v>25</v>
      </c>
    </row>
    <row r="74" spans="1:25" x14ac:dyDescent="0.25">
      <c r="A74" t="s">
        <v>46</v>
      </c>
      <c r="B74">
        <v>3</v>
      </c>
      <c r="C74" t="s">
        <v>47</v>
      </c>
      <c r="D74" t="s">
        <v>48</v>
      </c>
      <c r="E74" t="s">
        <v>49</v>
      </c>
      <c r="F74">
        <v>130</v>
      </c>
      <c r="G74">
        <v>1000</v>
      </c>
      <c r="H74">
        <v>-3</v>
      </c>
      <c r="I74">
        <v>1980</v>
      </c>
      <c r="J74" t="s">
        <v>33</v>
      </c>
      <c r="K74">
        <v>2088</v>
      </c>
      <c r="L74">
        <v>17.600000000000001</v>
      </c>
      <c r="M74">
        <v>9</v>
      </c>
      <c r="N74" s="4">
        <f t="shared" si="2"/>
        <v>2.4316160000000007E-2</v>
      </c>
      <c r="O74" s="4">
        <f t="shared" si="3"/>
        <v>0.21884544000000006</v>
      </c>
      <c r="P74">
        <v>90</v>
      </c>
      <c r="Q74">
        <v>4.5</v>
      </c>
      <c r="R74">
        <v>2.5</v>
      </c>
      <c r="S74">
        <v>3</v>
      </c>
      <c r="T74">
        <v>2</v>
      </c>
      <c r="U74">
        <v>1.5</v>
      </c>
      <c r="V74" t="s">
        <v>25</v>
      </c>
    </row>
    <row r="75" spans="1:25" x14ac:dyDescent="0.25">
      <c r="A75" t="s">
        <v>46</v>
      </c>
      <c r="B75">
        <v>3</v>
      </c>
      <c r="C75" t="s">
        <v>47</v>
      </c>
      <c r="D75" t="s">
        <v>48</v>
      </c>
      <c r="E75" t="s">
        <v>49</v>
      </c>
      <c r="F75">
        <v>130</v>
      </c>
      <c r="G75">
        <v>1000</v>
      </c>
      <c r="H75">
        <v>-3</v>
      </c>
      <c r="I75">
        <v>1980</v>
      </c>
      <c r="J75" t="s">
        <v>35</v>
      </c>
      <c r="K75">
        <v>1521</v>
      </c>
      <c r="L75">
        <v>16.2</v>
      </c>
      <c r="M75">
        <v>10.199999999999999</v>
      </c>
      <c r="N75" s="4">
        <f t="shared" si="2"/>
        <v>2.0601540000000002E-2</v>
      </c>
      <c r="O75" s="4">
        <f t="shared" si="3"/>
        <v>0.210135708</v>
      </c>
      <c r="P75">
        <v>60</v>
      </c>
      <c r="Q75">
        <v>4</v>
      </c>
      <c r="R75">
        <v>2.2999999999999998</v>
      </c>
      <c r="S75">
        <v>3</v>
      </c>
      <c r="T75">
        <v>3.3</v>
      </c>
      <c r="U75">
        <v>3</v>
      </c>
      <c r="V75" t="s">
        <v>27</v>
      </c>
      <c r="X75" t="s">
        <v>133</v>
      </c>
    </row>
    <row r="76" spans="1:25" ht="15.75" thickBot="1" x14ac:dyDescent="0.3">
      <c r="A76" t="s">
        <v>46</v>
      </c>
      <c r="B76">
        <v>3</v>
      </c>
      <c r="C76" t="s">
        <v>47</v>
      </c>
      <c r="D76" t="s">
        <v>48</v>
      </c>
      <c r="E76" t="s">
        <v>49</v>
      </c>
      <c r="F76">
        <v>130</v>
      </c>
      <c r="G76">
        <v>1000</v>
      </c>
      <c r="H76">
        <v>-3</v>
      </c>
      <c r="I76">
        <v>1980</v>
      </c>
      <c r="J76" t="s">
        <v>36</v>
      </c>
      <c r="K76">
        <v>1523</v>
      </c>
      <c r="L76">
        <v>11.5</v>
      </c>
      <c r="M76">
        <v>9</v>
      </c>
      <c r="N76" s="4">
        <f t="shared" si="2"/>
        <v>1.0381625E-2</v>
      </c>
      <c r="O76" s="4">
        <f t="shared" si="3"/>
        <v>9.3434625000000007E-2</v>
      </c>
      <c r="P76">
        <v>20</v>
      </c>
      <c r="Q76">
        <v>2.7</v>
      </c>
      <c r="R76">
        <v>3.7</v>
      </c>
      <c r="S76">
        <v>4</v>
      </c>
      <c r="T76">
        <v>4</v>
      </c>
      <c r="U76">
        <v>3</v>
      </c>
      <c r="V76" t="s">
        <v>25</v>
      </c>
    </row>
    <row r="77" spans="1:25" x14ac:dyDescent="0.25">
      <c r="A77" t="s">
        <v>46</v>
      </c>
      <c r="B77">
        <v>3</v>
      </c>
      <c r="C77" t="s">
        <v>47</v>
      </c>
      <c r="D77" t="s">
        <v>48</v>
      </c>
      <c r="E77" t="s">
        <v>49</v>
      </c>
      <c r="F77">
        <v>130</v>
      </c>
      <c r="G77">
        <v>1000</v>
      </c>
      <c r="H77">
        <v>-3</v>
      </c>
      <c r="I77">
        <v>1980</v>
      </c>
      <c r="J77" t="s">
        <v>37</v>
      </c>
      <c r="K77">
        <v>1524</v>
      </c>
      <c r="L77">
        <v>7.6</v>
      </c>
      <c r="M77">
        <v>5.5</v>
      </c>
      <c r="N77" s="4">
        <f t="shared" si="2"/>
        <v>4.5341599999999998E-3</v>
      </c>
      <c r="O77" s="4">
        <f t="shared" si="3"/>
        <v>2.4937879999999999E-2</v>
      </c>
      <c r="P77">
        <v>20</v>
      </c>
      <c r="Q77">
        <v>1</v>
      </c>
      <c r="R77">
        <v>2</v>
      </c>
      <c r="S77">
        <v>2</v>
      </c>
      <c r="T77">
        <v>3</v>
      </c>
      <c r="U77">
        <v>3</v>
      </c>
      <c r="V77" t="s">
        <v>50</v>
      </c>
      <c r="X77" s="15" t="s">
        <v>134</v>
      </c>
      <c r="Y77" s="15"/>
    </row>
    <row r="78" spans="1:25" x14ac:dyDescent="0.25">
      <c r="A78" t="s">
        <v>51</v>
      </c>
      <c r="B78">
        <v>1</v>
      </c>
      <c r="C78" t="s">
        <v>52</v>
      </c>
      <c r="D78" t="s">
        <v>53</v>
      </c>
      <c r="E78" t="s">
        <v>54</v>
      </c>
      <c r="F78">
        <v>70</v>
      </c>
      <c r="G78">
        <v>1000</v>
      </c>
      <c r="H78">
        <v>-2</v>
      </c>
      <c r="I78">
        <v>1981</v>
      </c>
      <c r="J78" t="s">
        <v>55</v>
      </c>
      <c r="K78">
        <v>1094</v>
      </c>
      <c r="L78">
        <v>3.4</v>
      </c>
      <c r="M78">
        <v>5.5</v>
      </c>
      <c r="N78" s="4">
        <f t="shared" si="2"/>
        <v>9.0746000000000012E-4</v>
      </c>
      <c r="O78" s="4">
        <f t="shared" si="3"/>
        <v>4.9910300000000005E-3</v>
      </c>
      <c r="P78">
        <v>50</v>
      </c>
      <c r="Q78">
        <v>1</v>
      </c>
      <c r="R78">
        <v>1</v>
      </c>
      <c r="S78">
        <v>3</v>
      </c>
      <c r="T78">
        <v>3</v>
      </c>
      <c r="U78">
        <v>3</v>
      </c>
      <c r="V78" t="s">
        <v>50</v>
      </c>
      <c r="X78" s="12" t="s">
        <v>135</v>
      </c>
      <c r="Y78" s="12">
        <v>0.34099033251189087</v>
      </c>
    </row>
    <row r="79" spans="1:25" x14ac:dyDescent="0.25">
      <c r="A79" t="s">
        <v>51</v>
      </c>
      <c r="B79">
        <v>1</v>
      </c>
      <c r="C79" t="s">
        <v>52</v>
      </c>
      <c r="D79" t="s">
        <v>53</v>
      </c>
      <c r="E79" t="s">
        <v>54</v>
      </c>
      <c r="F79">
        <v>70</v>
      </c>
      <c r="G79">
        <v>1000</v>
      </c>
      <c r="H79">
        <v>-2</v>
      </c>
      <c r="I79">
        <v>1981</v>
      </c>
      <c r="J79" t="s">
        <v>56</v>
      </c>
      <c r="K79">
        <v>1111</v>
      </c>
      <c r="L79">
        <v>17.600000000000001</v>
      </c>
      <c r="M79">
        <v>12.6</v>
      </c>
      <c r="N79" s="4">
        <f t="shared" si="2"/>
        <v>2.4316160000000007E-2</v>
      </c>
      <c r="O79" s="4">
        <f t="shared" si="3"/>
        <v>0.30638361600000008</v>
      </c>
      <c r="P79">
        <v>71</v>
      </c>
      <c r="Q79">
        <v>3.5</v>
      </c>
      <c r="R79">
        <v>3</v>
      </c>
      <c r="S79">
        <v>3.3</v>
      </c>
      <c r="T79">
        <v>2.5</v>
      </c>
      <c r="U79">
        <v>2</v>
      </c>
      <c r="V79" t="s">
        <v>25</v>
      </c>
      <c r="X79" s="12" t="s">
        <v>136</v>
      </c>
      <c r="Y79" s="12">
        <v>0.1162744068665699</v>
      </c>
    </row>
    <row r="80" spans="1:25" x14ac:dyDescent="0.25">
      <c r="A80" t="s">
        <v>51</v>
      </c>
      <c r="B80">
        <v>1</v>
      </c>
      <c r="C80" t="s">
        <v>52</v>
      </c>
      <c r="D80" t="s">
        <v>53</v>
      </c>
      <c r="E80" t="s">
        <v>54</v>
      </c>
      <c r="F80">
        <v>70</v>
      </c>
      <c r="G80">
        <v>1000</v>
      </c>
      <c r="H80">
        <v>-2</v>
      </c>
      <c r="I80">
        <v>1981</v>
      </c>
      <c r="J80" t="s">
        <v>57</v>
      </c>
      <c r="K80">
        <v>1112</v>
      </c>
      <c r="L80">
        <v>14</v>
      </c>
      <c r="M80">
        <v>10</v>
      </c>
      <c r="N80" s="4">
        <f t="shared" si="2"/>
        <v>1.5386000000000002E-2</v>
      </c>
      <c r="O80" s="4">
        <f t="shared" si="3"/>
        <v>0.15386000000000002</v>
      </c>
      <c r="P80">
        <v>100</v>
      </c>
      <c r="Q80">
        <v>2.5</v>
      </c>
      <c r="R80">
        <v>1.5</v>
      </c>
      <c r="S80">
        <v>3</v>
      </c>
      <c r="T80">
        <v>4</v>
      </c>
      <c r="U80">
        <v>4</v>
      </c>
      <c r="V80" t="s">
        <v>30</v>
      </c>
      <c r="X80" s="12" t="s">
        <v>137</v>
      </c>
      <c r="Y80" s="12">
        <v>0.11507042104486222</v>
      </c>
    </row>
    <row r="81" spans="1:32" x14ac:dyDescent="0.25">
      <c r="A81" t="s">
        <v>51</v>
      </c>
      <c r="B81">
        <v>1</v>
      </c>
      <c r="C81" t="s">
        <v>52</v>
      </c>
      <c r="D81" t="s">
        <v>53</v>
      </c>
      <c r="E81" t="s">
        <v>54</v>
      </c>
      <c r="F81">
        <v>70</v>
      </c>
      <c r="G81">
        <v>1000</v>
      </c>
      <c r="H81">
        <v>-2</v>
      </c>
      <c r="I81">
        <v>1981</v>
      </c>
      <c r="J81" t="s">
        <v>57</v>
      </c>
      <c r="K81">
        <v>1113</v>
      </c>
      <c r="L81">
        <v>8.8000000000000007</v>
      </c>
      <c r="M81">
        <v>11.4</v>
      </c>
      <c r="N81" s="4">
        <f t="shared" si="2"/>
        <v>6.0790400000000017E-3</v>
      </c>
      <c r="O81" s="4">
        <f t="shared" si="3"/>
        <v>6.9301056000000028E-2</v>
      </c>
      <c r="P81">
        <v>100</v>
      </c>
      <c r="Q81">
        <v>2</v>
      </c>
      <c r="R81">
        <v>2</v>
      </c>
      <c r="S81">
        <v>4</v>
      </c>
      <c r="T81">
        <v>4</v>
      </c>
      <c r="U81">
        <v>4</v>
      </c>
      <c r="V81" t="s">
        <v>30</v>
      </c>
      <c r="X81" s="12" t="s">
        <v>138</v>
      </c>
      <c r="Y81" s="12">
        <v>136.24255492905328</v>
      </c>
    </row>
    <row r="82" spans="1:32" ht="15.75" thickBot="1" x14ac:dyDescent="0.3">
      <c r="A82" t="s">
        <v>51</v>
      </c>
      <c r="B82">
        <v>1</v>
      </c>
      <c r="C82" t="s">
        <v>52</v>
      </c>
      <c r="D82" t="s">
        <v>53</v>
      </c>
      <c r="E82" t="s">
        <v>54</v>
      </c>
      <c r="F82">
        <v>70</v>
      </c>
      <c r="G82">
        <v>1000</v>
      </c>
      <c r="H82">
        <v>-2</v>
      </c>
      <c r="I82">
        <v>1981</v>
      </c>
      <c r="J82" t="s">
        <v>58</v>
      </c>
      <c r="K82">
        <v>1338</v>
      </c>
      <c r="L82">
        <v>15.8</v>
      </c>
      <c r="M82">
        <v>10</v>
      </c>
      <c r="N82" s="4">
        <f t="shared" si="2"/>
        <v>1.9596740000000001E-2</v>
      </c>
      <c r="O82" s="4">
        <f t="shared" si="3"/>
        <v>0.19596740000000001</v>
      </c>
      <c r="P82">
        <v>38</v>
      </c>
      <c r="Q82">
        <v>3.5</v>
      </c>
      <c r="R82">
        <v>3.5</v>
      </c>
      <c r="S82">
        <v>3.3</v>
      </c>
      <c r="T82">
        <v>3.5</v>
      </c>
      <c r="U82">
        <v>3</v>
      </c>
      <c r="V82" t="s">
        <v>38</v>
      </c>
      <c r="X82" s="13" t="s">
        <v>139</v>
      </c>
      <c r="Y82" s="13">
        <v>736</v>
      </c>
    </row>
    <row r="83" spans="1:32" x14ac:dyDescent="0.25">
      <c r="A83" t="s">
        <v>51</v>
      </c>
      <c r="B83">
        <v>1</v>
      </c>
      <c r="C83" t="s">
        <v>52</v>
      </c>
      <c r="D83" t="s">
        <v>53</v>
      </c>
      <c r="E83" t="s">
        <v>54</v>
      </c>
      <c r="F83">
        <v>70</v>
      </c>
      <c r="G83">
        <v>1000</v>
      </c>
      <c r="H83">
        <v>-2</v>
      </c>
      <c r="I83">
        <v>1981</v>
      </c>
      <c r="J83" t="s">
        <v>59</v>
      </c>
      <c r="K83">
        <v>1482</v>
      </c>
      <c r="L83">
        <v>15.5</v>
      </c>
      <c r="M83">
        <v>10.5</v>
      </c>
      <c r="N83" s="4">
        <f t="shared" si="2"/>
        <v>1.8859625000000001E-2</v>
      </c>
      <c r="O83" s="4">
        <f t="shared" si="3"/>
        <v>0.19802606250000002</v>
      </c>
      <c r="P83">
        <v>50</v>
      </c>
      <c r="Q83">
        <v>3</v>
      </c>
      <c r="R83">
        <v>3.3</v>
      </c>
      <c r="S83">
        <v>3.3</v>
      </c>
      <c r="T83">
        <v>3</v>
      </c>
      <c r="U83">
        <v>3</v>
      </c>
      <c r="V83" t="s">
        <v>27</v>
      </c>
    </row>
    <row r="84" spans="1:32" ht="15.75" thickBot="1" x14ac:dyDescent="0.3">
      <c r="A84" t="s">
        <v>51</v>
      </c>
      <c r="B84">
        <v>1</v>
      </c>
      <c r="C84" t="s">
        <v>52</v>
      </c>
      <c r="D84" t="s">
        <v>53</v>
      </c>
      <c r="E84" t="s">
        <v>54</v>
      </c>
      <c r="F84">
        <v>70</v>
      </c>
      <c r="G84">
        <v>1000</v>
      </c>
      <c r="H84">
        <v>-2</v>
      </c>
      <c r="I84">
        <v>1981</v>
      </c>
      <c r="J84" t="s">
        <v>59</v>
      </c>
      <c r="K84">
        <v>1978</v>
      </c>
      <c r="L84">
        <v>14.6</v>
      </c>
      <c r="M84">
        <v>11.1</v>
      </c>
      <c r="N84" s="4">
        <f t="shared" si="2"/>
        <v>1.6733059999999998E-2</v>
      </c>
      <c r="O84" s="4">
        <f t="shared" si="3"/>
        <v>0.18573696599999998</v>
      </c>
      <c r="P84">
        <v>100</v>
      </c>
      <c r="Q84">
        <v>4</v>
      </c>
      <c r="R84">
        <v>3</v>
      </c>
      <c r="S84">
        <v>3.5</v>
      </c>
      <c r="T84">
        <v>3.5</v>
      </c>
      <c r="U84">
        <v>3.3</v>
      </c>
      <c r="V84" t="s">
        <v>25</v>
      </c>
      <c r="X84" t="s">
        <v>140</v>
      </c>
    </row>
    <row r="85" spans="1:32" x14ac:dyDescent="0.25">
      <c r="A85" t="s">
        <v>51</v>
      </c>
      <c r="B85">
        <v>1</v>
      </c>
      <c r="C85" t="s">
        <v>52</v>
      </c>
      <c r="D85" t="s">
        <v>53</v>
      </c>
      <c r="E85" t="s">
        <v>54</v>
      </c>
      <c r="F85">
        <v>70</v>
      </c>
      <c r="G85">
        <v>1000</v>
      </c>
      <c r="H85">
        <v>-2</v>
      </c>
      <c r="I85">
        <v>1981</v>
      </c>
      <c r="J85" t="s">
        <v>26</v>
      </c>
      <c r="K85">
        <v>1339</v>
      </c>
      <c r="L85">
        <v>17.3</v>
      </c>
      <c r="M85">
        <v>13.2</v>
      </c>
      <c r="N85" s="4">
        <f t="shared" si="2"/>
        <v>2.3494265000000004E-2</v>
      </c>
      <c r="O85" s="4">
        <f t="shared" si="3"/>
        <v>0.31012429800000002</v>
      </c>
      <c r="P85">
        <v>71</v>
      </c>
      <c r="Q85">
        <v>3.3</v>
      </c>
      <c r="R85">
        <v>3</v>
      </c>
      <c r="S85">
        <v>3</v>
      </c>
      <c r="T85">
        <v>3</v>
      </c>
      <c r="U85">
        <v>3</v>
      </c>
      <c r="V85" t="s">
        <v>38</v>
      </c>
      <c r="X85" s="14"/>
      <c r="Y85" s="14" t="s">
        <v>145</v>
      </c>
      <c r="Z85" s="14" t="s">
        <v>146</v>
      </c>
      <c r="AA85" s="14" t="s">
        <v>147</v>
      </c>
      <c r="AB85" s="14" t="s">
        <v>148</v>
      </c>
      <c r="AC85" s="14" t="s">
        <v>149</v>
      </c>
    </row>
    <row r="86" spans="1:32" x14ac:dyDescent="0.25">
      <c r="A86" t="s">
        <v>51</v>
      </c>
      <c r="B86">
        <v>1</v>
      </c>
      <c r="C86" t="s">
        <v>52</v>
      </c>
      <c r="D86" t="s">
        <v>53</v>
      </c>
      <c r="E86" t="s">
        <v>54</v>
      </c>
      <c r="F86">
        <v>70</v>
      </c>
      <c r="G86">
        <v>1000</v>
      </c>
      <c r="H86">
        <v>-2</v>
      </c>
      <c r="I86">
        <v>1981</v>
      </c>
      <c r="J86" t="s">
        <v>26</v>
      </c>
      <c r="K86">
        <v>1786</v>
      </c>
      <c r="L86">
        <v>13.3</v>
      </c>
      <c r="M86">
        <v>10.8</v>
      </c>
      <c r="N86" s="4">
        <f t="shared" si="2"/>
        <v>1.3885865000000002E-2</v>
      </c>
      <c r="O86" s="4">
        <f t="shared" si="3"/>
        <v>0.14996734200000003</v>
      </c>
      <c r="P86">
        <v>75</v>
      </c>
      <c r="Q86">
        <v>4</v>
      </c>
      <c r="R86">
        <v>3.8</v>
      </c>
      <c r="S86">
        <v>4</v>
      </c>
      <c r="T86">
        <v>4</v>
      </c>
      <c r="U86">
        <v>4</v>
      </c>
      <c r="V86" t="s">
        <v>27</v>
      </c>
      <c r="X86" s="12" t="s">
        <v>141</v>
      </c>
      <c r="Y86" s="12">
        <v>1</v>
      </c>
      <c r="Z86" s="12">
        <v>1792620.3351804595</v>
      </c>
      <c r="AA86" s="12">
        <v>1792620.3351804595</v>
      </c>
      <c r="AB86" s="12">
        <v>96.574564891181495</v>
      </c>
      <c r="AC86" s="12">
        <v>1.6995149130594347E-21</v>
      </c>
    </row>
    <row r="87" spans="1:32" x14ac:dyDescent="0.25">
      <c r="A87" t="s">
        <v>51</v>
      </c>
      <c r="B87">
        <v>1</v>
      </c>
      <c r="C87" t="s">
        <v>52</v>
      </c>
      <c r="D87" t="s">
        <v>53</v>
      </c>
      <c r="E87" t="s">
        <v>54</v>
      </c>
      <c r="F87">
        <v>70</v>
      </c>
      <c r="G87">
        <v>1000</v>
      </c>
      <c r="H87">
        <v>-2</v>
      </c>
      <c r="I87">
        <v>1981</v>
      </c>
      <c r="J87" t="s">
        <v>26</v>
      </c>
      <c r="K87">
        <v>2447</v>
      </c>
      <c r="L87">
        <v>19.8</v>
      </c>
      <c r="M87">
        <v>10.7</v>
      </c>
      <c r="N87" s="4">
        <f t="shared" si="2"/>
        <v>3.0775140000000003E-2</v>
      </c>
      <c r="O87" s="4">
        <f t="shared" si="3"/>
        <v>0.32929399800000003</v>
      </c>
      <c r="P87">
        <v>75</v>
      </c>
      <c r="Q87">
        <v>4.5</v>
      </c>
      <c r="R87">
        <v>3</v>
      </c>
      <c r="S87">
        <v>3</v>
      </c>
      <c r="T87">
        <v>3</v>
      </c>
      <c r="U87">
        <v>2.5</v>
      </c>
      <c r="V87" t="s">
        <v>25</v>
      </c>
      <c r="X87" s="12" t="s">
        <v>142</v>
      </c>
      <c r="Y87" s="12">
        <v>734</v>
      </c>
      <c r="Z87" s="12">
        <v>13624532.78981954</v>
      </c>
      <c r="AA87" s="12">
        <v>18562.033773596104</v>
      </c>
      <c r="AB87" s="12"/>
      <c r="AC87" s="12"/>
    </row>
    <row r="88" spans="1:32" ht="15.75" thickBot="1" x14ac:dyDescent="0.3">
      <c r="A88" t="s">
        <v>51</v>
      </c>
      <c r="B88">
        <v>1</v>
      </c>
      <c r="C88" t="s">
        <v>52</v>
      </c>
      <c r="D88" t="s">
        <v>53</v>
      </c>
      <c r="E88" t="s">
        <v>54</v>
      </c>
      <c r="F88">
        <v>70</v>
      </c>
      <c r="G88">
        <v>1000</v>
      </c>
      <c r="H88">
        <v>-2</v>
      </c>
      <c r="I88">
        <v>1981</v>
      </c>
      <c r="J88" t="s">
        <v>60</v>
      </c>
      <c r="K88">
        <v>1595</v>
      </c>
      <c r="L88">
        <v>5.2</v>
      </c>
      <c r="M88">
        <v>4.3</v>
      </c>
      <c r="N88" s="4">
        <f t="shared" si="2"/>
        <v>2.1226400000000007E-3</v>
      </c>
      <c r="O88" s="4">
        <f t="shared" si="3"/>
        <v>9.1273520000000035E-3</v>
      </c>
      <c r="P88">
        <v>75</v>
      </c>
      <c r="Q88">
        <v>0.5</v>
      </c>
      <c r="R88">
        <v>0.5</v>
      </c>
      <c r="S88">
        <v>4</v>
      </c>
      <c r="T88">
        <v>4</v>
      </c>
      <c r="U88">
        <v>4</v>
      </c>
      <c r="V88" t="s">
        <v>50</v>
      </c>
      <c r="X88" s="13" t="s">
        <v>143</v>
      </c>
      <c r="Y88" s="13">
        <v>735</v>
      </c>
      <c r="Z88" s="13">
        <v>15417153.125</v>
      </c>
      <c r="AA88" s="13"/>
      <c r="AB88" s="13"/>
      <c r="AC88" s="13"/>
    </row>
    <row r="89" spans="1:32" ht="15.75" thickBot="1" x14ac:dyDescent="0.3">
      <c r="A89" t="s">
        <v>51</v>
      </c>
      <c r="B89">
        <v>1</v>
      </c>
      <c r="C89" t="s">
        <v>52</v>
      </c>
      <c r="D89" t="s">
        <v>53</v>
      </c>
      <c r="E89" t="s">
        <v>54</v>
      </c>
      <c r="F89">
        <v>70</v>
      </c>
      <c r="G89">
        <v>1000</v>
      </c>
      <c r="H89">
        <v>-2</v>
      </c>
      <c r="I89">
        <v>1981</v>
      </c>
      <c r="J89" t="s">
        <v>61</v>
      </c>
      <c r="K89">
        <v>1171</v>
      </c>
      <c r="L89">
        <v>15</v>
      </c>
      <c r="M89">
        <v>11.3</v>
      </c>
      <c r="N89" s="4">
        <f t="shared" si="2"/>
        <v>1.7662500000000001E-2</v>
      </c>
      <c r="O89" s="4">
        <f t="shared" si="3"/>
        <v>0.19958625000000002</v>
      </c>
      <c r="P89">
        <v>88</v>
      </c>
      <c r="Q89">
        <v>2.2999999999999998</v>
      </c>
      <c r="R89">
        <v>1.7</v>
      </c>
      <c r="S89">
        <v>3</v>
      </c>
      <c r="T89">
        <v>3</v>
      </c>
      <c r="U89">
        <v>2</v>
      </c>
      <c r="V89" t="s">
        <v>30</v>
      </c>
    </row>
    <row r="90" spans="1:32" x14ac:dyDescent="0.25">
      <c r="A90" t="s">
        <v>51</v>
      </c>
      <c r="B90">
        <v>1</v>
      </c>
      <c r="C90" t="s">
        <v>52</v>
      </c>
      <c r="D90" t="s">
        <v>53</v>
      </c>
      <c r="E90" t="s">
        <v>54</v>
      </c>
      <c r="F90">
        <v>70</v>
      </c>
      <c r="G90">
        <v>1000</v>
      </c>
      <c r="H90">
        <v>-2</v>
      </c>
      <c r="I90">
        <v>1981</v>
      </c>
      <c r="J90" t="s">
        <v>32</v>
      </c>
      <c r="K90">
        <v>1596</v>
      </c>
      <c r="L90">
        <v>15.3</v>
      </c>
      <c r="M90">
        <v>10.8</v>
      </c>
      <c r="N90" s="4">
        <f t="shared" si="2"/>
        <v>1.8376065E-2</v>
      </c>
      <c r="O90" s="4">
        <f t="shared" si="3"/>
        <v>0.19846150200000001</v>
      </c>
      <c r="P90">
        <v>75</v>
      </c>
      <c r="Q90">
        <v>3</v>
      </c>
      <c r="R90">
        <v>3</v>
      </c>
      <c r="S90">
        <v>3</v>
      </c>
      <c r="T90">
        <v>4</v>
      </c>
      <c r="U90">
        <v>3.5</v>
      </c>
      <c r="V90" t="s">
        <v>27</v>
      </c>
      <c r="X90" s="14"/>
      <c r="Y90" s="14" t="s">
        <v>150</v>
      </c>
      <c r="Z90" s="14" t="s">
        <v>138</v>
      </c>
      <c r="AA90" s="14" t="s">
        <v>151</v>
      </c>
      <c r="AB90" s="14" t="s">
        <v>152</v>
      </c>
      <c r="AC90" s="14" t="s">
        <v>153</v>
      </c>
      <c r="AD90" s="14" t="s">
        <v>154</v>
      </c>
      <c r="AE90" s="14" t="s">
        <v>155</v>
      </c>
      <c r="AF90" s="14" t="s">
        <v>156</v>
      </c>
    </row>
    <row r="91" spans="1:32" x14ac:dyDescent="0.25">
      <c r="A91" t="s">
        <v>51</v>
      </c>
      <c r="B91">
        <v>1</v>
      </c>
      <c r="C91" t="s">
        <v>52</v>
      </c>
      <c r="D91" t="s">
        <v>53</v>
      </c>
      <c r="E91" t="s">
        <v>54</v>
      </c>
      <c r="F91">
        <v>70</v>
      </c>
      <c r="G91">
        <v>1000</v>
      </c>
      <c r="H91">
        <v>-2</v>
      </c>
      <c r="I91">
        <v>1981</v>
      </c>
      <c r="J91" t="s">
        <v>34</v>
      </c>
      <c r="K91">
        <v>2459</v>
      </c>
      <c r="L91">
        <v>19</v>
      </c>
      <c r="M91">
        <v>16</v>
      </c>
      <c r="N91" s="4">
        <f t="shared" si="2"/>
        <v>2.8338500000000003E-2</v>
      </c>
      <c r="O91" s="4">
        <f t="shared" si="3"/>
        <v>0.45341600000000004</v>
      </c>
      <c r="P91">
        <v>88</v>
      </c>
      <c r="Q91">
        <v>4.3</v>
      </c>
      <c r="R91">
        <v>3</v>
      </c>
      <c r="S91">
        <v>4.8</v>
      </c>
      <c r="T91">
        <v>4</v>
      </c>
      <c r="U91">
        <v>4</v>
      </c>
      <c r="V91" t="s">
        <v>27</v>
      </c>
      <c r="X91" s="12" t="s">
        <v>144</v>
      </c>
      <c r="Y91" s="12">
        <v>1064.0719534245238</v>
      </c>
      <c r="Z91" s="12">
        <v>5.9778294871570257</v>
      </c>
      <c r="AA91" s="12">
        <v>178.00306209981611</v>
      </c>
      <c r="AB91" s="12">
        <v>0</v>
      </c>
      <c r="AC91" s="12">
        <v>1052.3362713596191</v>
      </c>
      <c r="AD91" s="12">
        <v>1075.8076354894285</v>
      </c>
      <c r="AE91" s="12">
        <v>1048.6339455911534</v>
      </c>
      <c r="AF91" s="12">
        <v>1079.5099612578942</v>
      </c>
    </row>
    <row r="92" spans="1:32" ht="15.75" thickBot="1" x14ac:dyDescent="0.3">
      <c r="A92" t="s">
        <v>51</v>
      </c>
      <c r="B92">
        <v>1</v>
      </c>
      <c r="C92" t="s">
        <v>52</v>
      </c>
      <c r="D92" t="s">
        <v>53</v>
      </c>
      <c r="E92" t="s">
        <v>54</v>
      </c>
      <c r="F92">
        <v>70</v>
      </c>
      <c r="G92">
        <v>1000</v>
      </c>
      <c r="H92">
        <v>-2</v>
      </c>
      <c r="I92">
        <v>1981</v>
      </c>
      <c r="J92" t="s">
        <v>35</v>
      </c>
      <c r="K92">
        <v>1785</v>
      </c>
      <c r="L92">
        <v>7.2</v>
      </c>
      <c r="M92">
        <v>6</v>
      </c>
      <c r="N92" s="4">
        <f t="shared" si="2"/>
        <v>4.0694400000000014E-3</v>
      </c>
      <c r="O92" s="4">
        <f t="shared" si="3"/>
        <v>2.441664000000001E-2</v>
      </c>
      <c r="P92">
        <v>50</v>
      </c>
      <c r="Q92">
        <v>1.3</v>
      </c>
      <c r="R92">
        <v>1.3</v>
      </c>
      <c r="S92">
        <v>4</v>
      </c>
      <c r="T92">
        <v>4</v>
      </c>
      <c r="U92">
        <v>4</v>
      </c>
      <c r="V92" t="s">
        <v>50</v>
      </c>
      <c r="X92" s="13" t="s">
        <v>106</v>
      </c>
      <c r="Y92" s="13">
        <v>93.693705905076683</v>
      </c>
      <c r="Z92" s="13">
        <v>9.5340853849361924</v>
      </c>
      <c r="AA92" s="13">
        <v>9.8272358723692861</v>
      </c>
      <c r="AB92" s="13">
        <v>1.6995149130593497E-21</v>
      </c>
      <c r="AC92" s="13">
        <v>74.976377968966816</v>
      </c>
      <c r="AD92" s="13">
        <v>112.41103384118655</v>
      </c>
      <c r="AE92" s="13">
        <v>69.071510646264073</v>
      </c>
      <c r="AF92" s="13">
        <v>118.31590116388929</v>
      </c>
    </row>
    <row r="93" spans="1:32" x14ac:dyDescent="0.25">
      <c r="A93" t="s">
        <v>51</v>
      </c>
      <c r="B93">
        <v>1</v>
      </c>
      <c r="C93" t="s">
        <v>52</v>
      </c>
      <c r="D93" t="s">
        <v>53</v>
      </c>
      <c r="E93" t="s">
        <v>54</v>
      </c>
      <c r="F93">
        <v>70</v>
      </c>
      <c r="G93">
        <v>1000</v>
      </c>
      <c r="H93">
        <v>-2</v>
      </c>
      <c r="I93">
        <v>1981</v>
      </c>
      <c r="J93" t="s">
        <v>36</v>
      </c>
      <c r="K93">
        <v>1598</v>
      </c>
      <c r="L93">
        <v>15.9</v>
      </c>
      <c r="M93">
        <v>12.8</v>
      </c>
      <c r="N93" s="4">
        <f t="shared" si="2"/>
        <v>1.9845585000000002E-2</v>
      </c>
      <c r="O93" s="4">
        <f t="shared" si="3"/>
        <v>0.25402348800000002</v>
      </c>
      <c r="P93">
        <v>100</v>
      </c>
      <c r="Q93">
        <v>4</v>
      </c>
      <c r="R93">
        <v>4</v>
      </c>
      <c r="S93">
        <v>3.3</v>
      </c>
      <c r="T93">
        <v>4</v>
      </c>
      <c r="U93">
        <v>3</v>
      </c>
      <c r="V93" t="s">
        <v>27</v>
      </c>
    </row>
    <row r="94" spans="1:32" x14ac:dyDescent="0.25">
      <c r="A94" t="s">
        <v>51</v>
      </c>
      <c r="B94">
        <v>1</v>
      </c>
      <c r="C94" t="s">
        <v>52</v>
      </c>
      <c r="D94" t="s">
        <v>53</v>
      </c>
      <c r="E94" t="s">
        <v>54</v>
      </c>
      <c r="F94">
        <v>70</v>
      </c>
      <c r="G94">
        <v>1000</v>
      </c>
      <c r="H94">
        <v>-2</v>
      </c>
      <c r="I94">
        <v>1981</v>
      </c>
      <c r="J94" t="s">
        <v>62</v>
      </c>
      <c r="K94">
        <v>1787</v>
      </c>
      <c r="L94">
        <v>18.100000000000001</v>
      </c>
      <c r="M94">
        <v>14.8</v>
      </c>
      <c r="N94" s="4">
        <f t="shared" si="2"/>
        <v>2.5717385000000006E-2</v>
      </c>
      <c r="O94" s="4">
        <f t="shared" si="3"/>
        <v>0.3806172980000001</v>
      </c>
      <c r="P94">
        <v>100</v>
      </c>
      <c r="Q94">
        <v>4.5999999999999996</v>
      </c>
      <c r="R94">
        <v>4</v>
      </c>
      <c r="S94">
        <v>4.3</v>
      </c>
      <c r="T94">
        <v>4.3</v>
      </c>
      <c r="U94">
        <v>4</v>
      </c>
      <c r="V94" t="s">
        <v>27</v>
      </c>
    </row>
    <row r="95" spans="1:32" x14ac:dyDescent="0.25">
      <c r="A95" t="s">
        <v>51</v>
      </c>
      <c r="B95">
        <v>1</v>
      </c>
      <c r="C95" t="s">
        <v>52</v>
      </c>
      <c r="D95" t="s">
        <v>53</v>
      </c>
      <c r="E95" t="s">
        <v>54</v>
      </c>
      <c r="F95">
        <v>70</v>
      </c>
      <c r="G95">
        <v>1000</v>
      </c>
      <c r="H95">
        <v>-2</v>
      </c>
      <c r="I95">
        <v>1981</v>
      </c>
      <c r="J95" t="s">
        <v>62</v>
      </c>
      <c r="K95">
        <v>2482</v>
      </c>
      <c r="L95">
        <v>17</v>
      </c>
      <c r="M95">
        <v>14.1</v>
      </c>
      <c r="N95" s="4">
        <f t="shared" si="2"/>
        <v>2.2686500000000005E-2</v>
      </c>
      <c r="O95" s="4">
        <f t="shared" si="3"/>
        <v>0.31987965000000007</v>
      </c>
      <c r="P95">
        <v>88</v>
      </c>
      <c r="Q95">
        <v>4.5</v>
      </c>
      <c r="R95">
        <v>3</v>
      </c>
      <c r="S95">
        <v>3.7</v>
      </c>
      <c r="T95">
        <v>3.7</v>
      </c>
      <c r="U95">
        <v>3.7</v>
      </c>
      <c r="V95" t="s">
        <v>27</v>
      </c>
    </row>
    <row r="96" spans="1:32" x14ac:dyDescent="0.25">
      <c r="A96" t="s">
        <v>51</v>
      </c>
      <c r="B96">
        <v>1</v>
      </c>
      <c r="C96" t="s">
        <v>52</v>
      </c>
      <c r="D96" t="s">
        <v>53</v>
      </c>
      <c r="E96" t="s">
        <v>54</v>
      </c>
      <c r="F96">
        <v>70</v>
      </c>
      <c r="G96">
        <v>1000</v>
      </c>
      <c r="H96">
        <v>-2</v>
      </c>
      <c r="I96">
        <v>1981</v>
      </c>
      <c r="J96" t="s">
        <v>62</v>
      </c>
      <c r="K96">
        <v>2431</v>
      </c>
      <c r="L96">
        <v>26.1</v>
      </c>
      <c r="M96">
        <v>16</v>
      </c>
      <c r="N96" s="4">
        <f t="shared" si="2"/>
        <v>5.3474985000000003E-2</v>
      </c>
      <c r="O96" s="4">
        <f t="shared" si="3"/>
        <v>0.85559976000000004</v>
      </c>
      <c r="P96">
        <v>38</v>
      </c>
      <c r="Q96">
        <v>5</v>
      </c>
      <c r="R96">
        <v>3</v>
      </c>
      <c r="S96">
        <v>4</v>
      </c>
      <c r="T96">
        <v>4</v>
      </c>
      <c r="U96">
        <v>2.7</v>
      </c>
      <c r="V96" t="s">
        <v>27</v>
      </c>
    </row>
    <row r="97" spans="1:25" x14ac:dyDescent="0.25">
      <c r="A97" t="s">
        <v>51</v>
      </c>
      <c r="B97">
        <v>1</v>
      </c>
      <c r="C97" t="s">
        <v>52</v>
      </c>
      <c r="D97" t="s">
        <v>53</v>
      </c>
      <c r="E97" t="s">
        <v>54</v>
      </c>
      <c r="F97">
        <v>70</v>
      </c>
      <c r="G97">
        <v>1000</v>
      </c>
      <c r="H97">
        <v>-2</v>
      </c>
      <c r="I97">
        <v>1981</v>
      </c>
      <c r="J97" t="s">
        <v>37</v>
      </c>
      <c r="K97">
        <v>1524</v>
      </c>
      <c r="L97">
        <v>12.2</v>
      </c>
      <c r="M97">
        <v>13.8</v>
      </c>
      <c r="N97" s="4">
        <f t="shared" si="2"/>
        <v>1.168394E-2</v>
      </c>
      <c r="O97" s="4">
        <f t="shared" si="3"/>
        <v>0.16123837200000002</v>
      </c>
      <c r="P97">
        <v>50</v>
      </c>
      <c r="Q97">
        <v>2</v>
      </c>
      <c r="R97">
        <v>1.5</v>
      </c>
      <c r="S97">
        <v>3</v>
      </c>
      <c r="T97">
        <v>3</v>
      </c>
      <c r="U97">
        <v>3</v>
      </c>
      <c r="V97" t="s">
        <v>30</v>
      </c>
    </row>
    <row r="98" spans="1:25" x14ac:dyDescent="0.25">
      <c r="A98" t="s">
        <v>51</v>
      </c>
      <c r="B98">
        <v>1</v>
      </c>
      <c r="C98" t="s">
        <v>52</v>
      </c>
      <c r="D98" t="s">
        <v>53</v>
      </c>
      <c r="E98" t="s">
        <v>54</v>
      </c>
      <c r="F98">
        <v>70</v>
      </c>
      <c r="G98">
        <v>1000</v>
      </c>
      <c r="H98">
        <v>-2</v>
      </c>
      <c r="I98">
        <v>1981</v>
      </c>
      <c r="J98" t="s">
        <v>63</v>
      </c>
      <c r="K98">
        <v>1340</v>
      </c>
      <c r="L98">
        <v>9.3000000000000007</v>
      </c>
      <c r="M98">
        <v>4.3</v>
      </c>
      <c r="N98" s="4">
        <f t="shared" si="2"/>
        <v>6.7894650000000023E-3</v>
      </c>
      <c r="O98" s="4">
        <f t="shared" si="3"/>
        <v>2.9194699500000008E-2</v>
      </c>
      <c r="P98">
        <v>63</v>
      </c>
      <c r="Q98">
        <v>1</v>
      </c>
      <c r="R98">
        <v>1.2</v>
      </c>
      <c r="S98">
        <v>1</v>
      </c>
      <c r="T98">
        <v>1</v>
      </c>
      <c r="U98">
        <v>1</v>
      </c>
      <c r="V98" t="s">
        <v>50</v>
      </c>
    </row>
    <row r="99" spans="1:25" x14ac:dyDescent="0.25">
      <c r="A99" t="s">
        <v>51</v>
      </c>
      <c r="B99">
        <v>1</v>
      </c>
      <c r="C99" t="s">
        <v>52</v>
      </c>
      <c r="D99" t="s">
        <v>53</v>
      </c>
      <c r="E99" t="s">
        <v>54</v>
      </c>
      <c r="F99">
        <v>70</v>
      </c>
      <c r="G99">
        <v>1000</v>
      </c>
      <c r="H99">
        <v>-2</v>
      </c>
      <c r="I99">
        <v>1981</v>
      </c>
      <c r="J99" t="s">
        <v>62</v>
      </c>
      <c r="K99">
        <v>2428</v>
      </c>
      <c r="L99">
        <v>22.6</v>
      </c>
      <c r="M99">
        <v>13.4</v>
      </c>
      <c r="N99" s="4">
        <f t="shared" si="2"/>
        <v>4.0094660000000004E-2</v>
      </c>
      <c r="O99" s="4">
        <f t="shared" si="3"/>
        <v>0.53726844400000007</v>
      </c>
      <c r="P99">
        <v>100</v>
      </c>
      <c r="Q99">
        <v>5</v>
      </c>
      <c r="R99">
        <v>3</v>
      </c>
      <c r="S99">
        <v>2.2999999999999998</v>
      </c>
      <c r="T99">
        <v>2.7</v>
      </c>
      <c r="U99">
        <v>2</v>
      </c>
      <c r="V99" t="s">
        <v>27</v>
      </c>
    </row>
    <row r="100" spans="1:25" x14ac:dyDescent="0.25">
      <c r="A100" t="s">
        <v>51</v>
      </c>
      <c r="B100">
        <v>2</v>
      </c>
      <c r="C100" t="s">
        <v>52</v>
      </c>
      <c r="D100" t="s">
        <v>53</v>
      </c>
      <c r="E100" t="s">
        <v>54</v>
      </c>
      <c r="F100">
        <v>70</v>
      </c>
      <c r="G100">
        <v>1000</v>
      </c>
      <c r="H100">
        <v>-2</v>
      </c>
      <c r="I100">
        <v>1981</v>
      </c>
      <c r="J100" t="s">
        <v>55</v>
      </c>
      <c r="K100">
        <v>1094</v>
      </c>
      <c r="L100">
        <v>7.8</v>
      </c>
      <c r="M100">
        <v>7.4</v>
      </c>
      <c r="N100" s="4">
        <f t="shared" si="2"/>
        <v>4.7759400000000002E-3</v>
      </c>
      <c r="O100" s="4">
        <f t="shared" si="3"/>
        <v>3.5341956000000001E-2</v>
      </c>
      <c r="P100">
        <v>63</v>
      </c>
      <c r="Q100">
        <v>1</v>
      </c>
      <c r="R100">
        <v>1</v>
      </c>
      <c r="S100">
        <v>3</v>
      </c>
      <c r="T100">
        <v>3</v>
      </c>
      <c r="U100">
        <v>3</v>
      </c>
      <c r="V100" t="s">
        <v>50</v>
      </c>
    </row>
    <row r="101" spans="1:25" x14ac:dyDescent="0.25">
      <c r="A101" t="s">
        <v>51</v>
      </c>
      <c r="B101">
        <v>2</v>
      </c>
      <c r="C101" t="s">
        <v>52</v>
      </c>
      <c r="D101" t="s">
        <v>53</v>
      </c>
      <c r="E101" t="s">
        <v>54</v>
      </c>
      <c r="F101">
        <v>70</v>
      </c>
      <c r="G101">
        <v>1000</v>
      </c>
      <c r="H101">
        <v>-2</v>
      </c>
      <c r="I101">
        <v>1981</v>
      </c>
      <c r="J101" t="s">
        <v>56</v>
      </c>
      <c r="K101">
        <v>1111</v>
      </c>
      <c r="L101">
        <v>16.399999999999999</v>
      </c>
      <c r="M101">
        <v>13.3</v>
      </c>
      <c r="N101" s="4">
        <f t="shared" si="2"/>
        <v>2.1113359999999994E-2</v>
      </c>
      <c r="O101" s="4">
        <f t="shared" si="3"/>
        <v>0.28080768799999994</v>
      </c>
      <c r="P101">
        <v>100</v>
      </c>
      <c r="Q101">
        <v>4.5</v>
      </c>
      <c r="R101">
        <v>3</v>
      </c>
      <c r="S101">
        <v>3.3</v>
      </c>
      <c r="T101">
        <v>3.3</v>
      </c>
      <c r="U101">
        <v>2.7</v>
      </c>
      <c r="V101" t="s">
        <v>25</v>
      </c>
    </row>
    <row r="102" spans="1:25" x14ac:dyDescent="0.25">
      <c r="A102" t="s">
        <v>51</v>
      </c>
      <c r="B102">
        <v>2</v>
      </c>
      <c r="C102" t="s">
        <v>52</v>
      </c>
      <c r="D102" t="s">
        <v>53</v>
      </c>
      <c r="E102" t="s">
        <v>54</v>
      </c>
      <c r="F102">
        <v>70</v>
      </c>
      <c r="G102">
        <v>1000</v>
      </c>
      <c r="H102">
        <v>-2</v>
      </c>
      <c r="I102">
        <v>1981</v>
      </c>
      <c r="J102" t="s">
        <v>57</v>
      </c>
      <c r="K102">
        <v>1112</v>
      </c>
      <c r="L102">
        <v>11.9</v>
      </c>
      <c r="M102">
        <v>9.6999999999999993</v>
      </c>
      <c r="N102" s="4">
        <f t="shared" si="2"/>
        <v>1.1116385000000001E-2</v>
      </c>
      <c r="O102" s="4">
        <f t="shared" si="3"/>
        <v>0.1078289345</v>
      </c>
      <c r="P102">
        <v>100</v>
      </c>
      <c r="Q102">
        <v>2.2999999999999998</v>
      </c>
      <c r="R102">
        <v>1.8</v>
      </c>
      <c r="S102">
        <v>3</v>
      </c>
      <c r="T102">
        <v>3.5</v>
      </c>
      <c r="U102">
        <v>3.2</v>
      </c>
      <c r="V102" t="s">
        <v>30</v>
      </c>
    </row>
    <row r="103" spans="1:25" x14ac:dyDescent="0.25">
      <c r="A103" t="s">
        <v>51</v>
      </c>
      <c r="B103">
        <v>2</v>
      </c>
      <c r="C103" t="s">
        <v>52</v>
      </c>
      <c r="D103" t="s">
        <v>53</v>
      </c>
      <c r="E103" t="s">
        <v>54</v>
      </c>
      <c r="F103">
        <v>70</v>
      </c>
      <c r="G103">
        <v>1000</v>
      </c>
      <c r="H103">
        <v>-2</v>
      </c>
      <c r="I103">
        <v>1981</v>
      </c>
      <c r="J103" t="s">
        <v>57</v>
      </c>
      <c r="K103">
        <v>1113</v>
      </c>
      <c r="L103">
        <v>10.4</v>
      </c>
      <c r="M103">
        <v>9.4</v>
      </c>
      <c r="N103" s="4">
        <f t="shared" si="2"/>
        <v>8.4905600000000029E-3</v>
      </c>
      <c r="O103" s="4">
        <f t="shared" si="3"/>
        <v>7.9811264000000035E-2</v>
      </c>
      <c r="P103">
        <v>88</v>
      </c>
      <c r="Q103">
        <v>2</v>
      </c>
      <c r="R103">
        <v>1.7</v>
      </c>
      <c r="S103">
        <v>4</v>
      </c>
      <c r="T103">
        <v>4</v>
      </c>
      <c r="U103">
        <v>4</v>
      </c>
      <c r="V103" t="s">
        <v>30</v>
      </c>
    </row>
    <row r="104" spans="1:25" x14ac:dyDescent="0.25">
      <c r="A104" t="s">
        <v>51</v>
      </c>
      <c r="B104">
        <v>2</v>
      </c>
      <c r="C104" t="s">
        <v>52</v>
      </c>
      <c r="D104" t="s">
        <v>53</v>
      </c>
      <c r="E104" t="s">
        <v>54</v>
      </c>
      <c r="F104">
        <v>70</v>
      </c>
      <c r="G104">
        <v>1000</v>
      </c>
      <c r="H104">
        <v>-2</v>
      </c>
      <c r="I104">
        <v>1981</v>
      </c>
      <c r="J104" t="s">
        <v>58</v>
      </c>
      <c r="K104">
        <v>1338</v>
      </c>
      <c r="L104">
        <v>13.5</v>
      </c>
      <c r="M104">
        <v>10</v>
      </c>
      <c r="N104" s="4">
        <f t="shared" si="2"/>
        <v>1.4306625000000002E-2</v>
      </c>
      <c r="O104" s="4">
        <f t="shared" si="3"/>
        <v>0.14306625000000001</v>
      </c>
      <c r="P104">
        <v>13</v>
      </c>
      <c r="Q104">
        <v>3</v>
      </c>
      <c r="R104">
        <v>4</v>
      </c>
      <c r="S104">
        <v>3</v>
      </c>
      <c r="T104">
        <v>4</v>
      </c>
      <c r="U104">
        <v>3.3</v>
      </c>
      <c r="V104" t="s">
        <v>30</v>
      </c>
    </row>
    <row r="105" spans="1:25" x14ac:dyDescent="0.25">
      <c r="A105" t="s">
        <v>51</v>
      </c>
      <c r="B105">
        <v>2</v>
      </c>
      <c r="C105" t="s">
        <v>52</v>
      </c>
      <c r="D105" t="s">
        <v>53</v>
      </c>
      <c r="E105" t="s">
        <v>54</v>
      </c>
      <c r="F105">
        <v>70</v>
      </c>
      <c r="G105">
        <v>1000</v>
      </c>
      <c r="H105">
        <v>-2</v>
      </c>
      <c r="I105">
        <v>1981</v>
      </c>
      <c r="J105" t="s">
        <v>59</v>
      </c>
      <c r="K105">
        <v>1482</v>
      </c>
      <c r="L105">
        <v>23</v>
      </c>
      <c r="M105">
        <v>11</v>
      </c>
      <c r="N105" s="4">
        <f t="shared" si="2"/>
        <v>4.1526500000000001E-2</v>
      </c>
      <c r="O105" s="4">
        <f t="shared" si="3"/>
        <v>0.45679150000000002</v>
      </c>
      <c r="P105">
        <v>13</v>
      </c>
      <c r="Q105">
        <v>3</v>
      </c>
      <c r="R105">
        <v>3.5</v>
      </c>
      <c r="S105">
        <v>2</v>
      </c>
      <c r="T105">
        <v>1</v>
      </c>
      <c r="U105">
        <v>1</v>
      </c>
      <c r="V105" t="s">
        <v>38</v>
      </c>
    </row>
    <row r="106" spans="1:25" x14ac:dyDescent="0.25">
      <c r="A106" t="s">
        <v>51</v>
      </c>
      <c r="B106">
        <v>2</v>
      </c>
      <c r="C106" t="s">
        <v>52</v>
      </c>
      <c r="D106" t="s">
        <v>53</v>
      </c>
      <c r="E106" t="s">
        <v>54</v>
      </c>
      <c r="F106">
        <v>70</v>
      </c>
      <c r="G106">
        <v>1000</v>
      </c>
      <c r="H106">
        <v>-2</v>
      </c>
      <c r="I106">
        <v>1981</v>
      </c>
      <c r="J106" t="s">
        <v>59</v>
      </c>
      <c r="K106">
        <v>1978</v>
      </c>
      <c r="L106">
        <v>23.7</v>
      </c>
      <c r="M106">
        <v>12.6</v>
      </c>
      <c r="N106" s="4">
        <f t="shared" si="2"/>
        <v>4.4092664999999996E-2</v>
      </c>
      <c r="O106" s="4">
        <f t="shared" si="3"/>
        <v>0.55556757899999998</v>
      </c>
      <c r="P106">
        <v>88</v>
      </c>
      <c r="Q106">
        <v>5</v>
      </c>
      <c r="R106">
        <v>3.3</v>
      </c>
      <c r="S106">
        <v>3</v>
      </c>
      <c r="T106">
        <v>2</v>
      </c>
      <c r="U106">
        <v>2</v>
      </c>
      <c r="V106" t="s">
        <v>25</v>
      </c>
    </row>
    <row r="107" spans="1:25" x14ac:dyDescent="0.25">
      <c r="A107" t="s">
        <v>51</v>
      </c>
      <c r="B107">
        <v>2</v>
      </c>
      <c r="C107" t="s">
        <v>52</v>
      </c>
      <c r="D107" t="s">
        <v>53</v>
      </c>
      <c r="E107" t="s">
        <v>54</v>
      </c>
      <c r="F107">
        <v>70</v>
      </c>
      <c r="G107">
        <v>1000</v>
      </c>
      <c r="H107">
        <v>-2</v>
      </c>
      <c r="I107">
        <v>1981</v>
      </c>
      <c r="J107" t="s">
        <v>26</v>
      </c>
      <c r="K107">
        <v>1339</v>
      </c>
      <c r="L107">
        <v>33.799999999999997</v>
      </c>
      <c r="M107">
        <v>16</v>
      </c>
      <c r="N107" s="4">
        <f t="shared" si="2"/>
        <v>8.968153999999999E-2</v>
      </c>
      <c r="O107" s="4">
        <f t="shared" si="3"/>
        <v>1.4349046399999998</v>
      </c>
      <c r="P107">
        <v>50</v>
      </c>
      <c r="Q107">
        <v>5</v>
      </c>
      <c r="R107">
        <v>3</v>
      </c>
      <c r="S107">
        <v>2</v>
      </c>
      <c r="T107">
        <v>2</v>
      </c>
      <c r="U107">
        <v>0.5</v>
      </c>
      <c r="V107" t="s">
        <v>25</v>
      </c>
    </row>
    <row r="108" spans="1:25" x14ac:dyDescent="0.25">
      <c r="A108" t="s">
        <v>51</v>
      </c>
      <c r="B108">
        <v>2</v>
      </c>
      <c r="C108" t="s">
        <v>52</v>
      </c>
      <c r="D108" t="s">
        <v>53</v>
      </c>
      <c r="E108" t="s">
        <v>54</v>
      </c>
      <c r="F108">
        <v>70</v>
      </c>
      <c r="G108">
        <v>1000</v>
      </c>
      <c r="H108">
        <v>-2</v>
      </c>
      <c r="I108">
        <v>1981</v>
      </c>
      <c r="J108" t="s">
        <v>26</v>
      </c>
      <c r="K108">
        <v>1786</v>
      </c>
      <c r="L108">
        <v>17</v>
      </c>
      <c r="M108">
        <v>15.3</v>
      </c>
      <c r="N108" s="4">
        <f t="shared" si="2"/>
        <v>2.2686500000000005E-2</v>
      </c>
      <c r="O108" s="4">
        <f t="shared" si="3"/>
        <v>0.34710345000000009</v>
      </c>
      <c r="P108">
        <v>75</v>
      </c>
      <c r="Q108">
        <v>4.7</v>
      </c>
      <c r="R108">
        <v>4</v>
      </c>
      <c r="S108">
        <v>3.5</v>
      </c>
      <c r="T108">
        <v>4</v>
      </c>
      <c r="U108">
        <v>4</v>
      </c>
      <c r="V108" t="s">
        <v>27</v>
      </c>
    </row>
    <row r="109" spans="1:25" x14ac:dyDescent="0.25">
      <c r="A109" t="s">
        <v>51</v>
      </c>
      <c r="B109">
        <v>2</v>
      </c>
      <c r="C109" t="s">
        <v>52</v>
      </c>
      <c r="D109" t="s">
        <v>53</v>
      </c>
      <c r="E109" t="s">
        <v>54</v>
      </c>
      <c r="F109">
        <v>70</v>
      </c>
      <c r="G109">
        <v>1000</v>
      </c>
      <c r="H109">
        <v>-2</v>
      </c>
      <c r="I109">
        <v>1981</v>
      </c>
      <c r="J109" t="s">
        <v>26</v>
      </c>
      <c r="K109">
        <v>2447</v>
      </c>
      <c r="L109">
        <v>20.8</v>
      </c>
      <c r="M109">
        <v>12.6</v>
      </c>
      <c r="N109" s="4">
        <f t="shared" si="2"/>
        <v>3.3962240000000012E-2</v>
      </c>
      <c r="O109" s="4">
        <f t="shared" si="3"/>
        <v>0.42792422400000013</v>
      </c>
      <c r="P109">
        <v>63</v>
      </c>
      <c r="Q109">
        <v>4</v>
      </c>
      <c r="R109">
        <v>3</v>
      </c>
      <c r="S109">
        <v>3.3</v>
      </c>
      <c r="T109">
        <v>3.5</v>
      </c>
      <c r="U109">
        <v>3.5</v>
      </c>
      <c r="V109" t="s">
        <v>25</v>
      </c>
    </row>
    <row r="110" spans="1:25" x14ac:dyDescent="0.25">
      <c r="A110" t="s">
        <v>51</v>
      </c>
      <c r="B110">
        <v>2</v>
      </c>
      <c r="C110" t="s">
        <v>52</v>
      </c>
      <c r="D110" t="s">
        <v>53</v>
      </c>
      <c r="E110" t="s">
        <v>54</v>
      </c>
      <c r="F110">
        <v>70</v>
      </c>
      <c r="G110">
        <v>1000</v>
      </c>
      <c r="H110">
        <v>-2</v>
      </c>
      <c r="I110">
        <v>1981</v>
      </c>
      <c r="J110" t="s">
        <v>60</v>
      </c>
      <c r="K110">
        <v>1595</v>
      </c>
      <c r="L110">
        <v>6.5</v>
      </c>
      <c r="M110">
        <v>4.4000000000000004</v>
      </c>
      <c r="N110" s="4">
        <f t="shared" si="2"/>
        <v>3.3166250000000006E-3</v>
      </c>
      <c r="O110" s="4">
        <f t="shared" si="3"/>
        <v>1.4593150000000004E-2</v>
      </c>
      <c r="P110">
        <v>63</v>
      </c>
      <c r="Q110">
        <v>0.5</v>
      </c>
      <c r="R110">
        <v>0.5</v>
      </c>
      <c r="S110">
        <v>4</v>
      </c>
      <c r="T110">
        <v>4.5</v>
      </c>
      <c r="U110">
        <v>4</v>
      </c>
      <c r="V110" t="s">
        <v>50</v>
      </c>
      <c r="X110" t="s">
        <v>133</v>
      </c>
    </row>
    <row r="111" spans="1:25" ht="15.75" thickBot="1" x14ac:dyDescent="0.3">
      <c r="A111" t="s">
        <v>51</v>
      </c>
      <c r="B111">
        <v>2</v>
      </c>
      <c r="C111" t="s">
        <v>52</v>
      </c>
      <c r="D111" t="s">
        <v>53</v>
      </c>
      <c r="E111" t="s">
        <v>54</v>
      </c>
      <c r="F111">
        <v>70</v>
      </c>
      <c r="G111">
        <v>1000</v>
      </c>
      <c r="H111">
        <v>-2</v>
      </c>
      <c r="I111">
        <v>1981</v>
      </c>
      <c r="J111" t="s">
        <v>61</v>
      </c>
      <c r="K111">
        <v>1171</v>
      </c>
      <c r="L111">
        <v>10.4</v>
      </c>
      <c r="M111">
        <v>6.4</v>
      </c>
      <c r="N111" s="4">
        <f t="shared" si="2"/>
        <v>8.4905600000000029E-3</v>
      </c>
      <c r="O111" s="4">
        <f t="shared" si="3"/>
        <v>5.4339584000000024E-2</v>
      </c>
      <c r="P111">
        <v>75</v>
      </c>
      <c r="Q111">
        <v>1.7</v>
      </c>
      <c r="R111">
        <v>1.5</v>
      </c>
      <c r="S111">
        <v>0</v>
      </c>
      <c r="T111">
        <v>0</v>
      </c>
      <c r="U111">
        <v>0</v>
      </c>
      <c r="V111" t="s">
        <v>50</v>
      </c>
    </row>
    <row r="112" spans="1:25" x14ac:dyDescent="0.25">
      <c r="A112" t="s">
        <v>51</v>
      </c>
      <c r="B112">
        <v>2</v>
      </c>
      <c r="C112" t="s">
        <v>52</v>
      </c>
      <c r="D112" t="s">
        <v>53</v>
      </c>
      <c r="E112" t="s">
        <v>54</v>
      </c>
      <c r="F112">
        <v>70</v>
      </c>
      <c r="G112">
        <v>1000</v>
      </c>
      <c r="H112">
        <v>-2</v>
      </c>
      <c r="I112">
        <v>1981</v>
      </c>
      <c r="J112" t="s">
        <v>32</v>
      </c>
      <c r="K112">
        <v>1596</v>
      </c>
      <c r="L112">
        <v>12.6</v>
      </c>
      <c r="M112">
        <v>8</v>
      </c>
      <c r="N112" s="4">
        <f t="shared" si="2"/>
        <v>1.2462660000000002E-2</v>
      </c>
      <c r="O112" s="4">
        <f t="shared" si="3"/>
        <v>9.9701280000000017E-2</v>
      </c>
      <c r="P112">
        <v>37</v>
      </c>
      <c r="Q112">
        <v>2.5</v>
      </c>
      <c r="R112">
        <v>3.5</v>
      </c>
      <c r="S112">
        <v>4</v>
      </c>
      <c r="T112">
        <v>4</v>
      </c>
      <c r="U112">
        <v>4</v>
      </c>
      <c r="V112" t="s">
        <v>38</v>
      </c>
      <c r="X112" s="15" t="s">
        <v>134</v>
      </c>
      <c r="Y112" s="15"/>
    </row>
    <row r="113" spans="1:32" x14ac:dyDescent="0.25">
      <c r="A113" t="s">
        <v>51</v>
      </c>
      <c r="B113">
        <v>2</v>
      </c>
      <c r="C113" t="s">
        <v>52</v>
      </c>
      <c r="D113" t="s">
        <v>53</v>
      </c>
      <c r="E113" t="s">
        <v>54</v>
      </c>
      <c r="F113">
        <v>70</v>
      </c>
      <c r="G113">
        <v>1000</v>
      </c>
      <c r="H113">
        <v>-2</v>
      </c>
      <c r="I113">
        <v>1981</v>
      </c>
      <c r="J113" t="s">
        <v>34</v>
      </c>
      <c r="K113">
        <v>1337</v>
      </c>
      <c r="L113">
        <v>22.2</v>
      </c>
      <c r="M113">
        <v>14.6</v>
      </c>
      <c r="N113" s="4">
        <f t="shared" si="2"/>
        <v>3.8687940000000004E-2</v>
      </c>
      <c r="O113" s="4">
        <f t="shared" si="3"/>
        <v>0.56484392400000005</v>
      </c>
      <c r="P113">
        <v>63</v>
      </c>
      <c r="Q113">
        <v>5</v>
      </c>
      <c r="R113">
        <v>3</v>
      </c>
      <c r="S113">
        <v>4</v>
      </c>
      <c r="T113">
        <v>4</v>
      </c>
      <c r="U113">
        <v>3.2</v>
      </c>
      <c r="V113" t="s">
        <v>27</v>
      </c>
      <c r="X113" s="12" t="s">
        <v>135</v>
      </c>
      <c r="Y113" s="12">
        <v>0.88793946888417774</v>
      </c>
    </row>
    <row r="114" spans="1:32" x14ac:dyDescent="0.25">
      <c r="A114" t="s">
        <v>51</v>
      </c>
      <c r="B114">
        <v>2</v>
      </c>
      <c r="C114" t="s">
        <v>52</v>
      </c>
      <c r="D114" t="s">
        <v>53</v>
      </c>
      <c r="E114" t="s">
        <v>54</v>
      </c>
      <c r="F114">
        <v>70</v>
      </c>
      <c r="G114">
        <v>1000</v>
      </c>
      <c r="H114">
        <v>-2</v>
      </c>
      <c r="I114">
        <v>1981</v>
      </c>
      <c r="J114" t="s">
        <v>34</v>
      </c>
      <c r="K114">
        <v>2459</v>
      </c>
      <c r="L114">
        <v>19.600000000000001</v>
      </c>
      <c r="M114">
        <v>15.4</v>
      </c>
      <c r="N114" s="4">
        <f t="shared" si="2"/>
        <v>3.0156560000000006E-2</v>
      </c>
      <c r="O114" s="4">
        <f t="shared" si="3"/>
        <v>0.46441102400000012</v>
      </c>
      <c r="P114">
        <v>100</v>
      </c>
      <c r="Q114">
        <v>5</v>
      </c>
      <c r="R114">
        <v>3</v>
      </c>
      <c r="S114">
        <v>5</v>
      </c>
      <c r="T114">
        <v>4.3</v>
      </c>
      <c r="U114">
        <v>3</v>
      </c>
      <c r="V114" t="s">
        <v>27</v>
      </c>
      <c r="X114" s="12" t="s">
        <v>136</v>
      </c>
      <c r="Y114" s="12">
        <v>0.78843650040231572</v>
      </c>
    </row>
    <row r="115" spans="1:32" x14ac:dyDescent="0.25">
      <c r="A115" t="s">
        <v>51</v>
      </c>
      <c r="B115">
        <v>2</v>
      </c>
      <c r="C115" t="s">
        <v>52</v>
      </c>
      <c r="D115" t="s">
        <v>53</v>
      </c>
      <c r="E115" t="s">
        <v>54</v>
      </c>
      <c r="F115">
        <v>70</v>
      </c>
      <c r="G115">
        <v>1000</v>
      </c>
      <c r="H115">
        <v>-2</v>
      </c>
      <c r="I115">
        <v>1981</v>
      </c>
      <c r="J115" t="s">
        <v>35</v>
      </c>
      <c r="K115">
        <v>1785</v>
      </c>
      <c r="L115">
        <v>9.8000000000000007</v>
      </c>
      <c r="M115">
        <v>7.5</v>
      </c>
      <c r="N115" s="4">
        <f t="shared" si="2"/>
        <v>7.5391400000000015E-3</v>
      </c>
      <c r="O115" s="4">
        <f t="shared" si="3"/>
        <v>5.6543550000000012E-2</v>
      </c>
      <c r="P115">
        <v>75</v>
      </c>
      <c r="Q115">
        <v>1.7</v>
      </c>
      <c r="R115">
        <v>1.3</v>
      </c>
      <c r="S115">
        <v>3.3</v>
      </c>
      <c r="T115">
        <v>4</v>
      </c>
      <c r="U115">
        <v>3.5</v>
      </c>
      <c r="V115" t="s">
        <v>30</v>
      </c>
      <c r="X115" s="12" t="s">
        <v>137</v>
      </c>
      <c r="Y115" s="12">
        <v>0.78814826675163774</v>
      </c>
    </row>
    <row r="116" spans="1:32" x14ac:dyDescent="0.25">
      <c r="A116" t="s">
        <v>51</v>
      </c>
      <c r="B116">
        <v>2</v>
      </c>
      <c r="C116" t="s">
        <v>52</v>
      </c>
      <c r="D116" t="s">
        <v>53</v>
      </c>
      <c r="E116" t="s">
        <v>54</v>
      </c>
      <c r="F116">
        <v>70</v>
      </c>
      <c r="G116">
        <v>1000</v>
      </c>
      <c r="H116">
        <v>-2</v>
      </c>
      <c r="I116">
        <v>1981</v>
      </c>
      <c r="J116" t="s">
        <v>36</v>
      </c>
      <c r="K116">
        <v>1598</v>
      </c>
      <c r="L116">
        <v>15.2</v>
      </c>
      <c r="M116">
        <v>14.4</v>
      </c>
      <c r="N116" s="4">
        <f t="shared" si="2"/>
        <v>1.8136639999999999E-2</v>
      </c>
      <c r="O116" s="4">
        <f t="shared" si="3"/>
        <v>0.26116761599999999</v>
      </c>
      <c r="P116">
        <v>100</v>
      </c>
      <c r="Q116">
        <v>4.5</v>
      </c>
      <c r="R116">
        <v>4</v>
      </c>
      <c r="S116">
        <v>3</v>
      </c>
      <c r="T116">
        <v>4</v>
      </c>
      <c r="U116">
        <v>3</v>
      </c>
      <c r="V116" t="s">
        <v>25</v>
      </c>
      <c r="X116" s="12" t="s">
        <v>138</v>
      </c>
      <c r="Y116" s="12">
        <v>4.5190180230005437</v>
      </c>
    </row>
    <row r="117" spans="1:32" ht="15.75" thickBot="1" x14ac:dyDescent="0.3">
      <c r="A117" t="s">
        <v>51</v>
      </c>
      <c r="B117">
        <v>2</v>
      </c>
      <c r="C117" t="s">
        <v>52</v>
      </c>
      <c r="D117" t="s">
        <v>53</v>
      </c>
      <c r="E117" t="s">
        <v>54</v>
      </c>
      <c r="F117">
        <v>70</v>
      </c>
      <c r="G117">
        <v>1000</v>
      </c>
      <c r="H117">
        <v>-2</v>
      </c>
      <c r="I117">
        <v>1981</v>
      </c>
      <c r="J117" t="s">
        <v>62</v>
      </c>
      <c r="K117">
        <v>1787</v>
      </c>
      <c r="L117">
        <v>19.600000000000001</v>
      </c>
      <c r="M117">
        <v>16.600000000000001</v>
      </c>
      <c r="N117" s="4">
        <f t="shared" si="2"/>
        <v>3.0156560000000006E-2</v>
      </c>
      <c r="O117" s="4">
        <f t="shared" si="3"/>
        <v>0.50059889600000018</v>
      </c>
      <c r="P117">
        <v>100</v>
      </c>
      <c r="Q117">
        <v>5</v>
      </c>
      <c r="R117">
        <v>3</v>
      </c>
      <c r="S117">
        <v>4</v>
      </c>
      <c r="T117">
        <v>4</v>
      </c>
      <c r="U117">
        <v>3</v>
      </c>
      <c r="V117" t="s">
        <v>27</v>
      </c>
      <c r="X117" s="13" t="s">
        <v>139</v>
      </c>
      <c r="Y117" s="13">
        <v>736</v>
      </c>
    </row>
    <row r="118" spans="1:32" x14ac:dyDescent="0.25">
      <c r="A118" t="s">
        <v>51</v>
      </c>
      <c r="B118">
        <v>2</v>
      </c>
      <c r="C118" t="s">
        <v>52</v>
      </c>
      <c r="D118" t="s">
        <v>53</v>
      </c>
      <c r="E118" t="s">
        <v>54</v>
      </c>
      <c r="F118">
        <v>70</v>
      </c>
      <c r="G118">
        <v>1000</v>
      </c>
      <c r="H118">
        <v>-2</v>
      </c>
      <c r="I118">
        <v>1981</v>
      </c>
      <c r="J118" t="s">
        <v>62</v>
      </c>
      <c r="K118">
        <v>2482</v>
      </c>
      <c r="L118">
        <v>17</v>
      </c>
      <c r="M118">
        <v>14.1</v>
      </c>
      <c r="N118" s="4">
        <f t="shared" si="2"/>
        <v>2.2686500000000005E-2</v>
      </c>
      <c r="O118" s="4">
        <f t="shared" si="3"/>
        <v>0.31987965000000007</v>
      </c>
      <c r="P118">
        <v>88</v>
      </c>
      <c r="Q118">
        <v>4.5</v>
      </c>
      <c r="R118">
        <v>3</v>
      </c>
      <c r="S118">
        <v>3.7</v>
      </c>
      <c r="T118">
        <v>3.7</v>
      </c>
      <c r="U118">
        <v>3.7</v>
      </c>
      <c r="V118" t="s">
        <v>27</v>
      </c>
    </row>
    <row r="119" spans="1:32" ht="15.75" thickBot="1" x14ac:dyDescent="0.3">
      <c r="A119" t="s">
        <v>51</v>
      </c>
      <c r="B119">
        <v>2</v>
      </c>
      <c r="C119" t="s">
        <v>52</v>
      </c>
      <c r="D119" t="s">
        <v>53</v>
      </c>
      <c r="E119" t="s">
        <v>54</v>
      </c>
      <c r="F119">
        <v>70</v>
      </c>
      <c r="G119">
        <v>1000</v>
      </c>
      <c r="H119">
        <v>-2</v>
      </c>
      <c r="I119">
        <v>1981</v>
      </c>
      <c r="J119" t="s">
        <v>62</v>
      </c>
      <c r="K119">
        <v>2431</v>
      </c>
      <c r="L119">
        <v>26</v>
      </c>
      <c r="M119">
        <v>14</v>
      </c>
      <c r="N119" s="4">
        <f t="shared" si="2"/>
        <v>5.3066000000000009E-2</v>
      </c>
      <c r="O119" s="4">
        <f t="shared" si="3"/>
        <v>0.74292400000000014</v>
      </c>
      <c r="P119">
        <v>88</v>
      </c>
      <c r="Q119">
        <v>5</v>
      </c>
      <c r="R119">
        <v>3.5</v>
      </c>
      <c r="S119">
        <v>3.5</v>
      </c>
      <c r="T119">
        <v>4</v>
      </c>
      <c r="U119">
        <v>3.3</v>
      </c>
      <c r="V119" t="s">
        <v>27</v>
      </c>
      <c r="X119" t="s">
        <v>140</v>
      </c>
    </row>
    <row r="120" spans="1:32" x14ac:dyDescent="0.25">
      <c r="A120" t="s">
        <v>51</v>
      </c>
      <c r="B120">
        <v>2</v>
      </c>
      <c r="C120" t="s">
        <v>52</v>
      </c>
      <c r="D120" t="s">
        <v>53</v>
      </c>
      <c r="E120" t="s">
        <v>54</v>
      </c>
      <c r="F120">
        <v>70</v>
      </c>
      <c r="G120">
        <v>1000</v>
      </c>
      <c r="H120">
        <v>-2</v>
      </c>
      <c r="I120">
        <v>1981</v>
      </c>
      <c r="J120" t="s">
        <v>64</v>
      </c>
      <c r="K120">
        <v>1192</v>
      </c>
      <c r="L120">
        <v>8.9</v>
      </c>
      <c r="M120">
        <v>5.2</v>
      </c>
      <c r="N120" s="4">
        <f t="shared" si="2"/>
        <v>6.2179850000000014E-3</v>
      </c>
      <c r="O120" s="4">
        <f t="shared" si="3"/>
        <v>3.233352200000001E-2</v>
      </c>
      <c r="P120">
        <v>63</v>
      </c>
      <c r="Q120">
        <v>2.5</v>
      </c>
      <c r="R120">
        <v>1.8</v>
      </c>
      <c r="S120">
        <v>3</v>
      </c>
      <c r="T120">
        <v>3</v>
      </c>
      <c r="U120">
        <v>3</v>
      </c>
      <c r="V120" t="s">
        <v>50</v>
      </c>
      <c r="X120" s="14"/>
      <c r="Y120" s="14" t="s">
        <v>145</v>
      </c>
      <c r="Z120" s="14" t="s">
        <v>146</v>
      </c>
      <c r="AA120" s="14" t="s">
        <v>147</v>
      </c>
      <c r="AB120" s="14" t="s">
        <v>148</v>
      </c>
      <c r="AC120" s="14" t="s">
        <v>149</v>
      </c>
    </row>
    <row r="121" spans="1:32" x14ac:dyDescent="0.25">
      <c r="A121" t="s">
        <v>51</v>
      </c>
      <c r="B121">
        <v>2</v>
      </c>
      <c r="C121" t="s">
        <v>52</v>
      </c>
      <c r="D121" t="s">
        <v>53</v>
      </c>
      <c r="E121" t="s">
        <v>54</v>
      </c>
      <c r="F121">
        <v>70</v>
      </c>
      <c r="G121">
        <v>1000</v>
      </c>
      <c r="H121">
        <v>-2</v>
      </c>
      <c r="I121">
        <v>1981</v>
      </c>
      <c r="J121" t="s">
        <v>37</v>
      </c>
      <c r="K121">
        <v>1524</v>
      </c>
      <c r="L121">
        <v>10.3</v>
      </c>
      <c r="M121">
        <v>7.8</v>
      </c>
      <c r="N121" s="4">
        <f t="shared" si="2"/>
        <v>8.3280650000000025E-3</v>
      </c>
      <c r="O121" s="4">
        <f t="shared" si="3"/>
        <v>6.4958907000000024E-2</v>
      </c>
      <c r="P121">
        <v>100</v>
      </c>
      <c r="Q121">
        <v>2.2999999999999998</v>
      </c>
      <c r="R121">
        <v>2</v>
      </c>
      <c r="S121">
        <v>3</v>
      </c>
      <c r="T121">
        <v>3</v>
      </c>
      <c r="U121">
        <v>3</v>
      </c>
      <c r="V121" t="s">
        <v>30</v>
      </c>
      <c r="X121" s="12" t="s">
        <v>141</v>
      </c>
      <c r="Y121" s="12">
        <v>1</v>
      </c>
      <c r="Z121" s="12">
        <v>55861.190366131981</v>
      </c>
      <c r="AA121" s="12">
        <v>55861.190366131981</v>
      </c>
      <c r="AB121" s="12">
        <v>2735.4075367244227</v>
      </c>
      <c r="AC121" s="12">
        <v>9.0605589973717002E-250</v>
      </c>
    </row>
    <row r="122" spans="1:32" x14ac:dyDescent="0.25">
      <c r="A122" t="s">
        <v>51</v>
      </c>
      <c r="B122">
        <v>22</v>
      </c>
      <c r="C122" t="s">
        <v>52</v>
      </c>
      <c r="D122" t="s">
        <v>53</v>
      </c>
      <c r="E122" t="s">
        <v>54</v>
      </c>
      <c r="F122">
        <v>70</v>
      </c>
      <c r="G122">
        <v>1000</v>
      </c>
      <c r="H122">
        <v>-2</v>
      </c>
      <c r="I122">
        <v>1981</v>
      </c>
      <c r="J122" t="s">
        <v>39</v>
      </c>
      <c r="K122">
        <v>2435</v>
      </c>
      <c r="L122">
        <v>19.600000000000001</v>
      </c>
      <c r="M122">
        <v>12.3</v>
      </c>
      <c r="N122" s="4">
        <f t="shared" si="2"/>
        <v>3.0156560000000006E-2</v>
      </c>
      <c r="O122" s="4">
        <f t="shared" si="3"/>
        <v>0.37092568800000009</v>
      </c>
      <c r="P122">
        <v>75</v>
      </c>
      <c r="Q122">
        <v>3.3</v>
      </c>
      <c r="R122">
        <v>3</v>
      </c>
      <c r="S122">
        <v>3.3</v>
      </c>
      <c r="T122">
        <v>3.5</v>
      </c>
      <c r="U122">
        <v>3.5</v>
      </c>
      <c r="V122" t="s">
        <v>27</v>
      </c>
      <c r="X122" s="12" t="s">
        <v>142</v>
      </c>
      <c r="Y122" s="12">
        <v>734</v>
      </c>
      <c r="Z122" s="12">
        <v>14989.398536877547</v>
      </c>
      <c r="AA122" s="12">
        <v>20.421523892203741</v>
      </c>
      <c r="AB122" s="12"/>
      <c r="AC122" s="12"/>
    </row>
    <row r="123" spans="1:32" ht="15.75" thickBot="1" x14ac:dyDescent="0.3">
      <c r="A123" t="s">
        <v>51</v>
      </c>
      <c r="B123">
        <v>2</v>
      </c>
      <c r="C123" t="s">
        <v>52</v>
      </c>
      <c r="D123" t="s">
        <v>53</v>
      </c>
      <c r="E123" t="s">
        <v>54</v>
      </c>
      <c r="F123">
        <v>70</v>
      </c>
      <c r="G123">
        <v>1000</v>
      </c>
      <c r="H123">
        <v>-2</v>
      </c>
      <c r="I123">
        <v>1981</v>
      </c>
      <c r="J123" t="s">
        <v>63</v>
      </c>
      <c r="K123">
        <v>1340</v>
      </c>
      <c r="L123">
        <v>20.100000000000001</v>
      </c>
      <c r="M123">
        <v>6.9</v>
      </c>
      <c r="N123" s="4">
        <f t="shared" si="2"/>
        <v>3.1714785000000009E-2</v>
      </c>
      <c r="O123" s="4">
        <f t="shared" si="3"/>
        <v>0.21883201650000009</v>
      </c>
      <c r="P123">
        <v>88</v>
      </c>
      <c r="Q123">
        <v>3</v>
      </c>
      <c r="R123">
        <v>2.5</v>
      </c>
      <c r="S123">
        <v>1</v>
      </c>
      <c r="T123">
        <v>0.5</v>
      </c>
      <c r="U123">
        <v>0</v>
      </c>
      <c r="V123" t="s">
        <v>30</v>
      </c>
      <c r="X123" s="13" t="s">
        <v>143</v>
      </c>
      <c r="Y123" s="13">
        <v>735</v>
      </c>
      <c r="Z123" s="13">
        <v>70850.588903009528</v>
      </c>
      <c r="AA123" s="13"/>
      <c r="AB123" s="13"/>
      <c r="AC123" s="13"/>
    </row>
    <row r="124" spans="1:32" ht="15.75" thickBot="1" x14ac:dyDescent="0.3">
      <c r="A124" t="s">
        <v>51</v>
      </c>
      <c r="B124">
        <v>3</v>
      </c>
      <c r="C124" t="s">
        <v>52</v>
      </c>
      <c r="D124" t="s">
        <v>53</v>
      </c>
      <c r="E124" t="s">
        <v>54</v>
      </c>
      <c r="F124">
        <v>70</v>
      </c>
      <c r="G124">
        <v>1000</v>
      </c>
      <c r="H124">
        <v>-2</v>
      </c>
      <c r="I124">
        <v>1981</v>
      </c>
      <c r="J124" t="s">
        <v>55</v>
      </c>
      <c r="K124">
        <v>1094</v>
      </c>
      <c r="L124">
        <v>13.5</v>
      </c>
      <c r="M124">
        <v>4</v>
      </c>
      <c r="N124" s="4">
        <f t="shared" si="2"/>
        <v>1.4306625000000002E-2</v>
      </c>
      <c r="O124" s="4">
        <f t="shared" si="3"/>
        <v>5.7226500000000007E-2</v>
      </c>
      <c r="P124">
        <v>13</v>
      </c>
      <c r="Q124">
        <v>0.5</v>
      </c>
      <c r="R124">
        <v>0</v>
      </c>
      <c r="S124">
        <v>1</v>
      </c>
      <c r="T124">
        <v>1</v>
      </c>
      <c r="U124">
        <v>1</v>
      </c>
      <c r="V124" t="s">
        <v>50</v>
      </c>
    </row>
    <row r="125" spans="1:32" x14ac:dyDescent="0.25">
      <c r="A125" t="s">
        <v>51</v>
      </c>
      <c r="B125">
        <v>3</v>
      </c>
      <c r="C125" t="s">
        <v>52</v>
      </c>
      <c r="D125" t="s">
        <v>53</v>
      </c>
      <c r="E125" t="s">
        <v>54</v>
      </c>
      <c r="F125">
        <v>70</v>
      </c>
      <c r="G125">
        <v>1000</v>
      </c>
      <c r="H125">
        <v>-2</v>
      </c>
      <c r="I125">
        <v>1981</v>
      </c>
      <c r="J125" t="s">
        <v>56</v>
      </c>
      <c r="K125">
        <v>1111</v>
      </c>
      <c r="L125">
        <v>14.2</v>
      </c>
      <c r="M125">
        <v>10.8</v>
      </c>
      <c r="N125" s="4">
        <f t="shared" si="2"/>
        <v>1.5828739999999997E-2</v>
      </c>
      <c r="O125" s="4">
        <f t="shared" si="3"/>
        <v>0.17095039199999998</v>
      </c>
      <c r="P125">
        <v>100</v>
      </c>
      <c r="Q125">
        <v>3</v>
      </c>
      <c r="R125">
        <v>2.8</v>
      </c>
      <c r="S125">
        <v>3.3</v>
      </c>
      <c r="T125">
        <v>3.3</v>
      </c>
      <c r="U125">
        <v>3</v>
      </c>
      <c r="V125" t="s">
        <v>25</v>
      </c>
      <c r="X125" s="14"/>
      <c r="Y125" s="14" t="s">
        <v>150</v>
      </c>
      <c r="Z125" s="14" t="s">
        <v>138</v>
      </c>
      <c r="AA125" s="14" t="s">
        <v>151</v>
      </c>
      <c r="AB125" s="14" t="s">
        <v>152</v>
      </c>
      <c r="AC125" s="14" t="s">
        <v>153</v>
      </c>
      <c r="AD125" s="14" t="s">
        <v>154</v>
      </c>
      <c r="AE125" s="14" t="s">
        <v>155</v>
      </c>
      <c r="AF125" s="14" t="s">
        <v>156</v>
      </c>
    </row>
    <row r="126" spans="1:32" x14ac:dyDescent="0.25">
      <c r="A126" t="s">
        <v>51</v>
      </c>
      <c r="B126">
        <v>3</v>
      </c>
      <c r="C126" t="s">
        <v>52</v>
      </c>
      <c r="D126" t="s">
        <v>53</v>
      </c>
      <c r="E126" t="s">
        <v>54</v>
      </c>
      <c r="F126">
        <v>70</v>
      </c>
      <c r="G126">
        <v>1000</v>
      </c>
      <c r="H126">
        <v>-2</v>
      </c>
      <c r="I126">
        <v>1981</v>
      </c>
      <c r="J126" t="s">
        <v>57</v>
      </c>
      <c r="K126">
        <v>1112</v>
      </c>
      <c r="L126">
        <v>13.1</v>
      </c>
      <c r="M126">
        <v>10.6</v>
      </c>
      <c r="N126" s="4">
        <f t="shared" si="2"/>
        <v>1.3471385000000002E-2</v>
      </c>
      <c r="O126" s="4">
        <f t="shared" si="3"/>
        <v>0.14279668100000001</v>
      </c>
      <c r="P126">
        <v>88</v>
      </c>
      <c r="Q126">
        <v>2</v>
      </c>
      <c r="R126">
        <v>2</v>
      </c>
      <c r="S126">
        <v>3</v>
      </c>
      <c r="T126">
        <v>3</v>
      </c>
      <c r="U126">
        <v>3</v>
      </c>
      <c r="V126" t="s">
        <v>50</v>
      </c>
      <c r="X126" s="12" t="s">
        <v>144</v>
      </c>
      <c r="Y126" s="12">
        <v>10.099597525128534</v>
      </c>
      <c r="Z126" s="12">
        <v>0.19827813127076099</v>
      </c>
      <c r="AA126" s="12">
        <v>50.93651760988665</v>
      </c>
      <c r="AB126" s="12">
        <v>3.68744795748441E-243</v>
      </c>
      <c r="AC126" s="12">
        <v>9.7103376584802223</v>
      </c>
      <c r="AD126" s="12">
        <v>10.488857391776845</v>
      </c>
      <c r="AE126" s="12">
        <v>9.5875355216337095</v>
      </c>
      <c r="AF126" s="12">
        <v>10.611659528623358</v>
      </c>
    </row>
    <row r="127" spans="1:32" ht="15.75" thickBot="1" x14ac:dyDescent="0.3">
      <c r="A127" t="s">
        <v>51</v>
      </c>
      <c r="B127">
        <v>3</v>
      </c>
      <c r="C127" t="s">
        <v>52</v>
      </c>
      <c r="D127" t="s">
        <v>53</v>
      </c>
      <c r="E127" t="s">
        <v>54</v>
      </c>
      <c r="F127">
        <v>70</v>
      </c>
      <c r="G127">
        <v>1000</v>
      </c>
      <c r="H127">
        <v>-2</v>
      </c>
      <c r="I127">
        <v>1981</v>
      </c>
      <c r="J127" t="s">
        <v>57</v>
      </c>
      <c r="K127">
        <v>1113</v>
      </c>
      <c r="L127">
        <v>9.6</v>
      </c>
      <c r="M127">
        <v>7</v>
      </c>
      <c r="N127" s="4">
        <f t="shared" si="2"/>
        <v>7.2345600000000001E-3</v>
      </c>
      <c r="O127" s="4">
        <f t="shared" si="3"/>
        <v>5.064192E-2</v>
      </c>
      <c r="P127">
        <v>100</v>
      </c>
      <c r="Q127">
        <v>2.6</v>
      </c>
      <c r="R127">
        <v>2</v>
      </c>
      <c r="S127">
        <v>3</v>
      </c>
      <c r="T127">
        <v>3</v>
      </c>
      <c r="U127">
        <v>3</v>
      </c>
      <c r="V127" t="s">
        <v>30</v>
      </c>
      <c r="X127" s="13" t="s">
        <v>106</v>
      </c>
      <c r="Y127" s="13">
        <v>16.539460940363877</v>
      </c>
      <c r="Z127" s="13">
        <v>0.31623528867165318</v>
      </c>
      <c r="AA127" s="13">
        <v>52.301123665982722</v>
      </c>
      <c r="AB127" s="13">
        <v>9.0605589973758212E-250</v>
      </c>
      <c r="AC127" s="13">
        <v>15.918627439922417</v>
      </c>
      <c r="AD127" s="13">
        <v>17.160294440805338</v>
      </c>
      <c r="AE127" s="13">
        <v>15.722769384642874</v>
      </c>
      <c r="AF127" s="13">
        <v>17.356152496084881</v>
      </c>
    </row>
    <row r="128" spans="1:32" x14ac:dyDescent="0.25">
      <c r="A128" t="s">
        <v>51</v>
      </c>
      <c r="B128">
        <v>3</v>
      </c>
      <c r="C128" t="s">
        <v>52</v>
      </c>
      <c r="D128" t="s">
        <v>53</v>
      </c>
      <c r="E128" t="s">
        <v>54</v>
      </c>
      <c r="F128">
        <v>70</v>
      </c>
      <c r="G128">
        <v>1000</v>
      </c>
      <c r="H128">
        <v>-2</v>
      </c>
      <c r="I128">
        <v>1981</v>
      </c>
      <c r="J128" t="s">
        <v>58</v>
      </c>
      <c r="K128">
        <v>1338</v>
      </c>
      <c r="L128">
        <v>18.899999999999999</v>
      </c>
      <c r="M128">
        <v>9</v>
      </c>
      <c r="N128" s="4">
        <f t="shared" si="2"/>
        <v>2.8040984999999994E-2</v>
      </c>
      <c r="O128" s="4">
        <f t="shared" si="3"/>
        <v>0.25236886499999994</v>
      </c>
      <c r="P128">
        <v>13</v>
      </c>
      <c r="Q128">
        <v>2</v>
      </c>
      <c r="R128">
        <v>3.5</v>
      </c>
      <c r="S128">
        <v>3</v>
      </c>
      <c r="T128">
        <v>3.5</v>
      </c>
      <c r="U128">
        <v>3</v>
      </c>
      <c r="V128" t="s">
        <v>50</v>
      </c>
    </row>
    <row r="129" spans="1:22" x14ac:dyDescent="0.25">
      <c r="A129" t="s">
        <v>51</v>
      </c>
      <c r="B129">
        <v>3</v>
      </c>
      <c r="C129" t="s">
        <v>52</v>
      </c>
      <c r="D129" t="s">
        <v>53</v>
      </c>
      <c r="E129" t="s">
        <v>54</v>
      </c>
      <c r="F129">
        <v>70</v>
      </c>
      <c r="G129">
        <v>1000</v>
      </c>
      <c r="H129">
        <v>-2</v>
      </c>
      <c r="I129">
        <v>1981</v>
      </c>
      <c r="J129" t="s">
        <v>59</v>
      </c>
      <c r="K129">
        <v>1482</v>
      </c>
      <c r="L129">
        <v>20</v>
      </c>
      <c r="M129">
        <v>13.2</v>
      </c>
      <c r="N129" s="4">
        <f t="shared" si="2"/>
        <v>3.1400000000000004E-2</v>
      </c>
      <c r="O129" s="4">
        <f t="shared" si="3"/>
        <v>0.41448000000000002</v>
      </c>
      <c r="P129">
        <v>75</v>
      </c>
      <c r="Q129">
        <v>4.5</v>
      </c>
      <c r="R129">
        <v>3</v>
      </c>
      <c r="S129">
        <v>4</v>
      </c>
      <c r="T129">
        <v>4</v>
      </c>
      <c r="U129">
        <v>4</v>
      </c>
      <c r="V129" t="s">
        <v>27</v>
      </c>
    </row>
    <row r="130" spans="1:22" x14ac:dyDescent="0.25">
      <c r="A130" t="s">
        <v>51</v>
      </c>
      <c r="B130">
        <v>3</v>
      </c>
      <c r="C130" t="s">
        <v>52</v>
      </c>
      <c r="D130" t="s">
        <v>53</v>
      </c>
      <c r="E130" t="s">
        <v>54</v>
      </c>
      <c r="F130">
        <v>70</v>
      </c>
      <c r="G130">
        <v>1000</v>
      </c>
      <c r="H130">
        <v>-2</v>
      </c>
      <c r="I130">
        <v>1981</v>
      </c>
      <c r="J130" t="s">
        <v>59</v>
      </c>
      <c r="K130">
        <v>1978</v>
      </c>
      <c r="L130">
        <v>26.6</v>
      </c>
      <c r="M130">
        <v>13.5</v>
      </c>
      <c r="N130" s="4">
        <f t="shared" si="2"/>
        <v>5.554346000000001E-2</v>
      </c>
      <c r="O130" s="4">
        <f t="shared" si="3"/>
        <v>0.74983671000000018</v>
      </c>
      <c r="P130">
        <v>75</v>
      </c>
      <c r="Q130">
        <v>5</v>
      </c>
      <c r="R130">
        <v>3</v>
      </c>
      <c r="S130">
        <v>2.5</v>
      </c>
      <c r="T130">
        <v>2</v>
      </c>
      <c r="U130">
        <v>1</v>
      </c>
      <c r="V130" t="s">
        <v>25</v>
      </c>
    </row>
    <row r="131" spans="1:22" x14ac:dyDescent="0.25">
      <c r="A131" t="s">
        <v>51</v>
      </c>
      <c r="B131">
        <v>3</v>
      </c>
      <c r="C131" t="s">
        <v>52</v>
      </c>
      <c r="D131" t="s">
        <v>53</v>
      </c>
      <c r="E131" t="s">
        <v>54</v>
      </c>
      <c r="F131">
        <v>70</v>
      </c>
      <c r="G131">
        <v>1000</v>
      </c>
      <c r="H131">
        <v>-2</v>
      </c>
      <c r="I131">
        <v>1981</v>
      </c>
      <c r="J131" t="s">
        <v>26</v>
      </c>
      <c r="K131">
        <v>1339</v>
      </c>
      <c r="L131">
        <v>23.9</v>
      </c>
      <c r="M131">
        <v>12.7</v>
      </c>
      <c r="N131" s="4">
        <f t="shared" ref="N131:N194" si="4">3.14/4*((L131/100)^2)</f>
        <v>4.4839984999999999E-2</v>
      </c>
      <c r="O131" s="4">
        <f t="shared" ref="O131:O194" si="5">3.14/4*((L131/100)^2)*M131</f>
        <v>0.56946780949999998</v>
      </c>
      <c r="P131">
        <v>37</v>
      </c>
      <c r="Q131">
        <v>4</v>
      </c>
      <c r="R131">
        <v>3</v>
      </c>
      <c r="S131">
        <v>3</v>
      </c>
      <c r="T131">
        <v>3</v>
      </c>
      <c r="U131">
        <v>3</v>
      </c>
      <c r="V131" t="s">
        <v>25</v>
      </c>
    </row>
    <row r="132" spans="1:22" x14ac:dyDescent="0.25">
      <c r="A132" t="s">
        <v>51</v>
      </c>
      <c r="B132">
        <v>3</v>
      </c>
      <c r="C132" t="s">
        <v>52</v>
      </c>
      <c r="D132" t="s">
        <v>53</v>
      </c>
      <c r="E132" t="s">
        <v>54</v>
      </c>
      <c r="F132">
        <v>70</v>
      </c>
      <c r="G132">
        <v>1000</v>
      </c>
      <c r="H132">
        <v>-2</v>
      </c>
      <c r="I132">
        <v>1981</v>
      </c>
      <c r="J132" t="s">
        <v>26</v>
      </c>
      <c r="K132">
        <v>1786</v>
      </c>
      <c r="L132">
        <v>17.8</v>
      </c>
      <c r="M132">
        <v>12.2</v>
      </c>
      <c r="N132" s="4">
        <f t="shared" si="4"/>
        <v>2.4871940000000006E-2</v>
      </c>
      <c r="O132" s="4">
        <f t="shared" si="5"/>
        <v>0.30343766800000005</v>
      </c>
      <c r="P132">
        <v>63</v>
      </c>
      <c r="Q132">
        <v>4.7</v>
      </c>
      <c r="R132">
        <v>3.1</v>
      </c>
      <c r="S132">
        <v>3</v>
      </c>
      <c r="T132">
        <v>3</v>
      </c>
      <c r="U132">
        <v>3</v>
      </c>
      <c r="V132" t="s">
        <v>25</v>
      </c>
    </row>
    <row r="133" spans="1:22" x14ac:dyDescent="0.25">
      <c r="A133" t="s">
        <v>51</v>
      </c>
      <c r="B133">
        <v>3</v>
      </c>
      <c r="C133" t="s">
        <v>52</v>
      </c>
      <c r="D133" t="s">
        <v>53</v>
      </c>
      <c r="E133" t="s">
        <v>54</v>
      </c>
      <c r="F133">
        <v>70</v>
      </c>
      <c r="G133">
        <v>1000</v>
      </c>
      <c r="H133">
        <v>-2</v>
      </c>
      <c r="I133">
        <v>1981</v>
      </c>
      <c r="J133" t="s">
        <v>26</v>
      </c>
      <c r="K133">
        <v>2447</v>
      </c>
      <c r="L133">
        <v>21.4</v>
      </c>
      <c r="M133">
        <v>12.7</v>
      </c>
      <c r="N133" s="4">
        <f t="shared" si="4"/>
        <v>3.594986E-2</v>
      </c>
      <c r="O133" s="4">
        <f t="shared" si="5"/>
        <v>0.45656322199999999</v>
      </c>
      <c r="P133">
        <v>75</v>
      </c>
      <c r="Q133">
        <v>4.5999999999999996</v>
      </c>
      <c r="R133">
        <v>4</v>
      </c>
      <c r="S133">
        <v>3</v>
      </c>
      <c r="T133">
        <v>3</v>
      </c>
      <c r="U133">
        <v>3</v>
      </c>
      <c r="V133" t="s">
        <v>27</v>
      </c>
    </row>
    <row r="134" spans="1:22" x14ac:dyDescent="0.25">
      <c r="A134" t="s">
        <v>51</v>
      </c>
      <c r="B134">
        <v>3</v>
      </c>
      <c r="C134" t="s">
        <v>52</v>
      </c>
      <c r="D134" t="s">
        <v>53</v>
      </c>
      <c r="E134" t="s">
        <v>54</v>
      </c>
      <c r="F134">
        <v>70</v>
      </c>
      <c r="G134">
        <v>1000</v>
      </c>
      <c r="H134">
        <v>-2</v>
      </c>
      <c r="I134">
        <v>1981</v>
      </c>
      <c r="J134" t="s">
        <v>60</v>
      </c>
      <c r="K134">
        <v>1595</v>
      </c>
      <c r="L134">
        <v>7.8</v>
      </c>
      <c r="M134">
        <v>5.3</v>
      </c>
      <c r="N134" s="4">
        <f t="shared" si="4"/>
        <v>4.7759400000000002E-3</v>
      </c>
      <c r="O134" s="4">
        <f t="shared" si="5"/>
        <v>2.5312482000000001E-2</v>
      </c>
      <c r="P134">
        <v>50</v>
      </c>
      <c r="Q134">
        <v>1</v>
      </c>
      <c r="R134">
        <v>1.5</v>
      </c>
      <c r="S134">
        <v>4</v>
      </c>
      <c r="T134">
        <v>4</v>
      </c>
      <c r="U134">
        <v>4</v>
      </c>
      <c r="V134" t="s">
        <v>50</v>
      </c>
    </row>
    <row r="135" spans="1:22" x14ac:dyDescent="0.25">
      <c r="A135" t="s">
        <v>51</v>
      </c>
      <c r="B135">
        <v>3</v>
      </c>
      <c r="C135" t="s">
        <v>52</v>
      </c>
      <c r="D135" t="s">
        <v>53</v>
      </c>
      <c r="E135" t="s">
        <v>54</v>
      </c>
      <c r="F135">
        <v>70</v>
      </c>
      <c r="G135">
        <v>1000</v>
      </c>
      <c r="H135">
        <v>-2</v>
      </c>
      <c r="I135">
        <v>1981</v>
      </c>
      <c r="J135" t="s">
        <v>61</v>
      </c>
      <c r="K135">
        <v>1171</v>
      </c>
      <c r="L135">
        <v>13.1</v>
      </c>
      <c r="M135">
        <v>10.1</v>
      </c>
      <c r="N135" s="4">
        <f t="shared" si="4"/>
        <v>1.3471385000000002E-2</v>
      </c>
      <c r="O135" s="4">
        <f t="shared" si="5"/>
        <v>0.13606098850000001</v>
      </c>
      <c r="P135">
        <v>100</v>
      </c>
      <c r="Q135">
        <v>2</v>
      </c>
      <c r="R135">
        <v>2</v>
      </c>
      <c r="S135">
        <v>2</v>
      </c>
      <c r="T135">
        <v>2</v>
      </c>
      <c r="U135">
        <v>2</v>
      </c>
      <c r="V135" t="s">
        <v>30</v>
      </c>
    </row>
    <row r="136" spans="1:22" x14ac:dyDescent="0.25">
      <c r="A136" t="s">
        <v>51</v>
      </c>
      <c r="B136">
        <v>3</v>
      </c>
      <c r="C136" t="s">
        <v>52</v>
      </c>
      <c r="D136" t="s">
        <v>53</v>
      </c>
      <c r="E136" t="s">
        <v>54</v>
      </c>
      <c r="F136">
        <v>70</v>
      </c>
      <c r="G136">
        <v>1000</v>
      </c>
      <c r="H136">
        <v>-2</v>
      </c>
      <c r="I136">
        <v>1981</v>
      </c>
      <c r="J136" t="s">
        <v>32</v>
      </c>
      <c r="K136">
        <v>1596</v>
      </c>
      <c r="L136">
        <v>15.1</v>
      </c>
      <c r="M136">
        <v>12.3</v>
      </c>
      <c r="N136" s="4">
        <f t="shared" si="4"/>
        <v>1.7898785E-2</v>
      </c>
      <c r="O136" s="4">
        <f t="shared" si="5"/>
        <v>0.22015505550000003</v>
      </c>
      <c r="P136">
        <v>88</v>
      </c>
      <c r="Q136">
        <v>3.5</v>
      </c>
      <c r="R136">
        <v>3</v>
      </c>
      <c r="S136">
        <v>3.3</v>
      </c>
      <c r="T136">
        <v>4</v>
      </c>
      <c r="U136">
        <v>4</v>
      </c>
      <c r="V136" t="s">
        <v>27</v>
      </c>
    </row>
    <row r="137" spans="1:22" x14ac:dyDescent="0.25">
      <c r="A137" t="s">
        <v>51</v>
      </c>
      <c r="B137">
        <v>3</v>
      </c>
      <c r="C137" t="s">
        <v>52</v>
      </c>
      <c r="D137" t="s">
        <v>53</v>
      </c>
      <c r="E137" t="s">
        <v>54</v>
      </c>
      <c r="F137">
        <v>70</v>
      </c>
      <c r="G137">
        <v>1000</v>
      </c>
      <c r="H137">
        <v>-2</v>
      </c>
      <c r="I137">
        <v>1981</v>
      </c>
      <c r="J137" t="s">
        <v>34</v>
      </c>
      <c r="K137">
        <v>1337</v>
      </c>
      <c r="L137">
        <v>24.5</v>
      </c>
      <c r="M137">
        <v>13.5</v>
      </c>
      <c r="N137" s="4">
        <f t="shared" si="4"/>
        <v>4.7119624999999998E-2</v>
      </c>
      <c r="O137" s="4">
        <f t="shared" si="5"/>
        <v>0.63611493749999992</v>
      </c>
      <c r="P137">
        <v>75</v>
      </c>
      <c r="Q137">
        <v>5</v>
      </c>
      <c r="R137">
        <v>3</v>
      </c>
      <c r="S137">
        <v>4</v>
      </c>
      <c r="T137">
        <v>4</v>
      </c>
      <c r="U137">
        <v>2.5</v>
      </c>
      <c r="V137" t="s">
        <v>27</v>
      </c>
    </row>
    <row r="138" spans="1:22" x14ac:dyDescent="0.25">
      <c r="A138" t="s">
        <v>51</v>
      </c>
      <c r="B138">
        <v>3</v>
      </c>
      <c r="C138" t="s">
        <v>52</v>
      </c>
      <c r="D138" t="s">
        <v>53</v>
      </c>
      <c r="E138" t="s">
        <v>54</v>
      </c>
      <c r="F138">
        <v>70</v>
      </c>
      <c r="G138">
        <v>1000</v>
      </c>
      <c r="H138">
        <v>-2</v>
      </c>
      <c r="I138">
        <v>1981</v>
      </c>
      <c r="J138" t="s">
        <v>34</v>
      </c>
      <c r="K138">
        <v>2459</v>
      </c>
      <c r="L138">
        <v>23.7</v>
      </c>
      <c r="M138">
        <v>13.3</v>
      </c>
      <c r="N138" s="4">
        <f t="shared" si="4"/>
        <v>4.4092664999999996E-2</v>
      </c>
      <c r="O138" s="4">
        <f t="shared" si="5"/>
        <v>0.58643244449999998</v>
      </c>
      <c r="P138">
        <v>88</v>
      </c>
      <c r="Q138">
        <v>5</v>
      </c>
      <c r="R138">
        <v>3</v>
      </c>
      <c r="S138">
        <v>3.5</v>
      </c>
      <c r="T138">
        <v>3.5</v>
      </c>
      <c r="U138">
        <v>2.5</v>
      </c>
      <c r="V138" t="s">
        <v>27</v>
      </c>
    </row>
    <row r="139" spans="1:22" x14ac:dyDescent="0.25">
      <c r="A139" t="s">
        <v>51</v>
      </c>
      <c r="B139">
        <v>3</v>
      </c>
      <c r="C139" t="s">
        <v>52</v>
      </c>
      <c r="D139" t="s">
        <v>53</v>
      </c>
      <c r="E139" t="s">
        <v>54</v>
      </c>
      <c r="F139">
        <v>70</v>
      </c>
      <c r="G139">
        <v>1000</v>
      </c>
      <c r="H139">
        <v>-2</v>
      </c>
      <c r="I139">
        <v>1981</v>
      </c>
      <c r="J139" t="s">
        <v>35</v>
      </c>
      <c r="K139">
        <v>1785</v>
      </c>
      <c r="L139">
        <v>10.5</v>
      </c>
      <c r="M139">
        <v>7.6</v>
      </c>
      <c r="N139" s="4">
        <f t="shared" si="4"/>
        <v>8.6546249999999991E-3</v>
      </c>
      <c r="O139" s="4">
        <f t="shared" si="5"/>
        <v>6.5775149999999991E-2</v>
      </c>
      <c r="P139">
        <v>88</v>
      </c>
      <c r="Q139">
        <v>2.2999999999999998</v>
      </c>
      <c r="R139">
        <v>2</v>
      </c>
      <c r="S139">
        <v>3</v>
      </c>
      <c r="T139">
        <v>3.5</v>
      </c>
      <c r="U139">
        <v>3</v>
      </c>
      <c r="V139" t="s">
        <v>30</v>
      </c>
    </row>
    <row r="140" spans="1:22" x14ac:dyDescent="0.25">
      <c r="A140" t="s">
        <v>51</v>
      </c>
      <c r="B140">
        <v>3</v>
      </c>
      <c r="C140" t="s">
        <v>52</v>
      </c>
      <c r="D140" t="s">
        <v>53</v>
      </c>
      <c r="E140" t="s">
        <v>54</v>
      </c>
      <c r="F140">
        <v>70</v>
      </c>
      <c r="G140">
        <v>1000</v>
      </c>
      <c r="H140">
        <v>-2</v>
      </c>
      <c r="I140">
        <v>1981</v>
      </c>
      <c r="J140" t="s">
        <v>36</v>
      </c>
      <c r="K140">
        <v>1598</v>
      </c>
      <c r="L140">
        <v>14</v>
      </c>
      <c r="M140">
        <v>10.3</v>
      </c>
      <c r="N140" s="4">
        <f t="shared" si="4"/>
        <v>1.5386000000000002E-2</v>
      </c>
      <c r="O140" s="4">
        <f t="shared" si="5"/>
        <v>0.15847580000000003</v>
      </c>
      <c r="P140">
        <v>100</v>
      </c>
      <c r="Q140">
        <v>3.5</v>
      </c>
      <c r="R140">
        <v>4</v>
      </c>
      <c r="S140">
        <v>2</v>
      </c>
      <c r="T140">
        <v>3</v>
      </c>
      <c r="U140">
        <v>2</v>
      </c>
      <c r="V140" t="s">
        <v>38</v>
      </c>
    </row>
    <row r="141" spans="1:22" x14ac:dyDescent="0.25">
      <c r="A141" t="s">
        <v>51</v>
      </c>
      <c r="B141">
        <v>3</v>
      </c>
      <c r="C141" t="s">
        <v>52</v>
      </c>
      <c r="D141" t="s">
        <v>53</v>
      </c>
      <c r="E141" t="s">
        <v>54</v>
      </c>
      <c r="F141">
        <v>70</v>
      </c>
      <c r="G141">
        <v>1000</v>
      </c>
      <c r="H141">
        <v>-2</v>
      </c>
      <c r="I141">
        <v>1981</v>
      </c>
      <c r="J141" t="s">
        <v>62</v>
      </c>
      <c r="K141">
        <v>1787</v>
      </c>
      <c r="L141">
        <v>21.8</v>
      </c>
      <c r="M141">
        <v>13.8</v>
      </c>
      <c r="N141" s="4">
        <f t="shared" si="4"/>
        <v>3.730634E-2</v>
      </c>
      <c r="O141" s="4">
        <f t="shared" si="5"/>
        <v>0.514827492</v>
      </c>
      <c r="P141">
        <v>100</v>
      </c>
      <c r="Q141">
        <v>5</v>
      </c>
      <c r="R141">
        <v>3</v>
      </c>
      <c r="S141">
        <v>3</v>
      </c>
      <c r="T141">
        <v>3</v>
      </c>
      <c r="U141">
        <v>2</v>
      </c>
      <c r="V141" t="s">
        <v>27</v>
      </c>
    </row>
    <row r="142" spans="1:22" x14ac:dyDescent="0.25">
      <c r="A142" t="s">
        <v>51</v>
      </c>
      <c r="B142">
        <v>3</v>
      </c>
      <c r="C142" t="s">
        <v>52</v>
      </c>
      <c r="D142" t="s">
        <v>53</v>
      </c>
      <c r="E142" t="s">
        <v>54</v>
      </c>
      <c r="F142">
        <v>70</v>
      </c>
      <c r="G142">
        <v>1000</v>
      </c>
      <c r="H142">
        <v>-2</v>
      </c>
      <c r="I142">
        <v>1981</v>
      </c>
      <c r="J142" t="s">
        <v>62</v>
      </c>
      <c r="K142">
        <v>2482</v>
      </c>
      <c r="L142">
        <v>16.399999999999999</v>
      </c>
      <c r="M142">
        <v>12.1</v>
      </c>
      <c r="N142" s="4">
        <f t="shared" si="4"/>
        <v>2.1113359999999994E-2</v>
      </c>
      <c r="O142" s="4">
        <f t="shared" si="5"/>
        <v>0.25547165599999994</v>
      </c>
      <c r="P142">
        <v>88</v>
      </c>
      <c r="Q142">
        <v>4.8</v>
      </c>
      <c r="R142">
        <v>3</v>
      </c>
      <c r="S142">
        <v>3.3</v>
      </c>
      <c r="T142">
        <v>3.5</v>
      </c>
      <c r="U142">
        <v>2</v>
      </c>
      <c r="V142" t="s">
        <v>27</v>
      </c>
    </row>
    <row r="143" spans="1:22" x14ac:dyDescent="0.25">
      <c r="A143" t="s">
        <v>51</v>
      </c>
      <c r="B143">
        <v>3</v>
      </c>
      <c r="C143" t="s">
        <v>52</v>
      </c>
      <c r="D143" t="s">
        <v>53</v>
      </c>
      <c r="E143" t="s">
        <v>54</v>
      </c>
      <c r="F143">
        <v>70</v>
      </c>
      <c r="G143">
        <v>1000</v>
      </c>
      <c r="H143">
        <v>-2</v>
      </c>
      <c r="I143">
        <v>1981</v>
      </c>
      <c r="J143" t="s">
        <v>62</v>
      </c>
      <c r="K143">
        <v>2431</v>
      </c>
      <c r="L143">
        <v>17.600000000000001</v>
      </c>
      <c r="M143">
        <v>12.4</v>
      </c>
      <c r="N143" s="4">
        <f t="shared" si="4"/>
        <v>2.4316160000000007E-2</v>
      </c>
      <c r="O143" s="4">
        <f t="shared" si="5"/>
        <v>0.30152038400000009</v>
      </c>
      <c r="P143">
        <v>100</v>
      </c>
      <c r="Q143">
        <v>3.5</v>
      </c>
      <c r="R143">
        <v>3.3</v>
      </c>
      <c r="S143">
        <v>3</v>
      </c>
      <c r="T143">
        <v>3</v>
      </c>
      <c r="U143">
        <v>2</v>
      </c>
      <c r="V143" t="s">
        <v>25</v>
      </c>
    </row>
    <row r="144" spans="1:22" x14ac:dyDescent="0.25">
      <c r="A144" t="s">
        <v>51</v>
      </c>
      <c r="B144">
        <v>3</v>
      </c>
      <c r="C144" t="s">
        <v>52</v>
      </c>
      <c r="D144" t="s">
        <v>53</v>
      </c>
      <c r="E144" t="s">
        <v>54</v>
      </c>
      <c r="F144">
        <v>70</v>
      </c>
      <c r="G144">
        <v>1000</v>
      </c>
      <c r="H144">
        <v>-2</v>
      </c>
      <c r="I144">
        <v>1981</v>
      </c>
      <c r="J144" t="s">
        <v>64</v>
      </c>
      <c r="K144">
        <v>1192</v>
      </c>
      <c r="L144">
        <v>12.2</v>
      </c>
      <c r="M144">
        <v>4.4000000000000004</v>
      </c>
      <c r="N144" s="4">
        <f t="shared" si="4"/>
        <v>1.168394E-2</v>
      </c>
      <c r="O144" s="4">
        <f t="shared" si="5"/>
        <v>5.1409336000000007E-2</v>
      </c>
      <c r="P144">
        <v>75</v>
      </c>
      <c r="Q144">
        <v>3</v>
      </c>
      <c r="R144">
        <v>2</v>
      </c>
      <c r="S144">
        <v>3</v>
      </c>
      <c r="T144">
        <v>2.5</v>
      </c>
      <c r="U144">
        <v>2.5</v>
      </c>
      <c r="V144" t="s">
        <v>30</v>
      </c>
    </row>
    <row r="145" spans="1:22" x14ac:dyDescent="0.25">
      <c r="A145" t="s">
        <v>51</v>
      </c>
      <c r="B145">
        <v>3</v>
      </c>
      <c r="C145" t="s">
        <v>52</v>
      </c>
      <c r="D145" t="s">
        <v>53</v>
      </c>
      <c r="E145" t="s">
        <v>54</v>
      </c>
      <c r="F145">
        <v>70</v>
      </c>
      <c r="G145">
        <v>1000</v>
      </c>
      <c r="H145">
        <v>-2</v>
      </c>
      <c r="I145">
        <v>1981</v>
      </c>
      <c r="J145" t="s">
        <v>37</v>
      </c>
      <c r="K145">
        <v>1524</v>
      </c>
      <c r="L145">
        <v>9</v>
      </c>
      <c r="M145">
        <v>6.8</v>
      </c>
      <c r="N145" s="4">
        <f t="shared" si="4"/>
        <v>6.3584999999999996E-3</v>
      </c>
      <c r="O145" s="4">
        <f t="shared" si="5"/>
        <v>4.3237799999999993E-2</v>
      </c>
      <c r="P145">
        <v>100</v>
      </c>
      <c r="Q145">
        <v>2</v>
      </c>
      <c r="R145">
        <v>1.5</v>
      </c>
      <c r="S145">
        <v>2</v>
      </c>
      <c r="T145">
        <v>4</v>
      </c>
      <c r="U145">
        <v>3.5</v>
      </c>
      <c r="V145" t="s">
        <v>50</v>
      </c>
    </row>
    <row r="146" spans="1:22" x14ac:dyDescent="0.25">
      <c r="A146" t="s">
        <v>51</v>
      </c>
      <c r="B146">
        <v>3</v>
      </c>
      <c r="C146" t="s">
        <v>52</v>
      </c>
      <c r="D146" t="s">
        <v>53</v>
      </c>
      <c r="E146" t="s">
        <v>54</v>
      </c>
      <c r="F146">
        <v>70</v>
      </c>
      <c r="G146">
        <v>1000</v>
      </c>
      <c r="H146">
        <v>-2</v>
      </c>
      <c r="I146">
        <v>1981</v>
      </c>
      <c r="J146" t="s">
        <v>39</v>
      </c>
      <c r="K146">
        <v>2435</v>
      </c>
      <c r="L146">
        <v>20.3</v>
      </c>
      <c r="M146">
        <v>13.6</v>
      </c>
      <c r="N146" s="4">
        <f t="shared" si="4"/>
        <v>3.2349065000000003E-2</v>
      </c>
      <c r="O146" s="4">
        <f t="shared" si="5"/>
        <v>0.43994728400000005</v>
      </c>
      <c r="P146">
        <v>63</v>
      </c>
      <c r="Q146">
        <v>4</v>
      </c>
      <c r="R146">
        <v>2.7</v>
      </c>
      <c r="S146">
        <v>3</v>
      </c>
      <c r="T146">
        <v>2.5</v>
      </c>
      <c r="U146">
        <v>2</v>
      </c>
      <c r="V146" t="s">
        <v>25</v>
      </c>
    </row>
    <row r="147" spans="1:22" x14ac:dyDescent="0.25">
      <c r="A147" t="s">
        <v>51</v>
      </c>
      <c r="B147">
        <v>3</v>
      </c>
      <c r="C147" t="s">
        <v>52</v>
      </c>
      <c r="D147" t="s">
        <v>53</v>
      </c>
      <c r="E147" t="s">
        <v>54</v>
      </c>
      <c r="F147">
        <v>70</v>
      </c>
      <c r="G147">
        <v>1000</v>
      </c>
      <c r="H147">
        <v>-2</v>
      </c>
      <c r="I147">
        <v>1981</v>
      </c>
      <c r="J147" t="s">
        <v>63</v>
      </c>
      <c r="K147">
        <v>1340</v>
      </c>
      <c r="L147">
        <v>8.8000000000000007</v>
      </c>
      <c r="M147">
        <v>6.3</v>
      </c>
      <c r="N147" s="4">
        <f t="shared" si="4"/>
        <v>6.0790400000000017E-3</v>
      </c>
      <c r="O147" s="4">
        <f t="shared" si="5"/>
        <v>3.829795200000001E-2</v>
      </c>
      <c r="P147">
        <v>100</v>
      </c>
      <c r="Q147">
        <v>2</v>
      </c>
      <c r="R147">
        <v>2</v>
      </c>
      <c r="S147">
        <v>1</v>
      </c>
      <c r="T147">
        <v>2</v>
      </c>
      <c r="U147">
        <v>2</v>
      </c>
      <c r="V147" t="s">
        <v>50</v>
      </c>
    </row>
    <row r="148" spans="1:22" x14ac:dyDescent="0.25">
      <c r="A148" t="s">
        <v>65</v>
      </c>
      <c r="B148">
        <v>1</v>
      </c>
      <c r="C148" t="s">
        <v>66</v>
      </c>
      <c r="D148" t="s">
        <v>67</v>
      </c>
      <c r="E148" t="s">
        <v>68</v>
      </c>
      <c r="F148">
        <v>180</v>
      </c>
      <c r="G148">
        <v>1080</v>
      </c>
      <c r="H148">
        <v>-3</v>
      </c>
      <c r="I148">
        <v>1981</v>
      </c>
      <c r="J148" t="s">
        <v>55</v>
      </c>
      <c r="K148">
        <v>1094</v>
      </c>
      <c r="L148">
        <v>2.86</v>
      </c>
      <c r="M148">
        <v>3.2</v>
      </c>
      <c r="N148" s="4">
        <f t="shared" si="4"/>
        <v>6.4209860000000011E-4</v>
      </c>
      <c r="O148" s="4">
        <f t="shared" si="5"/>
        <v>2.0547155200000005E-3</v>
      </c>
      <c r="P148">
        <v>25</v>
      </c>
      <c r="Q148">
        <v>2</v>
      </c>
      <c r="R148">
        <v>2</v>
      </c>
      <c r="S148">
        <v>2</v>
      </c>
      <c r="T148">
        <v>2</v>
      </c>
      <c r="U148">
        <v>2</v>
      </c>
      <c r="V148" t="s">
        <v>50</v>
      </c>
    </row>
    <row r="149" spans="1:22" x14ac:dyDescent="0.25">
      <c r="A149" t="s">
        <v>65</v>
      </c>
      <c r="B149">
        <v>1</v>
      </c>
      <c r="C149" t="s">
        <v>66</v>
      </c>
      <c r="D149" t="s">
        <v>67</v>
      </c>
      <c r="E149" t="s">
        <v>68</v>
      </c>
      <c r="F149">
        <v>180</v>
      </c>
      <c r="G149">
        <v>1080</v>
      </c>
      <c r="H149">
        <v>-3</v>
      </c>
      <c r="I149">
        <v>1981</v>
      </c>
      <c r="J149" t="s">
        <v>56</v>
      </c>
      <c r="K149">
        <v>1111</v>
      </c>
      <c r="L149">
        <v>4.49</v>
      </c>
      <c r="M149">
        <v>4.1100000000000003</v>
      </c>
      <c r="N149" s="4">
        <f t="shared" si="4"/>
        <v>1.5825678500000003E-3</v>
      </c>
      <c r="O149" s="4">
        <f t="shared" si="5"/>
        <v>6.5043538635000016E-3</v>
      </c>
      <c r="P149">
        <v>44</v>
      </c>
      <c r="Q149">
        <v>2.5</v>
      </c>
      <c r="R149">
        <v>3</v>
      </c>
      <c r="S149">
        <v>3</v>
      </c>
      <c r="T149">
        <v>3</v>
      </c>
      <c r="U149">
        <v>3</v>
      </c>
      <c r="V149" t="s">
        <v>30</v>
      </c>
    </row>
    <row r="150" spans="1:22" x14ac:dyDescent="0.25">
      <c r="A150" t="s">
        <v>65</v>
      </c>
      <c r="B150">
        <v>1</v>
      </c>
      <c r="C150" t="s">
        <v>66</v>
      </c>
      <c r="D150" t="s">
        <v>67</v>
      </c>
      <c r="E150" t="s">
        <v>68</v>
      </c>
      <c r="F150">
        <v>180</v>
      </c>
      <c r="G150">
        <v>1080</v>
      </c>
      <c r="H150">
        <v>-3</v>
      </c>
      <c r="I150">
        <v>1981</v>
      </c>
      <c r="J150" t="s">
        <v>57</v>
      </c>
      <c r="K150">
        <v>1112</v>
      </c>
      <c r="L150">
        <v>9.89</v>
      </c>
      <c r="M150">
        <v>6.68</v>
      </c>
      <c r="N150" s="4">
        <f t="shared" si="4"/>
        <v>7.6782498500000008E-3</v>
      </c>
      <c r="O150" s="4">
        <f t="shared" si="5"/>
        <v>5.1290708998000006E-2</v>
      </c>
      <c r="P150">
        <v>100</v>
      </c>
      <c r="Q150">
        <v>3.5</v>
      </c>
      <c r="R150">
        <v>2</v>
      </c>
      <c r="S150">
        <v>3</v>
      </c>
      <c r="T150">
        <v>4</v>
      </c>
      <c r="U150">
        <v>3</v>
      </c>
      <c r="V150" t="s">
        <v>27</v>
      </c>
    </row>
    <row r="151" spans="1:22" x14ac:dyDescent="0.25">
      <c r="A151" t="s">
        <v>65</v>
      </c>
      <c r="B151">
        <v>1</v>
      </c>
      <c r="C151" t="s">
        <v>66</v>
      </c>
      <c r="D151" t="s">
        <v>67</v>
      </c>
      <c r="E151" t="s">
        <v>68</v>
      </c>
      <c r="F151">
        <v>180</v>
      </c>
      <c r="G151">
        <v>1080</v>
      </c>
      <c r="H151">
        <v>-3</v>
      </c>
      <c r="I151">
        <v>1981</v>
      </c>
      <c r="J151" t="s">
        <v>60</v>
      </c>
      <c r="K151">
        <v>1595</v>
      </c>
      <c r="L151">
        <v>5.34</v>
      </c>
      <c r="M151">
        <v>3.05</v>
      </c>
      <c r="N151" s="4">
        <f t="shared" si="4"/>
        <v>2.2384745999999996E-3</v>
      </c>
      <c r="O151" s="4">
        <f t="shared" si="5"/>
        <v>6.8273475299999989E-3</v>
      </c>
      <c r="P151">
        <v>75</v>
      </c>
      <c r="Q151">
        <v>2.7</v>
      </c>
      <c r="R151">
        <v>1</v>
      </c>
      <c r="S151">
        <v>3</v>
      </c>
      <c r="T151">
        <v>4</v>
      </c>
      <c r="U151">
        <v>4</v>
      </c>
      <c r="V151" t="s">
        <v>30</v>
      </c>
    </row>
    <row r="152" spans="1:22" x14ac:dyDescent="0.25">
      <c r="A152" t="s">
        <v>65</v>
      </c>
      <c r="B152">
        <v>1</v>
      </c>
      <c r="C152" t="s">
        <v>66</v>
      </c>
      <c r="D152" t="s">
        <v>67</v>
      </c>
      <c r="E152" t="s">
        <v>68</v>
      </c>
      <c r="F152">
        <v>180</v>
      </c>
      <c r="G152">
        <v>1080</v>
      </c>
      <c r="H152">
        <v>-3</v>
      </c>
      <c r="I152">
        <v>1981</v>
      </c>
      <c r="J152" t="s">
        <v>26</v>
      </c>
      <c r="K152">
        <v>1339</v>
      </c>
      <c r="L152">
        <v>3.28</v>
      </c>
      <c r="M152">
        <v>4.07</v>
      </c>
      <c r="N152" s="4">
        <f t="shared" si="4"/>
        <v>8.4453439999999989E-4</v>
      </c>
      <c r="O152" s="4">
        <f t="shared" si="5"/>
        <v>3.4372550079999997E-3</v>
      </c>
      <c r="P152">
        <v>75</v>
      </c>
      <c r="Q152">
        <v>2</v>
      </c>
      <c r="R152">
        <v>3</v>
      </c>
      <c r="S152">
        <v>3</v>
      </c>
      <c r="T152">
        <v>3</v>
      </c>
      <c r="U152">
        <v>3</v>
      </c>
      <c r="V152" t="s">
        <v>30</v>
      </c>
    </row>
    <row r="153" spans="1:22" x14ac:dyDescent="0.25">
      <c r="A153" t="s">
        <v>65</v>
      </c>
      <c r="B153">
        <v>1</v>
      </c>
      <c r="C153" t="s">
        <v>66</v>
      </c>
      <c r="D153" t="s">
        <v>67</v>
      </c>
      <c r="E153" t="s">
        <v>68</v>
      </c>
      <c r="F153">
        <v>180</v>
      </c>
      <c r="G153">
        <v>1080</v>
      </c>
      <c r="H153">
        <v>-3</v>
      </c>
      <c r="I153">
        <v>1981</v>
      </c>
      <c r="J153" t="s">
        <v>26</v>
      </c>
      <c r="K153">
        <v>2447</v>
      </c>
      <c r="L153">
        <v>7.62</v>
      </c>
      <c r="M153">
        <v>5.39</v>
      </c>
      <c r="N153" s="4">
        <f t="shared" si="4"/>
        <v>4.5580554000000002E-3</v>
      </c>
      <c r="O153" s="4">
        <f t="shared" si="5"/>
        <v>2.4567918606000001E-2</v>
      </c>
      <c r="P153">
        <v>100</v>
      </c>
      <c r="Q153">
        <v>3</v>
      </c>
      <c r="R153">
        <v>3</v>
      </c>
      <c r="S153">
        <v>3</v>
      </c>
      <c r="T153">
        <v>3.5</v>
      </c>
      <c r="U153">
        <v>3</v>
      </c>
      <c r="V153" t="s">
        <v>25</v>
      </c>
    </row>
    <row r="154" spans="1:22" x14ac:dyDescent="0.25">
      <c r="A154" t="s">
        <v>65</v>
      </c>
      <c r="B154">
        <v>1</v>
      </c>
      <c r="C154" t="s">
        <v>66</v>
      </c>
      <c r="D154" t="s">
        <v>67</v>
      </c>
      <c r="E154" t="s">
        <v>68</v>
      </c>
      <c r="F154">
        <v>180</v>
      </c>
      <c r="G154">
        <v>1080</v>
      </c>
      <c r="H154">
        <v>-3</v>
      </c>
      <c r="I154">
        <v>1981</v>
      </c>
      <c r="J154" t="s">
        <v>26</v>
      </c>
      <c r="K154">
        <v>1786</v>
      </c>
      <c r="L154">
        <v>6.05</v>
      </c>
      <c r="M154">
        <v>5.39</v>
      </c>
      <c r="N154" s="4">
        <f t="shared" si="4"/>
        <v>2.8732962499999999E-3</v>
      </c>
      <c r="O154" s="4">
        <f t="shared" si="5"/>
        <v>1.5487066787499998E-2</v>
      </c>
      <c r="P154">
        <v>88</v>
      </c>
      <c r="Q154">
        <v>4</v>
      </c>
      <c r="R154">
        <v>4</v>
      </c>
      <c r="S154">
        <v>3.5</v>
      </c>
      <c r="T154">
        <v>3.5</v>
      </c>
      <c r="U154">
        <v>3.5</v>
      </c>
      <c r="V154" t="s">
        <v>25</v>
      </c>
    </row>
    <row r="155" spans="1:22" x14ac:dyDescent="0.25">
      <c r="A155" t="s">
        <v>65</v>
      </c>
      <c r="B155">
        <v>1</v>
      </c>
      <c r="C155" t="s">
        <v>66</v>
      </c>
      <c r="D155" t="s">
        <v>67</v>
      </c>
      <c r="E155" t="s">
        <v>68</v>
      </c>
      <c r="F155">
        <v>180</v>
      </c>
      <c r="G155">
        <v>1080</v>
      </c>
      <c r="H155">
        <v>-3</v>
      </c>
      <c r="I155">
        <v>1981</v>
      </c>
      <c r="J155" t="s">
        <v>32</v>
      </c>
      <c r="K155">
        <v>1596</v>
      </c>
      <c r="L155">
        <v>6.38</v>
      </c>
      <c r="M155">
        <v>5.07</v>
      </c>
      <c r="N155" s="4">
        <f t="shared" si="4"/>
        <v>3.1952954E-3</v>
      </c>
      <c r="O155" s="4">
        <f t="shared" si="5"/>
        <v>1.6200147678000001E-2</v>
      </c>
      <c r="P155">
        <v>88</v>
      </c>
      <c r="Q155">
        <v>3</v>
      </c>
      <c r="R155">
        <v>4</v>
      </c>
      <c r="S155">
        <v>3.5</v>
      </c>
      <c r="T155">
        <v>4</v>
      </c>
      <c r="U155">
        <v>4</v>
      </c>
      <c r="V155" t="s">
        <v>27</v>
      </c>
    </row>
    <row r="156" spans="1:22" x14ac:dyDescent="0.25">
      <c r="A156" t="s">
        <v>65</v>
      </c>
      <c r="B156">
        <v>1</v>
      </c>
      <c r="C156" t="s">
        <v>66</v>
      </c>
      <c r="D156" t="s">
        <v>67</v>
      </c>
      <c r="E156" t="s">
        <v>68</v>
      </c>
      <c r="F156">
        <v>180</v>
      </c>
      <c r="G156">
        <v>1080</v>
      </c>
      <c r="H156">
        <v>-3</v>
      </c>
      <c r="I156">
        <v>1981</v>
      </c>
      <c r="J156" t="s">
        <v>61</v>
      </c>
      <c r="K156">
        <v>1171</v>
      </c>
      <c r="L156">
        <v>6.16</v>
      </c>
      <c r="M156">
        <v>4.3</v>
      </c>
      <c r="N156" s="4">
        <f t="shared" si="4"/>
        <v>2.9787296000000005E-3</v>
      </c>
      <c r="O156" s="4">
        <f t="shared" si="5"/>
        <v>1.2808537280000001E-2</v>
      </c>
      <c r="P156">
        <v>40</v>
      </c>
      <c r="Q156">
        <v>3</v>
      </c>
      <c r="R156">
        <v>2</v>
      </c>
      <c r="S156">
        <v>1</v>
      </c>
      <c r="T156">
        <v>1</v>
      </c>
      <c r="U156">
        <v>1</v>
      </c>
      <c r="V156" t="s">
        <v>30</v>
      </c>
    </row>
    <row r="157" spans="1:22" x14ac:dyDescent="0.25">
      <c r="A157" t="s">
        <v>65</v>
      </c>
      <c r="B157">
        <v>1</v>
      </c>
      <c r="C157" t="s">
        <v>66</v>
      </c>
      <c r="D157" t="s">
        <v>67</v>
      </c>
      <c r="E157" t="s">
        <v>68</v>
      </c>
      <c r="F157">
        <v>180</v>
      </c>
      <c r="G157">
        <v>1080</v>
      </c>
      <c r="H157">
        <v>-3</v>
      </c>
      <c r="I157">
        <v>1981</v>
      </c>
      <c r="J157" t="s">
        <v>34</v>
      </c>
      <c r="K157">
        <v>2469</v>
      </c>
      <c r="L157">
        <v>19.920000000000002</v>
      </c>
      <c r="M157">
        <v>7.37</v>
      </c>
      <c r="N157" s="4">
        <f t="shared" si="4"/>
        <v>3.1149302400000002E-2</v>
      </c>
      <c r="O157" s="4">
        <f t="shared" si="5"/>
        <v>0.22957035868800002</v>
      </c>
      <c r="P157">
        <v>13</v>
      </c>
      <c r="Q157">
        <v>2</v>
      </c>
      <c r="R157">
        <v>2.5</v>
      </c>
      <c r="S157">
        <v>3</v>
      </c>
      <c r="T157">
        <v>3</v>
      </c>
      <c r="U157">
        <v>3</v>
      </c>
      <c r="V157" t="s">
        <v>30</v>
      </c>
    </row>
    <row r="158" spans="1:22" x14ac:dyDescent="0.25">
      <c r="A158" t="s">
        <v>65</v>
      </c>
      <c r="B158">
        <v>1</v>
      </c>
      <c r="C158" t="s">
        <v>66</v>
      </c>
      <c r="D158" t="s">
        <v>67</v>
      </c>
      <c r="E158" t="s">
        <v>68</v>
      </c>
      <c r="F158">
        <v>180</v>
      </c>
      <c r="G158">
        <v>1080</v>
      </c>
      <c r="H158">
        <v>-3</v>
      </c>
      <c r="I158">
        <v>1981</v>
      </c>
      <c r="J158" t="s">
        <v>35</v>
      </c>
      <c r="K158">
        <v>1785</v>
      </c>
      <c r="L158">
        <v>3.91</v>
      </c>
      <c r="M158">
        <v>3.91</v>
      </c>
      <c r="N158" s="4">
        <f t="shared" si="4"/>
        <v>1.2001158500000002E-3</v>
      </c>
      <c r="O158" s="4">
        <f t="shared" si="5"/>
        <v>4.6924529735000008E-3</v>
      </c>
      <c r="P158">
        <v>63</v>
      </c>
      <c r="Q158">
        <v>2.5</v>
      </c>
      <c r="R158">
        <v>1.5</v>
      </c>
      <c r="S158">
        <v>3</v>
      </c>
      <c r="T158">
        <v>4</v>
      </c>
      <c r="U158">
        <v>3</v>
      </c>
      <c r="V158" t="s">
        <v>38</v>
      </c>
    </row>
    <row r="159" spans="1:22" x14ac:dyDescent="0.25">
      <c r="A159" t="s">
        <v>65</v>
      </c>
      <c r="B159">
        <v>1</v>
      </c>
      <c r="C159" t="s">
        <v>66</v>
      </c>
      <c r="D159" t="s">
        <v>67</v>
      </c>
      <c r="E159" t="s">
        <v>68</v>
      </c>
      <c r="F159">
        <v>180</v>
      </c>
      <c r="G159">
        <v>1080</v>
      </c>
      <c r="H159">
        <v>-3</v>
      </c>
      <c r="I159">
        <v>1981</v>
      </c>
      <c r="J159" t="s">
        <v>36</v>
      </c>
      <c r="K159">
        <v>1598</v>
      </c>
      <c r="L159">
        <v>10.75</v>
      </c>
      <c r="M159">
        <v>9.26</v>
      </c>
      <c r="N159" s="4">
        <f t="shared" si="4"/>
        <v>9.071656249999999E-3</v>
      </c>
      <c r="O159" s="4">
        <f t="shared" si="5"/>
        <v>8.4003536874999993E-2</v>
      </c>
      <c r="P159">
        <v>88</v>
      </c>
      <c r="Q159">
        <v>4</v>
      </c>
      <c r="R159">
        <v>4</v>
      </c>
      <c r="S159">
        <v>4</v>
      </c>
      <c r="T159">
        <v>4</v>
      </c>
      <c r="U159">
        <v>4</v>
      </c>
      <c r="V159" t="s">
        <v>27</v>
      </c>
    </row>
    <row r="160" spans="1:22" x14ac:dyDescent="0.25">
      <c r="A160" t="s">
        <v>65</v>
      </c>
      <c r="B160">
        <v>1</v>
      </c>
      <c r="C160" t="s">
        <v>66</v>
      </c>
      <c r="D160" t="s">
        <v>67</v>
      </c>
      <c r="E160" t="s">
        <v>68</v>
      </c>
      <c r="F160">
        <v>180</v>
      </c>
      <c r="G160">
        <v>1080</v>
      </c>
      <c r="H160">
        <v>-3</v>
      </c>
      <c r="I160">
        <v>1981</v>
      </c>
      <c r="J160" t="s">
        <v>62</v>
      </c>
      <c r="K160">
        <v>2428</v>
      </c>
      <c r="L160">
        <v>3.63</v>
      </c>
      <c r="M160">
        <v>5.0199999999999996</v>
      </c>
      <c r="N160" s="4">
        <f t="shared" si="4"/>
        <v>1.03438665E-3</v>
      </c>
      <c r="O160" s="4">
        <f t="shared" si="5"/>
        <v>5.1926209829999993E-3</v>
      </c>
      <c r="P160">
        <v>63</v>
      </c>
      <c r="Q160">
        <v>4</v>
      </c>
      <c r="R160">
        <v>3.5</v>
      </c>
      <c r="S160">
        <v>4</v>
      </c>
      <c r="T160">
        <v>4</v>
      </c>
      <c r="U160">
        <v>3.5</v>
      </c>
      <c r="V160" t="s">
        <v>25</v>
      </c>
    </row>
    <row r="161" spans="1:22" x14ac:dyDescent="0.25">
      <c r="A161" t="s">
        <v>65</v>
      </c>
      <c r="B161">
        <v>1</v>
      </c>
      <c r="C161" t="s">
        <v>66</v>
      </c>
      <c r="D161" t="s">
        <v>67</v>
      </c>
      <c r="E161" t="s">
        <v>68</v>
      </c>
      <c r="F161">
        <v>180</v>
      </c>
      <c r="G161">
        <v>1080</v>
      </c>
      <c r="H161">
        <v>-3</v>
      </c>
      <c r="I161">
        <v>1981</v>
      </c>
      <c r="J161" t="s">
        <v>62</v>
      </c>
      <c r="K161">
        <v>2431</v>
      </c>
      <c r="L161">
        <v>6.14</v>
      </c>
      <c r="M161">
        <v>5.86</v>
      </c>
      <c r="N161" s="4">
        <f t="shared" si="4"/>
        <v>2.9594185999999999E-3</v>
      </c>
      <c r="O161" s="4">
        <f t="shared" si="5"/>
        <v>1.7342192996000001E-2</v>
      </c>
      <c r="P161">
        <v>75</v>
      </c>
      <c r="Q161">
        <v>4</v>
      </c>
      <c r="R161">
        <v>3</v>
      </c>
      <c r="S161">
        <v>4</v>
      </c>
      <c r="T161">
        <v>4</v>
      </c>
      <c r="U161">
        <v>4</v>
      </c>
      <c r="V161" t="s">
        <v>27</v>
      </c>
    </row>
    <row r="162" spans="1:22" x14ac:dyDescent="0.25">
      <c r="A162" t="s">
        <v>65</v>
      </c>
      <c r="B162">
        <v>1</v>
      </c>
      <c r="C162" t="s">
        <v>66</v>
      </c>
      <c r="D162" t="s">
        <v>67</v>
      </c>
      <c r="E162" t="s">
        <v>68</v>
      </c>
      <c r="F162">
        <v>180</v>
      </c>
      <c r="G162">
        <v>1080</v>
      </c>
      <c r="H162">
        <v>-3</v>
      </c>
      <c r="I162">
        <v>1981</v>
      </c>
      <c r="J162" t="s">
        <v>62</v>
      </c>
      <c r="K162">
        <v>1787</v>
      </c>
      <c r="L162">
        <v>5.3</v>
      </c>
      <c r="M162">
        <v>4.88</v>
      </c>
      <c r="N162" s="4">
        <f t="shared" si="4"/>
        <v>2.205065E-3</v>
      </c>
      <c r="O162" s="4">
        <f t="shared" si="5"/>
        <v>1.07607172E-2</v>
      </c>
      <c r="P162">
        <v>38</v>
      </c>
      <c r="Q162">
        <v>3.5</v>
      </c>
      <c r="R162">
        <v>3</v>
      </c>
      <c r="S162">
        <v>4</v>
      </c>
      <c r="T162">
        <v>4</v>
      </c>
      <c r="U162">
        <v>4</v>
      </c>
      <c r="V162" t="s">
        <v>25</v>
      </c>
    </row>
    <row r="163" spans="1:22" x14ac:dyDescent="0.25">
      <c r="A163" t="s">
        <v>65</v>
      </c>
      <c r="B163">
        <v>1</v>
      </c>
      <c r="C163" t="s">
        <v>66</v>
      </c>
      <c r="D163" t="s">
        <v>67</v>
      </c>
      <c r="E163" t="s">
        <v>68</v>
      </c>
      <c r="F163">
        <v>180</v>
      </c>
      <c r="G163">
        <v>1080</v>
      </c>
      <c r="H163">
        <v>-3</v>
      </c>
      <c r="I163">
        <v>1981</v>
      </c>
      <c r="J163" t="s">
        <v>39</v>
      </c>
      <c r="K163">
        <v>2435</v>
      </c>
      <c r="L163">
        <v>14.93</v>
      </c>
      <c r="M163">
        <v>9.39</v>
      </c>
      <c r="N163" s="4">
        <f t="shared" si="4"/>
        <v>1.7498034649999997E-2</v>
      </c>
      <c r="O163" s="4">
        <f t="shared" si="5"/>
        <v>0.16430654536349998</v>
      </c>
      <c r="P163">
        <v>63</v>
      </c>
      <c r="Q163">
        <v>4</v>
      </c>
      <c r="R163">
        <v>3</v>
      </c>
      <c r="S163">
        <v>3</v>
      </c>
      <c r="T163">
        <v>2.5</v>
      </c>
      <c r="U163">
        <v>2.5</v>
      </c>
      <c r="V163" t="s">
        <v>25</v>
      </c>
    </row>
    <row r="164" spans="1:22" x14ac:dyDescent="0.25">
      <c r="A164" t="s">
        <v>65</v>
      </c>
      <c r="B164">
        <v>1</v>
      </c>
      <c r="C164" t="s">
        <v>66</v>
      </c>
      <c r="D164" t="s">
        <v>67</v>
      </c>
      <c r="E164" t="s">
        <v>68</v>
      </c>
      <c r="F164">
        <v>180</v>
      </c>
      <c r="G164">
        <v>1080</v>
      </c>
      <c r="H164">
        <v>-3</v>
      </c>
      <c r="I164">
        <v>1981</v>
      </c>
      <c r="J164" t="s">
        <v>37</v>
      </c>
      <c r="K164">
        <v>1524</v>
      </c>
      <c r="L164">
        <v>3.21</v>
      </c>
      <c r="M164">
        <v>3.72</v>
      </c>
      <c r="N164" s="4">
        <f t="shared" si="4"/>
        <v>8.0887184999999993E-4</v>
      </c>
      <c r="O164" s="4">
        <f t="shared" si="5"/>
        <v>3.0090032819999999E-3</v>
      </c>
      <c r="P164">
        <v>50</v>
      </c>
      <c r="Q164">
        <v>1.5</v>
      </c>
      <c r="R164">
        <v>2</v>
      </c>
      <c r="S164">
        <v>2</v>
      </c>
      <c r="T164">
        <v>4</v>
      </c>
      <c r="U164">
        <v>4</v>
      </c>
      <c r="V164" t="s">
        <v>30</v>
      </c>
    </row>
    <row r="165" spans="1:22" x14ac:dyDescent="0.25">
      <c r="A165" t="s">
        <v>65</v>
      </c>
      <c r="B165">
        <v>1</v>
      </c>
      <c r="C165" t="s">
        <v>66</v>
      </c>
      <c r="D165" t="s">
        <v>67</v>
      </c>
      <c r="E165" t="s">
        <v>68</v>
      </c>
      <c r="F165">
        <v>180</v>
      </c>
      <c r="G165">
        <v>1080</v>
      </c>
      <c r="H165">
        <v>-3</v>
      </c>
      <c r="I165">
        <v>1981</v>
      </c>
      <c r="J165" t="s">
        <v>63</v>
      </c>
      <c r="K165">
        <v>1340</v>
      </c>
      <c r="L165">
        <v>5.93</v>
      </c>
      <c r="M165">
        <v>6.48</v>
      </c>
      <c r="N165" s="4">
        <f t="shared" si="4"/>
        <v>2.7604446499999999E-3</v>
      </c>
      <c r="O165" s="4">
        <f t="shared" si="5"/>
        <v>1.7887681331999999E-2</v>
      </c>
      <c r="P165">
        <v>100</v>
      </c>
      <c r="Q165">
        <v>1.8</v>
      </c>
      <c r="R165">
        <v>1.8</v>
      </c>
      <c r="S165">
        <v>2</v>
      </c>
      <c r="T165">
        <v>2</v>
      </c>
      <c r="U165">
        <v>3</v>
      </c>
      <c r="V165" t="s">
        <v>30</v>
      </c>
    </row>
    <row r="166" spans="1:22" x14ac:dyDescent="0.25">
      <c r="A166" t="s">
        <v>65</v>
      </c>
      <c r="B166">
        <v>1</v>
      </c>
      <c r="C166" t="s">
        <v>66</v>
      </c>
      <c r="D166" t="s">
        <v>67</v>
      </c>
      <c r="E166" t="s">
        <v>68</v>
      </c>
      <c r="F166">
        <v>180</v>
      </c>
      <c r="G166">
        <v>1080</v>
      </c>
      <c r="H166">
        <v>-3</v>
      </c>
      <c r="I166">
        <v>1981</v>
      </c>
      <c r="J166" t="s">
        <v>69</v>
      </c>
      <c r="K166">
        <v>1780</v>
      </c>
      <c r="L166">
        <v>6.24</v>
      </c>
      <c r="M166">
        <v>4.8499999999999996</v>
      </c>
      <c r="N166" s="4">
        <f t="shared" si="4"/>
        <v>3.0566016000000006E-3</v>
      </c>
      <c r="O166" s="4">
        <f t="shared" si="5"/>
        <v>1.4824517760000001E-2</v>
      </c>
      <c r="P166">
        <v>25</v>
      </c>
      <c r="Q166">
        <v>2.5</v>
      </c>
      <c r="R166">
        <v>4</v>
      </c>
      <c r="S166">
        <v>3</v>
      </c>
      <c r="T166">
        <v>3</v>
      </c>
      <c r="U166">
        <v>3</v>
      </c>
      <c r="V166" t="s">
        <v>30</v>
      </c>
    </row>
    <row r="167" spans="1:22" x14ac:dyDescent="0.25">
      <c r="A167" t="s">
        <v>65</v>
      </c>
      <c r="B167">
        <v>2</v>
      </c>
      <c r="C167" t="s">
        <v>66</v>
      </c>
      <c r="D167" t="s">
        <v>67</v>
      </c>
      <c r="E167" t="s">
        <v>68</v>
      </c>
      <c r="F167">
        <v>180</v>
      </c>
      <c r="G167">
        <v>1080</v>
      </c>
      <c r="H167">
        <v>-3</v>
      </c>
      <c r="I167">
        <v>1981</v>
      </c>
      <c r="J167" t="s">
        <v>55</v>
      </c>
      <c r="K167">
        <v>1094</v>
      </c>
      <c r="L167">
        <v>1.03</v>
      </c>
      <c r="M167">
        <v>2.17</v>
      </c>
      <c r="N167" s="4">
        <f t="shared" si="4"/>
        <v>8.3280650000000007E-5</v>
      </c>
      <c r="O167" s="4">
        <f t="shared" si="5"/>
        <v>1.8071901050000001E-4</v>
      </c>
      <c r="P167">
        <v>13</v>
      </c>
      <c r="Q167">
        <v>2</v>
      </c>
      <c r="R167">
        <v>2</v>
      </c>
      <c r="S167">
        <v>2</v>
      </c>
      <c r="T167">
        <v>2</v>
      </c>
      <c r="U167">
        <v>2</v>
      </c>
      <c r="V167" t="s">
        <v>50</v>
      </c>
    </row>
    <row r="168" spans="1:22" x14ac:dyDescent="0.25">
      <c r="A168" t="s">
        <v>65</v>
      </c>
      <c r="B168">
        <v>2</v>
      </c>
      <c r="C168" t="s">
        <v>66</v>
      </c>
      <c r="D168" t="s">
        <v>67</v>
      </c>
      <c r="E168" t="s">
        <v>68</v>
      </c>
      <c r="F168">
        <v>180</v>
      </c>
      <c r="G168">
        <v>1080</v>
      </c>
      <c r="H168">
        <v>-3</v>
      </c>
      <c r="I168">
        <v>1981</v>
      </c>
      <c r="J168" t="s">
        <v>56</v>
      </c>
      <c r="K168">
        <v>1111</v>
      </c>
      <c r="L168">
        <v>6.29</v>
      </c>
      <c r="M168">
        <v>4.62</v>
      </c>
      <c r="N168" s="4">
        <f t="shared" si="4"/>
        <v>3.1057818499999998E-3</v>
      </c>
      <c r="O168" s="4">
        <f t="shared" si="5"/>
        <v>1.4348712147E-2</v>
      </c>
      <c r="P168">
        <v>100</v>
      </c>
      <c r="Q168">
        <v>3</v>
      </c>
      <c r="R168">
        <v>2.5</v>
      </c>
      <c r="S168">
        <v>2</v>
      </c>
      <c r="T168">
        <v>2</v>
      </c>
      <c r="U168">
        <v>2.5</v>
      </c>
      <c r="V168" t="s">
        <v>38</v>
      </c>
    </row>
    <row r="169" spans="1:22" x14ac:dyDescent="0.25">
      <c r="A169" t="s">
        <v>65</v>
      </c>
      <c r="B169">
        <v>2</v>
      </c>
      <c r="C169" t="s">
        <v>66</v>
      </c>
      <c r="D169" t="s">
        <v>67</v>
      </c>
      <c r="E169" t="s">
        <v>68</v>
      </c>
      <c r="F169">
        <v>180</v>
      </c>
      <c r="G169">
        <v>1080</v>
      </c>
      <c r="H169">
        <v>-3</v>
      </c>
      <c r="I169">
        <v>1981</v>
      </c>
      <c r="J169" t="s">
        <v>57</v>
      </c>
      <c r="K169">
        <v>1112</v>
      </c>
      <c r="L169">
        <v>11.43</v>
      </c>
      <c r="M169">
        <v>7.83</v>
      </c>
      <c r="N169" s="4">
        <f t="shared" si="4"/>
        <v>1.025562465E-2</v>
      </c>
      <c r="O169" s="4">
        <f t="shared" si="5"/>
        <v>8.0301541009500002E-2</v>
      </c>
      <c r="P169">
        <v>88</v>
      </c>
      <c r="Q169">
        <v>3</v>
      </c>
      <c r="R169">
        <v>2</v>
      </c>
      <c r="S169">
        <v>3.5</v>
      </c>
      <c r="T169">
        <v>4</v>
      </c>
      <c r="U169">
        <v>4</v>
      </c>
      <c r="V169" t="s">
        <v>27</v>
      </c>
    </row>
    <row r="170" spans="1:22" x14ac:dyDescent="0.25">
      <c r="A170" t="s">
        <v>65</v>
      </c>
      <c r="B170">
        <v>2</v>
      </c>
      <c r="C170" t="s">
        <v>66</v>
      </c>
      <c r="D170" t="s">
        <v>67</v>
      </c>
      <c r="E170" t="s">
        <v>68</v>
      </c>
      <c r="F170">
        <v>180</v>
      </c>
      <c r="G170">
        <v>1080</v>
      </c>
      <c r="H170">
        <v>-3</v>
      </c>
      <c r="I170">
        <v>1981</v>
      </c>
      <c r="J170" t="s">
        <v>57</v>
      </c>
      <c r="K170">
        <v>1113</v>
      </c>
      <c r="L170">
        <v>3.98</v>
      </c>
      <c r="M170">
        <v>3.98</v>
      </c>
      <c r="N170" s="4">
        <f t="shared" si="4"/>
        <v>1.2434714E-3</v>
      </c>
      <c r="O170" s="4">
        <f t="shared" si="5"/>
        <v>4.9490161719999998E-3</v>
      </c>
      <c r="P170">
        <v>75</v>
      </c>
      <c r="Q170">
        <v>3</v>
      </c>
      <c r="R170">
        <v>2</v>
      </c>
      <c r="S170">
        <v>3</v>
      </c>
      <c r="T170">
        <v>4</v>
      </c>
      <c r="U170">
        <v>3</v>
      </c>
      <c r="V170" t="s">
        <v>38</v>
      </c>
    </row>
    <row r="171" spans="1:22" x14ac:dyDescent="0.25">
      <c r="A171" t="s">
        <v>65</v>
      </c>
      <c r="B171">
        <v>2</v>
      </c>
      <c r="C171" t="s">
        <v>66</v>
      </c>
      <c r="D171" t="s">
        <v>67</v>
      </c>
      <c r="E171" t="s">
        <v>68</v>
      </c>
      <c r="F171">
        <v>180</v>
      </c>
      <c r="G171">
        <v>1080</v>
      </c>
      <c r="H171">
        <v>-3</v>
      </c>
      <c r="I171">
        <v>1981</v>
      </c>
      <c r="J171" t="s">
        <v>60</v>
      </c>
      <c r="K171">
        <v>1595</v>
      </c>
      <c r="L171">
        <v>2.8</v>
      </c>
      <c r="M171">
        <v>2.92</v>
      </c>
      <c r="N171" s="4">
        <f t="shared" si="4"/>
        <v>6.1543999999999987E-4</v>
      </c>
      <c r="O171" s="4">
        <f t="shared" si="5"/>
        <v>1.7970847999999996E-3</v>
      </c>
      <c r="P171">
        <v>75</v>
      </c>
      <c r="Q171">
        <v>2.5</v>
      </c>
      <c r="R171">
        <v>1.8</v>
      </c>
      <c r="S171">
        <v>3.2</v>
      </c>
      <c r="T171">
        <v>3.5</v>
      </c>
      <c r="U171">
        <v>3.5</v>
      </c>
      <c r="V171" t="s">
        <v>30</v>
      </c>
    </row>
    <row r="172" spans="1:22" x14ac:dyDescent="0.25">
      <c r="A172" t="s">
        <v>65</v>
      </c>
      <c r="B172">
        <v>2</v>
      </c>
      <c r="C172" t="s">
        <v>66</v>
      </c>
      <c r="D172" t="s">
        <v>67</v>
      </c>
      <c r="E172" t="s">
        <v>68</v>
      </c>
      <c r="F172">
        <v>180</v>
      </c>
      <c r="G172">
        <v>1080</v>
      </c>
      <c r="H172">
        <v>-3</v>
      </c>
      <c r="I172">
        <v>1981</v>
      </c>
      <c r="J172" t="s">
        <v>58</v>
      </c>
      <c r="K172">
        <v>1338</v>
      </c>
      <c r="L172">
        <v>6.07</v>
      </c>
      <c r="M172">
        <v>5.89</v>
      </c>
      <c r="N172" s="4">
        <f t="shared" si="4"/>
        <v>2.8923246500000004E-3</v>
      </c>
      <c r="O172" s="4">
        <f t="shared" si="5"/>
        <v>1.7035792188500001E-2</v>
      </c>
      <c r="P172">
        <v>63</v>
      </c>
      <c r="Q172">
        <v>3</v>
      </c>
      <c r="R172">
        <v>3</v>
      </c>
      <c r="S172">
        <v>2</v>
      </c>
      <c r="T172">
        <v>2</v>
      </c>
      <c r="U172">
        <v>2.5</v>
      </c>
      <c r="V172" t="s">
        <v>30</v>
      </c>
    </row>
    <row r="173" spans="1:22" x14ac:dyDescent="0.25">
      <c r="A173" t="s">
        <v>65</v>
      </c>
      <c r="B173">
        <v>2</v>
      </c>
      <c r="C173" t="s">
        <v>66</v>
      </c>
      <c r="D173" t="s">
        <v>67</v>
      </c>
      <c r="E173" t="s">
        <v>68</v>
      </c>
      <c r="F173">
        <v>180</v>
      </c>
      <c r="G173">
        <v>1080</v>
      </c>
      <c r="H173">
        <v>-3</v>
      </c>
      <c r="I173">
        <v>1981</v>
      </c>
      <c r="J173" t="s">
        <v>59</v>
      </c>
      <c r="K173">
        <v>1978</v>
      </c>
      <c r="L173">
        <v>4.04</v>
      </c>
      <c r="M173">
        <v>4.66</v>
      </c>
      <c r="N173" s="4">
        <f t="shared" si="4"/>
        <v>1.2812456000000001E-3</v>
      </c>
      <c r="O173" s="4">
        <f t="shared" si="5"/>
        <v>5.9706044960000006E-3</v>
      </c>
      <c r="P173">
        <v>50</v>
      </c>
      <c r="Q173">
        <v>2.5</v>
      </c>
      <c r="R173">
        <v>3</v>
      </c>
      <c r="S173">
        <v>3.5</v>
      </c>
      <c r="T173">
        <v>3.5</v>
      </c>
      <c r="U173">
        <v>3.5</v>
      </c>
      <c r="V173" t="s">
        <v>38</v>
      </c>
    </row>
    <row r="174" spans="1:22" x14ac:dyDescent="0.25">
      <c r="A174" t="s">
        <v>65</v>
      </c>
      <c r="B174">
        <v>2</v>
      </c>
      <c r="C174" t="s">
        <v>66</v>
      </c>
      <c r="D174" t="s">
        <v>67</v>
      </c>
      <c r="E174" t="s">
        <v>68</v>
      </c>
      <c r="F174">
        <v>180</v>
      </c>
      <c r="G174">
        <v>1080</v>
      </c>
      <c r="H174">
        <v>-3</v>
      </c>
      <c r="I174">
        <v>1981</v>
      </c>
      <c r="J174" t="s">
        <v>59</v>
      </c>
      <c r="K174">
        <v>1482</v>
      </c>
      <c r="L174">
        <v>11.03</v>
      </c>
      <c r="M174">
        <v>6.25</v>
      </c>
      <c r="N174" s="4">
        <f t="shared" si="4"/>
        <v>9.5503806499999989E-3</v>
      </c>
      <c r="O174" s="4">
        <f t="shared" si="5"/>
        <v>5.9689879062499993E-2</v>
      </c>
      <c r="P174">
        <v>38</v>
      </c>
      <c r="Q174">
        <v>3.5</v>
      </c>
      <c r="R174">
        <v>3.5</v>
      </c>
      <c r="S174">
        <v>3</v>
      </c>
      <c r="T174">
        <v>2.5</v>
      </c>
      <c r="U174">
        <v>2</v>
      </c>
      <c r="V174" t="s">
        <v>38</v>
      </c>
    </row>
    <row r="175" spans="1:22" x14ac:dyDescent="0.25">
      <c r="A175" t="s">
        <v>65</v>
      </c>
      <c r="B175">
        <v>2</v>
      </c>
      <c r="C175" t="s">
        <v>66</v>
      </c>
      <c r="D175" t="s">
        <v>67</v>
      </c>
      <c r="E175" t="s">
        <v>68</v>
      </c>
      <c r="F175">
        <v>180</v>
      </c>
      <c r="G175">
        <v>1080</v>
      </c>
      <c r="H175">
        <v>-3</v>
      </c>
      <c r="I175">
        <v>1981</v>
      </c>
      <c r="J175" t="s">
        <v>26</v>
      </c>
      <c r="K175">
        <v>1339</v>
      </c>
      <c r="L175">
        <v>12.49</v>
      </c>
      <c r="M175">
        <v>10.119999999999999</v>
      </c>
      <c r="N175" s="4">
        <f t="shared" si="4"/>
        <v>1.2246007850000001E-2</v>
      </c>
      <c r="O175" s="4">
        <f t="shared" si="5"/>
        <v>0.12392959944199999</v>
      </c>
      <c r="P175">
        <v>63</v>
      </c>
      <c r="Q175">
        <v>4.5</v>
      </c>
      <c r="R175">
        <v>3</v>
      </c>
      <c r="S175">
        <v>3.5</v>
      </c>
      <c r="T175">
        <v>3.5</v>
      </c>
      <c r="U175">
        <v>3.5</v>
      </c>
      <c r="V175" t="s">
        <v>27</v>
      </c>
    </row>
    <row r="176" spans="1:22" x14ac:dyDescent="0.25">
      <c r="A176" t="s">
        <v>65</v>
      </c>
      <c r="B176">
        <v>2</v>
      </c>
      <c r="C176" t="s">
        <v>66</v>
      </c>
      <c r="D176" t="s">
        <v>67</v>
      </c>
      <c r="E176" t="s">
        <v>68</v>
      </c>
      <c r="F176">
        <v>180</v>
      </c>
      <c r="G176">
        <v>1080</v>
      </c>
      <c r="H176">
        <v>-3</v>
      </c>
      <c r="I176">
        <v>1981</v>
      </c>
      <c r="J176" t="s">
        <v>26</v>
      </c>
      <c r="K176">
        <v>2447</v>
      </c>
      <c r="L176">
        <v>9.99</v>
      </c>
      <c r="M176">
        <v>6.83</v>
      </c>
      <c r="N176" s="4">
        <f t="shared" si="4"/>
        <v>7.8343078500000014E-3</v>
      </c>
      <c r="O176" s="4">
        <f t="shared" si="5"/>
        <v>5.3508322615500009E-2</v>
      </c>
      <c r="P176">
        <v>88</v>
      </c>
      <c r="Q176">
        <v>4</v>
      </c>
      <c r="R176">
        <v>3</v>
      </c>
      <c r="S176">
        <v>3.5</v>
      </c>
      <c r="T176">
        <v>3</v>
      </c>
      <c r="U176">
        <v>2.5</v>
      </c>
      <c r="V176" t="s">
        <v>25</v>
      </c>
    </row>
    <row r="177" spans="1:22" x14ac:dyDescent="0.25">
      <c r="A177" t="s">
        <v>65</v>
      </c>
      <c r="B177">
        <v>2</v>
      </c>
      <c r="C177" t="s">
        <v>66</v>
      </c>
      <c r="D177" t="s">
        <v>67</v>
      </c>
      <c r="E177" t="s">
        <v>68</v>
      </c>
      <c r="F177">
        <v>180</v>
      </c>
      <c r="G177">
        <v>1080</v>
      </c>
      <c r="H177">
        <v>-3</v>
      </c>
      <c r="I177">
        <v>1981</v>
      </c>
      <c r="J177" t="s">
        <v>26</v>
      </c>
      <c r="K177">
        <v>1786</v>
      </c>
      <c r="L177">
        <v>17.739999999999998</v>
      </c>
      <c r="M177">
        <v>9.99</v>
      </c>
      <c r="N177" s="4">
        <f t="shared" si="4"/>
        <v>2.4704546599999995E-2</v>
      </c>
      <c r="O177" s="4">
        <f t="shared" si="5"/>
        <v>0.24679842053399995</v>
      </c>
      <c r="P177">
        <v>100</v>
      </c>
      <c r="Q177">
        <v>5</v>
      </c>
      <c r="R177">
        <v>3</v>
      </c>
      <c r="S177">
        <v>3</v>
      </c>
      <c r="T177">
        <v>2.5</v>
      </c>
      <c r="U177">
        <v>2</v>
      </c>
      <c r="V177" t="s">
        <v>27</v>
      </c>
    </row>
    <row r="178" spans="1:22" x14ac:dyDescent="0.25">
      <c r="A178" t="s">
        <v>65</v>
      </c>
      <c r="B178">
        <v>2</v>
      </c>
      <c r="C178" t="s">
        <v>66</v>
      </c>
      <c r="D178" t="s">
        <v>67</v>
      </c>
      <c r="E178" t="s">
        <v>68</v>
      </c>
      <c r="F178">
        <v>180</v>
      </c>
      <c r="G178">
        <v>1080</v>
      </c>
      <c r="H178">
        <v>-3</v>
      </c>
      <c r="I178">
        <v>1981</v>
      </c>
      <c r="J178" t="s">
        <v>32</v>
      </c>
      <c r="K178">
        <v>1596</v>
      </c>
      <c r="L178">
        <v>2.73</v>
      </c>
      <c r="M178">
        <v>3.77</v>
      </c>
      <c r="N178" s="4">
        <f t="shared" si="4"/>
        <v>5.8505265000000008E-4</v>
      </c>
      <c r="O178" s="4">
        <f t="shared" si="5"/>
        <v>2.2056484905000001E-3</v>
      </c>
      <c r="P178">
        <v>100</v>
      </c>
      <c r="Q178">
        <v>2.5</v>
      </c>
      <c r="R178">
        <v>4</v>
      </c>
      <c r="S178">
        <v>3.5</v>
      </c>
      <c r="T178">
        <v>4.5</v>
      </c>
      <c r="U178">
        <v>4</v>
      </c>
      <c r="V178" t="s">
        <v>25</v>
      </c>
    </row>
    <row r="179" spans="1:22" x14ac:dyDescent="0.25">
      <c r="A179" t="s">
        <v>65</v>
      </c>
      <c r="B179">
        <v>2</v>
      </c>
      <c r="C179" t="s">
        <v>66</v>
      </c>
      <c r="D179" t="s">
        <v>67</v>
      </c>
      <c r="E179" t="s">
        <v>68</v>
      </c>
      <c r="F179">
        <v>180</v>
      </c>
      <c r="G179">
        <v>1080</v>
      </c>
      <c r="H179">
        <v>-3</v>
      </c>
      <c r="I179">
        <v>1981</v>
      </c>
      <c r="J179" t="s">
        <v>61</v>
      </c>
      <c r="K179">
        <v>1171</v>
      </c>
      <c r="L179">
        <v>2.79</v>
      </c>
      <c r="M179">
        <v>2.9</v>
      </c>
      <c r="N179" s="4">
        <f t="shared" si="4"/>
        <v>6.1105185000000012E-4</v>
      </c>
      <c r="O179" s="4">
        <f t="shared" si="5"/>
        <v>1.7720503650000003E-3</v>
      </c>
      <c r="P179">
        <v>75</v>
      </c>
      <c r="Q179">
        <v>2</v>
      </c>
      <c r="R179">
        <v>2</v>
      </c>
      <c r="S179">
        <v>2</v>
      </c>
      <c r="T179">
        <v>2</v>
      </c>
      <c r="U179">
        <v>3</v>
      </c>
      <c r="V179" t="s">
        <v>30</v>
      </c>
    </row>
    <row r="180" spans="1:22" x14ac:dyDescent="0.25">
      <c r="A180" t="s">
        <v>65</v>
      </c>
      <c r="B180">
        <v>2</v>
      </c>
      <c r="C180" t="s">
        <v>66</v>
      </c>
      <c r="D180" t="s">
        <v>67</v>
      </c>
      <c r="E180" t="s">
        <v>68</v>
      </c>
      <c r="F180">
        <v>180</v>
      </c>
      <c r="G180">
        <v>1080</v>
      </c>
      <c r="H180">
        <v>-3</v>
      </c>
      <c r="I180">
        <v>1981</v>
      </c>
      <c r="J180" t="s">
        <v>34</v>
      </c>
      <c r="K180">
        <v>2469</v>
      </c>
      <c r="L180">
        <v>9.8800000000000008</v>
      </c>
      <c r="M180">
        <v>8.94</v>
      </c>
      <c r="N180" s="4">
        <f t="shared" si="4"/>
        <v>7.6627304000000031E-3</v>
      </c>
      <c r="O180" s="4">
        <f t="shared" si="5"/>
        <v>6.8504809776000028E-2</v>
      </c>
      <c r="P180">
        <v>88</v>
      </c>
      <c r="Q180">
        <v>4</v>
      </c>
      <c r="R180">
        <v>3</v>
      </c>
      <c r="S180">
        <v>3.5</v>
      </c>
      <c r="T180">
        <v>3.5</v>
      </c>
      <c r="U180">
        <v>3.5</v>
      </c>
      <c r="V180" t="s">
        <v>25</v>
      </c>
    </row>
    <row r="181" spans="1:22" x14ac:dyDescent="0.25">
      <c r="A181" t="s">
        <v>65</v>
      </c>
      <c r="B181">
        <v>2</v>
      </c>
      <c r="C181" t="s">
        <v>66</v>
      </c>
      <c r="D181" t="s">
        <v>67</v>
      </c>
      <c r="E181" t="s">
        <v>68</v>
      </c>
      <c r="F181">
        <v>180</v>
      </c>
      <c r="G181">
        <v>1080</v>
      </c>
      <c r="H181">
        <v>-3</v>
      </c>
      <c r="I181">
        <v>1981</v>
      </c>
      <c r="J181" t="s">
        <v>34</v>
      </c>
      <c r="K181">
        <v>1337</v>
      </c>
      <c r="L181">
        <v>8.6300000000000008</v>
      </c>
      <c r="M181">
        <v>8.2100000000000009</v>
      </c>
      <c r="N181" s="4">
        <f t="shared" si="4"/>
        <v>5.84643665E-3</v>
      </c>
      <c r="O181" s="4">
        <f t="shared" si="5"/>
        <v>4.7999244896500003E-2</v>
      </c>
      <c r="P181">
        <v>100</v>
      </c>
      <c r="Q181">
        <v>4</v>
      </c>
      <c r="R181">
        <v>3</v>
      </c>
      <c r="S181">
        <v>3.5</v>
      </c>
      <c r="T181">
        <v>3.5</v>
      </c>
      <c r="U181">
        <v>3.5</v>
      </c>
      <c r="V181" t="s">
        <v>25</v>
      </c>
    </row>
    <row r="182" spans="1:22" x14ac:dyDescent="0.25">
      <c r="A182" t="s">
        <v>65</v>
      </c>
      <c r="B182">
        <v>2</v>
      </c>
      <c r="C182" t="s">
        <v>66</v>
      </c>
      <c r="D182" t="s">
        <v>67</v>
      </c>
      <c r="E182" t="s">
        <v>68</v>
      </c>
      <c r="F182">
        <v>180</v>
      </c>
      <c r="G182">
        <v>1080</v>
      </c>
      <c r="H182">
        <v>-3</v>
      </c>
      <c r="I182">
        <v>1981</v>
      </c>
      <c r="J182" t="s">
        <v>35</v>
      </c>
      <c r="K182">
        <v>1785</v>
      </c>
      <c r="L182">
        <v>4.3899999999999997</v>
      </c>
      <c r="M182">
        <v>4.03</v>
      </c>
      <c r="N182" s="4">
        <f t="shared" si="4"/>
        <v>1.5128598499999997E-3</v>
      </c>
      <c r="O182" s="4">
        <f t="shared" si="5"/>
        <v>6.0968251954999992E-3</v>
      </c>
      <c r="P182">
        <v>88</v>
      </c>
      <c r="Q182">
        <v>1.5</v>
      </c>
      <c r="R182">
        <v>1.5</v>
      </c>
      <c r="S182">
        <v>2</v>
      </c>
      <c r="T182">
        <v>2</v>
      </c>
      <c r="U182">
        <v>3</v>
      </c>
      <c r="V182" t="s">
        <v>50</v>
      </c>
    </row>
    <row r="183" spans="1:22" x14ac:dyDescent="0.25">
      <c r="A183" t="s">
        <v>65</v>
      </c>
      <c r="B183">
        <v>2</v>
      </c>
      <c r="C183" t="s">
        <v>66</v>
      </c>
      <c r="D183" t="s">
        <v>67</v>
      </c>
      <c r="E183" t="s">
        <v>68</v>
      </c>
      <c r="F183">
        <v>180</v>
      </c>
      <c r="G183">
        <v>1080</v>
      </c>
      <c r="H183">
        <v>-3</v>
      </c>
      <c r="I183">
        <v>1981</v>
      </c>
      <c r="J183" t="s">
        <v>36</v>
      </c>
      <c r="K183">
        <v>1598</v>
      </c>
      <c r="L183">
        <v>7.94</v>
      </c>
      <c r="M183">
        <v>7.77</v>
      </c>
      <c r="N183" s="4">
        <f t="shared" si="4"/>
        <v>4.9489225999999999E-3</v>
      </c>
      <c r="O183" s="4">
        <f t="shared" si="5"/>
        <v>3.8453128601999995E-2</v>
      </c>
      <c r="P183">
        <v>100</v>
      </c>
      <c r="Q183">
        <v>3.5</v>
      </c>
      <c r="R183">
        <v>4</v>
      </c>
      <c r="S183">
        <v>2.5</v>
      </c>
      <c r="T183">
        <v>4</v>
      </c>
      <c r="U183">
        <v>3.3</v>
      </c>
      <c r="V183" t="s">
        <v>27</v>
      </c>
    </row>
    <row r="184" spans="1:22" x14ac:dyDescent="0.25">
      <c r="A184" t="s">
        <v>65</v>
      </c>
      <c r="B184">
        <v>2</v>
      </c>
      <c r="C184" t="s">
        <v>66</v>
      </c>
      <c r="D184" t="s">
        <v>67</v>
      </c>
      <c r="E184" t="s">
        <v>68</v>
      </c>
      <c r="F184">
        <v>180</v>
      </c>
      <c r="G184">
        <v>1080</v>
      </c>
      <c r="H184">
        <v>-3</v>
      </c>
      <c r="I184">
        <v>1981</v>
      </c>
      <c r="J184" t="s">
        <v>62</v>
      </c>
      <c r="K184">
        <v>2428</v>
      </c>
      <c r="L184">
        <v>6.48</v>
      </c>
      <c r="M184">
        <v>6.42</v>
      </c>
      <c r="N184" s="4">
        <f t="shared" si="4"/>
        <v>3.2962464000000011E-3</v>
      </c>
      <c r="O184" s="4">
        <f t="shared" si="5"/>
        <v>2.1161901888000007E-2</v>
      </c>
      <c r="P184">
        <v>38</v>
      </c>
      <c r="Q184">
        <v>4</v>
      </c>
      <c r="R184">
        <v>3.5</v>
      </c>
      <c r="S184">
        <v>4</v>
      </c>
      <c r="T184">
        <v>4</v>
      </c>
      <c r="U184">
        <v>3.5</v>
      </c>
      <c r="V184" t="s">
        <v>25</v>
      </c>
    </row>
    <row r="185" spans="1:22" x14ac:dyDescent="0.25">
      <c r="A185" t="s">
        <v>65</v>
      </c>
      <c r="B185">
        <v>2</v>
      </c>
      <c r="C185" t="s">
        <v>66</v>
      </c>
      <c r="D185" t="s">
        <v>67</v>
      </c>
      <c r="E185" t="s">
        <v>68</v>
      </c>
      <c r="F185">
        <v>180</v>
      </c>
      <c r="G185">
        <v>1080</v>
      </c>
      <c r="H185">
        <v>-3</v>
      </c>
      <c r="I185">
        <v>1981</v>
      </c>
      <c r="J185" t="s">
        <v>62</v>
      </c>
      <c r="K185">
        <v>2431</v>
      </c>
      <c r="L185">
        <v>6.28</v>
      </c>
      <c r="M185">
        <v>6.7</v>
      </c>
      <c r="N185" s="4">
        <f t="shared" si="4"/>
        <v>3.0959144000000014E-3</v>
      </c>
      <c r="O185" s="4">
        <f t="shared" si="5"/>
        <v>2.0742626480000009E-2</v>
      </c>
      <c r="P185">
        <v>100</v>
      </c>
      <c r="Q185">
        <v>4</v>
      </c>
      <c r="R185">
        <v>3</v>
      </c>
      <c r="S185">
        <v>4</v>
      </c>
      <c r="T185">
        <v>4</v>
      </c>
      <c r="U185">
        <v>3.5</v>
      </c>
      <c r="V185" t="s">
        <v>25</v>
      </c>
    </row>
    <row r="186" spans="1:22" x14ac:dyDescent="0.25">
      <c r="A186" t="s">
        <v>65</v>
      </c>
      <c r="B186">
        <v>2</v>
      </c>
      <c r="C186" t="s">
        <v>66</v>
      </c>
      <c r="D186" t="s">
        <v>67</v>
      </c>
      <c r="E186" t="s">
        <v>68</v>
      </c>
      <c r="F186">
        <v>180</v>
      </c>
      <c r="G186">
        <v>1080</v>
      </c>
      <c r="H186">
        <v>-3</v>
      </c>
      <c r="I186">
        <v>1981</v>
      </c>
      <c r="J186" t="s">
        <v>62</v>
      </c>
      <c r="K186">
        <v>1787</v>
      </c>
      <c r="L186">
        <v>11.58</v>
      </c>
      <c r="M186">
        <v>8.3699999999999992</v>
      </c>
      <c r="N186" s="4">
        <f t="shared" si="4"/>
        <v>1.0526567400000001E-2</v>
      </c>
      <c r="O186" s="4">
        <f t="shared" si="5"/>
        <v>8.8107369137999991E-2</v>
      </c>
      <c r="P186">
        <v>63</v>
      </c>
      <c r="Q186">
        <v>4</v>
      </c>
      <c r="R186">
        <v>3.5</v>
      </c>
      <c r="S186">
        <v>4</v>
      </c>
      <c r="T186">
        <v>4</v>
      </c>
      <c r="U186">
        <v>3.5</v>
      </c>
      <c r="V186" t="s">
        <v>27</v>
      </c>
    </row>
    <row r="187" spans="1:22" x14ac:dyDescent="0.25">
      <c r="A187" t="s">
        <v>65</v>
      </c>
      <c r="B187">
        <v>2</v>
      </c>
      <c r="C187" t="s">
        <v>66</v>
      </c>
      <c r="D187" t="s">
        <v>67</v>
      </c>
      <c r="E187" t="s">
        <v>68</v>
      </c>
      <c r="F187">
        <v>180</v>
      </c>
      <c r="G187">
        <v>1080</v>
      </c>
      <c r="H187">
        <v>-3</v>
      </c>
      <c r="I187">
        <v>1981</v>
      </c>
      <c r="J187" t="s">
        <v>39</v>
      </c>
      <c r="K187">
        <v>2435</v>
      </c>
      <c r="L187">
        <v>3.56</v>
      </c>
      <c r="M187">
        <v>4.2699999999999996</v>
      </c>
      <c r="N187" s="4">
        <f t="shared" si="4"/>
        <v>9.948775999999999E-4</v>
      </c>
      <c r="O187" s="4">
        <f t="shared" si="5"/>
        <v>4.2481273519999994E-3</v>
      </c>
      <c r="P187">
        <v>25</v>
      </c>
      <c r="Q187">
        <v>3</v>
      </c>
      <c r="R187">
        <v>3</v>
      </c>
      <c r="S187">
        <v>3</v>
      </c>
      <c r="T187">
        <v>3</v>
      </c>
      <c r="U187">
        <v>3</v>
      </c>
      <c r="V187" t="s">
        <v>38</v>
      </c>
    </row>
    <row r="188" spans="1:22" x14ac:dyDescent="0.25">
      <c r="A188" t="s">
        <v>65</v>
      </c>
      <c r="B188">
        <v>2</v>
      </c>
      <c r="C188" t="s">
        <v>66</v>
      </c>
      <c r="D188" t="s">
        <v>67</v>
      </c>
      <c r="E188" t="s">
        <v>68</v>
      </c>
      <c r="F188">
        <v>180</v>
      </c>
      <c r="G188">
        <v>1080</v>
      </c>
      <c r="H188">
        <v>-3</v>
      </c>
      <c r="I188">
        <v>1981</v>
      </c>
      <c r="J188" t="s">
        <v>37</v>
      </c>
      <c r="K188">
        <v>1524</v>
      </c>
      <c r="L188">
        <v>2.57</v>
      </c>
      <c r="M188">
        <v>3.08</v>
      </c>
      <c r="N188" s="4">
        <f t="shared" si="4"/>
        <v>5.1848464999999994E-4</v>
      </c>
      <c r="O188" s="4">
        <f t="shared" si="5"/>
        <v>1.5969327219999998E-3</v>
      </c>
      <c r="P188">
        <v>75</v>
      </c>
      <c r="Q188">
        <v>2</v>
      </c>
      <c r="R188">
        <v>2</v>
      </c>
      <c r="S188">
        <v>2</v>
      </c>
      <c r="T188">
        <v>4</v>
      </c>
      <c r="U188">
        <v>3</v>
      </c>
      <c r="V188" t="s">
        <v>30</v>
      </c>
    </row>
    <row r="189" spans="1:22" x14ac:dyDescent="0.25">
      <c r="A189" t="s">
        <v>65</v>
      </c>
      <c r="B189">
        <v>2</v>
      </c>
      <c r="C189" t="s">
        <v>66</v>
      </c>
      <c r="D189" t="s">
        <v>67</v>
      </c>
      <c r="E189" t="s">
        <v>68</v>
      </c>
      <c r="F189">
        <v>180</v>
      </c>
      <c r="G189">
        <v>1080</v>
      </c>
      <c r="H189">
        <v>-3</v>
      </c>
      <c r="I189">
        <v>1981</v>
      </c>
      <c r="J189" t="s">
        <v>63</v>
      </c>
      <c r="K189">
        <v>1340</v>
      </c>
      <c r="L189">
        <v>5.37</v>
      </c>
      <c r="M189">
        <v>5.74</v>
      </c>
      <c r="N189" s="4">
        <f t="shared" si="4"/>
        <v>2.2636966499999999E-3</v>
      </c>
      <c r="O189" s="4">
        <f t="shared" si="5"/>
        <v>1.2993618771E-2</v>
      </c>
      <c r="P189">
        <v>100</v>
      </c>
      <c r="Q189">
        <v>1.5</v>
      </c>
      <c r="R189">
        <v>1</v>
      </c>
      <c r="S189">
        <v>1.5</v>
      </c>
      <c r="T189">
        <v>1.5</v>
      </c>
      <c r="U189">
        <v>2</v>
      </c>
      <c r="V189" t="s">
        <v>50</v>
      </c>
    </row>
    <row r="190" spans="1:22" x14ac:dyDescent="0.25">
      <c r="A190" t="s">
        <v>65</v>
      </c>
      <c r="B190">
        <v>2</v>
      </c>
      <c r="C190" t="s">
        <v>66</v>
      </c>
      <c r="D190" t="s">
        <v>67</v>
      </c>
      <c r="E190" t="s">
        <v>68</v>
      </c>
      <c r="F190">
        <v>180</v>
      </c>
      <c r="G190">
        <v>1080</v>
      </c>
      <c r="H190">
        <v>-3</v>
      </c>
      <c r="I190">
        <v>1981</v>
      </c>
      <c r="J190" t="s">
        <v>69</v>
      </c>
      <c r="K190">
        <v>1780</v>
      </c>
      <c r="L190">
        <v>2.6</v>
      </c>
      <c r="M190">
        <v>3.64</v>
      </c>
      <c r="N190" s="4">
        <f t="shared" si="4"/>
        <v>5.3066000000000018E-4</v>
      </c>
      <c r="O190" s="4">
        <f t="shared" si="5"/>
        <v>1.9316024000000007E-3</v>
      </c>
      <c r="P190">
        <v>38</v>
      </c>
      <c r="Q190">
        <v>1</v>
      </c>
      <c r="R190">
        <v>2</v>
      </c>
      <c r="S190">
        <v>2</v>
      </c>
      <c r="T190">
        <v>2</v>
      </c>
      <c r="U190">
        <v>3</v>
      </c>
      <c r="V190" t="s">
        <v>50</v>
      </c>
    </row>
    <row r="191" spans="1:22" x14ac:dyDescent="0.25">
      <c r="A191" t="s">
        <v>65</v>
      </c>
      <c r="B191">
        <v>3</v>
      </c>
      <c r="C191" t="s">
        <v>66</v>
      </c>
      <c r="D191" t="s">
        <v>67</v>
      </c>
      <c r="E191" t="s">
        <v>68</v>
      </c>
      <c r="F191">
        <v>180</v>
      </c>
      <c r="G191">
        <v>1080</v>
      </c>
      <c r="H191">
        <v>-3</v>
      </c>
      <c r="I191">
        <v>1981</v>
      </c>
      <c r="J191" t="s">
        <v>55</v>
      </c>
      <c r="K191">
        <v>1094</v>
      </c>
      <c r="L191">
        <v>5.26</v>
      </c>
      <c r="M191">
        <v>5.48</v>
      </c>
      <c r="N191" s="4">
        <f t="shared" si="4"/>
        <v>2.1719066000000001E-3</v>
      </c>
      <c r="O191" s="4">
        <f t="shared" si="5"/>
        <v>1.1902048168000001E-2</v>
      </c>
      <c r="P191">
        <v>63</v>
      </c>
      <c r="Q191">
        <v>2</v>
      </c>
      <c r="R191">
        <v>1.5</v>
      </c>
      <c r="S191">
        <v>2</v>
      </c>
      <c r="T191">
        <v>2</v>
      </c>
      <c r="U191">
        <v>2</v>
      </c>
      <c r="V191" t="s">
        <v>50</v>
      </c>
    </row>
    <row r="192" spans="1:22" x14ac:dyDescent="0.25">
      <c r="A192" t="s">
        <v>65</v>
      </c>
      <c r="B192">
        <v>3</v>
      </c>
      <c r="C192" t="s">
        <v>66</v>
      </c>
      <c r="D192" t="s">
        <v>67</v>
      </c>
      <c r="E192" t="s">
        <v>68</v>
      </c>
      <c r="F192">
        <v>180</v>
      </c>
      <c r="G192">
        <v>1080</v>
      </c>
      <c r="H192">
        <v>-3</v>
      </c>
      <c r="I192">
        <v>1981</v>
      </c>
      <c r="J192" t="s">
        <v>56</v>
      </c>
      <c r="K192">
        <v>1111</v>
      </c>
      <c r="L192">
        <v>4.88</v>
      </c>
      <c r="M192">
        <v>4.1100000000000003</v>
      </c>
      <c r="N192" s="4">
        <f t="shared" si="4"/>
        <v>1.8694303999999995E-3</v>
      </c>
      <c r="O192" s="4">
        <f t="shared" si="5"/>
        <v>7.6833589439999983E-3</v>
      </c>
      <c r="P192">
        <v>88</v>
      </c>
      <c r="Q192">
        <v>3.5</v>
      </c>
      <c r="R192">
        <v>2.5</v>
      </c>
      <c r="S192">
        <v>2</v>
      </c>
      <c r="T192">
        <v>2</v>
      </c>
      <c r="U192">
        <v>2</v>
      </c>
      <c r="V192" t="s">
        <v>38</v>
      </c>
    </row>
    <row r="193" spans="1:22" x14ac:dyDescent="0.25">
      <c r="A193" t="s">
        <v>65</v>
      </c>
      <c r="B193">
        <v>3</v>
      </c>
      <c r="C193" t="s">
        <v>66</v>
      </c>
      <c r="D193" t="s">
        <v>67</v>
      </c>
      <c r="E193" t="s">
        <v>68</v>
      </c>
      <c r="F193">
        <v>180</v>
      </c>
      <c r="G193">
        <v>1080</v>
      </c>
      <c r="H193">
        <v>-3</v>
      </c>
      <c r="I193">
        <v>1981</v>
      </c>
      <c r="J193" t="s">
        <v>57</v>
      </c>
      <c r="K193">
        <v>1112</v>
      </c>
      <c r="L193">
        <v>7.83</v>
      </c>
      <c r="M193">
        <v>6.68</v>
      </c>
      <c r="N193" s="4">
        <f t="shared" si="4"/>
        <v>4.8127486499999995E-3</v>
      </c>
      <c r="O193" s="4">
        <f t="shared" si="5"/>
        <v>3.2149160981999998E-2</v>
      </c>
      <c r="P193">
        <v>100</v>
      </c>
      <c r="Q193">
        <v>3</v>
      </c>
      <c r="R193">
        <v>1.8</v>
      </c>
      <c r="S193">
        <v>3.5</v>
      </c>
      <c r="T193">
        <v>4</v>
      </c>
      <c r="U193">
        <v>4</v>
      </c>
      <c r="V193" t="s">
        <v>25</v>
      </c>
    </row>
    <row r="194" spans="1:22" x14ac:dyDescent="0.25">
      <c r="A194" t="s">
        <v>65</v>
      </c>
      <c r="B194">
        <v>3</v>
      </c>
      <c r="C194" t="s">
        <v>66</v>
      </c>
      <c r="D194" t="s">
        <v>67</v>
      </c>
      <c r="E194" t="s">
        <v>68</v>
      </c>
      <c r="F194">
        <v>180</v>
      </c>
      <c r="G194">
        <v>1080</v>
      </c>
      <c r="H194">
        <v>-3</v>
      </c>
      <c r="I194">
        <v>1981</v>
      </c>
      <c r="J194" t="s">
        <v>57</v>
      </c>
      <c r="K194">
        <v>1113</v>
      </c>
      <c r="L194">
        <v>4.62</v>
      </c>
      <c r="M194">
        <v>4.1100000000000003</v>
      </c>
      <c r="N194" s="4">
        <f t="shared" si="4"/>
        <v>1.6755353999999998E-3</v>
      </c>
      <c r="O194" s="4">
        <f t="shared" si="5"/>
        <v>6.8864504939999995E-3</v>
      </c>
      <c r="P194">
        <v>88</v>
      </c>
      <c r="Q194">
        <v>3</v>
      </c>
      <c r="R194">
        <v>2</v>
      </c>
      <c r="S194">
        <v>2.5</v>
      </c>
      <c r="T194">
        <v>3.5</v>
      </c>
      <c r="U194">
        <v>3</v>
      </c>
      <c r="V194" t="s">
        <v>38</v>
      </c>
    </row>
    <row r="195" spans="1:22" x14ac:dyDescent="0.25">
      <c r="A195" t="s">
        <v>65</v>
      </c>
      <c r="B195">
        <v>3</v>
      </c>
      <c r="C195" t="s">
        <v>66</v>
      </c>
      <c r="D195" t="s">
        <v>67</v>
      </c>
      <c r="E195" t="s">
        <v>68</v>
      </c>
      <c r="F195">
        <v>180</v>
      </c>
      <c r="G195">
        <v>1080</v>
      </c>
      <c r="H195">
        <v>-3</v>
      </c>
      <c r="I195">
        <v>1981</v>
      </c>
      <c r="J195" t="s">
        <v>60</v>
      </c>
      <c r="K195">
        <v>1595</v>
      </c>
      <c r="L195">
        <v>2.29</v>
      </c>
      <c r="M195">
        <v>2.67</v>
      </c>
      <c r="N195" s="4">
        <f t="shared" ref="N195:N258" si="6">3.14/4*((L195/100)^2)</f>
        <v>4.1166185000000003E-4</v>
      </c>
      <c r="O195" s="4">
        <f t="shared" ref="O195:O258" si="7">3.14/4*((L195/100)^2)*M195</f>
        <v>1.0991371395000001E-3</v>
      </c>
      <c r="P195">
        <v>75</v>
      </c>
      <c r="Q195">
        <v>2.5</v>
      </c>
      <c r="R195">
        <v>1.5</v>
      </c>
      <c r="S195">
        <v>3</v>
      </c>
      <c r="T195">
        <v>4</v>
      </c>
      <c r="U195">
        <v>4</v>
      </c>
      <c r="V195" t="s">
        <v>30</v>
      </c>
    </row>
    <row r="196" spans="1:22" x14ac:dyDescent="0.25">
      <c r="A196" t="s">
        <v>65</v>
      </c>
      <c r="B196">
        <v>3</v>
      </c>
      <c r="C196" t="s">
        <v>66</v>
      </c>
      <c r="D196" t="s">
        <v>67</v>
      </c>
      <c r="E196" t="s">
        <v>68</v>
      </c>
      <c r="F196">
        <v>180</v>
      </c>
      <c r="G196">
        <v>1080</v>
      </c>
      <c r="H196">
        <v>-3</v>
      </c>
      <c r="I196">
        <v>1981</v>
      </c>
      <c r="J196" t="s">
        <v>58</v>
      </c>
      <c r="K196">
        <v>1338</v>
      </c>
      <c r="L196">
        <v>7.28</v>
      </c>
      <c r="M196">
        <v>7.45</v>
      </c>
      <c r="N196" s="4">
        <f t="shared" si="6"/>
        <v>4.1603744000000007E-3</v>
      </c>
      <c r="O196" s="4">
        <f t="shared" si="7"/>
        <v>3.0994789280000004E-2</v>
      </c>
      <c r="P196">
        <v>63</v>
      </c>
      <c r="Q196">
        <v>4</v>
      </c>
      <c r="R196">
        <v>3</v>
      </c>
      <c r="S196">
        <v>3.3</v>
      </c>
      <c r="T196">
        <v>3.3</v>
      </c>
      <c r="U196">
        <v>3</v>
      </c>
      <c r="V196" t="s">
        <v>25</v>
      </c>
    </row>
    <row r="197" spans="1:22" x14ac:dyDescent="0.25">
      <c r="A197" t="s">
        <v>65</v>
      </c>
      <c r="B197">
        <v>3</v>
      </c>
      <c r="C197" t="s">
        <v>66</v>
      </c>
      <c r="D197" t="s">
        <v>67</v>
      </c>
      <c r="E197" t="s">
        <v>68</v>
      </c>
      <c r="F197">
        <v>180</v>
      </c>
      <c r="G197">
        <v>1080</v>
      </c>
      <c r="H197">
        <v>-3</v>
      </c>
      <c r="I197">
        <v>1981</v>
      </c>
      <c r="J197" t="s">
        <v>59</v>
      </c>
      <c r="K197">
        <v>1978</v>
      </c>
      <c r="L197">
        <v>16.54</v>
      </c>
      <c r="M197">
        <v>9.93</v>
      </c>
      <c r="N197" s="4">
        <f t="shared" si="6"/>
        <v>2.1475370599999998E-2</v>
      </c>
      <c r="O197" s="4">
        <f t="shared" si="7"/>
        <v>0.21325043005799998</v>
      </c>
      <c r="P197">
        <v>100</v>
      </c>
      <c r="Q197">
        <v>5</v>
      </c>
      <c r="R197">
        <v>3.3</v>
      </c>
      <c r="S197">
        <v>3.3</v>
      </c>
      <c r="T197">
        <v>2.5</v>
      </c>
      <c r="U197">
        <v>2</v>
      </c>
      <c r="V197" t="s">
        <v>27</v>
      </c>
    </row>
    <row r="198" spans="1:22" x14ac:dyDescent="0.25">
      <c r="A198" t="s">
        <v>65</v>
      </c>
      <c r="B198">
        <v>3</v>
      </c>
      <c r="C198" t="s">
        <v>66</v>
      </c>
      <c r="D198" t="s">
        <v>67</v>
      </c>
      <c r="E198" t="s">
        <v>68</v>
      </c>
      <c r="F198">
        <v>180</v>
      </c>
      <c r="G198">
        <v>1080</v>
      </c>
      <c r="H198">
        <v>-3</v>
      </c>
      <c r="I198">
        <v>1981</v>
      </c>
      <c r="J198" t="s">
        <v>59</v>
      </c>
      <c r="K198">
        <v>1482</v>
      </c>
      <c r="L198">
        <v>10.54</v>
      </c>
      <c r="M198">
        <v>7.84</v>
      </c>
      <c r="N198" s="4">
        <f t="shared" si="6"/>
        <v>8.720690599999999E-3</v>
      </c>
      <c r="O198" s="4">
        <f t="shared" si="7"/>
        <v>6.837021430399999E-2</v>
      </c>
      <c r="P198">
        <v>88</v>
      </c>
      <c r="Q198">
        <v>4</v>
      </c>
      <c r="R198">
        <v>3.3</v>
      </c>
      <c r="S198">
        <v>3.3</v>
      </c>
      <c r="T198">
        <v>3.5</v>
      </c>
      <c r="U198">
        <v>3.5</v>
      </c>
      <c r="V198" t="s">
        <v>25</v>
      </c>
    </row>
    <row r="199" spans="1:22" x14ac:dyDescent="0.25">
      <c r="A199" t="s">
        <v>65</v>
      </c>
      <c r="B199">
        <v>3</v>
      </c>
      <c r="C199" t="s">
        <v>66</v>
      </c>
      <c r="D199" t="s">
        <v>67</v>
      </c>
      <c r="E199" t="s">
        <v>68</v>
      </c>
      <c r="F199">
        <v>180</v>
      </c>
      <c r="G199">
        <v>1080</v>
      </c>
      <c r="H199">
        <v>-3</v>
      </c>
      <c r="I199">
        <v>1981</v>
      </c>
      <c r="J199" t="s">
        <v>26</v>
      </c>
      <c r="K199">
        <v>1339</v>
      </c>
      <c r="L199">
        <v>3.81</v>
      </c>
      <c r="M199">
        <v>4.7300000000000004</v>
      </c>
      <c r="N199" s="4">
        <f t="shared" si="6"/>
        <v>1.1395138500000001E-3</v>
      </c>
      <c r="O199" s="4">
        <f t="shared" si="7"/>
        <v>5.3899005105000003E-3</v>
      </c>
      <c r="P199">
        <v>100</v>
      </c>
      <c r="Q199">
        <v>3</v>
      </c>
      <c r="R199">
        <v>2.7</v>
      </c>
      <c r="S199">
        <v>3</v>
      </c>
      <c r="T199">
        <v>3</v>
      </c>
      <c r="U199">
        <v>3.5</v>
      </c>
      <c r="V199" t="s">
        <v>25</v>
      </c>
    </row>
    <row r="200" spans="1:22" x14ac:dyDescent="0.25">
      <c r="A200" t="s">
        <v>65</v>
      </c>
      <c r="B200">
        <v>3</v>
      </c>
      <c r="C200" t="s">
        <v>66</v>
      </c>
      <c r="D200" t="s">
        <v>67</v>
      </c>
      <c r="E200" t="s">
        <v>68</v>
      </c>
      <c r="F200">
        <v>180</v>
      </c>
      <c r="G200">
        <v>1080</v>
      </c>
      <c r="H200">
        <v>-3</v>
      </c>
      <c r="I200">
        <v>1981</v>
      </c>
      <c r="J200" t="s">
        <v>26</v>
      </c>
      <c r="K200">
        <v>2447</v>
      </c>
      <c r="L200">
        <v>11.57</v>
      </c>
      <c r="M200">
        <v>8.41</v>
      </c>
      <c r="N200" s="4">
        <f t="shared" si="6"/>
        <v>1.0508394649999999E-2</v>
      </c>
      <c r="O200" s="4">
        <f t="shared" si="7"/>
        <v>8.8375599006499994E-2</v>
      </c>
      <c r="P200">
        <v>100</v>
      </c>
      <c r="Q200">
        <v>4</v>
      </c>
      <c r="R200">
        <v>3</v>
      </c>
      <c r="S200">
        <v>3.5</v>
      </c>
      <c r="T200">
        <v>3.5</v>
      </c>
      <c r="U200">
        <v>3.5</v>
      </c>
      <c r="V200" t="s">
        <v>27</v>
      </c>
    </row>
    <row r="201" spans="1:22" x14ac:dyDescent="0.25">
      <c r="A201" t="s">
        <v>65</v>
      </c>
      <c r="B201">
        <v>3</v>
      </c>
      <c r="C201" t="s">
        <v>66</v>
      </c>
      <c r="D201" t="s">
        <v>67</v>
      </c>
      <c r="E201" t="s">
        <v>68</v>
      </c>
      <c r="F201">
        <v>180</v>
      </c>
      <c r="G201">
        <v>1080</v>
      </c>
      <c r="H201">
        <v>-3</v>
      </c>
      <c r="I201">
        <v>1981</v>
      </c>
      <c r="J201" t="s">
        <v>26</v>
      </c>
      <c r="K201">
        <v>1786</v>
      </c>
      <c r="L201">
        <v>13.67</v>
      </c>
      <c r="M201">
        <v>8.81</v>
      </c>
      <c r="N201" s="4">
        <f t="shared" si="6"/>
        <v>1.466920865E-2</v>
      </c>
      <c r="O201" s="4">
        <f t="shared" si="7"/>
        <v>0.12923572820650001</v>
      </c>
      <c r="P201">
        <v>100</v>
      </c>
      <c r="Q201">
        <v>4.8</v>
      </c>
      <c r="R201">
        <v>3</v>
      </c>
      <c r="S201">
        <v>3.5</v>
      </c>
      <c r="T201">
        <v>3.5</v>
      </c>
      <c r="U201">
        <v>3</v>
      </c>
      <c r="V201" t="s">
        <v>27</v>
      </c>
    </row>
    <row r="202" spans="1:22" x14ac:dyDescent="0.25">
      <c r="A202" t="s">
        <v>65</v>
      </c>
      <c r="B202">
        <v>3</v>
      </c>
      <c r="C202" t="s">
        <v>66</v>
      </c>
      <c r="D202" t="s">
        <v>67</v>
      </c>
      <c r="E202" t="s">
        <v>68</v>
      </c>
      <c r="F202">
        <v>180</v>
      </c>
      <c r="G202">
        <v>1080</v>
      </c>
      <c r="H202">
        <v>-3</v>
      </c>
      <c r="I202">
        <v>1981</v>
      </c>
      <c r="J202" t="s">
        <v>32</v>
      </c>
      <c r="K202">
        <v>1596</v>
      </c>
      <c r="L202">
        <v>7.03</v>
      </c>
      <c r="M202">
        <v>5.99</v>
      </c>
      <c r="N202" s="4">
        <f t="shared" si="6"/>
        <v>3.8795406500000008E-3</v>
      </c>
      <c r="O202" s="4">
        <f t="shared" si="7"/>
        <v>2.3238448493500007E-2</v>
      </c>
      <c r="P202">
        <v>88</v>
      </c>
      <c r="Q202">
        <v>3.5</v>
      </c>
      <c r="R202">
        <v>2.7</v>
      </c>
      <c r="S202">
        <v>3.5</v>
      </c>
      <c r="T202">
        <v>4</v>
      </c>
      <c r="U202">
        <v>4</v>
      </c>
      <c r="V202" t="s">
        <v>27</v>
      </c>
    </row>
    <row r="203" spans="1:22" x14ac:dyDescent="0.25">
      <c r="A203" t="s">
        <v>65</v>
      </c>
      <c r="B203">
        <v>3</v>
      </c>
      <c r="C203" t="s">
        <v>66</v>
      </c>
      <c r="D203" t="s">
        <v>67</v>
      </c>
      <c r="E203" t="s">
        <v>68</v>
      </c>
      <c r="F203">
        <v>180</v>
      </c>
      <c r="G203">
        <v>1080</v>
      </c>
      <c r="H203">
        <v>-3</v>
      </c>
      <c r="I203">
        <v>1981</v>
      </c>
      <c r="J203" t="s">
        <v>61</v>
      </c>
      <c r="K203">
        <v>1171</v>
      </c>
      <c r="L203">
        <v>0</v>
      </c>
      <c r="M203">
        <v>0</v>
      </c>
      <c r="N203" s="4">
        <f t="shared" si="6"/>
        <v>0</v>
      </c>
      <c r="O203" s="4">
        <f t="shared" si="7"/>
        <v>0</v>
      </c>
      <c r="P203" t="s">
        <v>44</v>
      </c>
      <c r="Q203">
        <v>2.5</v>
      </c>
      <c r="R203">
        <v>2</v>
      </c>
      <c r="S203">
        <v>1</v>
      </c>
      <c r="T203">
        <v>1</v>
      </c>
      <c r="U203">
        <v>1</v>
      </c>
      <c r="V203" t="s">
        <v>50</v>
      </c>
    </row>
    <row r="204" spans="1:22" x14ac:dyDescent="0.25">
      <c r="A204" t="s">
        <v>65</v>
      </c>
      <c r="B204">
        <v>3</v>
      </c>
      <c r="C204" t="s">
        <v>66</v>
      </c>
      <c r="D204" t="s">
        <v>67</v>
      </c>
      <c r="E204" t="s">
        <v>68</v>
      </c>
      <c r="F204">
        <v>180</v>
      </c>
      <c r="G204">
        <v>1080</v>
      </c>
      <c r="H204">
        <v>-3</v>
      </c>
      <c r="I204">
        <v>1981</v>
      </c>
      <c r="J204" t="s">
        <v>34</v>
      </c>
      <c r="K204">
        <v>2469</v>
      </c>
      <c r="L204">
        <v>7.68</v>
      </c>
      <c r="M204">
        <v>8</v>
      </c>
      <c r="N204" s="4">
        <f t="shared" si="6"/>
        <v>4.6301183999999992E-3</v>
      </c>
      <c r="O204" s="4">
        <f t="shared" si="7"/>
        <v>3.7040947199999993E-2</v>
      </c>
      <c r="P204">
        <v>88</v>
      </c>
      <c r="Q204">
        <v>4.5</v>
      </c>
      <c r="R204">
        <v>3</v>
      </c>
      <c r="S204">
        <v>4</v>
      </c>
      <c r="T204">
        <v>4</v>
      </c>
      <c r="U204">
        <v>4</v>
      </c>
      <c r="V204" t="s">
        <v>27</v>
      </c>
    </row>
    <row r="205" spans="1:22" x14ac:dyDescent="0.25">
      <c r="A205" t="s">
        <v>65</v>
      </c>
      <c r="B205">
        <v>3</v>
      </c>
      <c r="C205" t="s">
        <v>66</v>
      </c>
      <c r="D205" t="s">
        <v>67</v>
      </c>
      <c r="E205" t="s">
        <v>68</v>
      </c>
      <c r="F205">
        <v>180</v>
      </c>
      <c r="G205">
        <v>1080</v>
      </c>
      <c r="H205">
        <v>-3</v>
      </c>
      <c r="I205">
        <v>1981</v>
      </c>
      <c r="J205" t="s">
        <v>35</v>
      </c>
      <c r="K205">
        <v>1785</v>
      </c>
      <c r="L205">
        <v>3.2</v>
      </c>
      <c r="M205">
        <v>3.56</v>
      </c>
      <c r="N205" s="4">
        <f t="shared" si="6"/>
        <v>8.0384E-4</v>
      </c>
      <c r="O205" s="4">
        <f t="shared" si="7"/>
        <v>2.8616703999999999E-3</v>
      </c>
      <c r="P205">
        <v>88</v>
      </c>
      <c r="Q205">
        <v>1.5</v>
      </c>
      <c r="R205">
        <v>1.8</v>
      </c>
      <c r="S205">
        <v>2.5</v>
      </c>
      <c r="T205">
        <v>3.3</v>
      </c>
      <c r="U205">
        <v>3.5</v>
      </c>
      <c r="V205" t="s">
        <v>30</v>
      </c>
    </row>
    <row r="206" spans="1:22" x14ac:dyDescent="0.25">
      <c r="A206" t="s">
        <v>65</v>
      </c>
      <c r="B206">
        <v>3</v>
      </c>
      <c r="C206" t="s">
        <v>66</v>
      </c>
      <c r="D206" t="s">
        <v>67</v>
      </c>
      <c r="E206" t="s">
        <v>68</v>
      </c>
      <c r="F206">
        <v>180</v>
      </c>
      <c r="G206">
        <v>1080</v>
      </c>
      <c r="H206">
        <v>-3</v>
      </c>
      <c r="I206">
        <v>1981</v>
      </c>
      <c r="J206" t="s">
        <v>36</v>
      </c>
      <c r="K206">
        <v>1598</v>
      </c>
      <c r="L206">
        <v>6.78</v>
      </c>
      <c r="M206">
        <v>5.62</v>
      </c>
      <c r="N206" s="4">
        <f t="shared" si="6"/>
        <v>3.6085193999999998E-3</v>
      </c>
      <c r="O206" s="4">
        <f t="shared" si="7"/>
        <v>2.0279879027999999E-2</v>
      </c>
      <c r="P206">
        <v>63</v>
      </c>
      <c r="Q206">
        <v>3</v>
      </c>
      <c r="R206">
        <v>4</v>
      </c>
      <c r="S206">
        <v>2.5</v>
      </c>
      <c r="T206">
        <v>3</v>
      </c>
      <c r="U206">
        <v>2</v>
      </c>
      <c r="V206" t="s">
        <v>38</v>
      </c>
    </row>
    <row r="207" spans="1:22" x14ac:dyDescent="0.25">
      <c r="A207" t="s">
        <v>65</v>
      </c>
      <c r="B207">
        <v>3</v>
      </c>
      <c r="C207" t="s">
        <v>66</v>
      </c>
      <c r="D207" t="s">
        <v>67</v>
      </c>
      <c r="E207" t="s">
        <v>68</v>
      </c>
      <c r="F207">
        <v>180</v>
      </c>
      <c r="G207">
        <v>1080</v>
      </c>
      <c r="H207">
        <v>-3</v>
      </c>
      <c r="I207">
        <v>1981</v>
      </c>
      <c r="J207" t="s">
        <v>62</v>
      </c>
      <c r="K207">
        <v>2428</v>
      </c>
      <c r="L207">
        <v>5.16</v>
      </c>
      <c r="M207">
        <v>5.86</v>
      </c>
      <c r="N207" s="4">
        <f t="shared" si="6"/>
        <v>2.0901095999999999E-3</v>
      </c>
      <c r="O207" s="4">
        <f t="shared" si="7"/>
        <v>1.2248042256E-2</v>
      </c>
      <c r="P207">
        <v>75</v>
      </c>
      <c r="Q207">
        <v>4</v>
      </c>
      <c r="R207">
        <v>3</v>
      </c>
      <c r="S207">
        <v>4</v>
      </c>
      <c r="T207">
        <v>4</v>
      </c>
      <c r="U207">
        <v>4</v>
      </c>
      <c r="V207" t="s">
        <v>27</v>
      </c>
    </row>
    <row r="208" spans="1:22" x14ac:dyDescent="0.25">
      <c r="A208" t="s">
        <v>65</v>
      </c>
      <c r="B208">
        <v>3</v>
      </c>
      <c r="C208" t="s">
        <v>66</v>
      </c>
      <c r="D208" t="s">
        <v>67</v>
      </c>
      <c r="E208" t="s">
        <v>68</v>
      </c>
      <c r="F208">
        <v>180</v>
      </c>
      <c r="G208">
        <v>1080</v>
      </c>
      <c r="H208">
        <v>-3</v>
      </c>
      <c r="I208">
        <v>1981</v>
      </c>
      <c r="J208" t="s">
        <v>62</v>
      </c>
      <c r="K208">
        <v>2431</v>
      </c>
      <c r="L208">
        <v>3.35</v>
      </c>
      <c r="M208">
        <v>5.16</v>
      </c>
      <c r="N208" s="4">
        <f t="shared" si="6"/>
        <v>8.8096625000000015E-4</v>
      </c>
      <c r="O208" s="4">
        <f t="shared" si="7"/>
        <v>4.545785850000001E-3</v>
      </c>
      <c r="P208">
        <v>100</v>
      </c>
      <c r="Q208">
        <v>3</v>
      </c>
      <c r="R208">
        <v>3</v>
      </c>
      <c r="S208">
        <v>4.5</v>
      </c>
      <c r="T208">
        <v>4</v>
      </c>
      <c r="U208">
        <v>4</v>
      </c>
      <c r="V208" t="s">
        <v>25</v>
      </c>
    </row>
    <row r="209" spans="1:22" x14ac:dyDescent="0.25">
      <c r="A209" t="s">
        <v>65</v>
      </c>
      <c r="B209">
        <v>3</v>
      </c>
      <c r="C209" t="s">
        <v>66</v>
      </c>
      <c r="D209" t="s">
        <v>67</v>
      </c>
      <c r="E209" t="s">
        <v>68</v>
      </c>
      <c r="F209">
        <v>180</v>
      </c>
      <c r="G209">
        <v>1080</v>
      </c>
      <c r="H209">
        <v>-3</v>
      </c>
      <c r="I209">
        <v>1981</v>
      </c>
      <c r="J209" t="s">
        <v>62</v>
      </c>
      <c r="K209">
        <v>1787</v>
      </c>
      <c r="L209">
        <v>3.77</v>
      </c>
      <c r="M209">
        <v>4.88</v>
      </c>
      <c r="N209" s="4">
        <f t="shared" si="6"/>
        <v>1.1157126499999998E-3</v>
      </c>
      <c r="O209" s="4">
        <f t="shared" si="7"/>
        <v>5.444677731999999E-3</v>
      </c>
      <c r="P209">
        <v>88</v>
      </c>
      <c r="Q209">
        <v>4</v>
      </c>
      <c r="R209">
        <v>3.5</v>
      </c>
      <c r="S209">
        <v>4</v>
      </c>
      <c r="T209">
        <v>4</v>
      </c>
      <c r="U209">
        <v>4</v>
      </c>
      <c r="V209" t="s">
        <v>27</v>
      </c>
    </row>
    <row r="210" spans="1:22" x14ac:dyDescent="0.25">
      <c r="A210" t="s">
        <v>65</v>
      </c>
      <c r="B210">
        <v>3</v>
      </c>
      <c r="C210" t="s">
        <v>66</v>
      </c>
      <c r="D210" t="s">
        <v>67</v>
      </c>
      <c r="E210" t="s">
        <v>68</v>
      </c>
      <c r="F210">
        <v>180</v>
      </c>
      <c r="G210">
        <v>1080</v>
      </c>
      <c r="H210">
        <v>-3</v>
      </c>
      <c r="I210">
        <v>1981</v>
      </c>
      <c r="J210" t="s">
        <v>37</v>
      </c>
      <c r="K210">
        <v>1524</v>
      </c>
      <c r="L210">
        <v>4.49</v>
      </c>
      <c r="M210">
        <v>4.49</v>
      </c>
      <c r="N210" s="4">
        <f t="shared" si="6"/>
        <v>1.5825678500000003E-3</v>
      </c>
      <c r="O210" s="4">
        <f t="shared" si="7"/>
        <v>7.1057296465000018E-3</v>
      </c>
      <c r="P210">
        <v>88</v>
      </c>
      <c r="Q210">
        <v>2.2999999999999998</v>
      </c>
      <c r="R210">
        <v>2</v>
      </c>
      <c r="S210">
        <v>2.5</v>
      </c>
      <c r="T210">
        <v>4</v>
      </c>
      <c r="U210">
        <v>3</v>
      </c>
      <c r="V210" t="s">
        <v>30</v>
      </c>
    </row>
    <row r="211" spans="1:22" x14ac:dyDescent="0.25">
      <c r="A211" t="s">
        <v>65</v>
      </c>
      <c r="B211">
        <v>3</v>
      </c>
      <c r="C211" t="s">
        <v>66</v>
      </c>
      <c r="D211" t="s">
        <v>67</v>
      </c>
      <c r="E211" t="s">
        <v>68</v>
      </c>
      <c r="F211">
        <v>180</v>
      </c>
      <c r="G211">
        <v>1080</v>
      </c>
      <c r="H211">
        <v>-3</v>
      </c>
      <c r="I211">
        <v>1981</v>
      </c>
      <c r="J211" t="s">
        <v>63</v>
      </c>
      <c r="K211">
        <v>1340</v>
      </c>
      <c r="L211">
        <v>6.11</v>
      </c>
      <c r="M211">
        <v>5.74</v>
      </c>
      <c r="N211" s="4">
        <f t="shared" si="6"/>
        <v>2.9305698500000001E-3</v>
      </c>
      <c r="O211" s="4">
        <f t="shared" si="7"/>
        <v>1.6821470939000001E-2</v>
      </c>
      <c r="P211">
        <v>100</v>
      </c>
      <c r="Q211">
        <v>2.5</v>
      </c>
      <c r="R211">
        <v>1.5</v>
      </c>
      <c r="S211">
        <v>1.5</v>
      </c>
      <c r="T211">
        <v>1</v>
      </c>
      <c r="U211">
        <v>1</v>
      </c>
      <c r="V211" t="s">
        <v>30</v>
      </c>
    </row>
    <row r="212" spans="1:22" x14ac:dyDescent="0.25">
      <c r="A212" t="s">
        <v>65</v>
      </c>
      <c r="B212">
        <v>3</v>
      </c>
      <c r="C212" t="s">
        <v>66</v>
      </c>
      <c r="D212" t="s">
        <v>67</v>
      </c>
      <c r="E212" t="s">
        <v>68</v>
      </c>
      <c r="F212">
        <v>180</v>
      </c>
      <c r="G212">
        <v>1080</v>
      </c>
      <c r="H212">
        <v>-3</v>
      </c>
      <c r="I212">
        <v>1981</v>
      </c>
      <c r="J212" t="s">
        <v>69</v>
      </c>
      <c r="K212">
        <v>1780</v>
      </c>
      <c r="L212">
        <v>3.51</v>
      </c>
      <c r="M212">
        <v>4.68</v>
      </c>
      <c r="N212" s="4">
        <f t="shared" si="6"/>
        <v>9.6712784999999999E-4</v>
      </c>
      <c r="O212" s="4">
        <f t="shared" si="7"/>
        <v>4.5261583379999993E-3</v>
      </c>
      <c r="P212">
        <v>25</v>
      </c>
      <c r="Q212">
        <v>1.5</v>
      </c>
      <c r="R212">
        <v>1.5</v>
      </c>
      <c r="S212">
        <v>2</v>
      </c>
      <c r="T212">
        <v>2</v>
      </c>
      <c r="U212">
        <v>3</v>
      </c>
      <c r="V212" t="s">
        <v>30</v>
      </c>
    </row>
    <row r="213" spans="1:22" x14ac:dyDescent="0.25">
      <c r="A213" t="s">
        <v>70</v>
      </c>
      <c r="B213">
        <v>1</v>
      </c>
      <c r="C213" t="s">
        <v>71</v>
      </c>
      <c r="D213" t="s">
        <v>72</v>
      </c>
      <c r="E213" t="s">
        <v>73</v>
      </c>
      <c r="F213">
        <v>160</v>
      </c>
      <c r="G213">
        <v>1000</v>
      </c>
      <c r="H213">
        <v>-3</v>
      </c>
      <c r="I213">
        <v>1981</v>
      </c>
      <c r="J213" t="s">
        <v>55</v>
      </c>
      <c r="K213">
        <v>1094</v>
      </c>
      <c r="L213">
        <v>12</v>
      </c>
      <c r="M213">
        <v>10.3</v>
      </c>
      <c r="N213" s="4">
        <f t="shared" si="6"/>
        <v>1.1304E-2</v>
      </c>
      <c r="O213" s="4">
        <f t="shared" si="7"/>
        <v>0.11643120000000001</v>
      </c>
      <c r="P213">
        <v>38</v>
      </c>
      <c r="Q213">
        <v>2.8</v>
      </c>
      <c r="R213">
        <v>3.2</v>
      </c>
      <c r="S213">
        <v>2.8</v>
      </c>
      <c r="T213">
        <v>3.2</v>
      </c>
      <c r="U213">
        <v>3</v>
      </c>
      <c r="V213" t="s">
        <v>30</v>
      </c>
    </row>
    <row r="214" spans="1:22" x14ac:dyDescent="0.25">
      <c r="A214" t="s">
        <v>70</v>
      </c>
      <c r="B214">
        <v>1</v>
      </c>
      <c r="C214" t="s">
        <v>71</v>
      </c>
      <c r="D214" t="s">
        <v>72</v>
      </c>
      <c r="E214" t="s">
        <v>73</v>
      </c>
      <c r="F214">
        <v>160</v>
      </c>
      <c r="G214">
        <v>1000</v>
      </c>
      <c r="H214">
        <v>-3</v>
      </c>
      <c r="I214">
        <v>1981</v>
      </c>
      <c r="J214" t="s">
        <v>56</v>
      </c>
      <c r="K214">
        <v>1111</v>
      </c>
      <c r="L214">
        <v>15</v>
      </c>
      <c r="M214">
        <v>8.4</v>
      </c>
      <c r="N214" s="4">
        <f t="shared" si="6"/>
        <v>1.7662500000000001E-2</v>
      </c>
      <c r="O214" s="4">
        <f t="shared" si="7"/>
        <v>0.14836500000000002</v>
      </c>
      <c r="P214">
        <v>88</v>
      </c>
      <c r="Q214">
        <v>3</v>
      </c>
      <c r="R214">
        <v>3</v>
      </c>
      <c r="S214">
        <v>3</v>
      </c>
      <c r="T214">
        <v>3</v>
      </c>
      <c r="U214">
        <v>2</v>
      </c>
      <c r="V214" t="s">
        <v>38</v>
      </c>
    </row>
    <row r="215" spans="1:22" x14ac:dyDescent="0.25">
      <c r="A215" t="s">
        <v>70</v>
      </c>
      <c r="B215">
        <v>1</v>
      </c>
      <c r="C215" t="s">
        <v>71</v>
      </c>
      <c r="D215" t="s">
        <v>72</v>
      </c>
      <c r="E215" t="s">
        <v>73</v>
      </c>
      <c r="F215">
        <v>160</v>
      </c>
      <c r="G215">
        <v>1000</v>
      </c>
      <c r="H215">
        <v>-3</v>
      </c>
      <c r="I215">
        <v>1981</v>
      </c>
      <c r="J215" t="s">
        <v>57</v>
      </c>
      <c r="K215">
        <v>1112</v>
      </c>
      <c r="L215">
        <v>13</v>
      </c>
      <c r="M215">
        <v>11.1</v>
      </c>
      <c r="N215" s="4">
        <f t="shared" si="6"/>
        <v>1.3266500000000002E-2</v>
      </c>
      <c r="O215" s="4">
        <f t="shared" si="7"/>
        <v>0.14725815000000003</v>
      </c>
      <c r="P215">
        <v>100</v>
      </c>
      <c r="Q215">
        <v>3</v>
      </c>
      <c r="R215">
        <v>2</v>
      </c>
      <c r="S215">
        <v>3.5</v>
      </c>
      <c r="T215">
        <v>3</v>
      </c>
      <c r="U215">
        <v>3</v>
      </c>
      <c r="V215" t="s">
        <v>38</v>
      </c>
    </row>
    <row r="216" spans="1:22" x14ac:dyDescent="0.25">
      <c r="A216" t="s">
        <v>70</v>
      </c>
      <c r="B216">
        <v>1</v>
      </c>
      <c r="C216" t="s">
        <v>71</v>
      </c>
      <c r="D216" t="s">
        <v>72</v>
      </c>
      <c r="E216" t="s">
        <v>73</v>
      </c>
      <c r="F216">
        <v>160</v>
      </c>
      <c r="G216">
        <v>1000</v>
      </c>
      <c r="H216">
        <v>-3</v>
      </c>
      <c r="I216">
        <v>1981</v>
      </c>
      <c r="J216" t="s">
        <v>57</v>
      </c>
      <c r="K216">
        <v>1113</v>
      </c>
      <c r="L216">
        <v>8.6</v>
      </c>
      <c r="M216">
        <v>9.5</v>
      </c>
      <c r="N216" s="4">
        <f t="shared" si="6"/>
        <v>5.8058599999999995E-3</v>
      </c>
      <c r="O216" s="4">
        <f t="shared" si="7"/>
        <v>5.5155669999999997E-2</v>
      </c>
      <c r="P216">
        <v>100</v>
      </c>
      <c r="Q216">
        <v>2</v>
      </c>
      <c r="R216">
        <v>1.5</v>
      </c>
      <c r="S216">
        <v>4</v>
      </c>
      <c r="T216">
        <v>4</v>
      </c>
      <c r="U216">
        <v>4</v>
      </c>
      <c r="V216" t="s">
        <v>30</v>
      </c>
    </row>
    <row r="217" spans="1:22" x14ac:dyDescent="0.25">
      <c r="A217" t="s">
        <v>70</v>
      </c>
      <c r="B217">
        <v>1</v>
      </c>
      <c r="C217" t="s">
        <v>71</v>
      </c>
      <c r="D217" t="s">
        <v>72</v>
      </c>
      <c r="E217" t="s">
        <v>73</v>
      </c>
      <c r="F217">
        <v>160</v>
      </c>
      <c r="G217">
        <v>1000</v>
      </c>
      <c r="H217">
        <v>-3</v>
      </c>
      <c r="I217">
        <v>1981</v>
      </c>
      <c r="J217" t="s">
        <v>58</v>
      </c>
      <c r="K217">
        <v>1338</v>
      </c>
      <c r="L217">
        <v>8.1999999999999993</v>
      </c>
      <c r="M217">
        <v>6.6</v>
      </c>
      <c r="N217" s="4">
        <f t="shared" si="6"/>
        <v>5.2783399999999986E-3</v>
      </c>
      <c r="O217" s="4">
        <f t="shared" si="7"/>
        <v>3.4837043999999991E-2</v>
      </c>
      <c r="P217">
        <v>63</v>
      </c>
      <c r="Q217">
        <v>4</v>
      </c>
      <c r="R217">
        <v>4</v>
      </c>
      <c r="S217">
        <v>3</v>
      </c>
      <c r="T217">
        <v>3</v>
      </c>
      <c r="U217">
        <v>3</v>
      </c>
      <c r="V217" t="s">
        <v>38</v>
      </c>
    </row>
    <row r="218" spans="1:22" x14ac:dyDescent="0.25">
      <c r="A218" t="s">
        <v>70</v>
      </c>
      <c r="B218">
        <v>1</v>
      </c>
      <c r="C218" t="s">
        <v>71</v>
      </c>
      <c r="D218" t="s">
        <v>72</v>
      </c>
      <c r="E218" t="s">
        <v>73</v>
      </c>
      <c r="F218">
        <v>160</v>
      </c>
      <c r="G218">
        <v>1000</v>
      </c>
      <c r="H218">
        <v>-3</v>
      </c>
      <c r="I218">
        <v>1981</v>
      </c>
      <c r="J218" t="s">
        <v>59</v>
      </c>
      <c r="K218">
        <v>1978</v>
      </c>
      <c r="L218">
        <v>15.7</v>
      </c>
      <c r="M218">
        <v>10</v>
      </c>
      <c r="N218" s="4">
        <f t="shared" si="6"/>
        <v>1.9349465E-2</v>
      </c>
      <c r="O218" s="4">
        <f t="shared" si="7"/>
        <v>0.19349464999999999</v>
      </c>
      <c r="P218">
        <v>100</v>
      </c>
      <c r="Q218">
        <v>4</v>
      </c>
      <c r="R218">
        <v>3</v>
      </c>
      <c r="S218">
        <v>2.5</v>
      </c>
      <c r="T218">
        <v>2.5</v>
      </c>
      <c r="U218">
        <v>2.5</v>
      </c>
      <c r="V218" t="s">
        <v>25</v>
      </c>
    </row>
    <row r="219" spans="1:22" x14ac:dyDescent="0.25">
      <c r="A219" t="s">
        <v>70</v>
      </c>
      <c r="B219">
        <v>1</v>
      </c>
      <c r="C219" t="s">
        <v>71</v>
      </c>
      <c r="D219" t="s">
        <v>72</v>
      </c>
      <c r="E219" t="s">
        <v>73</v>
      </c>
      <c r="F219">
        <v>160</v>
      </c>
      <c r="G219">
        <v>1000</v>
      </c>
      <c r="H219">
        <v>-3</v>
      </c>
      <c r="I219">
        <v>1981</v>
      </c>
      <c r="J219" t="s">
        <v>59</v>
      </c>
      <c r="K219">
        <v>1482</v>
      </c>
      <c r="L219">
        <v>15.9</v>
      </c>
      <c r="M219">
        <v>8.8000000000000007</v>
      </c>
      <c r="N219" s="4">
        <f t="shared" si="6"/>
        <v>1.9845585000000002E-2</v>
      </c>
      <c r="O219" s="4">
        <f t="shared" si="7"/>
        <v>0.17464114800000002</v>
      </c>
      <c r="P219">
        <v>75</v>
      </c>
      <c r="Q219">
        <v>4</v>
      </c>
      <c r="R219">
        <v>3</v>
      </c>
      <c r="S219">
        <v>3</v>
      </c>
      <c r="T219">
        <v>2</v>
      </c>
      <c r="U219">
        <v>2.5</v>
      </c>
      <c r="V219" t="s">
        <v>25</v>
      </c>
    </row>
    <row r="220" spans="1:22" x14ac:dyDescent="0.25">
      <c r="A220" t="s">
        <v>70</v>
      </c>
      <c r="B220">
        <v>1</v>
      </c>
      <c r="C220" t="s">
        <v>71</v>
      </c>
      <c r="D220" t="s">
        <v>72</v>
      </c>
      <c r="E220" t="s">
        <v>73</v>
      </c>
      <c r="F220">
        <v>160</v>
      </c>
      <c r="G220">
        <v>1000</v>
      </c>
      <c r="H220">
        <v>-3</v>
      </c>
      <c r="I220">
        <v>1981</v>
      </c>
      <c r="J220" t="s">
        <v>26</v>
      </c>
      <c r="K220">
        <v>1339</v>
      </c>
      <c r="L220">
        <v>13.7</v>
      </c>
      <c r="M220">
        <v>9.9</v>
      </c>
      <c r="N220" s="4">
        <f t="shared" si="6"/>
        <v>1.4733664999999996E-2</v>
      </c>
      <c r="O220" s="4">
        <f t="shared" si="7"/>
        <v>0.14586328349999997</v>
      </c>
      <c r="P220">
        <v>88</v>
      </c>
      <c r="Q220">
        <v>4</v>
      </c>
      <c r="R220">
        <v>3</v>
      </c>
      <c r="S220">
        <v>2.5</v>
      </c>
      <c r="T220">
        <v>2.5</v>
      </c>
      <c r="U220">
        <v>2.5</v>
      </c>
      <c r="V220" t="s">
        <v>38</v>
      </c>
    </row>
    <row r="221" spans="1:22" x14ac:dyDescent="0.25">
      <c r="A221" t="s">
        <v>70</v>
      </c>
      <c r="B221">
        <v>1</v>
      </c>
      <c r="C221" t="s">
        <v>71</v>
      </c>
      <c r="D221" t="s">
        <v>72</v>
      </c>
      <c r="E221" t="s">
        <v>73</v>
      </c>
      <c r="F221">
        <v>160</v>
      </c>
      <c r="G221">
        <v>1000</v>
      </c>
      <c r="H221">
        <v>-3</v>
      </c>
      <c r="I221">
        <v>1981</v>
      </c>
      <c r="J221" t="s">
        <v>26</v>
      </c>
      <c r="K221">
        <v>2447</v>
      </c>
      <c r="L221">
        <v>11.2</v>
      </c>
      <c r="M221">
        <v>9.1</v>
      </c>
      <c r="N221" s="4">
        <f t="shared" si="6"/>
        <v>9.8470399999999979E-3</v>
      </c>
      <c r="O221" s="4">
        <f t="shared" si="7"/>
        <v>8.9608063999999973E-2</v>
      </c>
      <c r="P221">
        <v>88</v>
      </c>
      <c r="Q221">
        <v>4</v>
      </c>
      <c r="R221">
        <v>3.5</v>
      </c>
      <c r="S221">
        <v>3</v>
      </c>
      <c r="T221">
        <v>3.5</v>
      </c>
      <c r="U221">
        <v>3</v>
      </c>
      <c r="V221" t="s">
        <v>25</v>
      </c>
    </row>
    <row r="222" spans="1:22" x14ac:dyDescent="0.25">
      <c r="A222" t="s">
        <v>70</v>
      </c>
      <c r="B222">
        <v>1</v>
      </c>
      <c r="C222" t="s">
        <v>71</v>
      </c>
      <c r="D222" t="s">
        <v>72</v>
      </c>
      <c r="E222" t="s">
        <v>73</v>
      </c>
      <c r="F222">
        <v>160</v>
      </c>
      <c r="G222">
        <v>1000</v>
      </c>
      <c r="H222">
        <v>-3</v>
      </c>
      <c r="I222">
        <v>1981</v>
      </c>
      <c r="J222" t="s">
        <v>26</v>
      </c>
      <c r="K222">
        <v>1786</v>
      </c>
      <c r="L222">
        <v>18.899999999999999</v>
      </c>
      <c r="M222">
        <v>11.8</v>
      </c>
      <c r="N222" s="4">
        <f t="shared" si="6"/>
        <v>2.8040984999999994E-2</v>
      </c>
      <c r="O222" s="4">
        <f t="shared" si="7"/>
        <v>0.33088362299999996</v>
      </c>
      <c r="P222">
        <v>75</v>
      </c>
      <c r="Q222">
        <v>5</v>
      </c>
      <c r="R222">
        <v>3</v>
      </c>
      <c r="S222">
        <v>2.5</v>
      </c>
      <c r="T222">
        <v>2.5</v>
      </c>
      <c r="U222">
        <v>2</v>
      </c>
      <c r="V222" t="s">
        <v>38</v>
      </c>
    </row>
    <row r="223" spans="1:22" x14ac:dyDescent="0.25">
      <c r="A223" t="s">
        <v>70</v>
      </c>
      <c r="B223">
        <v>1</v>
      </c>
      <c r="C223" t="s">
        <v>71</v>
      </c>
      <c r="D223" t="s">
        <v>72</v>
      </c>
      <c r="E223" t="s">
        <v>73</v>
      </c>
      <c r="F223">
        <v>160</v>
      </c>
      <c r="G223">
        <v>1000</v>
      </c>
      <c r="H223">
        <v>-3</v>
      </c>
      <c r="I223">
        <v>1981</v>
      </c>
      <c r="J223" t="s">
        <v>32</v>
      </c>
      <c r="K223">
        <v>1596</v>
      </c>
      <c r="L223">
        <v>11.6</v>
      </c>
      <c r="M223">
        <v>8.9</v>
      </c>
      <c r="N223" s="4">
        <f t="shared" si="6"/>
        <v>1.0562959999999998E-2</v>
      </c>
      <c r="O223" s="4">
        <f t="shared" si="7"/>
        <v>9.4010343999999982E-2</v>
      </c>
      <c r="P223">
        <v>100</v>
      </c>
      <c r="Q223">
        <v>4</v>
      </c>
      <c r="R223">
        <v>3</v>
      </c>
      <c r="S223">
        <v>4</v>
      </c>
      <c r="T223">
        <v>4</v>
      </c>
      <c r="U223">
        <v>4</v>
      </c>
      <c r="V223" t="s">
        <v>27</v>
      </c>
    </row>
    <row r="224" spans="1:22" x14ac:dyDescent="0.25">
      <c r="A224" t="s">
        <v>70</v>
      </c>
      <c r="B224">
        <v>1</v>
      </c>
      <c r="C224" t="s">
        <v>71</v>
      </c>
      <c r="D224" t="s">
        <v>72</v>
      </c>
      <c r="E224" t="s">
        <v>73</v>
      </c>
      <c r="F224">
        <v>160</v>
      </c>
      <c r="G224">
        <v>1000</v>
      </c>
      <c r="H224">
        <v>-3</v>
      </c>
      <c r="I224">
        <v>1981</v>
      </c>
      <c r="J224" t="s">
        <v>61</v>
      </c>
      <c r="K224">
        <v>1171</v>
      </c>
      <c r="L224">
        <v>8.6</v>
      </c>
      <c r="M224">
        <v>8.9</v>
      </c>
      <c r="N224" s="4">
        <f t="shared" si="6"/>
        <v>5.8058599999999995E-3</v>
      </c>
      <c r="O224" s="4">
        <f t="shared" si="7"/>
        <v>5.1672153999999998E-2</v>
      </c>
      <c r="P224">
        <v>100</v>
      </c>
      <c r="Q224">
        <v>3</v>
      </c>
      <c r="R224">
        <v>2.5</v>
      </c>
      <c r="S224">
        <v>2.8</v>
      </c>
      <c r="T224">
        <v>3</v>
      </c>
      <c r="U224">
        <v>2.8</v>
      </c>
      <c r="V224" t="s">
        <v>30</v>
      </c>
    </row>
    <row r="225" spans="1:22" x14ac:dyDescent="0.25">
      <c r="A225" t="s">
        <v>70</v>
      </c>
      <c r="B225">
        <v>1</v>
      </c>
      <c r="C225" t="s">
        <v>71</v>
      </c>
      <c r="D225" t="s">
        <v>72</v>
      </c>
      <c r="E225" t="s">
        <v>73</v>
      </c>
      <c r="F225">
        <v>160</v>
      </c>
      <c r="G225">
        <v>1000</v>
      </c>
      <c r="H225">
        <v>-3</v>
      </c>
      <c r="I225">
        <v>1981</v>
      </c>
      <c r="J225" t="s">
        <v>34</v>
      </c>
      <c r="K225">
        <v>2469</v>
      </c>
      <c r="L225">
        <v>13.4</v>
      </c>
      <c r="M225">
        <v>12.3</v>
      </c>
      <c r="N225" s="4">
        <f t="shared" si="6"/>
        <v>1.4095460000000002E-2</v>
      </c>
      <c r="O225" s="4">
        <f t="shared" si="7"/>
        <v>0.17337415800000003</v>
      </c>
      <c r="P225">
        <v>88</v>
      </c>
      <c r="Q225">
        <v>4</v>
      </c>
      <c r="R225">
        <v>3</v>
      </c>
      <c r="S225">
        <v>3.5</v>
      </c>
      <c r="T225">
        <v>3</v>
      </c>
      <c r="U225">
        <v>2.5</v>
      </c>
      <c r="V225" t="s">
        <v>27</v>
      </c>
    </row>
    <row r="226" spans="1:22" x14ac:dyDescent="0.25">
      <c r="A226" t="s">
        <v>70</v>
      </c>
      <c r="B226">
        <v>1</v>
      </c>
      <c r="C226" t="s">
        <v>71</v>
      </c>
      <c r="D226" t="s">
        <v>72</v>
      </c>
      <c r="E226" t="s">
        <v>73</v>
      </c>
      <c r="F226">
        <v>160</v>
      </c>
      <c r="G226">
        <v>1000</v>
      </c>
      <c r="H226">
        <v>-3</v>
      </c>
      <c r="I226">
        <v>1981</v>
      </c>
      <c r="J226" t="s">
        <v>34</v>
      </c>
      <c r="K226">
        <v>1337</v>
      </c>
      <c r="L226">
        <v>19.600000000000001</v>
      </c>
      <c r="M226">
        <v>11.8</v>
      </c>
      <c r="N226" s="4">
        <f t="shared" si="6"/>
        <v>3.0156560000000006E-2</v>
      </c>
      <c r="O226" s="4">
        <f t="shared" si="7"/>
        <v>0.35584740800000009</v>
      </c>
      <c r="P226">
        <v>63</v>
      </c>
      <c r="Q226">
        <v>5</v>
      </c>
      <c r="R226">
        <v>3</v>
      </c>
      <c r="S226">
        <v>3.5</v>
      </c>
      <c r="T226">
        <v>3</v>
      </c>
      <c r="U226">
        <v>2</v>
      </c>
      <c r="V226" t="s">
        <v>27</v>
      </c>
    </row>
    <row r="227" spans="1:22" x14ac:dyDescent="0.25">
      <c r="A227" t="s">
        <v>70</v>
      </c>
      <c r="B227">
        <v>1</v>
      </c>
      <c r="C227" t="s">
        <v>71</v>
      </c>
      <c r="D227" t="s">
        <v>72</v>
      </c>
      <c r="E227" t="s">
        <v>73</v>
      </c>
      <c r="F227">
        <v>160</v>
      </c>
      <c r="G227">
        <v>1000</v>
      </c>
      <c r="H227">
        <v>-3</v>
      </c>
      <c r="I227">
        <v>1981</v>
      </c>
      <c r="J227" t="s">
        <v>35</v>
      </c>
      <c r="K227">
        <v>1785</v>
      </c>
      <c r="L227">
        <v>11.1</v>
      </c>
      <c r="M227">
        <v>8.6999999999999993</v>
      </c>
      <c r="N227" s="4">
        <f t="shared" si="6"/>
        <v>9.671985000000001E-3</v>
      </c>
      <c r="O227" s="4">
        <f t="shared" si="7"/>
        <v>8.4146269499999996E-2</v>
      </c>
      <c r="P227">
        <v>88</v>
      </c>
      <c r="Q227">
        <v>3</v>
      </c>
      <c r="R227">
        <v>2</v>
      </c>
      <c r="S227">
        <v>3</v>
      </c>
      <c r="T227">
        <v>4</v>
      </c>
      <c r="U227">
        <v>4</v>
      </c>
      <c r="V227" t="s">
        <v>25</v>
      </c>
    </row>
    <row r="228" spans="1:22" x14ac:dyDescent="0.25">
      <c r="A228" t="s">
        <v>70</v>
      </c>
      <c r="B228">
        <v>1</v>
      </c>
      <c r="C228" t="s">
        <v>71</v>
      </c>
      <c r="D228" t="s">
        <v>72</v>
      </c>
      <c r="E228" t="s">
        <v>73</v>
      </c>
      <c r="F228">
        <v>160</v>
      </c>
      <c r="G228">
        <v>1000</v>
      </c>
      <c r="H228">
        <v>-3</v>
      </c>
      <c r="I228">
        <v>1981</v>
      </c>
      <c r="J228" t="s">
        <v>36</v>
      </c>
      <c r="K228">
        <v>1598</v>
      </c>
      <c r="L228">
        <v>10.8</v>
      </c>
      <c r="M228">
        <v>10</v>
      </c>
      <c r="N228" s="4">
        <f t="shared" si="6"/>
        <v>9.156240000000003E-3</v>
      </c>
      <c r="O228" s="4">
        <f t="shared" si="7"/>
        <v>9.156240000000003E-2</v>
      </c>
      <c r="P228">
        <v>75</v>
      </c>
      <c r="Q228">
        <v>3</v>
      </c>
      <c r="R228">
        <v>4</v>
      </c>
      <c r="S228">
        <v>3</v>
      </c>
      <c r="T228">
        <v>4</v>
      </c>
      <c r="U228">
        <v>3</v>
      </c>
      <c r="V228" t="s">
        <v>25</v>
      </c>
    </row>
    <row r="229" spans="1:22" x14ac:dyDescent="0.25">
      <c r="A229" t="s">
        <v>70</v>
      </c>
      <c r="B229">
        <v>1</v>
      </c>
      <c r="C229" t="s">
        <v>71</v>
      </c>
      <c r="D229" t="s">
        <v>72</v>
      </c>
      <c r="E229" t="s">
        <v>73</v>
      </c>
      <c r="F229">
        <v>160</v>
      </c>
      <c r="G229">
        <v>1000</v>
      </c>
      <c r="H229">
        <v>-3</v>
      </c>
      <c r="I229">
        <v>1981</v>
      </c>
      <c r="J229" t="s">
        <v>62</v>
      </c>
      <c r="K229">
        <v>2428</v>
      </c>
      <c r="L229">
        <v>11.2</v>
      </c>
      <c r="M229">
        <v>12.2</v>
      </c>
      <c r="N229" s="4">
        <f t="shared" si="6"/>
        <v>9.8470399999999979E-3</v>
      </c>
      <c r="O229" s="4">
        <f t="shared" si="7"/>
        <v>0.12013388799999997</v>
      </c>
      <c r="P229">
        <v>75</v>
      </c>
      <c r="Q229">
        <v>5</v>
      </c>
      <c r="R229">
        <v>3</v>
      </c>
      <c r="S229">
        <v>4</v>
      </c>
      <c r="T229">
        <v>3.5</v>
      </c>
      <c r="U229">
        <v>3.5</v>
      </c>
      <c r="V229" t="s">
        <v>25</v>
      </c>
    </row>
    <row r="230" spans="1:22" x14ac:dyDescent="0.25">
      <c r="A230" t="s">
        <v>70</v>
      </c>
      <c r="B230">
        <v>1</v>
      </c>
      <c r="C230" t="s">
        <v>71</v>
      </c>
      <c r="D230" t="s">
        <v>72</v>
      </c>
      <c r="E230" t="s">
        <v>73</v>
      </c>
      <c r="F230">
        <v>160</v>
      </c>
      <c r="G230">
        <v>1000</v>
      </c>
      <c r="H230">
        <v>-3</v>
      </c>
      <c r="I230">
        <v>1981</v>
      </c>
      <c r="J230" t="s">
        <v>62</v>
      </c>
      <c r="K230">
        <v>2430</v>
      </c>
      <c r="L230">
        <v>14</v>
      </c>
      <c r="M230">
        <v>13</v>
      </c>
      <c r="N230" s="4">
        <f t="shared" si="6"/>
        <v>1.5386000000000002E-2</v>
      </c>
      <c r="O230" s="4">
        <f t="shared" si="7"/>
        <v>0.20001800000000003</v>
      </c>
      <c r="P230">
        <v>63</v>
      </c>
      <c r="Q230">
        <v>5</v>
      </c>
      <c r="R230">
        <v>3</v>
      </c>
      <c r="S230">
        <v>3</v>
      </c>
      <c r="T230">
        <v>2</v>
      </c>
      <c r="U230">
        <v>2.5</v>
      </c>
      <c r="V230" t="s">
        <v>25</v>
      </c>
    </row>
    <row r="231" spans="1:22" x14ac:dyDescent="0.25">
      <c r="A231" t="s">
        <v>70</v>
      </c>
      <c r="B231">
        <v>1</v>
      </c>
      <c r="C231" t="s">
        <v>71</v>
      </c>
      <c r="D231" t="s">
        <v>72</v>
      </c>
      <c r="E231" t="s">
        <v>73</v>
      </c>
      <c r="F231">
        <v>160</v>
      </c>
      <c r="G231">
        <v>1000</v>
      </c>
      <c r="H231">
        <v>-3</v>
      </c>
      <c r="I231">
        <v>1981</v>
      </c>
      <c r="J231" t="s">
        <v>62</v>
      </c>
      <c r="K231">
        <v>2431</v>
      </c>
      <c r="L231">
        <v>9</v>
      </c>
      <c r="M231">
        <v>9.6</v>
      </c>
      <c r="N231" s="4">
        <f t="shared" si="6"/>
        <v>6.3584999999999996E-3</v>
      </c>
      <c r="O231" s="4">
        <f t="shared" si="7"/>
        <v>6.1041599999999994E-2</v>
      </c>
      <c r="P231">
        <v>75</v>
      </c>
      <c r="Q231">
        <v>4</v>
      </c>
      <c r="R231">
        <v>3</v>
      </c>
      <c r="S231">
        <v>4</v>
      </c>
      <c r="T231">
        <v>3</v>
      </c>
      <c r="U231">
        <v>2.5</v>
      </c>
      <c r="V231" t="s">
        <v>25</v>
      </c>
    </row>
    <row r="232" spans="1:22" x14ac:dyDescent="0.25">
      <c r="A232" t="s">
        <v>70</v>
      </c>
      <c r="B232">
        <v>1</v>
      </c>
      <c r="C232" t="s">
        <v>71</v>
      </c>
      <c r="D232" t="s">
        <v>72</v>
      </c>
      <c r="E232" t="s">
        <v>73</v>
      </c>
      <c r="F232">
        <v>160</v>
      </c>
      <c r="G232">
        <v>1000</v>
      </c>
      <c r="H232">
        <v>-3</v>
      </c>
      <c r="I232">
        <v>1981</v>
      </c>
      <c r="J232" t="s">
        <v>62</v>
      </c>
      <c r="K232">
        <v>1787</v>
      </c>
      <c r="L232">
        <v>14.4</v>
      </c>
      <c r="M232">
        <v>12.9</v>
      </c>
      <c r="N232" s="4">
        <f t="shared" si="6"/>
        <v>1.6277760000000006E-2</v>
      </c>
      <c r="O232" s="4">
        <f t="shared" si="7"/>
        <v>0.20998310400000009</v>
      </c>
      <c r="P232">
        <v>88</v>
      </c>
      <c r="Q232">
        <v>5</v>
      </c>
      <c r="R232">
        <v>3</v>
      </c>
      <c r="S232">
        <v>3</v>
      </c>
      <c r="T232">
        <v>3</v>
      </c>
      <c r="U232">
        <v>2.5</v>
      </c>
      <c r="V232" t="s">
        <v>25</v>
      </c>
    </row>
    <row r="233" spans="1:22" x14ac:dyDescent="0.25">
      <c r="A233" t="s">
        <v>70</v>
      </c>
      <c r="B233">
        <v>1</v>
      </c>
      <c r="C233" t="s">
        <v>71</v>
      </c>
      <c r="D233" t="s">
        <v>72</v>
      </c>
      <c r="E233" t="s">
        <v>73</v>
      </c>
      <c r="F233">
        <v>160</v>
      </c>
      <c r="G233">
        <v>1000</v>
      </c>
      <c r="H233">
        <v>-3</v>
      </c>
      <c r="I233">
        <v>1981</v>
      </c>
      <c r="J233" t="s">
        <v>69</v>
      </c>
      <c r="K233">
        <v>1780</v>
      </c>
      <c r="L233">
        <v>8.8000000000000007</v>
      </c>
      <c r="M233">
        <v>5.3</v>
      </c>
      <c r="N233" s="4">
        <f t="shared" si="6"/>
        <v>6.0790400000000017E-3</v>
      </c>
      <c r="O233" s="4">
        <f t="shared" si="7"/>
        <v>3.2218912000000009E-2</v>
      </c>
      <c r="P233">
        <v>63</v>
      </c>
      <c r="Q233">
        <v>3</v>
      </c>
      <c r="R233">
        <v>3</v>
      </c>
      <c r="S233">
        <v>3</v>
      </c>
      <c r="T233">
        <v>4</v>
      </c>
      <c r="U233">
        <v>4</v>
      </c>
      <c r="V233" t="s">
        <v>38</v>
      </c>
    </row>
    <row r="234" spans="1:22" x14ac:dyDescent="0.25">
      <c r="A234" t="s">
        <v>70</v>
      </c>
      <c r="B234">
        <v>1</v>
      </c>
      <c r="C234" t="s">
        <v>71</v>
      </c>
      <c r="D234" t="s">
        <v>72</v>
      </c>
      <c r="E234" t="s">
        <v>73</v>
      </c>
      <c r="F234">
        <v>160</v>
      </c>
      <c r="G234">
        <v>1000</v>
      </c>
      <c r="H234">
        <v>-3</v>
      </c>
      <c r="I234">
        <v>1981</v>
      </c>
      <c r="J234" t="s">
        <v>37</v>
      </c>
      <c r="K234">
        <v>1524</v>
      </c>
      <c r="L234">
        <v>6.5</v>
      </c>
      <c r="M234">
        <v>7</v>
      </c>
      <c r="N234" s="4">
        <f t="shared" si="6"/>
        <v>3.3166250000000006E-3</v>
      </c>
      <c r="O234" s="4">
        <f t="shared" si="7"/>
        <v>2.3216375000000004E-2</v>
      </c>
      <c r="P234">
        <v>50</v>
      </c>
      <c r="Q234">
        <v>2.5</v>
      </c>
      <c r="R234">
        <v>2.5</v>
      </c>
      <c r="S234">
        <v>3</v>
      </c>
      <c r="T234">
        <v>3</v>
      </c>
      <c r="U234">
        <v>3</v>
      </c>
      <c r="V234" t="s">
        <v>30</v>
      </c>
    </row>
    <row r="235" spans="1:22" x14ac:dyDescent="0.25">
      <c r="A235" t="s">
        <v>70</v>
      </c>
      <c r="B235">
        <v>1</v>
      </c>
      <c r="C235" t="s">
        <v>71</v>
      </c>
      <c r="D235" t="s">
        <v>72</v>
      </c>
      <c r="E235" t="s">
        <v>73</v>
      </c>
      <c r="F235">
        <v>160</v>
      </c>
      <c r="G235">
        <v>1000</v>
      </c>
      <c r="H235">
        <v>-3</v>
      </c>
      <c r="I235">
        <v>1981</v>
      </c>
      <c r="J235" t="s">
        <v>63</v>
      </c>
      <c r="K235">
        <v>1340</v>
      </c>
      <c r="L235">
        <v>5.7</v>
      </c>
      <c r="M235">
        <v>5.7</v>
      </c>
      <c r="N235" s="4">
        <f t="shared" si="6"/>
        <v>2.550465E-3</v>
      </c>
      <c r="O235" s="4">
        <f t="shared" si="7"/>
        <v>1.4537650500000001E-2</v>
      </c>
      <c r="P235">
        <v>100</v>
      </c>
      <c r="Q235">
        <v>3</v>
      </c>
      <c r="R235">
        <v>2</v>
      </c>
      <c r="S235">
        <v>3</v>
      </c>
      <c r="T235">
        <v>3</v>
      </c>
      <c r="U235">
        <v>3</v>
      </c>
      <c r="V235" t="s">
        <v>30</v>
      </c>
    </row>
    <row r="236" spans="1:22" x14ac:dyDescent="0.25">
      <c r="A236" t="s">
        <v>70</v>
      </c>
      <c r="B236">
        <v>1</v>
      </c>
      <c r="C236" t="s">
        <v>71</v>
      </c>
      <c r="D236" t="s">
        <v>72</v>
      </c>
      <c r="E236" t="s">
        <v>73</v>
      </c>
      <c r="F236">
        <v>160</v>
      </c>
      <c r="G236">
        <v>1000</v>
      </c>
      <c r="H236">
        <v>-3</v>
      </c>
      <c r="I236">
        <v>1981</v>
      </c>
      <c r="J236" t="s">
        <v>60</v>
      </c>
      <c r="K236">
        <v>1595</v>
      </c>
      <c r="L236">
        <v>8</v>
      </c>
      <c r="M236">
        <v>4.9000000000000004</v>
      </c>
      <c r="N236" s="4">
        <f t="shared" si="6"/>
        <v>5.0240000000000007E-3</v>
      </c>
      <c r="O236" s="4">
        <f t="shared" si="7"/>
        <v>2.4617600000000007E-2</v>
      </c>
      <c r="P236">
        <v>88</v>
      </c>
      <c r="Q236">
        <v>3.5</v>
      </c>
      <c r="R236">
        <v>1.5</v>
      </c>
      <c r="S236">
        <v>4</v>
      </c>
      <c r="T236">
        <v>4</v>
      </c>
      <c r="U236">
        <v>4</v>
      </c>
      <c r="V236" t="s">
        <v>38</v>
      </c>
    </row>
    <row r="237" spans="1:22" x14ac:dyDescent="0.25">
      <c r="A237" t="s">
        <v>70</v>
      </c>
      <c r="B237">
        <v>2</v>
      </c>
      <c r="C237" t="s">
        <v>71</v>
      </c>
      <c r="D237" t="s">
        <v>72</v>
      </c>
      <c r="E237" t="s">
        <v>73</v>
      </c>
      <c r="F237">
        <v>160</v>
      </c>
      <c r="G237">
        <v>1000</v>
      </c>
      <c r="H237">
        <v>-3</v>
      </c>
      <c r="I237">
        <v>1981</v>
      </c>
      <c r="J237" t="s">
        <v>55</v>
      </c>
      <c r="K237">
        <v>1094</v>
      </c>
      <c r="L237">
        <v>7.3</v>
      </c>
      <c r="M237">
        <v>6.8</v>
      </c>
      <c r="N237" s="4">
        <f t="shared" si="6"/>
        <v>4.1832649999999994E-3</v>
      </c>
      <c r="O237" s="4">
        <f t="shared" si="7"/>
        <v>2.8446201999999993E-2</v>
      </c>
      <c r="P237">
        <v>2.5</v>
      </c>
      <c r="Q237">
        <v>3.5</v>
      </c>
      <c r="R237">
        <v>3.5</v>
      </c>
      <c r="S237">
        <v>3.5</v>
      </c>
      <c r="T237">
        <v>3.5</v>
      </c>
      <c r="U237">
        <v>1.5</v>
      </c>
      <c r="V237" t="s">
        <v>50</v>
      </c>
    </row>
    <row r="238" spans="1:22" x14ac:dyDescent="0.25">
      <c r="A238" t="s">
        <v>70</v>
      </c>
      <c r="B238">
        <v>2</v>
      </c>
      <c r="C238" t="s">
        <v>71</v>
      </c>
      <c r="D238" t="s">
        <v>72</v>
      </c>
      <c r="E238" t="s">
        <v>73</v>
      </c>
      <c r="F238">
        <v>160</v>
      </c>
      <c r="G238">
        <v>1000</v>
      </c>
      <c r="H238">
        <v>-3</v>
      </c>
      <c r="I238">
        <v>1981</v>
      </c>
      <c r="J238" t="s">
        <v>56</v>
      </c>
      <c r="K238">
        <v>1111</v>
      </c>
      <c r="L238">
        <v>6.9</v>
      </c>
      <c r="M238">
        <v>5.6</v>
      </c>
      <c r="N238" s="4">
        <f t="shared" si="6"/>
        <v>3.7373850000000006E-3</v>
      </c>
      <c r="O238" s="4">
        <f t="shared" si="7"/>
        <v>2.0929356000000003E-2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2</v>
      </c>
      <c r="V238" t="s">
        <v>50</v>
      </c>
    </row>
    <row r="239" spans="1:22" x14ac:dyDescent="0.25">
      <c r="A239" t="s">
        <v>70</v>
      </c>
      <c r="B239">
        <v>2</v>
      </c>
      <c r="C239" t="s">
        <v>71</v>
      </c>
      <c r="D239" t="s">
        <v>72</v>
      </c>
      <c r="E239" t="s">
        <v>73</v>
      </c>
      <c r="F239">
        <v>160</v>
      </c>
      <c r="G239">
        <v>1000</v>
      </c>
      <c r="H239">
        <v>-3</v>
      </c>
      <c r="I239">
        <v>1981</v>
      </c>
      <c r="J239" t="s">
        <v>57</v>
      </c>
      <c r="K239">
        <v>1112</v>
      </c>
      <c r="L239">
        <v>7.4</v>
      </c>
      <c r="M239">
        <v>6.6</v>
      </c>
      <c r="N239" s="4">
        <f t="shared" si="6"/>
        <v>4.2986600000000019E-3</v>
      </c>
      <c r="O239" s="4">
        <f t="shared" si="7"/>
        <v>2.8371156000000012E-2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1</v>
      </c>
      <c r="V239" t="s">
        <v>50</v>
      </c>
    </row>
    <row r="240" spans="1:22" x14ac:dyDescent="0.25">
      <c r="A240" t="s">
        <v>70</v>
      </c>
      <c r="B240">
        <v>2</v>
      </c>
      <c r="C240" t="s">
        <v>71</v>
      </c>
      <c r="D240" t="s">
        <v>72</v>
      </c>
      <c r="E240" t="s">
        <v>73</v>
      </c>
      <c r="F240">
        <v>160</v>
      </c>
      <c r="G240">
        <v>1000</v>
      </c>
      <c r="H240">
        <v>-3</v>
      </c>
      <c r="I240">
        <v>1981</v>
      </c>
      <c r="J240" t="s">
        <v>57</v>
      </c>
      <c r="K240">
        <v>1113</v>
      </c>
      <c r="L240">
        <v>6.6</v>
      </c>
      <c r="M240">
        <v>5.4</v>
      </c>
      <c r="N240" s="4">
        <f t="shared" si="6"/>
        <v>3.4194600000000005E-3</v>
      </c>
      <c r="O240" s="4">
        <f t="shared" si="7"/>
        <v>1.8465084000000003E-2</v>
      </c>
      <c r="P240">
        <v>3</v>
      </c>
      <c r="Q240">
        <v>2</v>
      </c>
      <c r="R240">
        <v>3</v>
      </c>
      <c r="S240">
        <v>3</v>
      </c>
      <c r="T240">
        <v>3.5</v>
      </c>
      <c r="U240">
        <v>1.5</v>
      </c>
      <c r="V240" t="s">
        <v>50</v>
      </c>
    </row>
    <row r="241" spans="1:22" x14ac:dyDescent="0.25">
      <c r="A241" t="s">
        <v>70</v>
      </c>
      <c r="B241">
        <v>2</v>
      </c>
      <c r="C241" t="s">
        <v>71</v>
      </c>
      <c r="D241" t="s">
        <v>72</v>
      </c>
      <c r="E241" t="s">
        <v>73</v>
      </c>
      <c r="F241">
        <v>160</v>
      </c>
      <c r="G241">
        <v>1000</v>
      </c>
      <c r="H241">
        <v>-3</v>
      </c>
      <c r="I241">
        <v>1981</v>
      </c>
      <c r="J241" t="s">
        <v>58</v>
      </c>
      <c r="K241">
        <v>1338</v>
      </c>
      <c r="L241">
        <v>7.3</v>
      </c>
      <c r="M241">
        <v>5.6</v>
      </c>
      <c r="N241" s="4">
        <f t="shared" si="6"/>
        <v>4.1832649999999994E-3</v>
      </c>
      <c r="O241" s="4">
        <f t="shared" si="7"/>
        <v>2.3426283999999995E-2</v>
      </c>
      <c r="P241">
        <v>3.5</v>
      </c>
      <c r="Q241">
        <v>3</v>
      </c>
      <c r="R241">
        <v>2.5</v>
      </c>
      <c r="S241">
        <v>2.5</v>
      </c>
      <c r="T241">
        <v>2.5</v>
      </c>
      <c r="U241">
        <v>1.5</v>
      </c>
      <c r="V241" t="s">
        <v>50</v>
      </c>
    </row>
    <row r="242" spans="1:22" x14ac:dyDescent="0.25">
      <c r="A242" t="s">
        <v>70</v>
      </c>
      <c r="B242">
        <v>2</v>
      </c>
      <c r="C242" t="s">
        <v>71</v>
      </c>
      <c r="D242" t="s">
        <v>72</v>
      </c>
      <c r="E242" t="s">
        <v>73</v>
      </c>
      <c r="F242">
        <v>160</v>
      </c>
      <c r="G242">
        <v>1000</v>
      </c>
      <c r="H242">
        <v>-3</v>
      </c>
      <c r="I242">
        <v>1981</v>
      </c>
      <c r="J242" t="s">
        <v>59</v>
      </c>
      <c r="K242">
        <v>1978</v>
      </c>
      <c r="L242">
        <v>19.600000000000001</v>
      </c>
      <c r="M242">
        <v>10.3</v>
      </c>
      <c r="N242" s="4">
        <f t="shared" si="6"/>
        <v>3.0156560000000006E-2</v>
      </c>
      <c r="O242" s="4">
        <f t="shared" si="7"/>
        <v>0.31061256800000009</v>
      </c>
      <c r="P242">
        <v>3</v>
      </c>
      <c r="Q242">
        <v>3</v>
      </c>
      <c r="R242">
        <v>2.5</v>
      </c>
      <c r="S242">
        <v>2.5</v>
      </c>
      <c r="T242">
        <v>2</v>
      </c>
      <c r="U242">
        <v>2</v>
      </c>
      <c r="V242" t="s">
        <v>50</v>
      </c>
    </row>
    <row r="243" spans="1:22" x14ac:dyDescent="0.25">
      <c r="A243" t="s">
        <v>70</v>
      </c>
      <c r="B243">
        <v>2</v>
      </c>
      <c r="C243" t="s">
        <v>71</v>
      </c>
      <c r="D243" t="s">
        <v>72</v>
      </c>
      <c r="E243" t="s">
        <v>73</v>
      </c>
      <c r="F243">
        <v>160</v>
      </c>
      <c r="G243">
        <v>1000</v>
      </c>
      <c r="H243">
        <v>-3</v>
      </c>
      <c r="I243">
        <v>1981</v>
      </c>
      <c r="J243" t="s">
        <v>59</v>
      </c>
      <c r="K243">
        <v>1482</v>
      </c>
      <c r="L243">
        <v>15.4</v>
      </c>
      <c r="M243">
        <v>15.8</v>
      </c>
      <c r="N243" s="4">
        <f t="shared" si="6"/>
        <v>1.8617060000000001E-2</v>
      </c>
      <c r="O243" s="4">
        <f t="shared" si="7"/>
        <v>0.29414954800000004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3</v>
      </c>
      <c r="V243" t="s">
        <v>50</v>
      </c>
    </row>
    <row r="244" spans="1:22" x14ac:dyDescent="0.25">
      <c r="A244" t="s">
        <v>70</v>
      </c>
      <c r="B244">
        <v>2</v>
      </c>
      <c r="C244" t="s">
        <v>71</v>
      </c>
      <c r="D244" t="s">
        <v>72</v>
      </c>
      <c r="E244" t="s">
        <v>73</v>
      </c>
      <c r="F244">
        <v>160</v>
      </c>
      <c r="G244">
        <v>1000</v>
      </c>
      <c r="H244">
        <v>-3</v>
      </c>
      <c r="I244">
        <v>1981</v>
      </c>
      <c r="J244" t="s">
        <v>26</v>
      </c>
      <c r="K244">
        <v>1339</v>
      </c>
      <c r="L244">
        <v>15</v>
      </c>
      <c r="M244">
        <v>11.6</v>
      </c>
      <c r="N244" s="4">
        <f t="shared" si="6"/>
        <v>1.7662500000000001E-2</v>
      </c>
      <c r="O244" s="4">
        <f t="shared" si="7"/>
        <v>0.20488500000000001</v>
      </c>
      <c r="P244">
        <v>4</v>
      </c>
      <c r="Q244">
        <v>3</v>
      </c>
      <c r="R244">
        <v>2</v>
      </c>
      <c r="S244">
        <v>2</v>
      </c>
      <c r="T244">
        <v>2</v>
      </c>
      <c r="U244">
        <v>3</v>
      </c>
      <c r="V244" t="s">
        <v>50</v>
      </c>
    </row>
    <row r="245" spans="1:22" x14ac:dyDescent="0.25">
      <c r="A245" t="s">
        <v>70</v>
      </c>
      <c r="B245">
        <v>2</v>
      </c>
      <c r="C245" t="s">
        <v>71</v>
      </c>
      <c r="D245" t="s">
        <v>72</v>
      </c>
      <c r="E245" t="s">
        <v>73</v>
      </c>
      <c r="F245">
        <v>160</v>
      </c>
      <c r="G245">
        <v>1000</v>
      </c>
      <c r="H245">
        <v>-3</v>
      </c>
      <c r="I245">
        <v>1981</v>
      </c>
      <c r="J245" t="s">
        <v>26</v>
      </c>
      <c r="K245">
        <v>2447</v>
      </c>
      <c r="L245">
        <v>13.9</v>
      </c>
      <c r="M245">
        <v>11.1</v>
      </c>
      <c r="N245" s="4">
        <f t="shared" si="6"/>
        <v>1.5166985000000004E-2</v>
      </c>
      <c r="O245" s="4">
        <f t="shared" si="7"/>
        <v>0.16835353350000004</v>
      </c>
      <c r="P245">
        <v>5</v>
      </c>
      <c r="Q245">
        <v>3</v>
      </c>
      <c r="R245">
        <v>3</v>
      </c>
      <c r="S245">
        <v>2.5</v>
      </c>
      <c r="T245">
        <v>2</v>
      </c>
      <c r="U245">
        <v>3</v>
      </c>
      <c r="V245" t="s">
        <v>50</v>
      </c>
    </row>
    <row r="246" spans="1:22" x14ac:dyDescent="0.25">
      <c r="A246" t="s">
        <v>70</v>
      </c>
      <c r="B246">
        <v>2</v>
      </c>
      <c r="C246" t="s">
        <v>71</v>
      </c>
      <c r="D246" t="s">
        <v>72</v>
      </c>
      <c r="E246" t="s">
        <v>73</v>
      </c>
      <c r="F246">
        <v>160</v>
      </c>
      <c r="G246">
        <v>1000</v>
      </c>
      <c r="H246">
        <v>-3</v>
      </c>
      <c r="I246">
        <v>1981</v>
      </c>
      <c r="J246" t="s">
        <v>26</v>
      </c>
      <c r="K246">
        <v>1786</v>
      </c>
      <c r="L246">
        <v>15.6</v>
      </c>
      <c r="M246">
        <v>12.1</v>
      </c>
      <c r="N246" s="4">
        <f t="shared" si="6"/>
        <v>1.9103760000000001E-2</v>
      </c>
      <c r="O246" s="4">
        <f t="shared" si="7"/>
        <v>0.23115549600000002</v>
      </c>
      <c r="P246">
        <v>4</v>
      </c>
      <c r="Q246">
        <v>3</v>
      </c>
      <c r="R246">
        <v>3.5</v>
      </c>
      <c r="S246">
        <v>3</v>
      </c>
      <c r="T246">
        <v>2</v>
      </c>
      <c r="U246">
        <v>3</v>
      </c>
      <c r="V246" t="s">
        <v>50</v>
      </c>
    </row>
    <row r="247" spans="1:22" x14ac:dyDescent="0.25">
      <c r="A247" t="s">
        <v>70</v>
      </c>
      <c r="B247">
        <v>2</v>
      </c>
      <c r="C247" t="s">
        <v>71</v>
      </c>
      <c r="D247" t="s">
        <v>72</v>
      </c>
      <c r="E247" t="s">
        <v>73</v>
      </c>
      <c r="F247">
        <v>160</v>
      </c>
      <c r="G247">
        <v>1000</v>
      </c>
      <c r="H247">
        <v>-3</v>
      </c>
      <c r="I247">
        <v>1981</v>
      </c>
      <c r="J247" t="s">
        <v>32</v>
      </c>
      <c r="K247">
        <v>1596</v>
      </c>
      <c r="L247">
        <v>7.9</v>
      </c>
      <c r="M247">
        <v>8.6</v>
      </c>
      <c r="N247" s="4">
        <f t="shared" si="6"/>
        <v>4.8991850000000003E-3</v>
      </c>
      <c r="O247" s="4">
        <f t="shared" si="7"/>
        <v>4.2132991000000002E-2</v>
      </c>
      <c r="P247">
        <v>2.5</v>
      </c>
      <c r="Q247">
        <v>3</v>
      </c>
      <c r="R247">
        <v>2.5</v>
      </c>
      <c r="S247">
        <v>4</v>
      </c>
      <c r="T247">
        <v>3.5</v>
      </c>
      <c r="U247">
        <v>1</v>
      </c>
      <c r="V247" t="s">
        <v>50</v>
      </c>
    </row>
    <row r="248" spans="1:22" x14ac:dyDescent="0.25">
      <c r="A248" t="s">
        <v>70</v>
      </c>
      <c r="B248">
        <v>2</v>
      </c>
      <c r="C248" t="s">
        <v>71</v>
      </c>
      <c r="D248" t="s">
        <v>72</v>
      </c>
      <c r="E248" t="s">
        <v>73</v>
      </c>
      <c r="F248">
        <v>160</v>
      </c>
      <c r="G248">
        <v>1000</v>
      </c>
      <c r="H248">
        <v>-3</v>
      </c>
      <c r="I248">
        <v>1981</v>
      </c>
      <c r="J248" t="s">
        <v>61</v>
      </c>
      <c r="K248">
        <v>1171</v>
      </c>
      <c r="L248">
        <v>6.6</v>
      </c>
      <c r="M248">
        <v>5.8</v>
      </c>
      <c r="N248" s="4">
        <f t="shared" si="6"/>
        <v>3.4194600000000005E-3</v>
      </c>
      <c r="O248" s="4">
        <f t="shared" si="7"/>
        <v>1.9832868000000003E-2</v>
      </c>
      <c r="P248">
        <v>2</v>
      </c>
      <c r="Q248">
        <v>3</v>
      </c>
      <c r="R248">
        <v>2.5</v>
      </c>
      <c r="S248">
        <v>2.5</v>
      </c>
      <c r="T248">
        <v>3</v>
      </c>
      <c r="U248">
        <v>0.5</v>
      </c>
      <c r="V248" t="s">
        <v>50</v>
      </c>
    </row>
    <row r="249" spans="1:22" x14ac:dyDescent="0.25">
      <c r="A249" t="s">
        <v>70</v>
      </c>
      <c r="B249">
        <v>2</v>
      </c>
      <c r="C249" t="s">
        <v>71</v>
      </c>
      <c r="D249" t="s">
        <v>72</v>
      </c>
      <c r="E249" t="s">
        <v>73</v>
      </c>
      <c r="F249">
        <v>160</v>
      </c>
      <c r="G249">
        <v>1000</v>
      </c>
      <c r="H249">
        <v>-3</v>
      </c>
      <c r="I249">
        <v>1981</v>
      </c>
      <c r="J249" t="s">
        <v>34</v>
      </c>
      <c r="K249">
        <v>2469</v>
      </c>
      <c r="L249">
        <v>15.2</v>
      </c>
      <c r="M249">
        <v>12.3</v>
      </c>
      <c r="N249" s="4">
        <f t="shared" si="6"/>
        <v>1.8136639999999999E-2</v>
      </c>
      <c r="O249" s="4">
        <f t="shared" si="7"/>
        <v>0.22308067200000001</v>
      </c>
      <c r="P249">
        <v>5</v>
      </c>
      <c r="Q249">
        <v>3</v>
      </c>
      <c r="R249">
        <v>4</v>
      </c>
      <c r="S249">
        <v>3.5</v>
      </c>
      <c r="T249">
        <v>3</v>
      </c>
      <c r="U249">
        <v>4</v>
      </c>
      <c r="V249" t="s">
        <v>50</v>
      </c>
    </row>
    <row r="250" spans="1:22" x14ac:dyDescent="0.25">
      <c r="A250" t="s">
        <v>70</v>
      </c>
      <c r="B250">
        <v>2</v>
      </c>
      <c r="C250" t="s">
        <v>71</v>
      </c>
      <c r="D250" t="s">
        <v>72</v>
      </c>
      <c r="E250" t="s">
        <v>73</v>
      </c>
      <c r="F250">
        <v>160</v>
      </c>
      <c r="G250">
        <v>1000</v>
      </c>
      <c r="H250">
        <v>-3</v>
      </c>
      <c r="I250">
        <v>1981</v>
      </c>
      <c r="J250" t="s">
        <v>34</v>
      </c>
      <c r="K250">
        <v>1337</v>
      </c>
      <c r="L250">
        <v>17.100000000000001</v>
      </c>
      <c r="M250">
        <v>12.1</v>
      </c>
      <c r="N250" s="4">
        <f t="shared" si="6"/>
        <v>2.2954185000000002E-2</v>
      </c>
      <c r="O250" s="4">
        <f t="shared" si="7"/>
        <v>0.2777456385</v>
      </c>
      <c r="P250">
        <v>5</v>
      </c>
      <c r="Q250">
        <v>3</v>
      </c>
      <c r="R250">
        <v>3.5</v>
      </c>
      <c r="S250">
        <v>3</v>
      </c>
      <c r="T250">
        <v>3</v>
      </c>
      <c r="U250">
        <v>4</v>
      </c>
      <c r="V250" t="s">
        <v>50</v>
      </c>
    </row>
    <row r="251" spans="1:22" x14ac:dyDescent="0.25">
      <c r="A251" t="s">
        <v>70</v>
      </c>
      <c r="B251">
        <v>2</v>
      </c>
      <c r="C251" t="s">
        <v>71</v>
      </c>
      <c r="D251" t="s">
        <v>72</v>
      </c>
      <c r="E251" t="s">
        <v>73</v>
      </c>
      <c r="F251">
        <v>160</v>
      </c>
      <c r="G251">
        <v>1000</v>
      </c>
      <c r="H251">
        <v>-3</v>
      </c>
      <c r="I251">
        <v>1981</v>
      </c>
      <c r="J251" t="s">
        <v>35</v>
      </c>
      <c r="K251">
        <v>1785</v>
      </c>
      <c r="L251">
        <v>5.5</v>
      </c>
      <c r="M251">
        <v>3.4</v>
      </c>
      <c r="N251" s="4">
        <f t="shared" si="6"/>
        <v>2.374625E-3</v>
      </c>
      <c r="O251" s="4">
        <f t="shared" si="7"/>
        <v>8.0737250000000003E-3</v>
      </c>
      <c r="P251">
        <v>2</v>
      </c>
      <c r="Q251">
        <v>1</v>
      </c>
      <c r="R251">
        <v>3</v>
      </c>
      <c r="S251">
        <v>2.5</v>
      </c>
      <c r="T251">
        <v>3</v>
      </c>
      <c r="U251">
        <v>1</v>
      </c>
      <c r="V251" t="s">
        <v>50</v>
      </c>
    </row>
    <row r="252" spans="1:22" x14ac:dyDescent="0.25">
      <c r="A252" t="s">
        <v>70</v>
      </c>
      <c r="B252">
        <v>2</v>
      </c>
      <c r="C252" t="s">
        <v>71</v>
      </c>
      <c r="D252" t="s">
        <v>72</v>
      </c>
      <c r="E252" t="s">
        <v>73</v>
      </c>
      <c r="F252">
        <v>160</v>
      </c>
      <c r="G252">
        <v>1000</v>
      </c>
      <c r="H252">
        <v>-3</v>
      </c>
      <c r="I252">
        <v>1981</v>
      </c>
      <c r="J252" t="s">
        <v>36</v>
      </c>
      <c r="K252">
        <v>1598</v>
      </c>
      <c r="L252">
        <v>15.3</v>
      </c>
      <c r="M252">
        <v>12.7</v>
      </c>
      <c r="N252" s="4">
        <f t="shared" si="6"/>
        <v>1.8376065E-2</v>
      </c>
      <c r="O252" s="4">
        <f t="shared" si="7"/>
        <v>0.2333760255</v>
      </c>
      <c r="P252">
        <v>3</v>
      </c>
      <c r="Q252">
        <v>4</v>
      </c>
      <c r="R252">
        <v>2.5</v>
      </c>
      <c r="S252">
        <v>3</v>
      </c>
      <c r="T252">
        <v>2</v>
      </c>
      <c r="U252">
        <v>3</v>
      </c>
      <c r="V252" t="s">
        <v>50</v>
      </c>
    </row>
    <row r="253" spans="1:22" x14ac:dyDescent="0.25">
      <c r="A253" t="s">
        <v>70</v>
      </c>
      <c r="B253">
        <v>2</v>
      </c>
      <c r="C253" t="s">
        <v>71</v>
      </c>
      <c r="D253" t="s">
        <v>72</v>
      </c>
      <c r="E253" t="s">
        <v>73</v>
      </c>
      <c r="F253">
        <v>160</v>
      </c>
      <c r="G253">
        <v>1000</v>
      </c>
      <c r="H253">
        <v>-3</v>
      </c>
      <c r="I253">
        <v>1981</v>
      </c>
      <c r="J253" t="s">
        <v>62</v>
      </c>
      <c r="K253">
        <v>2428</v>
      </c>
      <c r="L253">
        <v>10.9</v>
      </c>
      <c r="M253">
        <v>9.8000000000000007</v>
      </c>
      <c r="N253" s="4">
        <f t="shared" si="6"/>
        <v>9.3265850000000001E-3</v>
      </c>
      <c r="O253" s="4">
        <f t="shared" si="7"/>
        <v>9.1400533000000006E-2</v>
      </c>
      <c r="P253">
        <v>4</v>
      </c>
      <c r="Q253">
        <v>3</v>
      </c>
      <c r="R253">
        <v>2.5</v>
      </c>
      <c r="S253">
        <v>2</v>
      </c>
      <c r="T253">
        <v>3</v>
      </c>
      <c r="U253">
        <v>4</v>
      </c>
      <c r="V253" t="s">
        <v>50</v>
      </c>
    </row>
    <row r="254" spans="1:22" x14ac:dyDescent="0.25">
      <c r="A254" t="s">
        <v>70</v>
      </c>
      <c r="B254">
        <v>2</v>
      </c>
      <c r="C254" t="s">
        <v>71</v>
      </c>
      <c r="D254" t="s">
        <v>72</v>
      </c>
      <c r="E254" t="s">
        <v>73</v>
      </c>
      <c r="F254">
        <v>160</v>
      </c>
      <c r="G254">
        <v>1000</v>
      </c>
      <c r="H254">
        <v>-3</v>
      </c>
      <c r="I254">
        <v>1981</v>
      </c>
      <c r="J254" t="s">
        <v>62</v>
      </c>
      <c r="K254">
        <v>2430</v>
      </c>
      <c r="L254">
        <v>13</v>
      </c>
      <c r="M254">
        <v>10.4</v>
      </c>
      <c r="N254" s="4">
        <f t="shared" si="6"/>
        <v>1.3266500000000002E-2</v>
      </c>
      <c r="O254" s="4">
        <f t="shared" si="7"/>
        <v>0.13797160000000003</v>
      </c>
      <c r="P254">
        <v>4</v>
      </c>
      <c r="Q254">
        <v>3</v>
      </c>
      <c r="R254">
        <v>3.5</v>
      </c>
      <c r="S254">
        <v>2.5</v>
      </c>
      <c r="T254">
        <v>2</v>
      </c>
      <c r="U254">
        <v>4</v>
      </c>
      <c r="V254" t="s">
        <v>50</v>
      </c>
    </row>
    <row r="255" spans="1:22" x14ac:dyDescent="0.25">
      <c r="A255" t="s">
        <v>70</v>
      </c>
      <c r="B255">
        <v>2</v>
      </c>
      <c r="C255" t="s">
        <v>71</v>
      </c>
      <c r="D255" t="s">
        <v>72</v>
      </c>
      <c r="E255" t="s">
        <v>73</v>
      </c>
      <c r="F255">
        <v>160</v>
      </c>
      <c r="G255">
        <v>1000</v>
      </c>
      <c r="H255">
        <v>-3</v>
      </c>
      <c r="I255">
        <v>1981</v>
      </c>
      <c r="J255" t="s">
        <v>62</v>
      </c>
      <c r="K255">
        <v>2431</v>
      </c>
      <c r="L255">
        <v>10.6</v>
      </c>
      <c r="M255">
        <v>10.199999999999999</v>
      </c>
      <c r="N255" s="4">
        <f t="shared" si="6"/>
        <v>8.8202599999999999E-3</v>
      </c>
      <c r="O255" s="4">
        <f t="shared" si="7"/>
        <v>8.9966651999999994E-2</v>
      </c>
      <c r="P255">
        <v>4</v>
      </c>
      <c r="Q255">
        <v>3</v>
      </c>
      <c r="R255">
        <v>3.5</v>
      </c>
      <c r="S255">
        <v>2.5</v>
      </c>
      <c r="T255">
        <v>3</v>
      </c>
      <c r="U255">
        <v>3</v>
      </c>
      <c r="V255" t="s">
        <v>50</v>
      </c>
    </row>
    <row r="256" spans="1:22" x14ac:dyDescent="0.25">
      <c r="A256" t="s">
        <v>70</v>
      </c>
      <c r="B256">
        <v>2</v>
      </c>
      <c r="C256" t="s">
        <v>71</v>
      </c>
      <c r="D256" t="s">
        <v>72</v>
      </c>
      <c r="E256" t="s">
        <v>73</v>
      </c>
      <c r="F256">
        <v>160</v>
      </c>
      <c r="G256">
        <v>1000</v>
      </c>
      <c r="H256">
        <v>-3</v>
      </c>
      <c r="I256">
        <v>1981</v>
      </c>
      <c r="J256" t="s">
        <v>62</v>
      </c>
      <c r="K256">
        <v>1787</v>
      </c>
      <c r="L256">
        <v>10.3</v>
      </c>
      <c r="M256">
        <v>10</v>
      </c>
      <c r="N256" s="4">
        <f t="shared" si="6"/>
        <v>8.3280650000000025E-3</v>
      </c>
      <c r="O256" s="4">
        <f t="shared" si="7"/>
        <v>8.3280650000000025E-2</v>
      </c>
      <c r="P256">
        <v>4</v>
      </c>
      <c r="Q256">
        <v>3</v>
      </c>
      <c r="R256">
        <v>4</v>
      </c>
      <c r="S256">
        <v>3</v>
      </c>
      <c r="T256">
        <v>3</v>
      </c>
      <c r="U256">
        <v>3</v>
      </c>
      <c r="V256" t="s">
        <v>50</v>
      </c>
    </row>
    <row r="257" spans="1:22" x14ac:dyDescent="0.25">
      <c r="A257" t="s">
        <v>70</v>
      </c>
      <c r="B257">
        <v>2</v>
      </c>
      <c r="C257" t="s">
        <v>71</v>
      </c>
      <c r="D257" t="s">
        <v>72</v>
      </c>
      <c r="E257" t="s">
        <v>73</v>
      </c>
      <c r="F257">
        <v>160</v>
      </c>
      <c r="G257">
        <v>1000</v>
      </c>
      <c r="H257">
        <v>-3</v>
      </c>
      <c r="I257">
        <v>1981</v>
      </c>
      <c r="J257" t="s">
        <v>69</v>
      </c>
      <c r="K257">
        <v>1780</v>
      </c>
      <c r="L257">
        <v>3.2</v>
      </c>
      <c r="M257">
        <v>5.9</v>
      </c>
      <c r="N257" s="4">
        <f t="shared" si="6"/>
        <v>8.0384E-4</v>
      </c>
      <c r="O257" s="4">
        <f t="shared" si="7"/>
        <v>4.7426560000000005E-3</v>
      </c>
      <c r="P257">
        <v>1.5</v>
      </c>
      <c r="Q257">
        <v>3</v>
      </c>
      <c r="R257">
        <v>2</v>
      </c>
      <c r="S257">
        <v>2</v>
      </c>
      <c r="T257">
        <v>2</v>
      </c>
      <c r="U257">
        <v>0</v>
      </c>
      <c r="V257" t="s">
        <v>50</v>
      </c>
    </row>
    <row r="258" spans="1:22" x14ac:dyDescent="0.25">
      <c r="A258" t="s">
        <v>70</v>
      </c>
      <c r="B258">
        <v>2</v>
      </c>
      <c r="C258" t="s">
        <v>71</v>
      </c>
      <c r="D258" t="s">
        <v>72</v>
      </c>
      <c r="E258" t="s">
        <v>73</v>
      </c>
      <c r="F258">
        <v>160</v>
      </c>
      <c r="G258">
        <v>1000</v>
      </c>
      <c r="H258">
        <v>-3</v>
      </c>
      <c r="I258">
        <v>1981</v>
      </c>
      <c r="J258" t="s">
        <v>39</v>
      </c>
      <c r="K258">
        <v>2435</v>
      </c>
      <c r="L258">
        <v>15</v>
      </c>
      <c r="M258">
        <v>13</v>
      </c>
      <c r="N258" s="4">
        <f t="shared" si="6"/>
        <v>1.7662500000000001E-2</v>
      </c>
      <c r="O258" s="4">
        <f t="shared" si="7"/>
        <v>0.22961250000000002</v>
      </c>
      <c r="P258">
        <v>2.5</v>
      </c>
      <c r="Q258">
        <v>3</v>
      </c>
      <c r="R258">
        <v>4</v>
      </c>
      <c r="S258">
        <v>4</v>
      </c>
      <c r="T258">
        <v>4</v>
      </c>
      <c r="U258">
        <v>2</v>
      </c>
      <c r="V258" t="s">
        <v>50</v>
      </c>
    </row>
    <row r="259" spans="1:22" x14ac:dyDescent="0.25">
      <c r="A259" t="s">
        <v>70</v>
      </c>
      <c r="B259">
        <v>2</v>
      </c>
      <c r="C259" t="s">
        <v>71</v>
      </c>
      <c r="D259" t="s">
        <v>72</v>
      </c>
      <c r="E259" t="s">
        <v>73</v>
      </c>
      <c r="F259">
        <v>160</v>
      </c>
      <c r="G259">
        <v>1000</v>
      </c>
      <c r="H259">
        <v>-3</v>
      </c>
      <c r="I259">
        <v>1981</v>
      </c>
      <c r="J259" t="s">
        <v>37</v>
      </c>
      <c r="K259">
        <v>1524</v>
      </c>
      <c r="L259">
        <v>6.8</v>
      </c>
      <c r="M259">
        <v>5.6</v>
      </c>
      <c r="N259" s="4">
        <f t="shared" ref="N259:N322" si="8">3.14/4*((L259/100)^2)</f>
        <v>3.6298400000000005E-3</v>
      </c>
      <c r="O259" s="4">
        <f t="shared" ref="O259:O322" si="9">3.14/4*((L259/100)^2)*M259</f>
        <v>2.0327104000000002E-2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0</v>
      </c>
      <c r="V259" t="s">
        <v>50</v>
      </c>
    </row>
    <row r="260" spans="1:22" x14ac:dyDescent="0.25">
      <c r="A260" t="s">
        <v>70</v>
      </c>
      <c r="B260">
        <v>2</v>
      </c>
      <c r="C260" t="s">
        <v>71</v>
      </c>
      <c r="D260" t="s">
        <v>72</v>
      </c>
      <c r="E260" t="s">
        <v>73</v>
      </c>
      <c r="F260">
        <v>160</v>
      </c>
      <c r="G260">
        <v>1000</v>
      </c>
      <c r="H260">
        <v>-3</v>
      </c>
      <c r="I260">
        <v>1981</v>
      </c>
      <c r="J260" t="s">
        <v>63</v>
      </c>
      <c r="K260">
        <v>1340</v>
      </c>
      <c r="L260">
        <v>7.7</v>
      </c>
      <c r="M260">
        <v>6.1</v>
      </c>
      <c r="N260" s="4">
        <f t="shared" si="8"/>
        <v>4.6542650000000003E-3</v>
      </c>
      <c r="O260" s="4">
        <f t="shared" si="9"/>
        <v>2.8391016500000001E-2</v>
      </c>
      <c r="P260">
        <v>2</v>
      </c>
      <c r="Q260">
        <v>2</v>
      </c>
      <c r="R260">
        <v>2</v>
      </c>
      <c r="S260">
        <v>2</v>
      </c>
      <c r="T260">
        <v>3</v>
      </c>
      <c r="U260">
        <v>0.5</v>
      </c>
      <c r="V260" t="s">
        <v>50</v>
      </c>
    </row>
    <row r="261" spans="1:22" x14ac:dyDescent="0.25">
      <c r="A261" t="s">
        <v>70</v>
      </c>
      <c r="B261">
        <v>2</v>
      </c>
      <c r="C261" t="s">
        <v>71</v>
      </c>
      <c r="D261" t="s">
        <v>72</v>
      </c>
      <c r="E261" t="s">
        <v>73</v>
      </c>
      <c r="F261">
        <v>160</v>
      </c>
      <c r="G261">
        <v>1000</v>
      </c>
      <c r="H261">
        <v>-3</v>
      </c>
      <c r="I261">
        <v>1981</v>
      </c>
      <c r="J261" t="s">
        <v>60</v>
      </c>
      <c r="K261">
        <v>1595</v>
      </c>
      <c r="L261">
        <v>3.1</v>
      </c>
      <c r="M261">
        <v>2.9</v>
      </c>
      <c r="N261" s="4">
        <f t="shared" si="8"/>
        <v>7.5438499999999999E-4</v>
      </c>
      <c r="O261" s="4">
        <f t="shared" si="9"/>
        <v>2.1877164999999999E-3</v>
      </c>
      <c r="P261">
        <v>2</v>
      </c>
      <c r="Q261">
        <v>1.5</v>
      </c>
      <c r="R261">
        <v>3</v>
      </c>
      <c r="S261">
        <v>3</v>
      </c>
      <c r="T261">
        <v>3.5</v>
      </c>
      <c r="U261">
        <v>1</v>
      </c>
      <c r="V261" t="s">
        <v>50</v>
      </c>
    </row>
    <row r="262" spans="1:22" x14ac:dyDescent="0.25">
      <c r="A262" t="s">
        <v>70</v>
      </c>
      <c r="B262">
        <v>3</v>
      </c>
      <c r="C262" t="s">
        <v>71</v>
      </c>
      <c r="D262" t="s">
        <v>72</v>
      </c>
      <c r="E262" t="s">
        <v>73</v>
      </c>
      <c r="F262">
        <v>160</v>
      </c>
      <c r="G262">
        <v>1000</v>
      </c>
      <c r="H262">
        <v>-3</v>
      </c>
      <c r="I262">
        <v>1981</v>
      </c>
      <c r="J262" t="s">
        <v>55</v>
      </c>
      <c r="K262">
        <v>1094</v>
      </c>
      <c r="L262">
        <v>10.5</v>
      </c>
      <c r="M262">
        <v>6</v>
      </c>
      <c r="N262" s="4">
        <f t="shared" si="8"/>
        <v>8.6546249999999991E-3</v>
      </c>
      <c r="O262" s="4">
        <f t="shared" si="9"/>
        <v>5.1927749999999995E-2</v>
      </c>
      <c r="P262">
        <v>25</v>
      </c>
      <c r="Q262">
        <v>3</v>
      </c>
      <c r="R262">
        <v>3</v>
      </c>
      <c r="S262">
        <v>2</v>
      </c>
      <c r="T262">
        <v>3</v>
      </c>
      <c r="U262">
        <v>2.5</v>
      </c>
      <c r="V262" t="s">
        <v>30</v>
      </c>
    </row>
    <row r="263" spans="1:22" x14ac:dyDescent="0.25">
      <c r="A263" t="s">
        <v>70</v>
      </c>
      <c r="B263">
        <v>3</v>
      </c>
      <c r="C263" t="s">
        <v>71</v>
      </c>
      <c r="D263" t="s">
        <v>72</v>
      </c>
      <c r="E263" t="s">
        <v>73</v>
      </c>
      <c r="F263">
        <v>160</v>
      </c>
      <c r="G263">
        <v>1000</v>
      </c>
      <c r="H263">
        <v>-3</v>
      </c>
      <c r="I263">
        <v>1981</v>
      </c>
      <c r="J263" t="s">
        <v>56</v>
      </c>
      <c r="K263">
        <v>1111</v>
      </c>
      <c r="L263">
        <v>1.6</v>
      </c>
      <c r="M263">
        <v>1.8</v>
      </c>
      <c r="N263" s="4">
        <f t="shared" si="8"/>
        <v>2.0096E-4</v>
      </c>
      <c r="O263" s="4">
        <f t="shared" si="9"/>
        <v>3.6172800000000002E-4</v>
      </c>
      <c r="P263">
        <v>88</v>
      </c>
      <c r="Q263">
        <v>1</v>
      </c>
      <c r="R263">
        <v>2</v>
      </c>
      <c r="S263">
        <v>3</v>
      </c>
      <c r="T263">
        <v>3</v>
      </c>
      <c r="U263">
        <v>3</v>
      </c>
      <c r="V263" t="s">
        <v>50</v>
      </c>
    </row>
    <row r="264" spans="1:22" x14ac:dyDescent="0.25">
      <c r="A264" t="s">
        <v>70</v>
      </c>
      <c r="B264">
        <v>3</v>
      </c>
      <c r="C264" t="s">
        <v>71</v>
      </c>
      <c r="D264" t="s">
        <v>72</v>
      </c>
      <c r="E264" t="s">
        <v>73</v>
      </c>
      <c r="F264">
        <v>160</v>
      </c>
      <c r="G264">
        <v>1000</v>
      </c>
      <c r="H264">
        <v>-3</v>
      </c>
      <c r="I264">
        <v>1981</v>
      </c>
      <c r="J264" t="s">
        <v>57</v>
      </c>
      <c r="K264">
        <v>1112</v>
      </c>
      <c r="L264">
        <v>4</v>
      </c>
      <c r="M264">
        <v>3.2</v>
      </c>
      <c r="N264" s="4">
        <f t="shared" si="8"/>
        <v>1.2560000000000002E-3</v>
      </c>
      <c r="O264" s="4">
        <f t="shared" si="9"/>
        <v>4.0192000000000005E-3</v>
      </c>
      <c r="P264">
        <v>63</v>
      </c>
      <c r="Q264">
        <v>2</v>
      </c>
      <c r="R264">
        <v>1.5</v>
      </c>
      <c r="S264">
        <v>3</v>
      </c>
      <c r="T264">
        <v>3</v>
      </c>
      <c r="U264">
        <v>3</v>
      </c>
      <c r="V264" t="s">
        <v>30</v>
      </c>
    </row>
    <row r="265" spans="1:22" x14ac:dyDescent="0.25">
      <c r="A265" t="s">
        <v>70</v>
      </c>
      <c r="B265">
        <v>3</v>
      </c>
      <c r="C265" t="s">
        <v>71</v>
      </c>
      <c r="D265" t="s">
        <v>72</v>
      </c>
      <c r="E265" t="s">
        <v>73</v>
      </c>
      <c r="F265">
        <v>160</v>
      </c>
      <c r="G265">
        <v>1000</v>
      </c>
      <c r="H265">
        <v>-3</v>
      </c>
      <c r="I265">
        <v>1981</v>
      </c>
      <c r="J265" t="s">
        <v>57</v>
      </c>
      <c r="K265">
        <v>1113</v>
      </c>
      <c r="L265">
        <v>3.3</v>
      </c>
      <c r="M265">
        <v>2.7</v>
      </c>
      <c r="N265" s="4">
        <f t="shared" si="8"/>
        <v>8.5486500000000012E-4</v>
      </c>
      <c r="O265" s="4">
        <f t="shared" si="9"/>
        <v>2.3081355000000004E-3</v>
      </c>
      <c r="P265">
        <v>100</v>
      </c>
      <c r="Q265">
        <v>1.5</v>
      </c>
      <c r="R265">
        <v>1</v>
      </c>
      <c r="S265">
        <v>2</v>
      </c>
      <c r="T265">
        <v>3</v>
      </c>
      <c r="U265">
        <v>3</v>
      </c>
      <c r="V265" t="s">
        <v>50</v>
      </c>
    </row>
    <row r="266" spans="1:22" x14ac:dyDescent="0.25">
      <c r="A266" t="s">
        <v>70</v>
      </c>
      <c r="B266">
        <v>3</v>
      </c>
      <c r="C266" t="s">
        <v>71</v>
      </c>
      <c r="D266" t="s">
        <v>72</v>
      </c>
      <c r="E266" t="s">
        <v>73</v>
      </c>
      <c r="F266">
        <v>160</v>
      </c>
      <c r="G266">
        <v>1000</v>
      </c>
      <c r="H266">
        <v>-3</v>
      </c>
      <c r="I266">
        <v>1981</v>
      </c>
      <c r="J266" t="s">
        <v>58</v>
      </c>
      <c r="K266">
        <v>1338</v>
      </c>
      <c r="L266">
        <v>9.4</v>
      </c>
      <c r="M266">
        <v>8.5</v>
      </c>
      <c r="N266" s="4">
        <f t="shared" si="8"/>
        <v>6.9362600000000005E-3</v>
      </c>
      <c r="O266" s="4">
        <f t="shared" si="9"/>
        <v>5.8958210000000004E-2</v>
      </c>
      <c r="P266">
        <v>38</v>
      </c>
      <c r="Q266">
        <v>3</v>
      </c>
      <c r="R266">
        <v>3</v>
      </c>
      <c r="S266">
        <v>2</v>
      </c>
      <c r="T266">
        <v>1.5</v>
      </c>
      <c r="U266">
        <v>1</v>
      </c>
      <c r="V266" t="s">
        <v>30</v>
      </c>
    </row>
    <row r="267" spans="1:22" x14ac:dyDescent="0.25">
      <c r="A267" t="s">
        <v>70</v>
      </c>
      <c r="B267">
        <v>3</v>
      </c>
      <c r="C267" t="s">
        <v>71</v>
      </c>
      <c r="D267" t="s">
        <v>72</v>
      </c>
      <c r="E267" t="s">
        <v>73</v>
      </c>
      <c r="F267">
        <v>160</v>
      </c>
      <c r="G267">
        <v>1000</v>
      </c>
      <c r="H267">
        <v>-3</v>
      </c>
      <c r="I267">
        <v>1981</v>
      </c>
      <c r="J267" t="s">
        <v>59</v>
      </c>
      <c r="K267">
        <v>1978</v>
      </c>
      <c r="L267">
        <v>11</v>
      </c>
      <c r="M267">
        <v>8.1</v>
      </c>
      <c r="N267" s="4">
        <f t="shared" si="8"/>
        <v>9.4985E-3</v>
      </c>
      <c r="O267" s="4">
        <f t="shared" si="9"/>
        <v>7.6937850000000002E-2</v>
      </c>
      <c r="P267">
        <v>100</v>
      </c>
      <c r="Q267">
        <v>4</v>
      </c>
      <c r="R267">
        <v>3</v>
      </c>
      <c r="S267">
        <v>2</v>
      </c>
      <c r="T267">
        <v>2</v>
      </c>
      <c r="U267">
        <v>2</v>
      </c>
      <c r="V267" t="s">
        <v>27</v>
      </c>
    </row>
    <row r="268" spans="1:22" x14ac:dyDescent="0.25">
      <c r="A268" t="s">
        <v>70</v>
      </c>
      <c r="B268">
        <v>3</v>
      </c>
      <c r="C268" t="s">
        <v>71</v>
      </c>
      <c r="D268" t="s">
        <v>72</v>
      </c>
      <c r="E268" t="s">
        <v>73</v>
      </c>
      <c r="F268">
        <v>160</v>
      </c>
      <c r="G268">
        <v>1000</v>
      </c>
      <c r="H268">
        <v>-3</v>
      </c>
      <c r="I268">
        <v>1981</v>
      </c>
      <c r="J268" t="s">
        <v>59</v>
      </c>
      <c r="K268">
        <v>1482</v>
      </c>
      <c r="L268">
        <v>7.8</v>
      </c>
      <c r="M268">
        <v>5.6</v>
      </c>
      <c r="N268" s="4">
        <f t="shared" si="8"/>
        <v>4.7759400000000002E-3</v>
      </c>
      <c r="O268" s="4">
        <f t="shared" si="9"/>
        <v>2.6745264000000001E-2</v>
      </c>
      <c r="P268">
        <v>88</v>
      </c>
      <c r="Q268">
        <v>3</v>
      </c>
      <c r="R268">
        <v>3</v>
      </c>
      <c r="S268">
        <v>2</v>
      </c>
      <c r="T268">
        <v>2</v>
      </c>
      <c r="U268">
        <v>2</v>
      </c>
      <c r="V268" t="s">
        <v>25</v>
      </c>
    </row>
    <row r="269" spans="1:22" x14ac:dyDescent="0.25">
      <c r="A269" t="s">
        <v>70</v>
      </c>
      <c r="B269">
        <v>3</v>
      </c>
      <c r="C269" t="s">
        <v>71</v>
      </c>
      <c r="D269" t="s">
        <v>72</v>
      </c>
      <c r="E269" t="s">
        <v>73</v>
      </c>
      <c r="F269">
        <v>160</v>
      </c>
      <c r="G269">
        <v>1000</v>
      </c>
      <c r="H269">
        <v>-3</v>
      </c>
      <c r="I269">
        <v>1981</v>
      </c>
      <c r="J269" t="s">
        <v>26</v>
      </c>
      <c r="K269">
        <v>1339</v>
      </c>
      <c r="L269">
        <v>10.1</v>
      </c>
      <c r="M269">
        <v>9.5</v>
      </c>
      <c r="N269" s="4">
        <f t="shared" si="8"/>
        <v>8.0077849999999982E-3</v>
      </c>
      <c r="O269" s="4">
        <f t="shared" si="9"/>
        <v>7.6073957499999983E-2</v>
      </c>
      <c r="P269">
        <v>75</v>
      </c>
      <c r="Q269">
        <v>3</v>
      </c>
      <c r="R269">
        <v>3</v>
      </c>
      <c r="S269">
        <v>2</v>
      </c>
      <c r="T269">
        <v>2</v>
      </c>
      <c r="U269">
        <v>2</v>
      </c>
      <c r="V269" t="s">
        <v>38</v>
      </c>
    </row>
    <row r="270" spans="1:22" x14ac:dyDescent="0.25">
      <c r="A270" t="s">
        <v>70</v>
      </c>
      <c r="B270">
        <v>3</v>
      </c>
      <c r="C270" t="s">
        <v>71</v>
      </c>
      <c r="D270" t="s">
        <v>72</v>
      </c>
      <c r="E270" t="s">
        <v>73</v>
      </c>
      <c r="F270">
        <v>160</v>
      </c>
      <c r="G270">
        <v>1000</v>
      </c>
      <c r="H270">
        <v>-3</v>
      </c>
      <c r="I270">
        <v>1981</v>
      </c>
      <c r="J270" t="s">
        <v>26</v>
      </c>
      <c r="K270">
        <v>2447</v>
      </c>
      <c r="L270">
        <v>6.9</v>
      </c>
      <c r="M270">
        <v>7.3</v>
      </c>
      <c r="N270" s="4">
        <f t="shared" si="8"/>
        <v>3.7373850000000006E-3</v>
      </c>
      <c r="O270" s="4">
        <f t="shared" si="9"/>
        <v>2.7282910500000004E-2</v>
      </c>
      <c r="P270">
        <v>88</v>
      </c>
      <c r="Q270">
        <v>3.5</v>
      </c>
      <c r="R270">
        <v>3</v>
      </c>
      <c r="S270">
        <v>3</v>
      </c>
      <c r="T270">
        <v>3.5</v>
      </c>
      <c r="U270">
        <v>3</v>
      </c>
      <c r="V270" t="s">
        <v>25</v>
      </c>
    </row>
    <row r="271" spans="1:22" x14ac:dyDescent="0.25">
      <c r="A271" t="s">
        <v>70</v>
      </c>
      <c r="B271">
        <v>3</v>
      </c>
      <c r="C271" t="s">
        <v>71</v>
      </c>
      <c r="D271" t="s">
        <v>72</v>
      </c>
      <c r="E271" t="s">
        <v>73</v>
      </c>
      <c r="F271">
        <v>160</v>
      </c>
      <c r="G271">
        <v>1000</v>
      </c>
      <c r="H271">
        <v>-3</v>
      </c>
      <c r="I271">
        <v>1981</v>
      </c>
      <c r="J271" t="s">
        <v>26</v>
      </c>
      <c r="K271">
        <v>1786</v>
      </c>
      <c r="L271">
        <v>11.9</v>
      </c>
      <c r="M271">
        <v>9.6</v>
      </c>
      <c r="N271" s="4">
        <f t="shared" si="8"/>
        <v>1.1116385000000001E-2</v>
      </c>
      <c r="O271" s="4">
        <f t="shared" si="9"/>
        <v>0.106717296</v>
      </c>
      <c r="P271">
        <v>88</v>
      </c>
      <c r="Q271">
        <v>4</v>
      </c>
      <c r="R271">
        <v>3</v>
      </c>
      <c r="S271">
        <v>2.5</v>
      </c>
      <c r="T271">
        <v>2.5</v>
      </c>
      <c r="U271">
        <v>2.5</v>
      </c>
      <c r="V271" t="s">
        <v>25</v>
      </c>
    </row>
    <row r="272" spans="1:22" x14ac:dyDescent="0.25">
      <c r="A272" t="s">
        <v>70</v>
      </c>
      <c r="B272">
        <v>3</v>
      </c>
      <c r="C272" t="s">
        <v>71</v>
      </c>
      <c r="D272" t="s">
        <v>72</v>
      </c>
      <c r="E272" t="s">
        <v>73</v>
      </c>
      <c r="F272">
        <v>160</v>
      </c>
      <c r="G272">
        <v>1000</v>
      </c>
      <c r="H272">
        <v>-3</v>
      </c>
      <c r="I272">
        <v>1981</v>
      </c>
      <c r="J272" t="s">
        <v>32</v>
      </c>
      <c r="K272">
        <v>1596</v>
      </c>
      <c r="L272">
        <v>10.4</v>
      </c>
      <c r="M272">
        <v>9.4</v>
      </c>
      <c r="N272" s="4">
        <f t="shared" si="8"/>
        <v>8.4905600000000029E-3</v>
      </c>
      <c r="O272" s="4">
        <f t="shared" si="9"/>
        <v>7.9811264000000035E-2</v>
      </c>
      <c r="P272">
        <v>100</v>
      </c>
      <c r="Q272">
        <v>4</v>
      </c>
      <c r="R272">
        <v>3</v>
      </c>
      <c r="S272">
        <v>2</v>
      </c>
      <c r="T272">
        <v>3.5</v>
      </c>
      <c r="U272">
        <v>3</v>
      </c>
      <c r="V272" t="s">
        <v>27</v>
      </c>
    </row>
    <row r="273" spans="1:22" x14ac:dyDescent="0.25">
      <c r="A273" t="s">
        <v>70</v>
      </c>
      <c r="B273">
        <v>3</v>
      </c>
      <c r="C273" t="s">
        <v>71</v>
      </c>
      <c r="D273" t="s">
        <v>72</v>
      </c>
      <c r="E273" t="s">
        <v>73</v>
      </c>
      <c r="F273">
        <v>160</v>
      </c>
      <c r="G273">
        <v>1000</v>
      </c>
      <c r="H273">
        <v>-3</v>
      </c>
      <c r="I273">
        <v>1981</v>
      </c>
      <c r="J273" t="s">
        <v>61</v>
      </c>
      <c r="K273">
        <v>1171</v>
      </c>
      <c r="L273">
        <v>3.5</v>
      </c>
      <c r="M273">
        <v>2.9</v>
      </c>
      <c r="N273" s="4">
        <f t="shared" si="8"/>
        <v>9.6162500000000013E-4</v>
      </c>
      <c r="O273" s="4">
        <f t="shared" si="9"/>
        <v>2.7887125000000002E-3</v>
      </c>
      <c r="P273">
        <v>75</v>
      </c>
      <c r="Q273">
        <v>1</v>
      </c>
      <c r="R273">
        <v>1</v>
      </c>
      <c r="S273">
        <v>3</v>
      </c>
      <c r="T273">
        <v>3</v>
      </c>
      <c r="U273">
        <v>3</v>
      </c>
      <c r="V273" t="s">
        <v>50</v>
      </c>
    </row>
    <row r="274" spans="1:22" x14ac:dyDescent="0.25">
      <c r="A274" t="s">
        <v>70</v>
      </c>
      <c r="B274">
        <v>3</v>
      </c>
      <c r="C274" t="s">
        <v>71</v>
      </c>
      <c r="D274" t="s">
        <v>72</v>
      </c>
      <c r="E274" t="s">
        <v>73</v>
      </c>
      <c r="F274">
        <v>160</v>
      </c>
      <c r="G274">
        <v>1000</v>
      </c>
      <c r="H274">
        <v>-3</v>
      </c>
      <c r="I274">
        <v>1981</v>
      </c>
      <c r="J274" t="s">
        <v>34</v>
      </c>
      <c r="K274">
        <v>2469</v>
      </c>
      <c r="L274">
        <v>5.7</v>
      </c>
      <c r="M274">
        <v>5.6</v>
      </c>
      <c r="N274" s="4">
        <f t="shared" si="8"/>
        <v>2.550465E-3</v>
      </c>
      <c r="O274" s="4">
        <f t="shared" si="9"/>
        <v>1.4282603999999999E-2</v>
      </c>
      <c r="P274">
        <v>100</v>
      </c>
      <c r="Q274">
        <v>3</v>
      </c>
      <c r="R274">
        <v>2.5</v>
      </c>
      <c r="S274">
        <v>4</v>
      </c>
      <c r="T274">
        <v>5</v>
      </c>
      <c r="U274">
        <v>4</v>
      </c>
      <c r="V274" t="s">
        <v>25</v>
      </c>
    </row>
    <row r="275" spans="1:22" x14ac:dyDescent="0.25">
      <c r="A275" t="s">
        <v>70</v>
      </c>
      <c r="B275">
        <v>3</v>
      </c>
      <c r="C275" t="s">
        <v>71</v>
      </c>
      <c r="D275" t="s">
        <v>72</v>
      </c>
      <c r="E275" t="s">
        <v>73</v>
      </c>
      <c r="F275">
        <v>160</v>
      </c>
      <c r="G275">
        <v>1000</v>
      </c>
      <c r="H275">
        <v>-3</v>
      </c>
      <c r="I275">
        <v>1981</v>
      </c>
      <c r="J275" t="s">
        <v>34</v>
      </c>
      <c r="K275">
        <v>1337</v>
      </c>
      <c r="L275">
        <v>10.5</v>
      </c>
      <c r="M275">
        <v>7.5</v>
      </c>
      <c r="N275" s="4">
        <f t="shared" si="8"/>
        <v>8.6546249999999991E-3</v>
      </c>
      <c r="O275" s="4">
        <f t="shared" si="9"/>
        <v>6.4909687499999993E-2</v>
      </c>
      <c r="P275">
        <v>63</v>
      </c>
      <c r="Q275">
        <v>3.5</v>
      </c>
      <c r="R275">
        <v>2.5</v>
      </c>
      <c r="S275">
        <v>2.5</v>
      </c>
      <c r="T275">
        <v>2</v>
      </c>
      <c r="U275">
        <v>2.5</v>
      </c>
      <c r="V275" t="s">
        <v>25</v>
      </c>
    </row>
    <row r="276" spans="1:22" x14ac:dyDescent="0.25">
      <c r="A276" t="s">
        <v>70</v>
      </c>
      <c r="B276">
        <v>3</v>
      </c>
      <c r="C276" t="s">
        <v>71</v>
      </c>
      <c r="D276" t="s">
        <v>72</v>
      </c>
      <c r="E276" t="s">
        <v>73</v>
      </c>
      <c r="F276">
        <v>160</v>
      </c>
      <c r="G276">
        <v>1000</v>
      </c>
      <c r="H276">
        <v>-3</v>
      </c>
      <c r="I276">
        <v>1981</v>
      </c>
      <c r="J276" t="s">
        <v>35</v>
      </c>
      <c r="K276">
        <v>1785</v>
      </c>
      <c r="L276">
        <v>4.3</v>
      </c>
      <c r="M276">
        <v>3.2</v>
      </c>
      <c r="N276" s="4">
        <f t="shared" si="8"/>
        <v>1.4514649999999999E-3</v>
      </c>
      <c r="O276" s="4">
        <f t="shared" si="9"/>
        <v>4.6446880000000001E-3</v>
      </c>
      <c r="P276">
        <v>100</v>
      </c>
      <c r="Q276">
        <v>1.5</v>
      </c>
      <c r="R276">
        <v>1</v>
      </c>
      <c r="S276">
        <v>2.5</v>
      </c>
      <c r="T276">
        <v>3.5</v>
      </c>
      <c r="U276">
        <v>3</v>
      </c>
      <c r="V276" t="s">
        <v>50</v>
      </c>
    </row>
    <row r="277" spans="1:22" x14ac:dyDescent="0.25">
      <c r="A277" t="s">
        <v>70</v>
      </c>
      <c r="B277">
        <v>3</v>
      </c>
      <c r="C277" t="s">
        <v>71</v>
      </c>
      <c r="D277" t="s">
        <v>72</v>
      </c>
      <c r="E277" t="s">
        <v>73</v>
      </c>
      <c r="F277">
        <v>160</v>
      </c>
      <c r="G277">
        <v>1000</v>
      </c>
      <c r="H277">
        <v>-3</v>
      </c>
      <c r="I277">
        <v>1981</v>
      </c>
      <c r="J277" t="s">
        <v>36</v>
      </c>
      <c r="K277">
        <v>1598</v>
      </c>
      <c r="L277">
        <v>13.6</v>
      </c>
      <c r="M277">
        <v>7.3</v>
      </c>
      <c r="N277" s="4">
        <f t="shared" si="8"/>
        <v>1.4519360000000002E-2</v>
      </c>
      <c r="O277" s="4">
        <f t="shared" si="9"/>
        <v>0.10599132800000001</v>
      </c>
      <c r="P277">
        <v>38</v>
      </c>
      <c r="Q277">
        <v>3</v>
      </c>
      <c r="R277">
        <v>3</v>
      </c>
      <c r="S277">
        <v>2</v>
      </c>
      <c r="T277">
        <v>2.5</v>
      </c>
      <c r="U277">
        <v>2</v>
      </c>
      <c r="V277" t="s">
        <v>38</v>
      </c>
    </row>
    <row r="278" spans="1:22" x14ac:dyDescent="0.25">
      <c r="A278" t="s">
        <v>70</v>
      </c>
      <c r="B278">
        <v>3</v>
      </c>
      <c r="C278" t="s">
        <v>71</v>
      </c>
      <c r="D278" t="s">
        <v>72</v>
      </c>
      <c r="E278" t="s">
        <v>73</v>
      </c>
      <c r="F278">
        <v>160</v>
      </c>
      <c r="G278">
        <v>1000</v>
      </c>
      <c r="H278">
        <v>-3</v>
      </c>
      <c r="I278">
        <v>1981</v>
      </c>
      <c r="J278" t="s">
        <v>62</v>
      </c>
      <c r="K278">
        <v>2428</v>
      </c>
      <c r="L278">
        <v>12.3</v>
      </c>
      <c r="M278">
        <v>8.1999999999999993</v>
      </c>
      <c r="N278" s="4">
        <f t="shared" si="8"/>
        <v>1.1876265000000004E-2</v>
      </c>
      <c r="O278" s="4">
        <f t="shared" si="9"/>
        <v>9.7385373000000025E-2</v>
      </c>
      <c r="P278">
        <v>75</v>
      </c>
      <c r="Q278">
        <v>4</v>
      </c>
      <c r="R278">
        <v>3</v>
      </c>
      <c r="S278">
        <v>3</v>
      </c>
      <c r="T278">
        <v>2</v>
      </c>
      <c r="U278">
        <v>2</v>
      </c>
      <c r="V278" t="s">
        <v>27</v>
      </c>
    </row>
    <row r="279" spans="1:22" x14ac:dyDescent="0.25">
      <c r="A279" t="s">
        <v>70</v>
      </c>
      <c r="B279">
        <v>3</v>
      </c>
      <c r="C279" t="s">
        <v>71</v>
      </c>
      <c r="D279" t="s">
        <v>72</v>
      </c>
      <c r="E279" t="s">
        <v>73</v>
      </c>
      <c r="F279">
        <v>160</v>
      </c>
      <c r="G279">
        <v>1000</v>
      </c>
      <c r="H279">
        <v>-3</v>
      </c>
      <c r="I279">
        <v>1981</v>
      </c>
      <c r="J279" t="s">
        <v>62</v>
      </c>
      <c r="K279">
        <v>2430</v>
      </c>
      <c r="L279">
        <v>9.6999999999999993</v>
      </c>
      <c r="M279">
        <v>7.1</v>
      </c>
      <c r="N279" s="4">
        <f t="shared" si="8"/>
        <v>7.3860649999999981E-3</v>
      </c>
      <c r="O279" s="4">
        <f t="shared" si="9"/>
        <v>5.2441061499999983E-2</v>
      </c>
      <c r="P279">
        <v>100</v>
      </c>
      <c r="Q279">
        <v>4</v>
      </c>
      <c r="R279">
        <v>3</v>
      </c>
      <c r="S279">
        <v>2</v>
      </c>
      <c r="T279">
        <v>2.5</v>
      </c>
      <c r="U279">
        <v>2.5</v>
      </c>
      <c r="V279" t="s">
        <v>27</v>
      </c>
    </row>
    <row r="280" spans="1:22" x14ac:dyDescent="0.25">
      <c r="A280" t="s">
        <v>70</v>
      </c>
      <c r="B280">
        <v>3</v>
      </c>
      <c r="C280" t="s">
        <v>71</v>
      </c>
      <c r="D280" t="s">
        <v>72</v>
      </c>
      <c r="E280" t="s">
        <v>73</v>
      </c>
      <c r="F280">
        <v>160</v>
      </c>
      <c r="G280">
        <v>1000</v>
      </c>
      <c r="H280">
        <v>-3</v>
      </c>
      <c r="I280">
        <v>1981</v>
      </c>
      <c r="J280" t="s">
        <v>62</v>
      </c>
      <c r="K280">
        <v>1787</v>
      </c>
      <c r="L280">
        <v>13</v>
      </c>
      <c r="M280">
        <v>9</v>
      </c>
      <c r="N280" s="4">
        <f t="shared" si="8"/>
        <v>1.3266500000000002E-2</v>
      </c>
      <c r="O280" s="4">
        <f t="shared" si="9"/>
        <v>0.11939850000000002</v>
      </c>
      <c r="P280">
        <v>88</v>
      </c>
      <c r="Q280">
        <v>4</v>
      </c>
      <c r="R280">
        <v>3</v>
      </c>
      <c r="S280">
        <v>3.5</v>
      </c>
      <c r="T280">
        <v>3</v>
      </c>
      <c r="U280">
        <v>3</v>
      </c>
      <c r="V280" t="s">
        <v>27</v>
      </c>
    </row>
    <row r="281" spans="1:22" x14ac:dyDescent="0.25">
      <c r="A281" t="s">
        <v>70</v>
      </c>
      <c r="B281">
        <v>3</v>
      </c>
      <c r="C281" t="s">
        <v>71</v>
      </c>
      <c r="D281" t="s">
        <v>72</v>
      </c>
      <c r="E281" t="s">
        <v>73</v>
      </c>
      <c r="F281">
        <v>160</v>
      </c>
      <c r="G281">
        <v>1000</v>
      </c>
      <c r="H281">
        <v>-3</v>
      </c>
      <c r="I281">
        <v>1981</v>
      </c>
      <c r="J281" t="s">
        <v>69</v>
      </c>
      <c r="K281">
        <v>1780</v>
      </c>
      <c r="L281">
        <v>4.9000000000000004</v>
      </c>
      <c r="M281">
        <v>2.8</v>
      </c>
      <c r="N281" s="4">
        <f t="shared" si="8"/>
        <v>1.8847850000000004E-3</v>
      </c>
      <c r="O281" s="4">
        <f t="shared" si="9"/>
        <v>5.2773980000000009E-3</v>
      </c>
      <c r="P281">
        <v>63</v>
      </c>
      <c r="Q281">
        <v>2</v>
      </c>
      <c r="R281">
        <v>3</v>
      </c>
      <c r="S281">
        <v>3</v>
      </c>
      <c r="T281">
        <v>3.5</v>
      </c>
      <c r="U281">
        <v>3.5</v>
      </c>
      <c r="V281" t="s">
        <v>30</v>
      </c>
    </row>
    <row r="282" spans="1:22" x14ac:dyDescent="0.25">
      <c r="A282" t="s">
        <v>70</v>
      </c>
      <c r="B282">
        <v>3</v>
      </c>
      <c r="C282" t="s">
        <v>71</v>
      </c>
      <c r="D282" t="s">
        <v>72</v>
      </c>
      <c r="E282" t="s">
        <v>73</v>
      </c>
      <c r="F282">
        <v>160</v>
      </c>
      <c r="G282">
        <v>1000</v>
      </c>
      <c r="H282">
        <v>-3</v>
      </c>
      <c r="I282">
        <v>1981</v>
      </c>
      <c r="J282" t="s">
        <v>39</v>
      </c>
      <c r="K282">
        <v>2435</v>
      </c>
      <c r="L282">
        <v>6</v>
      </c>
      <c r="M282">
        <v>7</v>
      </c>
      <c r="N282" s="4">
        <f t="shared" si="8"/>
        <v>2.826E-3</v>
      </c>
      <c r="O282" s="4">
        <f t="shared" si="9"/>
        <v>1.9782000000000001E-2</v>
      </c>
      <c r="P282">
        <v>13</v>
      </c>
      <c r="Q282">
        <v>3</v>
      </c>
      <c r="R282">
        <v>3</v>
      </c>
      <c r="S282">
        <v>4</v>
      </c>
      <c r="T282">
        <v>4</v>
      </c>
      <c r="U282">
        <v>4</v>
      </c>
      <c r="V282" t="s">
        <v>30</v>
      </c>
    </row>
    <row r="283" spans="1:22" x14ac:dyDescent="0.25">
      <c r="A283" t="s">
        <v>70</v>
      </c>
      <c r="B283">
        <v>3</v>
      </c>
      <c r="C283" t="s">
        <v>71</v>
      </c>
      <c r="D283" t="s">
        <v>72</v>
      </c>
      <c r="E283" t="s">
        <v>73</v>
      </c>
      <c r="F283">
        <v>160</v>
      </c>
      <c r="G283">
        <v>1000</v>
      </c>
      <c r="H283">
        <v>-3</v>
      </c>
      <c r="I283">
        <v>1981</v>
      </c>
      <c r="J283" t="s">
        <v>37</v>
      </c>
      <c r="K283">
        <v>1524</v>
      </c>
      <c r="L283">
        <v>11.8</v>
      </c>
      <c r="M283">
        <v>7.4</v>
      </c>
      <c r="N283" s="4">
        <f t="shared" si="8"/>
        <v>1.0930340000000002E-2</v>
      </c>
      <c r="O283" s="4">
        <f t="shared" si="9"/>
        <v>8.0884516000000017E-2</v>
      </c>
      <c r="P283">
        <v>88</v>
      </c>
      <c r="Q283">
        <v>2.5</v>
      </c>
      <c r="R283">
        <v>2</v>
      </c>
      <c r="S283">
        <v>2.5</v>
      </c>
      <c r="T283">
        <v>3</v>
      </c>
      <c r="U283">
        <v>3</v>
      </c>
      <c r="V283" t="s">
        <v>38</v>
      </c>
    </row>
    <row r="284" spans="1:22" x14ac:dyDescent="0.25">
      <c r="A284" t="s">
        <v>70</v>
      </c>
      <c r="B284">
        <v>3</v>
      </c>
      <c r="C284" t="s">
        <v>71</v>
      </c>
      <c r="D284" t="s">
        <v>72</v>
      </c>
      <c r="E284" t="s">
        <v>73</v>
      </c>
      <c r="F284">
        <v>160</v>
      </c>
      <c r="G284">
        <v>1000</v>
      </c>
      <c r="H284">
        <v>-3</v>
      </c>
      <c r="I284">
        <v>1981</v>
      </c>
      <c r="J284" t="s">
        <v>63</v>
      </c>
      <c r="K284">
        <v>1340</v>
      </c>
      <c r="L284">
        <v>6.2</v>
      </c>
      <c r="M284">
        <v>5.3</v>
      </c>
      <c r="N284" s="4">
        <f t="shared" si="8"/>
        <v>3.01754E-3</v>
      </c>
      <c r="O284" s="4">
        <f t="shared" si="9"/>
        <v>1.5992961999999999E-2</v>
      </c>
      <c r="P284">
        <v>100</v>
      </c>
      <c r="Q284">
        <v>2</v>
      </c>
      <c r="R284">
        <v>2</v>
      </c>
      <c r="S284">
        <v>2.5</v>
      </c>
      <c r="T284">
        <v>2.5</v>
      </c>
      <c r="U284">
        <v>3</v>
      </c>
      <c r="V284" t="s">
        <v>30</v>
      </c>
    </row>
    <row r="285" spans="1:22" x14ac:dyDescent="0.25">
      <c r="A285" t="s">
        <v>70</v>
      </c>
      <c r="B285">
        <v>3</v>
      </c>
      <c r="C285" t="s">
        <v>71</v>
      </c>
      <c r="D285" t="s">
        <v>72</v>
      </c>
      <c r="E285" t="s">
        <v>73</v>
      </c>
      <c r="F285">
        <v>160</v>
      </c>
      <c r="G285">
        <v>1000</v>
      </c>
      <c r="H285">
        <v>-3</v>
      </c>
      <c r="I285">
        <v>1981</v>
      </c>
      <c r="J285" t="s">
        <v>60</v>
      </c>
      <c r="K285">
        <v>1595</v>
      </c>
      <c r="L285">
        <v>1.5</v>
      </c>
      <c r="M285">
        <v>1.8</v>
      </c>
      <c r="N285" s="4">
        <f t="shared" si="8"/>
        <v>1.76625E-4</v>
      </c>
      <c r="O285" s="4">
        <f t="shared" si="9"/>
        <v>3.1792499999999999E-4</v>
      </c>
      <c r="P285">
        <v>88</v>
      </c>
      <c r="Q285">
        <v>1.5</v>
      </c>
      <c r="R285">
        <v>1</v>
      </c>
      <c r="S285">
        <v>3</v>
      </c>
      <c r="T285">
        <v>4</v>
      </c>
      <c r="U285">
        <v>3</v>
      </c>
      <c r="V285" t="s">
        <v>30</v>
      </c>
    </row>
    <row r="286" spans="1:22" x14ac:dyDescent="0.25">
      <c r="A286" t="s">
        <v>74</v>
      </c>
      <c r="B286">
        <v>1</v>
      </c>
      <c r="C286" t="s">
        <v>66</v>
      </c>
      <c r="D286" t="s">
        <v>75</v>
      </c>
      <c r="E286" t="s">
        <v>68</v>
      </c>
      <c r="F286">
        <v>180</v>
      </c>
      <c r="G286">
        <v>1080</v>
      </c>
      <c r="H286">
        <v>-3</v>
      </c>
      <c r="I286">
        <v>1982</v>
      </c>
      <c r="J286" t="s">
        <v>56</v>
      </c>
      <c r="K286">
        <v>1111</v>
      </c>
      <c r="L286">
        <v>6.02</v>
      </c>
      <c r="M286">
        <v>3.63</v>
      </c>
      <c r="N286" s="4">
        <f t="shared" si="8"/>
        <v>2.8448713999999998E-3</v>
      </c>
      <c r="O286" s="4">
        <f t="shared" si="9"/>
        <v>1.0326883181999999E-2</v>
      </c>
      <c r="P286">
        <v>38</v>
      </c>
      <c r="Q286">
        <v>2.5</v>
      </c>
      <c r="R286">
        <v>3</v>
      </c>
      <c r="S286">
        <v>3</v>
      </c>
      <c r="T286">
        <v>3</v>
      </c>
      <c r="U286">
        <v>3</v>
      </c>
      <c r="V286" t="s">
        <v>30</v>
      </c>
    </row>
    <row r="287" spans="1:22" x14ac:dyDescent="0.25">
      <c r="A287" t="s">
        <v>74</v>
      </c>
      <c r="B287">
        <v>1</v>
      </c>
      <c r="C287" t="s">
        <v>66</v>
      </c>
      <c r="D287" t="s">
        <v>75</v>
      </c>
      <c r="E287" t="s">
        <v>68</v>
      </c>
      <c r="F287">
        <v>180</v>
      </c>
      <c r="G287">
        <v>1080</v>
      </c>
      <c r="H287">
        <v>-3</v>
      </c>
      <c r="I287">
        <v>1982</v>
      </c>
      <c r="J287" t="s">
        <v>57</v>
      </c>
      <c r="K287">
        <v>2620</v>
      </c>
      <c r="L287">
        <v>2.29</v>
      </c>
      <c r="M287">
        <v>3.2</v>
      </c>
      <c r="N287" s="4">
        <f t="shared" si="8"/>
        <v>4.1166185000000003E-4</v>
      </c>
      <c r="O287" s="4">
        <f t="shared" si="9"/>
        <v>1.3173179200000002E-3</v>
      </c>
      <c r="P287">
        <v>50</v>
      </c>
      <c r="Q287">
        <v>1</v>
      </c>
      <c r="R287">
        <v>1</v>
      </c>
      <c r="S287">
        <v>3</v>
      </c>
      <c r="T287">
        <v>3</v>
      </c>
      <c r="U287">
        <v>3</v>
      </c>
      <c r="V287" t="s">
        <v>50</v>
      </c>
    </row>
    <row r="288" spans="1:22" x14ac:dyDescent="0.25">
      <c r="A288" t="s">
        <v>74</v>
      </c>
      <c r="B288">
        <v>1</v>
      </c>
      <c r="C288" t="s">
        <v>66</v>
      </c>
      <c r="D288" t="s">
        <v>75</v>
      </c>
      <c r="E288" t="s">
        <v>68</v>
      </c>
      <c r="F288">
        <v>180</v>
      </c>
      <c r="G288">
        <v>1080</v>
      </c>
      <c r="H288">
        <v>-3</v>
      </c>
      <c r="I288">
        <v>1982</v>
      </c>
      <c r="J288" t="s">
        <v>57</v>
      </c>
      <c r="K288">
        <v>2621</v>
      </c>
      <c r="L288">
        <v>3.31</v>
      </c>
      <c r="M288">
        <v>4.34</v>
      </c>
      <c r="N288" s="4">
        <f t="shared" si="8"/>
        <v>8.6005384999999991E-4</v>
      </c>
      <c r="O288" s="4">
        <f t="shared" si="9"/>
        <v>3.7326337089999993E-3</v>
      </c>
      <c r="P288">
        <v>50</v>
      </c>
      <c r="Q288">
        <v>3</v>
      </c>
      <c r="R288">
        <v>2.5</v>
      </c>
      <c r="S288">
        <v>3</v>
      </c>
      <c r="T288">
        <v>3</v>
      </c>
      <c r="U288">
        <v>3</v>
      </c>
      <c r="V288" t="s">
        <v>30</v>
      </c>
    </row>
    <row r="289" spans="1:22" x14ac:dyDescent="0.25">
      <c r="A289" t="s">
        <v>74</v>
      </c>
      <c r="B289">
        <v>1</v>
      </c>
      <c r="C289" t="s">
        <v>66</v>
      </c>
      <c r="D289" t="s">
        <v>75</v>
      </c>
      <c r="E289" t="s">
        <v>68</v>
      </c>
      <c r="F289">
        <v>180</v>
      </c>
      <c r="G289">
        <v>1080</v>
      </c>
      <c r="H289">
        <v>-3</v>
      </c>
      <c r="I289">
        <v>1982</v>
      </c>
      <c r="J289" t="s">
        <v>59</v>
      </c>
      <c r="K289">
        <v>2426</v>
      </c>
      <c r="L289">
        <v>53.86</v>
      </c>
      <c r="M289">
        <v>5.01</v>
      </c>
      <c r="N289" s="4">
        <f t="shared" si="8"/>
        <v>0.22772061859999998</v>
      </c>
      <c r="O289" s="4">
        <f t="shared" si="9"/>
        <v>1.1408802991859999</v>
      </c>
      <c r="P289">
        <v>100</v>
      </c>
      <c r="Q289">
        <v>2.5</v>
      </c>
      <c r="R289">
        <v>3.5</v>
      </c>
      <c r="S289">
        <v>3</v>
      </c>
      <c r="T289">
        <v>3</v>
      </c>
      <c r="U289">
        <v>3</v>
      </c>
      <c r="V289" t="s">
        <v>30</v>
      </c>
    </row>
    <row r="290" spans="1:22" x14ac:dyDescent="0.25">
      <c r="A290" t="s">
        <v>74</v>
      </c>
      <c r="B290">
        <v>1</v>
      </c>
      <c r="C290" t="s">
        <v>66</v>
      </c>
      <c r="D290" t="s">
        <v>75</v>
      </c>
      <c r="E290" t="s">
        <v>68</v>
      </c>
      <c r="F290">
        <v>180</v>
      </c>
      <c r="G290">
        <v>1080</v>
      </c>
      <c r="H290">
        <v>-3</v>
      </c>
      <c r="I290">
        <v>1982</v>
      </c>
      <c r="J290" t="s">
        <v>59</v>
      </c>
      <c r="K290">
        <v>1482</v>
      </c>
      <c r="L290">
        <v>19.66</v>
      </c>
      <c r="M290">
        <v>12.21</v>
      </c>
      <c r="N290" s="4">
        <f t="shared" si="8"/>
        <v>3.0341474600000001E-2</v>
      </c>
      <c r="O290" s="4">
        <f t="shared" si="9"/>
        <v>0.37046940486600005</v>
      </c>
      <c r="P290">
        <v>100</v>
      </c>
      <c r="Q290">
        <v>4.5</v>
      </c>
      <c r="R290">
        <v>4</v>
      </c>
      <c r="S290">
        <v>4</v>
      </c>
      <c r="T290">
        <v>3</v>
      </c>
      <c r="U290">
        <v>2.7</v>
      </c>
      <c r="V290" t="s">
        <v>25</v>
      </c>
    </row>
    <row r="291" spans="1:22" x14ac:dyDescent="0.25">
      <c r="A291" t="s">
        <v>74</v>
      </c>
      <c r="B291">
        <v>1</v>
      </c>
      <c r="C291" t="s">
        <v>66</v>
      </c>
      <c r="D291" t="s">
        <v>75</v>
      </c>
      <c r="E291" t="s">
        <v>68</v>
      </c>
      <c r="F291">
        <v>180</v>
      </c>
      <c r="G291">
        <v>1080</v>
      </c>
      <c r="H291">
        <v>-3</v>
      </c>
      <c r="I291">
        <v>1982</v>
      </c>
      <c r="J291" t="s">
        <v>59</v>
      </c>
      <c r="K291">
        <v>2548</v>
      </c>
      <c r="L291">
        <v>22.23</v>
      </c>
      <c r="M291">
        <v>12.82</v>
      </c>
      <c r="N291" s="4">
        <f t="shared" si="8"/>
        <v>3.8792572649999996E-2</v>
      </c>
      <c r="O291" s="4">
        <f t="shared" si="9"/>
        <v>0.49732078137299995</v>
      </c>
      <c r="P291">
        <v>100</v>
      </c>
      <c r="Q291">
        <v>5</v>
      </c>
      <c r="R291">
        <v>4</v>
      </c>
      <c r="S291">
        <v>3</v>
      </c>
      <c r="T291">
        <v>3</v>
      </c>
      <c r="U291">
        <v>2</v>
      </c>
      <c r="V291" t="s">
        <v>25</v>
      </c>
    </row>
    <row r="292" spans="1:22" x14ac:dyDescent="0.25">
      <c r="A292" t="s">
        <v>74</v>
      </c>
      <c r="B292">
        <v>1</v>
      </c>
      <c r="C292" t="s">
        <v>66</v>
      </c>
      <c r="D292" t="s">
        <v>75</v>
      </c>
      <c r="E292" t="s">
        <v>68</v>
      </c>
      <c r="F292">
        <v>180</v>
      </c>
      <c r="G292">
        <v>1080</v>
      </c>
      <c r="H292">
        <v>-3</v>
      </c>
      <c r="I292">
        <v>1982</v>
      </c>
      <c r="J292" t="s">
        <v>26</v>
      </c>
      <c r="K292">
        <v>2552</v>
      </c>
      <c r="L292">
        <v>1.82</v>
      </c>
      <c r="M292">
        <v>2.4300000000000002</v>
      </c>
      <c r="N292" s="4">
        <f t="shared" si="8"/>
        <v>2.6002340000000004E-4</v>
      </c>
      <c r="O292" s="4">
        <f t="shared" si="9"/>
        <v>6.3185686200000011E-4</v>
      </c>
      <c r="P292">
        <v>13</v>
      </c>
      <c r="Q292">
        <v>1</v>
      </c>
      <c r="R292">
        <v>2.5</v>
      </c>
      <c r="S292">
        <v>3</v>
      </c>
      <c r="T292">
        <v>3</v>
      </c>
      <c r="U292">
        <v>3</v>
      </c>
      <c r="V292" t="s">
        <v>50</v>
      </c>
    </row>
    <row r="293" spans="1:22" x14ac:dyDescent="0.25">
      <c r="A293" t="s">
        <v>74</v>
      </c>
      <c r="B293">
        <v>1</v>
      </c>
      <c r="C293" t="s">
        <v>66</v>
      </c>
      <c r="D293" t="s">
        <v>75</v>
      </c>
      <c r="E293" t="s">
        <v>68</v>
      </c>
      <c r="F293">
        <v>180</v>
      </c>
      <c r="G293">
        <v>1080</v>
      </c>
      <c r="H293">
        <v>-3</v>
      </c>
      <c r="I293">
        <v>1982</v>
      </c>
      <c r="J293" t="s">
        <v>61</v>
      </c>
      <c r="K293">
        <v>2631</v>
      </c>
      <c r="L293">
        <v>6.97</v>
      </c>
      <c r="M293">
        <v>5.23</v>
      </c>
      <c r="N293" s="4">
        <f t="shared" si="8"/>
        <v>3.8136006499999999E-3</v>
      </c>
      <c r="O293" s="4">
        <f t="shared" si="9"/>
        <v>1.99451313995E-2</v>
      </c>
      <c r="P293">
        <v>25</v>
      </c>
      <c r="Q293">
        <v>2</v>
      </c>
      <c r="R293">
        <v>3</v>
      </c>
      <c r="S293">
        <v>2.5</v>
      </c>
      <c r="T293">
        <v>2</v>
      </c>
      <c r="U293">
        <v>3</v>
      </c>
      <c r="V293" t="s">
        <v>50</v>
      </c>
    </row>
    <row r="294" spans="1:22" x14ac:dyDescent="0.25">
      <c r="A294" t="s">
        <v>74</v>
      </c>
      <c r="B294">
        <v>1</v>
      </c>
      <c r="C294" t="s">
        <v>66</v>
      </c>
      <c r="D294" t="s">
        <v>75</v>
      </c>
      <c r="E294" t="s">
        <v>68</v>
      </c>
      <c r="F294">
        <v>180</v>
      </c>
      <c r="G294">
        <v>1080</v>
      </c>
      <c r="H294">
        <v>-3</v>
      </c>
      <c r="I294">
        <v>1982</v>
      </c>
      <c r="J294" t="s">
        <v>32</v>
      </c>
      <c r="K294">
        <v>1596</v>
      </c>
      <c r="L294">
        <v>12.21</v>
      </c>
      <c r="M294">
        <v>8.7200000000000006</v>
      </c>
      <c r="N294" s="4">
        <f t="shared" si="8"/>
        <v>1.1703101850000003E-2</v>
      </c>
      <c r="O294" s="4">
        <f t="shared" si="9"/>
        <v>0.10205104813200004</v>
      </c>
      <c r="P294">
        <v>75</v>
      </c>
      <c r="Q294">
        <v>3.3</v>
      </c>
      <c r="R294">
        <v>3.5</v>
      </c>
      <c r="S294">
        <v>3</v>
      </c>
      <c r="T294">
        <v>4</v>
      </c>
      <c r="U294">
        <v>3.5</v>
      </c>
      <c r="V294" t="s">
        <v>25</v>
      </c>
    </row>
    <row r="295" spans="1:22" x14ac:dyDescent="0.25">
      <c r="A295" t="s">
        <v>74</v>
      </c>
      <c r="B295">
        <v>1</v>
      </c>
      <c r="C295" t="s">
        <v>66</v>
      </c>
      <c r="D295" t="s">
        <v>75</v>
      </c>
      <c r="E295" t="s">
        <v>68</v>
      </c>
      <c r="F295">
        <v>180</v>
      </c>
      <c r="G295">
        <v>1080</v>
      </c>
      <c r="H295">
        <v>-3</v>
      </c>
      <c r="I295">
        <v>1982</v>
      </c>
      <c r="J295" t="s">
        <v>32</v>
      </c>
      <c r="K295">
        <v>2634</v>
      </c>
      <c r="L295">
        <v>6.6</v>
      </c>
      <c r="M295">
        <v>8.1</v>
      </c>
      <c r="N295" s="4">
        <f t="shared" si="8"/>
        <v>3.4194600000000005E-3</v>
      </c>
      <c r="O295" s="4">
        <f t="shared" si="9"/>
        <v>2.7697626000000003E-2</v>
      </c>
      <c r="P295">
        <v>50</v>
      </c>
      <c r="Q295">
        <v>2.8</v>
      </c>
      <c r="R295">
        <v>4</v>
      </c>
      <c r="S295">
        <v>3</v>
      </c>
      <c r="T295">
        <v>4</v>
      </c>
      <c r="U295">
        <v>3.5</v>
      </c>
      <c r="V295" t="s">
        <v>38</v>
      </c>
    </row>
    <row r="296" spans="1:22" x14ac:dyDescent="0.25">
      <c r="A296" t="s">
        <v>74</v>
      </c>
      <c r="B296">
        <v>1</v>
      </c>
      <c r="C296" t="s">
        <v>66</v>
      </c>
      <c r="D296" t="s">
        <v>75</v>
      </c>
      <c r="E296" t="s">
        <v>68</v>
      </c>
      <c r="F296">
        <v>180</v>
      </c>
      <c r="G296">
        <v>1080</v>
      </c>
      <c r="H296">
        <v>-3</v>
      </c>
      <c r="I296">
        <v>1982</v>
      </c>
      <c r="J296" t="s">
        <v>32</v>
      </c>
      <c r="K296">
        <v>2635</v>
      </c>
      <c r="L296">
        <v>7.48</v>
      </c>
      <c r="M296">
        <v>3.74</v>
      </c>
      <c r="N296" s="4">
        <f t="shared" si="8"/>
        <v>4.3921064000000008E-3</v>
      </c>
      <c r="O296" s="4">
        <f t="shared" si="9"/>
        <v>1.6426477936000005E-2</v>
      </c>
      <c r="P296">
        <v>25</v>
      </c>
      <c r="Q296">
        <v>3</v>
      </c>
      <c r="R296">
        <v>3.5</v>
      </c>
      <c r="S296">
        <v>3</v>
      </c>
      <c r="T296">
        <v>4</v>
      </c>
      <c r="U296">
        <v>3.5</v>
      </c>
      <c r="V296" t="s">
        <v>30</v>
      </c>
    </row>
    <row r="297" spans="1:22" x14ac:dyDescent="0.25">
      <c r="A297" t="s">
        <v>74</v>
      </c>
      <c r="B297">
        <v>1</v>
      </c>
      <c r="C297" t="s">
        <v>66</v>
      </c>
      <c r="D297" t="s">
        <v>75</v>
      </c>
      <c r="E297" t="s">
        <v>68</v>
      </c>
      <c r="F297">
        <v>180</v>
      </c>
      <c r="G297">
        <v>1080</v>
      </c>
      <c r="H297">
        <v>-3</v>
      </c>
      <c r="I297">
        <v>1982</v>
      </c>
      <c r="J297" t="s">
        <v>35</v>
      </c>
      <c r="K297">
        <v>1259</v>
      </c>
      <c r="L297">
        <v>9.65</v>
      </c>
      <c r="M297">
        <v>8.01</v>
      </c>
      <c r="N297" s="4">
        <f t="shared" si="8"/>
        <v>7.3101162500000009E-3</v>
      </c>
      <c r="O297" s="4">
        <f t="shared" si="9"/>
        <v>5.8554031162500006E-2</v>
      </c>
      <c r="P297">
        <v>100</v>
      </c>
      <c r="Q297">
        <v>3</v>
      </c>
      <c r="R297">
        <v>2</v>
      </c>
      <c r="S297">
        <v>3</v>
      </c>
      <c r="T297">
        <v>3.5</v>
      </c>
      <c r="U297">
        <v>3</v>
      </c>
      <c r="V297" t="s">
        <v>38</v>
      </c>
    </row>
    <row r="298" spans="1:22" x14ac:dyDescent="0.25">
      <c r="A298" t="s">
        <v>74</v>
      </c>
      <c r="B298">
        <v>1</v>
      </c>
      <c r="C298" t="s">
        <v>66</v>
      </c>
      <c r="D298" t="s">
        <v>75</v>
      </c>
      <c r="E298" t="s">
        <v>68</v>
      </c>
      <c r="F298">
        <v>180</v>
      </c>
      <c r="G298">
        <v>1080</v>
      </c>
      <c r="H298">
        <v>-3</v>
      </c>
      <c r="I298">
        <v>1982</v>
      </c>
      <c r="J298" t="s">
        <v>35</v>
      </c>
      <c r="K298">
        <v>1785</v>
      </c>
      <c r="L298">
        <v>3.53</v>
      </c>
      <c r="M298">
        <v>3.3</v>
      </c>
      <c r="N298" s="4">
        <f t="shared" si="8"/>
        <v>9.7818064999999994E-4</v>
      </c>
      <c r="O298" s="4">
        <f t="shared" si="9"/>
        <v>3.2279961449999998E-3</v>
      </c>
      <c r="P298">
        <v>75</v>
      </c>
      <c r="Q298">
        <v>1.8</v>
      </c>
      <c r="R298">
        <v>2</v>
      </c>
      <c r="S298">
        <v>2.5</v>
      </c>
      <c r="T298">
        <v>3</v>
      </c>
      <c r="U298">
        <v>3</v>
      </c>
      <c r="V298" t="s">
        <v>30</v>
      </c>
    </row>
    <row r="299" spans="1:22" x14ac:dyDescent="0.25">
      <c r="A299" t="s">
        <v>74</v>
      </c>
      <c r="B299">
        <v>1</v>
      </c>
      <c r="C299" t="s">
        <v>66</v>
      </c>
      <c r="D299" t="s">
        <v>75</v>
      </c>
      <c r="E299" t="s">
        <v>68</v>
      </c>
      <c r="F299">
        <v>180</v>
      </c>
      <c r="G299">
        <v>1080</v>
      </c>
      <c r="H299">
        <v>-3</v>
      </c>
      <c r="I299">
        <v>1982</v>
      </c>
      <c r="J299" t="s">
        <v>36</v>
      </c>
      <c r="K299">
        <v>2573</v>
      </c>
      <c r="L299">
        <v>15.02</v>
      </c>
      <c r="M299">
        <v>8.0399999999999991</v>
      </c>
      <c r="N299" s="4">
        <f t="shared" si="8"/>
        <v>1.7709631400000002E-2</v>
      </c>
      <c r="O299" s="4">
        <f t="shared" si="9"/>
        <v>0.14238543645599999</v>
      </c>
      <c r="P299">
        <v>75</v>
      </c>
      <c r="Q299">
        <v>3</v>
      </c>
      <c r="R299">
        <v>4</v>
      </c>
      <c r="S299">
        <v>3</v>
      </c>
      <c r="T299">
        <v>3.2</v>
      </c>
      <c r="U299">
        <v>2.5</v>
      </c>
      <c r="V299" t="s">
        <v>38</v>
      </c>
    </row>
    <row r="300" spans="1:22" x14ac:dyDescent="0.25">
      <c r="A300" t="s">
        <v>74</v>
      </c>
      <c r="B300">
        <v>1</v>
      </c>
      <c r="C300" t="s">
        <v>66</v>
      </c>
      <c r="D300" t="s">
        <v>75</v>
      </c>
      <c r="E300" t="s">
        <v>68</v>
      </c>
      <c r="F300">
        <v>180</v>
      </c>
      <c r="G300">
        <v>1080</v>
      </c>
      <c r="H300">
        <v>-3</v>
      </c>
      <c r="I300">
        <v>1982</v>
      </c>
      <c r="J300" t="s">
        <v>62</v>
      </c>
      <c r="K300">
        <v>2550</v>
      </c>
      <c r="L300">
        <v>11.27</v>
      </c>
      <c r="M300">
        <v>7.14</v>
      </c>
      <c r="N300" s="4">
        <f t="shared" si="8"/>
        <v>9.9705126499999991E-3</v>
      </c>
      <c r="O300" s="4">
        <f t="shared" si="9"/>
        <v>7.1189460320999987E-2</v>
      </c>
      <c r="P300">
        <v>75</v>
      </c>
      <c r="Q300">
        <v>2.5</v>
      </c>
      <c r="R300">
        <v>3</v>
      </c>
      <c r="S300">
        <v>3</v>
      </c>
      <c r="T300">
        <v>4</v>
      </c>
      <c r="U300">
        <v>3</v>
      </c>
      <c r="V300" t="s">
        <v>38</v>
      </c>
    </row>
    <row r="301" spans="1:22" x14ac:dyDescent="0.25">
      <c r="A301" t="s">
        <v>74</v>
      </c>
      <c r="B301">
        <v>1</v>
      </c>
      <c r="C301" t="s">
        <v>66</v>
      </c>
      <c r="D301" t="s">
        <v>75</v>
      </c>
      <c r="E301" t="s">
        <v>68</v>
      </c>
      <c r="F301">
        <v>180</v>
      </c>
      <c r="G301">
        <v>1080</v>
      </c>
      <c r="H301">
        <v>-3</v>
      </c>
      <c r="I301">
        <v>1982</v>
      </c>
      <c r="J301" t="s">
        <v>37</v>
      </c>
      <c r="K301">
        <v>2575</v>
      </c>
      <c r="L301">
        <v>2.72</v>
      </c>
      <c r="M301">
        <v>3.43</v>
      </c>
      <c r="N301" s="4">
        <f t="shared" si="8"/>
        <v>5.8077440000000008E-4</v>
      </c>
      <c r="O301" s="4">
        <f t="shared" si="9"/>
        <v>1.9920561920000004E-3</v>
      </c>
      <c r="P301">
        <v>50</v>
      </c>
      <c r="Q301">
        <v>1</v>
      </c>
      <c r="R301">
        <v>1</v>
      </c>
      <c r="S301">
        <v>2</v>
      </c>
      <c r="T301">
        <v>2</v>
      </c>
      <c r="U301">
        <v>3</v>
      </c>
      <c r="V301" t="s">
        <v>50</v>
      </c>
    </row>
    <row r="302" spans="1:22" x14ac:dyDescent="0.25">
      <c r="A302" t="s">
        <v>74</v>
      </c>
      <c r="B302">
        <v>1</v>
      </c>
      <c r="C302" t="s">
        <v>66</v>
      </c>
      <c r="D302" t="s">
        <v>75</v>
      </c>
      <c r="E302" t="s">
        <v>68</v>
      </c>
      <c r="F302">
        <v>180</v>
      </c>
      <c r="G302">
        <v>1080</v>
      </c>
      <c r="H302">
        <v>-3</v>
      </c>
      <c r="I302">
        <v>1982</v>
      </c>
      <c r="J302" t="s">
        <v>63</v>
      </c>
      <c r="K302">
        <v>1340</v>
      </c>
      <c r="L302">
        <v>2.1</v>
      </c>
      <c r="M302">
        <v>3.38</v>
      </c>
      <c r="N302" s="4">
        <f t="shared" si="8"/>
        <v>3.4618500000000005E-4</v>
      </c>
      <c r="O302" s="4">
        <f t="shared" si="9"/>
        <v>1.1701053000000002E-3</v>
      </c>
      <c r="P302">
        <v>50</v>
      </c>
      <c r="Q302">
        <v>1</v>
      </c>
      <c r="R302">
        <v>1</v>
      </c>
      <c r="S302">
        <v>3</v>
      </c>
      <c r="T302">
        <v>3</v>
      </c>
      <c r="U302">
        <v>3</v>
      </c>
      <c r="V302" t="s">
        <v>50</v>
      </c>
    </row>
    <row r="303" spans="1:22" x14ac:dyDescent="0.25">
      <c r="A303" t="s">
        <v>74</v>
      </c>
      <c r="B303">
        <v>2</v>
      </c>
      <c r="C303" t="s">
        <v>66</v>
      </c>
      <c r="D303" t="s">
        <v>75</v>
      </c>
      <c r="E303" t="s">
        <v>68</v>
      </c>
      <c r="F303">
        <v>180</v>
      </c>
      <c r="G303">
        <v>1080</v>
      </c>
      <c r="H303">
        <v>-3</v>
      </c>
      <c r="I303">
        <v>1982</v>
      </c>
      <c r="J303" t="s">
        <v>76</v>
      </c>
      <c r="K303">
        <v>1592</v>
      </c>
      <c r="L303">
        <v>7.5</v>
      </c>
      <c r="M303">
        <v>8.08</v>
      </c>
      <c r="N303" s="4">
        <f t="shared" si="8"/>
        <v>4.4156250000000003E-3</v>
      </c>
      <c r="O303" s="4">
        <f t="shared" si="9"/>
        <v>3.5678250000000002E-2</v>
      </c>
      <c r="P303">
        <v>25</v>
      </c>
      <c r="Q303">
        <v>2</v>
      </c>
      <c r="R303">
        <v>3</v>
      </c>
      <c r="S303">
        <v>3</v>
      </c>
      <c r="T303">
        <v>4</v>
      </c>
      <c r="U303">
        <v>4</v>
      </c>
      <c r="V303" t="s">
        <v>38</v>
      </c>
    </row>
    <row r="304" spans="1:22" x14ac:dyDescent="0.25">
      <c r="A304" t="s">
        <v>74</v>
      </c>
      <c r="B304">
        <v>2</v>
      </c>
      <c r="C304" t="s">
        <v>66</v>
      </c>
      <c r="D304" t="s">
        <v>75</v>
      </c>
      <c r="E304" t="s">
        <v>68</v>
      </c>
      <c r="F304">
        <v>180</v>
      </c>
      <c r="G304">
        <v>1080</v>
      </c>
      <c r="H304">
        <v>-3</v>
      </c>
      <c r="I304">
        <v>1982</v>
      </c>
      <c r="J304" t="s">
        <v>76</v>
      </c>
      <c r="K304">
        <v>2560</v>
      </c>
      <c r="L304">
        <v>4.3899999999999997</v>
      </c>
      <c r="M304">
        <v>5.19</v>
      </c>
      <c r="N304" s="4">
        <f t="shared" si="8"/>
        <v>1.5128598499999997E-3</v>
      </c>
      <c r="O304" s="4">
        <f t="shared" si="9"/>
        <v>7.8517426214999991E-3</v>
      </c>
      <c r="P304">
        <v>50</v>
      </c>
      <c r="Q304">
        <v>2.5</v>
      </c>
      <c r="R304">
        <v>3.5</v>
      </c>
      <c r="S304">
        <v>3</v>
      </c>
      <c r="T304">
        <v>4.5</v>
      </c>
      <c r="U304">
        <v>4</v>
      </c>
      <c r="V304" t="s">
        <v>38</v>
      </c>
    </row>
    <row r="305" spans="1:22" x14ac:dyDescent="0.25">
      <c r="A305" t="s">
        <v>74</v>
      </c>
      <c r="B305">
        <v>2</v>
      </c>
      <c r="C305" t="s">
        <v>66</v>
      </c>
      <c r="D305" t="s">
        <v>75</v>
      </c>
      <c r="E305" t="s">
        <v>68</v>
      </c>
      <c r="F305">
        <v>180</v>
      </c>
      <c r="G305">
        <v>1080</v>
      </c>
      <c r="H305">
        <v>-3</v>
      </c>
      <c r="I305">
        <v>1982</v>
      </c>
      <c r="J305" t="s">
        <v>56</v>
      </c>
      <c r="K305">
        <v>1111</v>
      </c>
      <c r="L305">
        <v>12.26</v>
      </c>
      <c r="M305">
        <v>6.81</v>
      </c>
      <c r="N305" s="4">
        <f t="shared" si="8"/>
        <v>1.1799146600000001E-2</v>
      </c>
      <c r="O305" s="4">
        <f t="shared" si="9"/>
        <v>8.0352188345999997E-2</v>
      </c>
      <c r="P305">
        <v>71</v>
      </c>
      <c r="Q305">
        <v>4.2</v>
      </c>
      <c r="R305">
        <v>3</v>
      </c>
      <c r="S305">
        <v>3</v>
      </c>
      <c r="T305">
        <v>2</v>
      </c>
      <c r="U305">
        <v>2</v>
      </c>
      <c r="V305" t="s">
        <v>38</v>
      </c>
    </row>
    <row r="306" spans="1:22" x14ac:dyDescent="0.25">
      <c r="A306" t="s">
        <v>74</v>
      </c>
      <c r="B306">
        <v>2</v>
      </c>
      <c r="C306" t="s">
        <v>66</v>
      </c>
      <c r="D306" t="s">
        <v>75</v>
      </c>
      <c r="E306" t="s">
        <v>68</v>
      </c>
      <c r="F306">
        <v>180</v>
      </c>
      <c r="G306">
        <v>1080</v>
      </c>
      <c r="H306">
        <v>-3</v>
      </c>
      <c r="I306">
        <v>1982</v>
      </c>
      <c r="J306" t="s">
        <v>57</v>
      </c>
      <c r="K306">
        <v>2620</v>
      </c>
      <c r="L306">
        <v>3.54</v>
      </c>
      <c r="M306">
        <v>3.43</v>
      </c>
      <c r="N306" s="4">
        <f t="shared" si="8"/>
        <v>9.8373060000000014E-4</v>
      </c>
      <c r="O306" s="4">
        <f t="shared" si="9"/>
        <v>3.3741959580000005E-3</v>
      </c>
      <c r="P306">
        <v>100</v>
      </c>
      <c r="Q306">
        <v>2.5</v>
      </c>
      <c r="R306">
        <v>2</v>
      </c>
      <c r="S306">
        <v>3.3</v>
      </c>
      <c r="T306">
        <v>3.3</v>
      </c>
      <c r="U306">
        <v>3.3</v>
      </c>
      <c r="V306" t="s">
        <v>30</v>
      </c>
    </row>
    <row r="307" spans="1:22" x14ac:dyDescent="0.25">
      <c r="A307" t="s">
        <v>74</v>
      </c>
      <c r="B307">
        <v>2</v>
      </c>
      <c r="C307" t="s">
        <v>66</v>
      </c>
      <c r="D307" t="s">
        <v>75</v>
      </c>
      <c r="E307" t="s">
        <v>68</v>
      </c>
      <c r="F307">
        <v>180</v>
      </c>
      <c r="G307">
        <v>1080</v>
      </c>
      <c r="H307">
        <v>-3</v>
      </c>
      <c r="I307">
        <v>1982</v>
      </c>
      <c r="J307" t="s">
        <v>57</v>
      </c>
      <c r="K307">
        <v>2621</v>
      </c>
      <c r="L307">
        <v>3.09</v>
      </c>
      <c r="M307">
        <v>2.63</v>
      </c>
      <c r="N307" s="4">
        <f t="shared" si="8"/>
        <v>7.4952584999999987E-4</v>
      </c>
      <c r="O307" s="4">
        <f t="shared" si="9"/>
        <v>1.9712529854999995E-3</v>
      </c>
      <c r="P307">
        <v>75</v>
      </c>
      <c r="Q307">
        <v>2.5</v>
      </c>
      <c r="R307">
        <v>2</v>
      </c>
      <c r="S307">
        <v>3.3</v>
      </c>
      <c r="T307">
        <v>3.3</v>
      </c>
      <c r="U307">
        <v>3.3</v>
      </c>
      <c r="V307" t="s">
        <v>30</v>
      </c>
    </row>
    <row r="308" spans="1:22" x14ac:dyDescent="0.25">
      <c r="A308" t="s">
        <v>74</v>
      </c>
      <c r="B308">
        <v>2</v>
      </c>
      <c r="C308" t="s">
        <v>66</v>
      </c>
      <c r="D308" t="s">
        <v>75</v>
      </c>
      <c r="E308" t="s">
        <v>68</v>
      </c>
      <c r="F308">
        <v>180</v>
      </c>
      <c r="G308">
        <v>1080</v>
      </c>
      <c r="H308">
        <v>-3</v>
      </c>
      <c r="I308">
        <v>1982</v>
      </c>
      <c r="J308" t="s">
        <v>59</v>
      </c>
      <c r="K308">
        <v>2548</v>
      </c>
      <c r="L308">
        <v>5.5</v>
      </c>
      <c r="M308">
        <v>4.8899999999999997</v>
      </c>
      <c r="N308" s="4">
        <f t="shared" si="8"/>
        <v>2.374625E-3</v>
      </c>
      <c r="O308" s="4">
        <f t="shared" si="9"/>
        <v>1.161191625E-2</v>
      </c>
      <c r="P308">
        <v>25</v>
      </c>
      <c r="Q308">
        <v>1.5</v>
      </c>
      <c r="R308">
        <v>3</v>
      </c>
      <c r="S308">
        <v>3</v>
      </c>
      <c r="T308">
        <v>3</v>
      </c>
      <c r="U308">
        <v>3</v>
      </c>
      <c r="V308" t="s">
        <v>30</v>
      </c>
    </row>
    <row r="309" spans="1:22" x14ac:dyDescent="0.25">
      <c r="A309" t="s">
        <v>74</v>
      </c>
      <c r="B309">
        <v>2</v>
      </c>
      <c r="C309" t="s">
        <v>66</v>
      </c>
      <c r="D309" t="s">
        <v>75</v>
      </c>
      <c r="E309" t="s">
        <v>68</v>
      </c>
      <c r="F309">
        <v>180</v>
      </c>
      <c r="G309">
        <v>1080</v>
      </c>
      <c r="H309">
        <v>-3</v>
      </c>
      <c r="I309">
        <v>1982</v>
      </c>
      <c r="J309" t="s">
        <v>61</v>
      </c>
      <c r="K309">
        <v>1171</v>
      </c>
      <c r="L309">
        <v>6.97</v>
      </c>
      <c r="M309">
        <v>8.9499999999999993</v>
      </c>
      <c r="N309" s="4">
        <f t="shared" si="8"/>
        <v>3.8136006499999999E-3</v>
      </c>
      <c r="O309" s="4">
        <f t="shared" si="9"/>
        <v>3.4131725817499993E-2</v>
      </c>
      <c r="P309">
        <v>75</v>
      </c>
      <c r="Q309">
        <v>2</v>
      </c>
      <c r="R309">
        <v>2</v>
      </c>
      <c r="S309">
        <v>3</v>
      </c>
      <c r="T309">
        <v>3</v>
      </c>
      <c r="U309">
        <v>3</v>
      </c>
      <c r="V309" t="s">
        <v>30</v>
      </c>
    </row>
    <row r="310" spans="1:22" x14ac:dyDescent="0.25">
      <c r="A310" t="s">
        <v>74</v>
      </c>
      <c r="B310">
        <v>2</v>
      </c>
      <c r="C310" t="s">
        <v>66</v>
      </c>
      <c r="D310" t="s">
        <v>75</v>
      </c>
      <c r="E310" t="s">
        <v>68</v>
      </c>
      <c r="F310">
        <v>180</v>
      </c>
      <c r="G310">
        <v>1080</v>
      </c>
      <c r="H310">
        <v>-3</v>
      </c>
      <c r="I310">
        <v>1982</v>
      </c>
      <c r="J310" t="s">
        <v>32</v>
      </c>
      <c r="K310">
        <v>1596</v>
      </c>
      <c r="L310">
        <v>5.73</v>
      </c>
      <c r="M310">
        <v>4.9800000000000004</v>
      </c>
      <c r="N310" s="4">
        <f t="shared" si="8"/>
        <v>2.5773826500000005E-3</v>
      </c>
      <c r="O310" s="4">
        <f t="shared" si="9"/>
        <v>1.2835365597000003E-2</v>
      </c>
      <c r="P310">
        <v>75</v>
      </c>
      <c r="Q310">
        <v>2.7</v>
      </c>
      <c r="R310">
        <v>3</v>
      </c>
      <c r="S310">
        <v>3</v>
      </c>
      <c r="T310">
        <v>4</v>
      </c>
      <c r="U310">
        <v>3</v>
      </c>
      <c r="V310" t="s">
        <v>30</v>
      </c>
    </row>
    <row r="311" spans="1:22" x14ac:dyDescent="0.25">
      <c r="A311" t="s">
        <v>74</v>
      </c>
      <c r="B311">
        <v>2</v>
      </c>
      <c r="C311" t="s">
        <v>66</v>
      </c>
      <c r="D311" t="s">
        <v>75</v>
      </c>
      <c r="E311" t="s">
        <v>68</v>
      </c>
      <c r="F311">
        <v>180</v>
      </c>
      <c r="G311">
        <v>1080</v>
      </c>
      <c r="H311">
        <v>-3</v>
      </c>
      <c r="I311">
        <v>1982</v>
      </c>
      <c r="J311" t="s">
        <v>32</v>
      </c>
      <c r="K311">
        <v>2569</v>
      </c>
      <c r="L311">
        <v>19.440000000000001</v>
      </c>
      <c r="M311">
        <v>15.38</v>
      </c>
      <c r="N311" s="4">
        <f t="shared" si="8"/>
        <v>2.966621760000001E-2</v>
      </c>
      <c r="O311" s="4">
        <f t="shared" si="9"/>
        <v>0.45626642668800016</v>
      </c>
      <c r="P311">
        <v>75</v>
      </c>
      <c r="Q311">
        <v>4.5</v>
      </c>
      <c r="R311">
        <v>3.5</v>
      </c>
      <c r="S311">
        <v>3.5</v>
      </c>
      <c r="T311">
        <v>4</v>
      </c>
      <c r="U311">
        <v>3</v>
      </c>
      <c r="V311" t="s">
        <v>27</v>
      </c>
    </row>
    <row r="312" spans="1:22" x14ac:dyDescent="0.25">
      <c r="A312" t="s">
        <v>74</v>
      </c>
      <c r="B312">
        <v>2</v>
      </c>
      <c r="C312" t="s">
        <v>66</v>
      </c>
      <c r="D312" t="s">
        <v>75</v>
      </c>
      <c r="E312" t="s">
        <v>68</v>
      </c>
      <c r="F312">
        <v>180</v>
      </c>
      <c r="G312">
        <v>1080</v>
      </c>
      <c r="H312">
        <v>-3</v>
      </c>
      <c r="I312">
        <v>1982</v>
      </c>
      <c r="J312" t="s">
        <v>32</v>
      </c>
      <c r="K312">
        <v>2634</v>
      </c>
      <c r="L312">
        <v>10.97</v>
      </c>
      <c r="M312">
        <v>9.9700000000000006</v>
      </c>
      <c r="N312" s="4">
        <f t="shared" si="8"/>
        <v>9.4467606500000002E-3</v>
      </c>
      <c r="O312" s="4">
        <f t="shared" si="9"/>
        <v>9.4184203680500012E-2</v>
      </c>
      <c r="P312">
        <v>75</v>
      </c>
      <c r="Q312">
        <v>3.5</v>
      </c>
      <c r="R312">
        <v>3</v>
      </c>
      <c r="S312">
        <v>3.2</v>
      </c>
      <c r="T312">
        <v>4</v>
      </c>
      <c r="U312">
        <v>3</v>
      </c>
      <c r="V312" t="s">
        <v>25</v>
      </c>
    </row>
    <row r="313" spans="1:22" x14ac:dyDescent="0.25">
      <c r="A313" t="s">
        <v>74</v>
      </c>
      <c r="B313">
        <v>2</v>
      </c>
      <c r="C313" t="s">
        <v>66</v>
      </c>
      <c r="D313" t="s">
        <v>75</v>
      </c>
      <c r="E313" t="s">
        <v>68</v>
      </c>
      <c r="F313">
        <v>180</v>
      </c>
      <c r="G313">
        <v>1080</v>
      </c>
      <c r="H313">
        <v>-3</v>
      </c>
      <c r="I313">
        <v>1982</v>
      </c>
      <c r="J313" t="s">
        <v>32</v>
      </c>
      <c r="K313">
        <v>2635</v>
      </c>
      <c r="L313">
        <v>5.86</v>
      </c>
      <c r="M313">
        <v>4.3600000000000003</v>
      </c>
      <c r="N313" s="4">
        <f t="shared" si="8"/>
        <v>2.6956586000000007E-3</v>
      </c>
      <c r="O313" s="4">
        <f t="shared" si="9"/>
        <v>1.1753071496000004E-2</v>
      </c>
      <c r="P313">
        <v>75</v>
      </c>
      <c r="Q313">
        <v>3</v>
      </c>
      <c r="R313">
        <v>3</v>
      </c>
      <c r="S313">
        <v>3</v>
      </c>
      <c r="T313">
        <v>4</v>
      </c>
      <c r="U313">
        <v>3</v>
      </c>
      <c r="V313" t="s">
        <v>38</v>
      </c>
    </row>
    <row r="314" spans="1:22" x14ac:dyDescent="0.25">
      <c r="A314" t="s">
        <v>74</v>
      </c>
      <c r="B314">
        <v>2</v>
      </c>
      <c r="C314" t="s">
        <v>66</v>
      </c>
      <c r="D314" t="s">
        <v>75</v>
      </c>
      <c r="E314" t="s">
        <v>68</v>
      </c>
      <c r="F314">
        <v>180</v>
      </c>
      <c r="G314">
        <v>1080</v>
      </c>
      <c r="H314">
        <v>-3</v>
      </c>
      <c r="I314">
        <v>1982</v>
      </c>
      <c r="J314" t="s">
        <v>62</v>
      </c>
      <c r="K314">
        <v>2550</v>
      </c>
      <c r="L314">
        <v>17.600000000000001</v>
      </c>
      <c r="M314">
        <v>14.08</v>
      </c>
      <c r="N314" s="4">
        <f t="shared" si="8"/>
        <v>2.4316160000000007E-2</v>
      </c>
      <c r="O314" s="4">
        <f t="shared" si="9"/>
        <v>0.3423715328000001</v>
      </c>
      <c r="P314">
        <v>50</v>
      </c>
      <c r="Q314">
        <v>5</v>
      </c>
      <c r="R314">
        <v>3.5</v>
      </c>
      <c r="S314">
        <v>4</v>
      </c>
      <c r="T314">
        <v>4</v>
      </c>
      <c r="U314">
        <v>3.5</v>
      </c>
      <c r="V314" t="s">
        <v>27</v>
      </c>
    </row>
    <row r="315" spans="1:22" x14ac:dyDescent="0.25">
      <c r="A315" t="s">
        <v>74</v>
      </c>
      <c r="B315">
        <v>2</v>
      </c>
      <c r="C315" t="s">
        <v>66</v>
      </c>
      <c r="D315" t="s">
        <v>75</v>
      </c>
      <c r="E315" t="s">
        <v>68</v>
      </c>
      <c r="F315">
        <v>180</v>
      </c>
      <c r="G315">
        <v>1080</v>
      </c>
      <c r="H315">
        <v>-3</v>
      </c>
      <c r="I315">
        <v>1982</v>
      </c>
      <c r="J315" t="s">
        <v>62</v>
      </c>
      <c r="K315">
        <v>2553</v>
      </c>
      <c r="L315">
        <v>6.34</v>
      </c>
      <c r="M315">
        <v>6.45</v>
      </c>
      <c r="N315" s="4">
        <f t="shared" si="8"/>
        <v>3.1553546000000002E-3</v>
      </c>
      <c r="O315" s="4">
        <f t="shared" si="9"/>
        <v>2.035203717E-2</v>
      </c>
      <c r="P315">
        <v>50</v>
      </c>
      <c r="Q315">
        <v>3</v>
      </c>
      <c r="R315">
        <v>3</v>
      </c>
      <c r="S315">
        <v>4</v>
      </c>
      <c r="T315">
        <v>4</v>
      </c>
      <c r="U315">
        <v>4</v>
      </c>
      <c r="V315" t="s">
        <v>38</v>
      </c>
    </row>
    <row r="316" spans="1:22" x14ac:dyDescent="0.25">
      <c r="A316" t="s">
        <v>74</v>
      </c>
      <c r="B316">
        <v>2</v>
      </c>
      <c r="C316" t="s">
        <v>66</v>
      </c>
      <c r="D316" t="s">
        <v>75</v>
      </c>
      <c r="E316" t="s">
        <v>68</v>
      </c>
      <c r="F316">
        <v>180</v>
      </c>
      <c r="G316">
        <v>1080</v>
      </c>
      <c r="H316">
        <v>-3</v>
      </c>
      <c r="I316">
        <v>1982</v>
      </c>
      <c r="J316" t="s">
        <v>62</v>
      </c>
      <c r="K316">
        <v>2574</v>
      </c>
      <c r="L316">
        <v>1.17</v>
      </c>
      <c r="M316">
        <v>2.34</v>
      </c>
      <c r="N316" s="4">
        <f t="shared" si="8"/>
        <v>1.0745864999999998E-4</v>
      </c>
      <c r="O316" s="4">
        <f t="shared" si="9"/>
        <v>2.5145324099999991E-4</v>
      </c>
      <c r="P316">
        <v>25</v>
      </c>
      <c r="Q316">
        <v>1</v>
      </c>
      <c r="R316">
        <v>3</v>
      </c>
      <c r="S316">
        <v>3</v>
      </c>
      <c r="T316">
        <v>3</v>
      </c>
      <c r="U316">
        <v>3</v>
      </c>
      <c r="V316" t="s">
        <v>50</v>
      </c>
    </row>
    <row r="317" spans="1:22" x14ac:dyDescent="0.25">
      <c r="A317" t="s">
        <v>74</v>
      </c>
      <c r="B317">
        <v>2</v>
      </c>
      <c r="C317" t="s">
        <v>66</v>
      </c>
      <c r="D317" t="s">
        <v>75</v>
      </c>
      <c r="E317" t="s">
        <v>68</v>
      </c>
      <c r="F317">
        <v>180</v>
      </c>
      <c r="G317">
        <v>1080</v>
      </c>
      <c r="H317">
        <v>-3</v>
      </c>
      <c r="I317">
        <v>1982</v>
      </c>
      <c r="J317" t="s">
        <v>37</v>
      </c>
      <c r="K317">
        <v>2575</v>
      </c>
      <c r="L317">
        <v>6.97</v>
      </c>
      <c r="M317">
        <v>5.32</v>
      </c>
      <c r="N317" s="4">
        <f t="shared" si="8"/>
        <v>3.8136006499999999E-3</v>
      </c>
      <c r="O317" s="4">
        <f t="shared" si="9"/>
        <v>2.0288355458E-2</v>
      </c>
      <c r="P317">
        <v>50</v>
      </c>
      <c r="Q317">
        <v>2</v>
      </c>
      <c r="R317">
        <v>3.5</v>
      </c>
      <c r="S317">
        <v>2</v>
      </c>
      <c r="T317">
        <v>3</v>
      </c>
      <c r="U317">
        <v>3</v>
      </c>
      <c r="V317" t="s">
        <v>50</v>
      </c>
    </row>
    <row r="318" spans="1:22" x14ac:dyDescent="0.25">
      <c r="A318" t="s">
        <v>74</v>
      </c>
      <c r="B318">
        <v>2</v>
      </c>
      <c r="C318" t="s">
        <v>66</v>
      </c>
      <c r="D318" t="s">
        <v>75</v>
      </c>
      <c r="E318" t="s">
        <v>68</v>
      </c>
      <c r="F318">
        <v>180</v>
      </c>
      <c r="G318">
        <v>1080</v>
      </c>
      <c r="H318">
        <v>-3</v>
      </c>
      <c r="I318">
        <v>1982</v>
      </c>
      <c r="J318" t="s">
        <v>63</v>
      </c>
      <c r="K318">
        <v>1340</v>
      </c>
      <c r="L318">
        <v>2.1</v>
      </c>
      <c r="M318">
        <v>3.85</v>
      </c>
      <c r="N318" s="4">
        <f t="shared" si="8"/>
        <v>3.4618500000000005E-4</v>
      </c>
      <c r="O318" s="4">
        <f t="shared" si="9"/>
        <v>1.3328122500000001E-3</v>
      </c>
      <c r="P318">
        <v>25</v>
      </c>
      <c r="Q318">
        <v>1</v>
      </c>
      <c r="R318">
        <v>2</v>
      </c>
      <c r="S318">
        <v>3</v>
      </c>
      <c r="T318">
        <v>3</v>
      </c>
      <c r="U318">
        <v>3</v>
      </c>
      <c r="V318" t="s">
        <v>50</v>
      </c>
    </row>
    <row r="319" spans="1:22" x14ac:dyDescent="0.25">
      <c r="A319" t="s">
        <v>74</v>
      </c>
      <c r="B319">
        <v>3</v>
      </c>
      <c r="C319" t="s">
        <v>66</v>
      </c>
      <c r="D319" t="s">
        <v>75</v>
      </c>
      <c r="E319" t="s">
        <v>68</v>
      </c>
      <c r="F319">
        <v>180</v>
      </c>
      <c r="G319">
        <v>1080</v>
      </c>
      <c r="H319">
        <v>-3</v>
      </c>
      <c r="I319">
        <v>1982</v>
      </c>
      <c r="J319" t="s">
        <v>76</v>
      </c>
      <c r="K319">
        <v>1592</v>
      </c>
      <c r="L319">
        <v>11.77</v>
      </c>
      <c r="M319">
        <v>8.08</v>
      </c>
      <c r="N319" s="4">
        <f t="shared" si="8"/>
        <v>1.0874832649999999E-2</v>
      </c>
      <c r="O319" s="4">
        <f t="shared" si="9"/>
        <v>8.7868647811999989E-2</v>
      </c>
      <c r="P319">
        <v>75</v>
      </c>
      <c r="Q319">
        <v>3</v>
      </c>
      <c r="R319">
        <v>4</v>
      </c>
      <c r="S319">
        <v>3</v>
      </c>
      <c r="T319">
        <v>4</v>
      </c>
      <c r="U319">
        <v>3</v>
      </c>
      <c r="V319" t="s">
        <v>27</v>
      </c>
    </row>
    <row r="320" spans="1:22" x14ac:dyDescent="0.25">
      <c r="A320" t="s">
        <v>74</v>
      </c>
      <c r="B320">
        <v>3</v>
      </c>
      <c r="C320" t="s">
        <v>66</v>
      </c>
      <c r="D320" t="s">
        <v>75</v>
      </c>
      <c r="E320" t="s">
        <v>68</v>
      </c>
      <c r="F320">
        <v>180</v>
      </c>
      <c r="G320">
        <v>1080</v>
      </c>
      <c r="H320">
        <v>-3</v>
      </c>
      <c r="I320">
        <v>1982</v>
      </c>
      <c r="J320" t="s">
        <v>56</v>
      </c>
      <c r="K320">
        <v>1111</v>
      </c>
      <c r="L320">
        <v>9.65</v>
      </c>
      <c r="M320">
        <v>6.24</v>
      </c>
      <c r="N320" s="4">
        <f t="shared" si="8"/>
        <v>7.3101162500000009E-3</v>
      </c>
      <c r="O320" s="4">
        <f t="shared" si="9"/>
        <v>4.5615125400000005E-2</v>
      </c>
      <c r="P320">
        <v>25</v>
      </c>
      <c r="Q320">
        <v>2.8</v>
      </c>
      <c r="R320">
        <v>3</v>
      </c>
      <c r="S320">
        <v>3</v>
      </c>
      <c r="T320">
        <v>3</v>
      </c>
      <c r="U320">
        <v>2.5</v>
      </c>
      <c r="V320" t="s">
        <v>30</v>
      </c>
    </row>
    <row r="321" spans="1:22" x14ac:dyDescent="0.25">
      <c r="A321" t="s">
        <v>74</v>
      </c>
      <c r="B321">
        <v>3</v>
      </c>
      <c r="C321" t="s">
        <v>66</v>
      </c>
      <c r="D321" t="s">
        <v>75</v>
      </c>
      <c r="E321" t="s">
        <v>68</v>
      </c>
      <c r="F321">
        <v>180</v>
      </c>
      <c r="G321">
        <v>1080</v>
      </c>
      <c r="H321">
        <v>-3</v>
      </c>
      <c r="I321">
        <v>1982</v>
      </c>
      <c r="J321" t="s">
        <v>58</v>
      </c>
      <c r="K321">
        <v>2638</v>
      </c>
      <c r="L321">
        <v>0.57999999999999996</v>
      </c>
      <c r="M321">
        <v>1.75</v>
      </c>
      <c r="N321" s="4">
        <f t="shared" si="8"/>
        <v>2.6407399999999997E-5</v>
      </c>
      <c r="O321" s="4">
        <f t="shared" si="9"/>
        <v>4.6212949999999996E-5</v>
      </c>
      <c r="P321">
        <v>25</v>
      </c>
      <c r="Q321">
        <v>1.5</v>
      </c>
      <c r="R321">
        <v>3</v>
      </c>
      <c r="S321">
        <v>3</v>
      </c>
      <c r="T321">
        <v>3</v>
      </c>
      <c r="U321">
        <v>3</v>
      </c>
      <c r="V321" t="s">
        <v>50</v>
      </c>
    </row>
    <row r="322" spans="1:22" x14ac:dyDescent="0.25">
      <c r="A322" t="s">
        <v>74</v>
      </c>
      <c r="B322">
        <v>3</v>
      </c>
      <c r="C322" t="s">
        <v>66</v>
      </c>
      <c r="D322" t="s">
        <v>75</v>
      </c>
      <c r="E322" t="s">
        <v>68</v>
      </c>
      <c r="F322">
        <v>180</v>
      </c>
      <c r="G322">
        <v>1080</v>
      </c>
      <c r="H322">
        <v>-3</v>
      </c>
      <c r="I322">
        <v>1982</v>
      </c>
      <c r="J322" t="s">
        <v>61</v>
      </c>
      <c r="K322">
        <v>1171</v>
      </c>
      <c r="L322">
        <v>11.62</v>
      </c>
      <c r="M322">
        <v>11.62</v>
      </c>
      <c r="N322" s="4">
        <f t="shared" si="8"/>
        <v>1.0599415399999999E-2</v>
      </c>
      <c r="O322" s="4">
        <f t="shared" si="9"/>
        <v>0.12316520694799998</v>
      </c>
      <c r="P322">
        <v>2</v>
      </c>
      <c r="Q322">
        <v>2</v>
      </c>
      <c r="R322">
        <v>2</v>
      </c>
      <c r="S322">
        <v>4</v>
      </c>
      <c r="T322">
        <v>3</v>
      </c>
      <c r="U322">
        <v>3</v>
      </c>
      <c r="V322" t="s">
        <v>30</v>
      </c>
    </row>
    <row r="323" spans="1:22" x14ac:dyDescent="0.25">
      <c r="A323" t="s">
        <v>74</v>
      </c>
      <c r="B323">
        <v>3</v>
      </c>
      <c r="C323" t="s">
        <v>66</v>
      </c>
      <c r="D323" t="s">
        <v>75</v>
      </c>
      <c r="E323" t="s">
        <v>68</v>
      </c>
      <c r="F323">
        <v>180</v>
      </c>
      <c r="G323">
        <v>1080</v>
      </c>
      <c r="H323">
        <v>-3</v>
      </c>
      <c r="I323">
        <v>1982</v>
      </c>
      <c r="J323" t="s">
        <v>61</v>
      </c>
      <c r="K323">
        <v>2631</v>
      </c>
      <c r="L323">
        <v>9.06</v>
      </c>
      <c r="M323">
        <v>6.97</v>
      </c>
      <c r="N323" s="4">
        <f t="shared" ref="N323:N386" si="10">3.14/4*((L323/100)^2)</f>
        <v>6.4435626000000001E-3</v>
      </c>
      <c r="O323" s="4">
        <f t="shared" ref="O323:O386" si="11">3.14/4*((L323/100)^2)*M323</f>
        <v>4.4911631321999997E-2</v>
      </c>
      <c r="P323">
        <v>25</v>
      </c>
      <c r="Q323">
        <v>1.3</v>
      </c>
      <c r="R323">
        <v>1</v>
      </c>
      <c r="S323">
        <v>2</v>
      </c>
      <c r="T323">
        <v>2</v>
      </c>
      <c r="U323">
        <v>3</v>
      </c>
      <c r="V323" t="s">
        <v>50</v>
      </c>
    </row>
    <row r="324" spans="1:22" x14ac:dyDescent="0.25">
      <c r="A324" t="s">
        <v>74</v>
      </c>
      <c r="B324">
        <v>3</v>
      </c>
      <c r="C324" t="s">
        <v>66</v>
      </c>
      <c r="D324" t="s">
        <v>75</v>
      </c>
      <c r="E324" t="s">
        <v>68</v>
      </c>
      <c r="F324">
        <v>180</v>
      </c>
      <c r="G324">
        <v>1080</v>
      </c>
      <c r="H324">
        <v>-3</v>
      </c>
      <c r="I324">
        <v>1982</v>
      </c>
      <c r="J324" t="s">
        <v>35</v>
      </c>
      <c r="K324">
        <v>1788</v>
      </c>
      <c r="L324">
        <v>15.31</v>
      </c>
      <c r="M324">
        <v>11.77</v>
      </c>
      <c r="N324" s="4">
        <f t="shared" si="10"/>
        <v>1.8400093850000004E-2</v>
      </c>
      <c r="O324" s="4">
        <f t="shared" si="11"/>
        <v>0.21656910461450005</v>
      </c>
      <c r="P324">
        <v>75</v>
      </c>
      <c r="Q324">
        <v>3</v>
      </c>
      <c r="R324">
        <v>2</v>
      </c>
      <c r="S324">
        <v>4</v>
      </c>
      <c r="T324">
        <v>4</v>
      </c>
      <c r="U324">
        <v>4</v>
      </c>
      <c r="V324" t="s">
        <v>27</v>
      </c>
    </row>
    <row r="325" spans="1:22" x14ac:dyDescent="0.25">
      <c r="A325" t="s">
        <v>74</v>
      </c>
      <c r="B325">
        <v>3</v>
      </c>
      <c r="C325" t="s">
        <v>66</v>
      </c>
      <c r="D325" t="s">
        <v>75</v>
      </c>
      <c r="E325" t="s">
        <v>68</v>
      </c>
      <c r="F325">
        <v>180</v>
      </c>
      <c r="G325">
        <v>1080</v>
      </c>
      <c r="H325">
        <v>-3</v>
      </c>
      <c r="I325">
        <v>1982</v>
      </c>
      <c r="J325" t="s">
        <v>35</v>
      </c>
      <c r="K325">
        <v>1259</v>
      </c>
      <c r="L325">
        <v>7.65</v>
      </c>
      <c r="M325">
        <v>8.24</v>
      </c>
      <c r="N325" s="4">
        <f t="shared" si="10"/>
        <v>4.5940162500000001E-3</v>
      </c>
      <c r="O325" s="4">
        <f t="shared" si="11"/>
        <v>3.78546939E-2</v>
      </c>
      <c r="P325">
        <v>25</v>
      </c>
      <c r="Q325">
        <v>2</v>
      </c>
      <c r="R325">
        <v>2</v>
      </c>
      <c r="S325">
        <v>4</v>
      </c>
      <c r="T325">
        <v>4</v>
      </c>
      <c r="U325">
        <v>4</v>
      </c>
      <c r="V325" t="s">
        <v>38</v>
      </c>
    </row>
    <row r="326" spans="1:22" x14ac:dyDescent="0.25">
      <c r="A326" t="s">
        <v>74</v>
      </c>
      <c r="B326">
        <v>3</v>
      </c>
      <c r="C326" t="s">
        <v>66</v>
      </c>
      <c r="D326" t="s">
        <v>75</v>
      </c>
      <c r="E326" t="s">
        <v>68</v>
      </c>
      <c r="F326">
        <v>180</v>
      </c>
      <c r="G326">
        <v>1080</v>
      </c>
      <c r="H326">
        <v>-3</v>
      </c>
      <c r="I326">
        <v>1982</v>
      </c>
      <c r="J326" t="s">
        <v>35</v>
      </c>
      <c r="K326">
        <v>2571</v>
      </c>
      <c r="L326">
        <v>6.42</v>
      </c>
      <c r="M326">
        <v>8.24</v>
      </c>
      <c r="N326" s="4">
        <f t="shared" si="10"/>
        <v>3.2354873999999997E-3</v>
      </c>
      <c r="O326" s="4">
        <f t="shared" si="11"/>
        <v>2.6660416175999999E-2</v>
      </c>
      <c r="P326">
        <v>25</v>
      </c>
      <c r="Q326">
        <v>3</v>
      </c>
      <c r="R326">
        <v>2</v>
      </c>
      <c r="S326">
        <v>4</v>
      </c>
      <c r="T326">
        <v>4</v>
      </c>
      <c r="U326">
        <v>4</v>
      </c>
      <c r="V326" t="s">
        <v>38</v>
      </c>
    </row>
    <row r="327" spans="1:22" x14ac:dyDescent="0.25">
      <c r="A327" t="s">
        <v>74</v>
      </c>
      <c r="B327">
        <v>3</v>
      </c>
      <c r="C327" t="s">
        <v>66</v>
      </c>
      <c r="D327" t="s">
        <v>75</v>
      </c>
      <c r="E327" t="s">
        <v>68</v>
      </c>
      <c r="F327">
        <v>180</v>
      </c>
      <c r="G327">
        <v>1080</v>
      </c>
      <c r="H327">
        <v>-3</v>
      </c>
      <c r="I327">
        <v>1982</v>
      </c>
      <c r="J327" t="s">
        <v>62</v>
      </c>
      <c r="K327">
        <v>2553</v>
      </c>
      <c r="L327">
        <v>19.13</v>
      </c>
      <c r="M327">
        <v>13.5</v>
      </c>
      <c r="N327" s="4">
        <f t="shared" si="10"/>
        <v>2.8727616650000003E-2</v>
      </c>
      <c r="O327" s="4">
        <f t="shared" si="11"/>
        <v>0.38782282477500002</v>
      </c>
      <c r="P327">
        <v>50</v>
      </c>
      <c r="Q327">
        <v>5</v>
      </c>
      <c r="R327">
        <v>4</v>
      </c>
      <c r="S327">
        <v>4</v>
      </c>
      <c r="T327">
        <v>4</v>
      </c>
      <c r="U327">
        <v>3</v>
      </c>
      <c r="V327" t="s">
        <v>27</v>
      </c>
    </row>
    <row r="328" spans="1:22" x14ac:dyDescent="0.25">
      <c r="A328" t="s">
        <v>74</v>
      </c>
      <c r="B328">
        <v>3</v>
      </c>
      <c r="C328" t="s">
        <v>66</v>
      </c>
      <c r="D328" t="s">
        <v>75</v>
      </c>
      <c r="E328" t="s">
        <v>68</v>
      </c>
      <c r="F328">
        <v>180</v>
      </c>
      <c r="G328">
        <v>1080</v>
      </c>
      <c r="H328">
        <v>-3</v>
      </c>
      <c r="I328">
        <v>1982</v>
      </c>
      <c r="J328" t="s">
        <v>62</v>
      </c>
      <c r="K328">
        <v>2574</v>
      </c>
      <c r="L328">
        <v>15.26</v>
      </c>
      <c r="M328">
        <v>14.08</v>
      </c>
      <c r="N328" s="4">
        <f t="shared" si="10"/>
        <v>1.8280106599999998E-2</v>
      </c>
      <c r="O328" s="4">
        <f t="shared" si="11"/>
        <v>0.25738390092799995</v>
      </c>
      <c r="P328">
        <v>25</v>
      </c>
      <c r="Q328">
        <v>3</v>
      </c>
      <c r="R328">
        <v>4</v>
      </c>
      <c r="S328">
        <v>4</v>
      </c>
      <c r="T328">
        <v>4</v>
      </c>
      <c r="U328">
        <v>3</v>
      </c>
      <c r="V328" t="s">
        <v>27</v>
      </c>
    </row>
    <row r="329" spans="1:22" x14ac:dyDescent="0.25">
      <c r="A329" t="s">
        <v>74</v>
      </c>
      <c r="B329">
        <v>3</v>
      </c>
      <c r="C329" t="s">
        <v>66</v>
      </c>
      <c r="D329" t="s">
        <v>75</v>
      </c>
      <c r="E329" t="s">
        <v>68</v>
      </c>
      <c r="F329">
        <v>180</v>
      </c>
      <c r="G329">
        <v>1080</v>
      </c>
      <c r="H329">
        <v>-3</v>
      </c>
      <c r="I329">
        <v>1982</v>
      </c>
      <c r="J329" t="s">
        <v>37</v>
      </c>
      <c r="K329">
        <v>2575</v>
      </c>
      <c r="L329">
        <v>4.84</v>
      </c>
      <c r="M329">
        <v>4.13</v>
      </c>
      <c r="N329" s="4">
        <f t="shared" si="10"/>
        <v>1.8389096000000001E-3</v>
      </c>
      <c r="O329" s="4">
        <f t="shared" si="11"/>
        <v>7.5946966480000006E-3</v>
      </c>
      <c r="P329">
        <v>50</v>
      </c>
      <c r="Q329">
        <v>2</v>
      </c>
      <c r="R329">
        <v>1.5</v>
      </c>
      <c r="S329">
        <v>3</v>
      </c>
      <c r="T329">
        <v>3</v>
      </c>
      <c r="U329">
        <v>3</v>
      </c>
      <c r="V329" t="s">
        <v>30</v>
      </c>
    </row>
    <row r="330" spans="1:22" x14ac:dyDescent="0.25">
      <c r="A330" t="s">
        <v>74</v>
      </c>
      <c r="B330">
        <v>3</v>
      </c>
      <c r="C330" t="s">
        <v>66</v>
      </c>
      <c r="D330" t="s">
        <v>75</v>
      </c>
      <c r="E330" t="s">
        <v>68</v>
      </c>
      <c r="F330">
        <v>180</v>
      </c>
      <c r="G330">
        <v>1080</v>
      </c>
      <c r="H330">
        <v>-3</v>
      </c>
      <c r="I330">
        <v>1982</v>
      </c>
      <c r="J330" t="s">
        <v>63</v>
      </c>
      <c r="K330">
        <v>1340</v>
      </c>
      <c r="L330">
        <v>7.58</v>
      </c>
      <c r="M330">
        <v>6.06</v>
      </c>
      <c r="N330" s="4">
        <f t="shared" si="10"/>
        <v>4.5103274000000007E-3</v>
      </c>
      <c r="O330" s="4">
        <f t="shared" si="11"/>
        <v>2.7332584044000002E-2</v>
      </c>
      <c r="P330">
        <v>38</v>
      </c>
      <c r="Q330">
        <v>2</v>
      </c>
      <c r="R330">
        <v>2</v>
      </c>
      <c r="S330">
        <v>3</v>
      </c>
      <c r="T330">
        <v>3</v>
      </c>
      <c r="U330">
        <v>3</v>
      </c>
      <c r="V330" t="s">
        <v>30</v>
      </c>
    </row>
    <row r="331" spans="1:22" x14ac:dyDescent="0.25">
      <c r="A331" t="s">
        <v>77</v>
      </c>
      <c r="B331">
        <v>1</v>
      </c>
      <c r="C331" t="s">
        <v>47</v>
      </c>
      <c r="D331" t="s">
        <v>78</v>
      </c>
      <c r="E331" t="s">
        <v>79</v>
      </c>
      <c r="F331">
        <v>150</v>
      </c>
      <c r="G331">
        <v>1250</v>
      </c>
      <c r="H331">
        <v>-3</v>
      </c>
      <c r="I331">
        <v>1983</v>
      </c>
      <c r="J331" t="s">
        <v>76</v>
      </c>
      <c r="K331">
        <v>1592</v>
      </c>
      <c r="L331">
        <v>24.24</v>
      </c>
      <c r="M331">
        <v>17.899999999999999</v>
      </c>
      <c r="N331" s="4">
        <f t="shared" si="10"/>
        <v>4.6124841599999987E-2</v>
      </c>
      <c r="O331" s="4">
        <f t="shared" si="11"/>
        <v>0.82563466463999968</v>
      </c>
      <c r="P331">
        <v>38</v>
      </c>
      <c r="Q331">
        <v>3.5</v>
      </c>
      <c r="R331">
        <v>3.5</v>
      </c>
      <c r="S331">
        <v>3</v>
      </c>
      <c r="T331">
        <v>3.3</v>
      </c>
      <c r="U331">
        <v>2.5</v>
      </c>
      <c r="V331" t="s">
        <v>25</v>
      </c>
    </row>
    <row r="332" spans="1:22" x14ac:dyDescent="0.25">
      <c r="A332" t="s">
        <v>77</v>
      </c>
      <c r="B332">
        <v>1</v>
      </c>
      <c r="C332" t="s">
        <v>47</v>
      </c>
      <c r="D332" t="s">
        <v>78</v>
      </c>
      <c r="E332" t="s">
        <v>79</v>
      </c>
      <c r="F332">
        <v>150</v>
      </c>
      <c r="G332">
        <v>1250</v>
      </c>
      <c r="H332">
        <v>-3</v>
      </c>
      <c r="I332">
        <v>1983</v>
      </c>
      <c r="J332" t="s">
        <v>76</v>
      </c>
      <c r="K332">
        <v>2560</v>
      </c>
      <c r="L332">
        <v>20.239999999999998</v>
      </c>
      <c r="M332">
        <v>14.6</v>
      </c>
      <c r="N332" s="4">
        <f t="shared" si="10"/>
        <v>3.2158121599999999E-2</v>
      </c>
      <c r="O332" s="4">
        <f t="shared" si="11"/>
        <v>0.46950857535999996</v>
      </c>
      <c r="P332">
        <v>63</v>
      </c>
      <c r="Q332">
        <v>3</v>
      </c>
      <c r="R332">
        <v>3.5</v>
      </c>
      <c r="S332">
        <v>3</v>
      </c>
      <c r="T332">
        <v>3.7</v>
      </c>
      <c r="U332">
        <v>2.5</v>
      </c>
      <c r="V332" t="s">
        <v>25</v>
      </c>
    </row>
    <row r="333" spans="1:22" x14ac:dyDescent="0.25">
      <c r="A333" t="s">
        <v>77</v>
      </c>
      <c r="B333">
        <v>1</v>
      </c>
      <c r="C333" t="s">
        <v>47</v>
      </c>
      <c r="D333" t="s">
        <v>78</v>
      </c>
      <c r="E333" t="s">
        <v>79</v>
      </c>
      <c r="F333">
        <v>150</v>
      </c>
      <c r="G333">
        <v>1250</v>
      </c>
      <c r="H333">
        <v>-3</v>
      </c>
      <c r="I333">
        <v>1983</v>
      </c>
      <c r="J333" t="s">
        <v>24</v>
      </c>
      <c r="K333">
        <v>2562</v>
      </c>
      <c r="L333">
        <v>17.399999999999999</v>
      </c>
      <c r="M333">
        <v>14.14</v>
      </c>
      <c r="N333" s="4">
        <f t="shared" si="10"/>
        <v>2.3766659999999998E-2</v>
      </c>
      <c r="O333" s="4">
        <f t="shared" si="11"/>
        <v>0.33606057239999998</v>
      </c>
      <c r="P333">
        <v>63</v>
      </c>
      <c r="Q333">
        <v>3.5</v>
      </c>
      <c r="R333">
        <v>4</v>
      </c>
      <c r="S333">
        <v>3.7</v>
      </c>
      <c r="T333">
        <v>4</v>
      </c>
      <c r="U333">
        <v>3.5</v>
      </c>
      <c r="V333" t="s">
        <v>25</v>
      </c>
    </row>
    <row r="334" spans="1:22" x14ac:dyDescent="0.25">
      <c r="A334" t="s">
        <v>77</v>
      </c>
      <c r="B334">
        <v>1</v>
      </c>
      <c r="C334" t="s">
        <v>47</v>
      </c>
      <c r="D334" t="s">
        <v>78</v>
      </c>
      <c r="E334" t="s">
        <v>79</v>
      </c>
      <c r="F334">
        <v>150</v>
      </c>
      <c r="G334">
        <v>1250</v>
      </c>
      <c r="H334">
        <v>-3</v>
      </c>
      <c r="I334">
        <v>1983</v>
      </c>
      <c r="J334" t="s">
        <v>80</v>
      </c>
      <c r="K334">
        <v>1252</v>
      </c>
      <c r="L334">
        <v>17.36</v>
      </c>
      <c r="M334">
        <v>15.64</v>
      </c>
      <c r="N334" s="4">
        <f t="shared" si="10"/>
        <v>2.3657513600000003E-2</v>
      </c>
      <c r="O334" s="4">
        <f t="shared" si="11"/>
        <v>0.37000351270400006</v>
      </c>
      <c r="P334">
        <v>50</v>
      </c>
      <c r="Q334">
        <v>3.5</v>
      </c>
      <c r="R334">
        <v>3.5</v>
      </c>
      <c r="S334">
        <v>2.5</v>
      </c>
      <c r="T334">
        <v>2.5</v>
      </c>
      <c r="U334">
        <v>2.5</v>
      </c>
      <c r="V334" t="s">
        <v>38</v>
      </c>
    </row>
    <row r="335" spans="1:22" x14ac:dyDescent="0.25">
      <c r="A335" t="s">
        <v>77</v>
      </c>
      <c r="B335">
        <v>1</v>
      </c>
      <c r="C335" t="s">
        <v>47</v>
      </c>
      <c r="D335" t="s">
        <v>78</v>
      </c>
      <c r="E335" t="s">
        <v>79</v>
      </c>
      <c r="F335">
        <v>150</v>
      </c>
      <c r="G335">
        <v>1250</v>
      </c>
      <c r="H335">
        <v>-3</v>
      </c>
      <c r="I335">
        <v>1983</v>
      </c>
      <c r="J335" t="s">
        <v>59</v>
      </c>
      <c r="K335">
        <v>2548</v>
      </c>
      <c r="L335">
        <v>41.04</v>
      </c>
      <c r="M335">
        <v>16.600000000000001</v>
      </c>
      <c r="N335" s="4">
        <f t="shared" si="10"/>
        <v>0.13221610559999999</v>
      </c>
      <c r="O335" s="4">
        <f t="shared" si="11"/>
        <v>2.1947873529600002</v>
      </c>
      <c r="P335">
        <v>50</v>
      </c>
      <c r="Q335">
        <v>3.3</v>
      </c>
      <c r="R335">
        <v>3</v>
      </c>
      <c r="S335">
        <v>2</v>
      </c>
      <c r="T335">
        <v>1.5</v>
      </c>
      <c r="U335">
        <v>1.5</v>
      </c>
      <c r="V335" t="s">
        <v>25</v>
      </c>
    </row>
    <row r="336" spans="1:22" x14ac:dyDescent="0.25">
      <c r="A336" t="s">
        <v>77</v>
      </c>
      <c r="B336">
        <v>1</v>
      </c>
      <c r="C336" t="s">
        <v>47</v>
      </c>
      <c r="D336" t="s">
        <v>78</v>
      </c>
      <c r="E336" t="s">
        <v>79</v>
      </c>
      <c r="F336">
        <v>150</v>
      </c>
      <c r="G336">
        <v>1250</v>
      </c>
      <c r="H336">
        <v>-3</v>
      </c>
      <c r="I336">
        <v>1983</v>
      </c>
      <c r="J336" t="s">
        <v>32</v>
      </c>
      <c r="K336">
        <v>1596</v>
      </c>
      <c r="L336">
        <v>15.02</v>
      </c>
      <c r="M336">
        <v>9.92</v>
      </c>
      <c r="N336" s="4">
        <f t="shared" si="10"/>
        <v>1.7709631400000002E-2</v>
      </c>
      <c r="O336" s="4">
        <f t="shared" si="11"/>
        <v>0.17567954348800002</v>
      </c>
      <c r="P336">
        <v>100</v>
      </c>
      <c r="Q336">
        <v>3.5</v>
      </c>
      <c r="R336">
        <v>4</v>
      </c>
      <c r="S336">
        <v>2.7</v>
      </c>
      <c r="T336">
        <v>4</v>
      </c>
      <c r="U336">
        <v>2.5</v>
      </c>
      <c r="V336" t="s">
        <v>25</v>
      </c>
    </row>
    <row r="337" spans="1:22" x14ac:dyDescent="0.25">
      <c r="A337" t="s">
        <v>77</v>
      </c>
      <c r="B337">
        <v>1</v>
      </c>
      <c r="C337" t="s">
        <v>47</v>
      </c>
      <c r="D337" t="s">
        <v>78</v>
      </c>
      <c r="E337" t="s">
        <v>79</v>
      </c>
      <c r="F337">
        <v>150</v>
      </c>
      <c r="G337">
        <v>1250</v>
      </c>
      <c r="H337">
        <v>-3</v>
      </c>
      <c r="I337">
        <v>1983</v>
      </c>
      <c r="J337" t="s">
        <v>32</v>
      </c>
      <c r="K337">
        <v>2569</v>
      </c>
      <c r="L337">
        <v>17.829999999999998</v>
      </c>
      <c r="M337">
        <v>11.8</v>
      </c>
      <c r="N337" s="4">
        <f t="shared" si="10"/>
        <v>2.4955848649999997E-2</v>
      </c>
      <c r="O337" s="4">
        <f t="shared" si="11"/>
        <v>0.29447901406999999</v>
      </c>
      <c r="P337">
        <v>50</v>
      </c>
      <c r="Q337">
        <v>3</v>
      </c>
      <c r="R337">
        <v>3</v>
      </c>
      <c r="S337">
        <v>3</v>
      </c>
      <c r="T337">
        <v>4</v>
      </c>
      <c r="U337">
        <v>2.5</v>
      </c>
      <c r="V337" t="s">
        <v>25</v>
      </c>
    </row>
    <row r="338" spans="1:22" x14ac:dyDescent="0.25">
      <c r="A338" t="s">
        <v>77</v>
      </c>
      <c r="B338">
        <v>1</v>
      </c>
      <c r="C338" t="s">
        <v>47</v>
      </c>
      <c r="D338" t="s">
        <v>78</v>
      </c>
      <c r="E338" t="s">
        <v>79</v>
      </c>
      <c r="F338">
        <v>150</v>
      </c>
      <c r="G338">
        <v>1250</v>
      </c>
      <c r="H338">
        <v>-3</v>
      </c>
      <c r="I338">
        <v>1983</v>
      </c>
      <c r="J338" t="s">
        <v>33</v>
      </c>
      <c r="K338">
        <v>2547</v>
      </c>
      <c r="L338">
        <v>20.8</v>
      </c>
      <c r="M338">
        <v>10.23</v>
      </c>
      <c r="N338" s="4">
        <f t="shared" si="10"/>
        <v>3.3962240000000012E-2</v>
      </c>
      <c r="O338" s="4">
        <f t="shared" si="11"/>
        <v>0.34743371520000016</v>
      </c>
      <c r="P338">
        <v>13</v>
      </c>
      <c r="Q338">
        <v>3</v>
      </c>
      <c r="R338">
        <v>3</v>
      </c>
      <c r="S338">
        <v>3</v>
      </c>
      <c r="T338">
        <v>2.5</v>
      </c>
      <c r="U338">
        <v>3</v>
      </c>
      <c r="V338" t="s">
        <v>38</v>
      </c>
    </row>
    <row r="339" spans="1:22" x14ac:dyDescent="0.25">
      <c r="A339" t="s">
        <v>77</v>
      </c>
      <c r="B339">
        <v>1</v>
      </c>
      <c r="C339" t="s">
        <v>47</v>
      </c>
      <c r="D339" t="s">
        <v>78</v>
      </c>
      <c r="E339" t="s">
        <v>79</v>
      </c>
      <c r="F339">
        <v>150</v>
      </c>
      <c r="G339">
        <v>1250</v>
      </c>
      <c r="H339">
        <v>-3</v>
      </c>
      <c r="I339">
        <v>1983</v>
      </c>
      <c r="J339" t="s">
        <v>33</v>
      </c>
      <c r="K339">
        <v>2568</v>
      </c>
      <c r="L339">
        <v>24.89</v>
      </c>
      <c r="M339">
        <v>16.71</v>
      </c>
      <c r="N339" s="4">
        <f t="shared" si="10"/>
        <v>4.8631699850000008E-2</v>
      </c>
      <c r="O339" s="4">
        <f t="shared" si="11"/>
        <v>0.8126357044935002</v>
      </c>
      <c r="P339">
        <v>63</v>
      </c>
      <c r="Q339">
        <v>3</v>
      </c>
      <c r="R339">
        <v>2.5</v>
      </c>
      <c r="S339">
        <v>2.7</v>
      </c>
      <c r="T339">
        <v>3</v>
      </c>
      <c r="U339">
        <v>2</v>
      </c>
      <c r="V339" t="s">
        <v>38</v>
      </c>
    </row>
    <row r="340" spans="1:22" x14ac:dyDescent="0.25">
      <c r="A340" t="s">
        <v>77</v>
      </c>
      <c r="B340">
        <v>1</v>
      </c>
      <c r="C340" t="s">
        <v>47</v>
      </c>
      <c r="D340" t="s">
        <v>78</v>
      </c>
      <c r="E340" t="s">
        <v>79</v>
      </c>
      <c r="F340">
        <v>150</v>
      </c>
      <c r="G340">
        <v>1250</v>
      </c>
      <c r="H340">
        <v>-3</v>
      </c>
      <c r="I340">
        <v>1983</v>
      </c>
      <c r="J340" t="s">
        <v>34</v>
      </c>
      <c r="K340">
        <v>1522</v>
      </c>
      <c r="L340">
        <v>19.13</v>
      </c>
      <c r="M340">
        <v>10.66</v>
      </c>
      <c r="N340" s="4">
        <f t="shared" si="10"/>
        <v>2.8727616650000003E-2</v>
      </c>
      <c r="O340" s="4">
        <f t="shared" si="11"/>
        <v>0.30623639348900006</v>
      </c>
      <c r="P340">
        <v>38</v>
      </c>
      <c r="Q340">
        <v>3.5</v>
      </c>
      <c r="R340">
        <v>3</v>
      </c>
      <c r="S340">
        <v>2.5</v>
      </c>
      <c r="T340">
        <v>2.5</v>
      </c>
      <c r="U340">
        <v>2</v>
      </c>
      <c r="V340" t="s">
        <v>25</v>
      </c>
    </row>
    <row r="341" spans="1:22" x14ac:dyDescent="0.25">
      <c r="A341" t="s">
        <v>77</v>
      </c>
      <c r="B341">
        <v>1</v>
      </c>
      <c r="C341" t="s">
        <v>47</v>
      </c>
      <c r="D341" t="s">
        <v>78</v>
      </c>
      <c r="E341" t="s">
        <v>79</v>
      </c>
      <c r="F341">
        <v>150</v>
      </c>
      <c r="G341">
        <v>1250</v>
      </c>
      <c r="H341">
        <v>-3</v>
      </c>
      <c r="I341">
        <v>1983</v>
      </c>
      <c r="J341" t="s">
        <v>34</v>
      </c>
      <c r="K341">
        <v>2570</v>
      </c>
      <c r="L341">
        <v>17.59</v>
      </c>
      <c r="M341">
        <v>12.2</v>
      </c>
      <c r="N341" s="4">
        <f t="shared" si="10"/>
        <v>2.4288535850000001E-2</v>
      </c>
      <c r="O341" s="4">
        <f t="shared" si="11"/>
        <v>0.29632013737000001</v>
      </c>
      <c r="P341">
        <v>50</v>
      </c>
      <c r="Q341">
        <v>3</v>
      </c>
      <c r="R341">
        <v>2.7</v>
      </c>
      <c r="S341">
        <v>3</v>
      </c>
      <c r="T341">
        <v>3.5</v>
      </c>
      <c r="U341">
        <v>2.7</v>
      </c>
      <c r="V341" t="s">
        <v>38</v>
      </c>
    </row>
    <row r="342" spans="1:22" x14ac:dyDescent="0.25">
      <c r="A342" t="s">
        <v>77</v>
      </c>
      <c r="B342">
        <v>1</v>
      </c>
      <c r="C342" t="s">
        <v>47</v>
      </c>
      <c r="D342" t="s">
        <v>78</v>
      </c>
      <c r="E342" t="s">
        <v>79</v>
      </c>
      <c r="F342">
        <v>150</v>
      </c>
      <c r="G342">
        <v>1250</v>
      </c>
      <c r="H342">
        <v>-3</v>
      </c>
      <c r="I342">
        <v>1983</v>
      </c>
      <c r="J342" t="s">
        <v>35</v>
      </c>
      <c r="K342">
        <v>2571</v>
      </c>
      <c r="L342">
        <v>19.350000000000001</v>
      </c>
      <c r="M342">
        <v>17.3</v>
      </c>
      <c r="N342" s="4">
        <f t="shared" si="10"/>
        <v>2.9392166250000004E-2</v>
      </c>
      <c r="O342" s="4">
        <f t="shared" si="11"/>
        <v>0.50848447612500014</v>
      </c>
      <c r="P342">
        <v>50</v>
      </c>
      <c r="Q342">
        <v>2.5</v>
      </c>
      <c r="R342">
        <v>2</v>
      </c>
      <c r="S342">
        <v>3.2</v>
      </c>
      <c r="T342">
        <v>4</v>
      </c>
      <c r="U342">
        <v>4</v>
      </c>
      <c r="V342" t="s">
        <v>38</v>
      </c>
    </row>
    <row r="343" spans="1:22" x14ac:dyDescent="0.25">
      <c r="A343" t="s">
        <v>77</v>
      </c>
      <c r="B343">
        <v>1</v>
      </c>
      <c r="C343" t="s">
        <v>47</v>
      </c>
      <c r="D343" t="s">
        <v>78</v>
      </c>
      <c r="E343" t="s">
        <v>79</v>
      </c>
      <c r="F343">
        <v>150</v>
      </c>
      <c r="G343">
        <v>1250</v>
      </c>
      <c r="H343">
        <v>-3</v>
      </c>
      <c r="I343">
        <v>1983</v>
      </c>
      <c r="J343" t="s">
        <v>36</v>
      </c>
      <c r="K343">
        <v>2573</v>
      </c>
      <c r="L343">
        <v>21.7</v>
      </c>
      <c r="M343">
        <v>17.420000000000002</v>
      </c>
      <c r="N343" s="4">
        <f t="shared" si="10"/>
        <v>3.6964865E-2</v>
      </c>
      <c r="O343" s="4">
        <f t="shared" si="11"/>
        <v>0.64392794830000011</v>
      </c>
      <c r="P343">
        <v>88</v>
      </c>
      <c r="Q343">
        <v>3</v>
      </c>
      <c r="R343">
        <v>3.5</v>
      </c>
      <c r="S343">
        <v>3</v>
      </c>
      <c r="T343">
        <v>3.3</v>
      </c>
      <c r="U343">
        <v>2.2999999999999998</v>
      </c>
      <c r="V343" t="s">
        <v>25</v>
      </c>
    </row>
    <row r="344" spans="1:22" x14ac:dyDescent="0.25">
      <c r="A344" t="s">
        <v>77</v>
      </c>
      <c r="B344">
        <v>1</v>
      </c>
      <c r="C344" t="s">
        <v>47</v>
      </c>
      <c r="D344" t="s">
        <v>78</v>
      </c>
      <c r="E344" t="s">
        <v>79</v>
      </c>
      <c r="F344">
        <v>150</v>
      </c>
      <c r="G344">
        <v>1250</v>
      </c>
      <c r="H344">
        <v>-3</v>
      </c>
      <c r="I344">
        <v>1983</v>
      </c>
      <c r="J344" t="s">
        <v>62</v>
      </c>
      <c r="K344">
        <v>2550</v>
      </c>
      <c r="L344">
        <v>7.84</v>
      </c>
      <c r="M344">
        <v>3.34</v>
      </c>
      <c r="N344" s="4">
        <f t="shared" si="10"/>
        <v>4.8250495999999999E-3</v>
      </c>
      <c r="O344" s="4">
        <f t="shared" si="11"/>
        <v>1.6115665663999999E-2</v>
      </c>
      <c r="P344">
        <v>38</v>
      </c>
      <c r="Q344">
        <v>2</v>
      </c>
      <c r="R344">
        <v>2.2999999999999998</v>
      </c>
      <c r="S344">
        <v>1.5</v>
      </c>
      <c r="T344">
        <v>2</v>
      </c>
      <c r="U344">
        <v>2</v>
      </c>
      <c r="V344" t="s">
        <v>30</v>
      </c>
    </row>
    <row r="345" spans="1:22" x14ac:dyDescent="0.25">
      <c r="A345" t="s">
        <v>77</v>
      </c>
      <c r="B345">
        <v>1</v>
      </c>
      <c r="C345" t="s">
        <v>47</v>
      </c>
      <c r="D345" t="s">
        <v>78</v>
      </c>
      <c r="E345" t="s">
        <v>79</v>
      </c>
      <c r="F345">
        <v>150</v>
      </c>
      <c r="G345">
        <v>1250</v>
      </c>
      <c r="H345">
        <v>-3</v>
      </c>
      <c r="I345">
        <v>1983</v>
      </c>
      <c r="J345" t="s">
        <v>62</v>
      </c>
      <c r="K345">
        <v>2553</v>
      </c>
      <c r="L345">
        <v>25.57</v>
      </c>
      <c r="M345">
        <v>17.43</v>
      </c>
      <c r="N345" s="4">
        <f t="shared" si="10"/>
        <v>5.1325254649999992E-2</v>
      </c>
      <c r="O345" s="4">
        <f t="shared" si="11"/>
        <v>0.89459918854949982</v>
      </c>
      <c r="P345">
        <v>50</v>
      </c>
      <c r="Q345">
        <v>3.7</v>
      </c>
      <c r="R345">
        <v>3</v>
      </c>
      <c r="S345">
        <v>2.7</v>
      </c>
      <c r="T345">
        <v>3</v>
      </c>
      <c r="U345">
        <v>2</v>
      </c>
      <c r="V345" t="s">
        <v>38</v>
      </c>
    </row>
    <row r="346" spans="1:22" x14ac:dyDescent="0.25">
      <c r="A346" t="s">
        <v>77</v>
      </c>
      <c r="B346">
        <v>1</v>
      </c>
      <c r="C346" t="s">
        <v>47</v>
      </c>
      <c r="D346" t="s">
        <v>78</v>
      </c>
      <c r="E346" t="s">
        <v>79</v>
      </c>
      <c r="F346">
        <v>150</v>
      </c>
      <c r="G346">
        <v>1250</v>
      </c>
      <c r="H346">
        <v>-3</v>
      </c>
      <c r="I346">
        <v>1983</v>
      </c>
      <c r="J346" t="s">
        <v>37</v>
      </c>
      <c r="K346">
        <v>2575</v>
      </c>
      <c r="L346">
        <v>6.87</v>
      </c>
      <c r="M346">
        <v>9.4</v>
      </c>
      <c r="N346" s="4">
        <f t="shared" si="10"/>
        <v>3.7049566499999997E-3</v>
      </c>
      <c r="O346" s="4">
        <f t="shared" si="11"/>
        <v>3.4826592509999997E-2</v>
      </c>
      <c r="P346">
        <v>50</v>
      </c>
      <c r="Q346">
        <v>1.5</v>
      </c>
      <c r="R346">
        <v>3</v>
      </c>
      <c r="S346">
        <v>2</v>
      </c>
      <c r="T346">
        <v>2</v>
      </c>
      <c r="U346">
        <v>2</v>
      </c>
      <c r="V346" t="s">
        <v>50</v>
      </c>
    </row>
    <row r="347" spans="1:22" x14ac:dyDescent="0.25">
      <c r="A347" t="s">
        <v>77</v>
      </c>
      <c r="B347">
        <v>1</v>
      </c>
      <c r="C347" t="s">
        <v>47</v>
      </c>
      <c r="D347" t="s">
        <v>78</v>
      </c>
      <c r="E347" t="s">
        <v>79</v>
      </c>
      <c r="F347">
        <v>150</v>
      </c>
      <c r="G347">
        <v>1250</v>
      </c>
      <c r="H347">
        <v>-3</v>
      </c>
      <c r="I347">
        <v>1983</v>
      </c>
      <c r="J347" t="s">
        <v>26</v>
      </c>
      <c r="K347">
        <v>2552</v>
      </c>
      <c r="L347">
        <v>31.87</v>
      </c>
      <c r="M347">
        <v>20.52</v>
      </c>
      <c r="N347" s="4">
        <f t="shared" si="10"/>
        <v>7.9732206649999998E-2</v>
      </c>
      <c r="O347" s="4">
        <f t="shared" si="11"/>
        <v>1.6361048804579998</v>
      </c>
      <c r="P347">
        <v>25</v>
      </c>
      <c r="Q347">
        <v>3.7</v>
      </c>
      <c r="R347">
        <v>3.5</v>
      </c>
      <c r="S347">
        <v>2.5</v>
      </c>
      <c r="T347">
        <v>2.5</v>
      </c>
      <c r="U347">
        <v>1.5</v>
      </c>
      <c r="V347" t="s">
        <v>38</v>
      </c>
    </row>
    <row r="348" spans="1:22" x14ac:dyDescent="0.25">
      <c r="A348" t="s">
        <v>77</v>
      </c>
      <c r="B348">
        <v>1</v>
      </c>
      <c r="C348" t="s">
        <v>47</v>
      </c>
      <c r="D348" t="s">
        <v>78</v>
      </c>
      <c r="E348" t="s">
        <v>79</v>
      </c>
      <c r="F348">
        <v>150</v>
      </c>
      <c r="G348">
        <v>1250</v>
      </c>
      <c r="H348">
        <v>-3</v>
      </c>
      <c r="I348">
        <v>1983</v>
      </c>
      <c r="J348" t="s">
        <v>62</v>
      </c>
      <c r="K348">
        <v>2574</v>
      </c>
      <c r="L348">
        <v>15.11</v>
      </c>
      <c r="M348">
        <v>15.54</v>
      </c>
      <c r="N348" s="4">
        <f t="shared" si="10"/>
        <v>1.7922499849999995E-2</v>
      </c>
      <c r="O348" s="4">
        <f t="shared" si="11"/>
        <v>0.27851564766899989</v>
      </c>
      <c r="P348">
        <v>75</v>
      </c>
      <c r="Q348">
        <v>3.7</v>
      </c>
      <c r="R348">
        <v>3</v>
      </c>
      <c r="S348">
        <v>3.3</v>
      </c>
      <c r="T348">
        <v>3.5</v>
      </c>
      <c r="U348">
        <v>3.5</v>
      </c>
      <c r="V348" t="s">
        <v>25</v>
      </c>
    </row>
    <row r="349" spans="1:22" x14ac:dyDescent="0.25">
      <c r="A349" t="s">
        <v>77</v>
      </c>
      <c r="B349">
        <v>1</v>
      </c>
      <c r="C349" t="s">
        <v>47</v>
      </c>
      <c r="D349" t="s">
        <v>78</v>
      </c>
      <c r="E349" t="s">
        <v>79</v>
      </c>
      <c r="F349">
        <v>150</v>
      </c>
      <c r="G349">
        <v>1250</v>
      </c>
      <c r="H349">
        <v>-3</v>
      </c>
      <c r="I349">
        <v>1983</v>
      </c>
      <c r="J349" t="s">
        <v>32</v>
      </c>
      <c r="K349">
        <v>2634</v>
      </c>
      <c r="L349">
        <v>21.72</v>
      </c>
      <c r="M349">
        <v>14.75</v>
      </c>
      <c r="N349" s="4">
        <f t="shared" si="10"/>
        <v>3.7033034399999991E-2</v>
      </c>
      <c r="O349" s="4">
        <f t="shared" si="11"/>
        <v>0.54623725739999984</v>
      </c>
      <c r="P349">
        <v>38</v>
      </c>
      <c r="Q349">
        <v>3</v>
      </c>
      <c r="R349">
        <v>3</v>
      </c>
      <c r="S349">
        <v>3</v>
      </c>
      <c r="T349">
        <v>4</v>
      </c>
      <c r="U349">
        <v>2.2999999999999998</v>
      </c>
      <c r="V349" t="s">
        <v>25</v>
      </c>
    </row>
    <row r="350" spans="1:22" x14ac:dyDescent="0.25">
      <c r="A350" t="s">
        <v>77</v>
      </c>
      <c r="B350">
        <v>2</v>
      </c>
      <c r="C350" t="s">
        <v>47</v>
      </c>
      <c r="D350" t="s">
        <v>78</v>
      </c>
      <c r="E350" t="s">
        <v>79</v>
      </c>
      <c r="F350">
        <v>150</v>
      </c>
      <c r="G350">
        <v>1250</v>
      </c>
      <c r="H350">
        <v>-3</v>
      </c>
      <c r="I350">
        <v>1983</v>
      </c>
      <c r="J350" t="s">
        <v>76</v>
      </c>
      <c r="K350">
        <v>1592</v>
      </c>
      <c r="L350">
        <v>24.95</v>
      </c>
      <c r="M350">
        <v>19.690000000000001</v>
      </c>
      <c r="N350" s="4">
        <f t="shared" si="10"/>
        <v>4.8866446250000001E-2</v>
      </c>
      <c r="O350" s="4">
        <f t="shared" si="11"/>
        <v>0.96218032666250008</v>
      </c>
      <c r="P350">
        <v>50</v>
      </c>
      <c r="Q350">
        <v>3.5</v>
      </c>
      <c r="R350">
        <v>3</v>
      </c>
      <c r="S350">
        <v>2.7</v>
      </c>
      <c r="T350">
        <v>3</v>
      </c>
      <c r="U350">
        <v>2.7</v>
      </c>
      <c r="V350" t="s">
        <v>25</v>
      </c>
    </row>
    <row r="351" spans="1:22" x14ac:dyDescent="0.25">
      <c r="A351" t="s">
        <v>77</v>
      </c>
      <c r="B351">
        <v>2</v>
      </c>
      <c r="C351" t="s">
        <v>47</v>
      </c>
      <c r="D351" t="s">
        <v>78</v>
      </c>
      <c r="E351" t="s">
        <v>79</v>
      </c>
      <c r="F351">
        <v>150</v>
      </c>
      <c r="G351">
        <v>1250</v>
      </c>
      <c r="H351">
        <v>-3</v>
      </c>
      <c r="I351">
        <v>1983</v>
      </c>
      <c r="J351" t="s">
        <v>76</v>
      </c>
      <c r="K351">
        <v>2560</v>
      </c>
      <c r="L351">
        <v>17.350000000000001</v>
      </c>
      <c r="M351">
        <v>16.11</v>
      </c>
      <c r="N351" s="4">
        <f t="shared" si="10"/>
        <v>2.3630266250000004E-2</v>
      </c>
      <c r="O351" s="4">
        <f t="shared" si="11"/>
        <v>0.38068358928750007</v>
      </c>
      <c r="P351">
        <v>38</v>
      </c>
      <c r="Q351">
        <v>3</v>
      </c>
      <c r="R351">
        <v>3</v>
      </c>
      <c r="S351">
        <v>2.5</v>
      </c>
      <c r="T351">
        <v>3.5</v>
      </c>
      <c r="U351">
        <v>2.5</v>
      </c>
      <c r="V351" t="s">
        <v>25</v>
      </c>
    </row>
    <row r="352" spans="1:22" x14ac:dyDescent="0.25">
      <c r="A352" t="s">
        <v>77</v>
      </c>
      <c r="B352">
        <v>2</v>
      </c>
      <c r="C352" t="s">
        <v>47</v>
      </c>
      <c r="D352" t="s">
        <v>78</v>
      </c>
      <c r="E352" t="s">
        <v>79</v>
      </c>
      <c r="F352">
        <v>150</v>
      </c>
      <c r="G352">
        <v>1250</v>
      </c>
      <c r="H352">
        <v>-3</v>
      </c>
      <c r="I352">
        <v>1983</v>
      </c>
      <c r="J352" t="s">
        <v>24</v>
      </c>
      <c r="K352">
        <v>2562</v>
      </c>
      <c r="L352">
        <v>18.809999999999999</v>
      </c>
      <c r="M352">
        <v>19.09</v>
      </c>
      <c r="N352" s="4">
        <f t="shared" si="10"/>
        <v>2.7774563849999996E-2</v>
      </c>
      <c r="O352" s="4">
        <f t="shared" si="11"/>
        <v>0.53021642389649992</v>
      </c>
      <c r="P352">
        <v>75</v>
      </c>
      <c r="Q352">
        <v>3</v>
      </c>
      <c r="R352">
        <v>3</v>
      </c>
      <c r="S352">
        <v>3.5</v>
      </c>
      <c r="T352">
        <v>4</v>
      </c>
      <c r="U352">
        <v>3</v>
      </c>
      <c r="V352" t="s">
        <v>27</v>
      </c>
    </row>
    <row r="353" spans="1:22" x14ac:dyDescent="0.25">
      <c r="A353" t="s">
        <v>77</v>
      </c>
      <c r="B353">
        <v>2</v>
      </c>
      <c r="C353" t="s">
        <v>47</v>
      </c>
      <c r="D353" t="s">
        <v>78</v>
      </c>
      <c r="E353" t="s">
        <v>79</v>
      </c>
      <c r="F353">
        <v>150</v>
      </c>
      <c r="G353">
        <v>1250</v>
      </c>
      <c r="H353">
        <v>-3</v>
      </c>
      <c r="I353">
        <v>1983</v>
      </c>
      <c r="J353" t="s">
        <v>80</v>
      </c>
      <c r="K353">
        <v>1252</v>
      </c>
      <c r="L353">
        <v>15.35</v>
      </c>
      <c r="M353">
        <v>11.87</v>
      </c>
      <c r="N353" s="4">
        <f t="shared" si="10"/>
        <v>1.849636625E-2</v>
      </c>
      <c r="O353" s="4">
        <f t="shared" si="11"/>
        <v>0.21955186738749999</v>
      </c>
      <c r="P353">
        <v>75</v>
      </c>
      <c r="Q353">
        <v>2.9</v>
      </c>
      <c r="R353">
        <v>2.7</v>
      </c>
      <c r="S353">
        <v>2.5</v>
      </c>
      <c r="T353">
        <v>3</v>
      </c>
      <c r="U353">
        <v>2.5</v>
      </c>
      <c r="V353" t="s">
        <v>38</v>
      </c>
    </row>
    <row r="354" spans="1:22" x14ac:dyDescent="0.25">
      <c r="A354" t="s">
        <v>77</v>
      </c>
      <c r="B354">
        <v>2</v>
      </c>
      <c r="C354" t="s">
        <v>47</v>
      </c>
      <c r="D354" t="s">
        <v>78</v>
      </c>
      <c r="E354" t="s">
        <v>79</v>
      </c>
      <c r="F354">
        <v>150</v>
      </c>
      <c r="G354">
        <v>1250</v>
      </c>
      <c r="H354">
        <v>-3</v>
      </c>
      <c r="I354">
        <v>1983</v>
      </c>
      <c r="J354" t="s">
        <v>59</v>
      </c>
      <c r="K354">
        <v>2548</v>
      </c>
      <c r="L354">
        <v>22.6</v>
      </c>
      <c r="M354">
        <v>12.61</v>
      </c>
      <c r="N354" s="4">
        <f t="shared" si="10"/>
        <v>4.0094660000000004E-2</v>
      </c>
      <c r="O354" s="4">
        <f t="shared" si="11"/>
        <v>0.50559366260000005</v>
      </c>
      <c r="P354">
        <v>63</v>
      </c>
      <c r="Q354">
        <v>3.5</v>
      </c>
      <c r="R354">
        <v>3</v>
      </c>
      <c r="S354">
        <v>2</v>
      </c>
      <c r="T354">
        <v>2</v>
      </c>
      <c r="U354">
        <v>1.5</v>
      </c>
      <c r="V354" t="s">
        <v>38</v>
      </c>
    </row>
    <row r="355" spans="1:22" x14ac:dyDescent="0.25">
      <c r="A355" t="s">
        <v>77</v>
      </c>
      <c r="B355">
        <v>2</v>
      </c>
      <c r="C355" t="s">
        <v>47</v>
      </c>
      <c r="D355" t="s">
        <v>78</v>
      </c>
      <c r="E355" t="s">
        <v>79</v>
      </c>
      <c r="F355">
        <v>150</v>
      </c>
      <c r="G355">
        <v>1250</v>
      </c>
      <c r="H355">
        <v>-3</v>
      </c>
      <c r="I355">
        <v>1983</v>
      </c>
      <c r="J355" t="s">
        <v>32</v>
      </c>
      <c r="K355">
        <v>1596</v>
      </c>
      <c r="L355">
        <v>21.45</v>
      </c>
      <c r="M355">
        <v>16.760000000000002</v>
      </c>
      <c r="N355" s="4">
        <f t="shared" si="10"/>
        <v>3.6118046250000001E-2</v>
      </c>
      <c r="O355" s="4">
        <f t="shared" si="11"/>
        <v>0.60533845515000007</v>
      </c>
      <c r="P355">
        <v>75</v>
      </c>
      <c r="Q355">
        <v>3</v>
      </c>
      <c r="R355">
        <v>3.2</v>
      </c>
      <c r="S355">
        <v>3.3</v>
      </c>
      <c r="T355">
        <v>3.5</v>
      </c>
      <c r="U355">
        <v>3</v>
      </c>
      <c r="V355" t="s">
        <v>25</v>
      </c>
    </row>
    <row r="356" spans="1:22" x14ac:dyDescent="0.25">
      <c r="A356" t="s">
        <v>77</v>
      </c>
      <c r="B356">
        <v>2</v>
      </c>
      <c r="C356" t="s">
        <v>47</v>
      </c>
      <c r="D356" t="s">
        <v>78</v>
      </c>
      <c r="E356" t="s">
        <v>79</v>
      </c>
      <c r="F356">
        <v>150</v>
      </c>
      <c r="G356">
        <v>1250</v>
      </c>
      <c r="H356">
        <v>-3</v>
      </c>
      <c r="I356">
        <v>1983</v>
      </c>
      <c r="J356" t="s">
        <v>32</v>
      </c>
      <c r="K356">
        <v>2569</v>
      </c>
      <c r="L356">
        <v>15.15</v>
      </c>
      <c r="M356">
        <v>15.82</v>
      </c>
      <c r="N356" s="4">
        <f t="shared" si="10"/>
        <v>1.8017516250000001E-2</v>
      </c>
      <c r="O356" s="4">
        <f t="shared" si="11"/>
        <v>0.28503710707500002</v>
      </c>
      <c r="P356">
        <v>75</v>
      </c>
      <c r="Q356">
        <v>3</v>
      </c>
      <c r="R356">
        <v>3</v>
      </c>
      <c r="S356">
        <v>3.1</v>
      </c>
      <c r="T356">
        <v>3.4</v>
      </c>
      <c r="U356">
        <v>3</v>
      </c>
      <c r="V356" t="s">
        <v>25</v>
      </c>
    </row>
    <row r="357" spans="1:22" x14ac:dyDescent="0.25">
      <c r="A357" t="s">
        <v>77</v>
      </c>
      <c r="B357">
        <v>2</v>
      </c>
      <c r="C357" t="s">
        <v>47</v>
      </c>
      <c r="D357" t="s">
        <v>78</v>
      </c>
      <c r="E357" t="s">
        <v>79</v>
      </c>
      <c r="F357">
        <v>150</v>
      </c>
      <c r="G357">
        <v>1250</v>
      </c>
      <c r="H357">
        <v>-3</v>
      </c>
      <c r="I357">
        <v>1983</v>
      </c>
      <c r="J357" t="s">
        <v>33</v>
      </c>
      <c r="K357">
        <v>2568</v>
      </c>
      <c r="L357">
        <v>20.46</v>
      </c>
      <c r="M357">
        <v>19.260000000000002</v>
      </c>
      <c r="N357" s="4">
        <f t="shared" si="10"/>
        <v>3.2861010600000004E-2</v>
      </c>
      <c r="O357" s="4">
        <f t="shared" si="11"/>
        <v>0.63290306415600017</v>
      </c>
      <c r="P357">
        <v>50</v>
      </c>
      <c r="Q357">
        <v>3</v>
      </c>
      <c r="R357">
        <v>2.2000000000000002</v>
      </c>
      <c r="S357">
        <v>3.3</v>
      </c>
      <c r="T357">
        <v>3.3</v>
      </c>
      <c r="U357">
        <v>3</v>
      </c>
      <c r="V357" t="s">
        <v>25</v>
      </c>
    </row>
    <row r="358" spans="1:22" x14ac:dyDescent="0.25">
      <c r="A358" t="s">
        <v>77</v>
      </c>
      <c r="B358">
        <v>2</v>
      </c>
      <c r="C358" t="s">
        <v>47</v>
      </c>
      <c r="D358" t="s">
        <v>78</v>
      </c>
      <c r="E358" t="s">
        <v>79</v>
      </c>
      <c r="F358">
        <v>150</v>
      </c>
      <c r="G358">
        <v>1250</v>
      </c>
      <c r="H358">
        <v>-3</v>
      </c>
      <c r="I358">
        <v>1983</v>
      </c>
      <c r="J358" t="s">
        <v>34</v>
      </c>
      <c r="K358">
        <v>1522</v>
      </c>
      <c r="L358">
        <v>20.8</v>
      </c>
      <c r="M358">
        <v>15.41</v>
      </c>
      <c r="N358" s="4">
        <f t="shared" si="10"/>
        <v>3.3962240000000012E-2</v>
      </c>
      <c r="O358" s="4">
        <f t="shared" si="11"/>
        <v>0.52335811840000024</v>
      </c>
      <c r="P358">
        <v>25</v>
      </c>
      <c r="Q358">
        <v>3.5</v>
      </c>
      <c r="R358">
        <v>2.8</v>
      </c>
      <c r="S358">
        <v>3.3</v>
      </c>
      <c r="T358">
        <v>3.2</v>
      </c>
      <c r="U358">
        <v>3.5</v>
      </c>
      <c r="V358" t="s">
        <v>25</v>
      </c>
    </row>
    <row r="359" spans="1:22" x14ac:dyDescent="0.25">
      <c r="A359" t="s">
        <v>77</v>
      </c>
      <c r="B359">
        <v>2</v>
      </c>
      <c r="C359" t="s">
        <v>47</v>
      </c>
      <c r="D359" t="s">
        <v>78</v>
      </c>
      <c r="E359" t="s">
        <v>79</v>
      </c>
      <c r="F359">
        <v>150</v>
      </c>
      <c r="G359">
        <v>1250</v>
      </c>
      <c r="H359">
        <v>-3</v>
      </c>
      <c r="I359">
        <v>1983</v>
      </c>
      <c r="J359" t="s">
        <v>34</v>
      </c>
      <c r="K359">
        <v>2570</v>
      </c>
      <c r="L359">
        <v>22.98</v>
      </c>
      <c r="M359">
        <v>19.899999999999999</v>
      </c>
      <c r="N359" s="4">
        <f t="shared" si="10"/>
        <v>4.1454311399999999E-2</v>
      </c>
      <c r="O359" s="4">
        <f t="shared" si="11"/>
        <v>0.82494079685999988</v>
      </c>
      <c r="P359">
        <v>50</v>
      </c>
      <c r="Q359">
        <v>4</v>
      </c>
      <c r="R359">
        <v>2.7</v>
      </c>
      <c r="S359">
        <v>3.5</v>
      </c>
      <c r="T359">
        <v>3.3</v>
      </c>
      <c r="U359">
        <v>3.5</v>
      </c>
      <c r="V359" t="s">
        <v>27</v>
      </c>
    </row>
    <row r="360" spans="1:22" x14ac:dyDescent="0.25">
      <c r="A360" t="s">
        <v>77</v>
      </c>
      <c r="B360">
        <v>2</v>
      </c>
      <c r="C360" t="s">
        <v>47</v>
      </c>
      <c r="D360" t="s">
        <v>78</v>
      </c>
      <c r="E360" t="s">
        <v>79</v>
      </c>
      <c r="F360">
        <v>150</v>
      </c>
      <c r="G360">
        <v>1250</v>
      </c>
      <c r="H360">
        <v>-3</v>
      </c>
      <c r="I360">
        <v>1983</v>
      </c>
      <c r="J360" t="s">
        <v>35</v>
      </c>
      <c r="K360">
        <v>1788</v>
      </c>
      <c r="L360">
        <v>16.989999999999998</v>
      </c>
      <c r="M360">
        <v>16.52</v>
      </c>
      <c r="N360" s="4">
        <f t="shared" si="10"/>
        <v>2.265981785E-2</v>
      </c>
      <c r="O360" s="4">
        <f t="shared" si="11"/>
        <v>0.37434019088199999</v>
      </c>
      <c r="P360">
        <v>25</v>
      </c>
      <c r="Q360">
        <v>3</v>
      </c>
      <c r="R360">
        <v>2.7</v>
      </c>
      <c r="S360">
        <v>3.2</v>
      </c>
      <c r="T360">
        <v>3.7</v>
      </c>
      <c r="U360">
        <v>3.2</v>
      </c>
      <c r="V360" t="s">
        <v>38</v>
      </c>
    </row>
    <row r="361" spans="1:22" x14ac:dyDescent="0.25">
      <c r="A361" t="s">
        <v>77</v>
      </c>
      <c r="B361">
        <v>2</v>
      </c>
      <c r="C361" t="s">
        <v>47</v>
      </c>
      <c r="D361" t="s">
        <v>78</v>
      </c>
      <c r="E361" t="s">
        <v>79</v>
      </c>
      <c r="F361">
        <v>150</v>
      </c>
      <c r="G361">
        <v>1250</v>
      </c>
      <c r="H361">
        <v>-3</v>
      </c>
      <c r="I361">
        <v>1983</v>
      </c>
      <c r="J361" t="s">
        <v>35</v>
      </c>
      <c r="K361">
        <v>2571</v>
      </c>
      <c r="L361">
        <v>19.670000000000002</v>
      </c>
      <c r="M361">
        <v>20.14</v>
      </c>
      <c r="N361" s="4">
        <f t="shared" si="10"/>
        <v>3.0372348650000006E-2</v>
      </c>
      <c r="O361" s="4">
        <f t="shared" si="11"/>
        <v>0.61169910181100018</v>
      </c>
      <c r="P361">
        <v>50</v>
      </c>
      <c r="Q361">
        <v>3</v>
      </c>
      <c r="R361">
        <v>2</v>
      </c>
      <c r="S361">
        <v>3.3</v>
      </c>
      <c r="T361">
        <v>3.7</v>
      </c>
      <c r="U361">
        <v>4</v>
      </c>
      <c r="V361" t="s">
        <v>25</v>
      </c>
    </row>
    <row r="362" spans="1:22" x14ac:dyDescent="0.25">
      <c r="A362" t="s">
        <v>77</v>
      </c>
      <c r="B362">
        <v>2</v>
      </c>
      <c r="C362" t="s">
        <v>47</v>
      </c>
      <c r="D362" t="s">
        <v>78</v>
      </c>
      <c r="E362" t="s">
        <v>79</v>
      </c>
      <c r="F362">
        <v>150</v>
      </c>
      <c r="G362">
        <v>1250</v>
      </c>
      <c r="H362">
        <v>-3</v>
      </c>
      <c r="I362">
        <v>1983</v>
      </c>
      <c r="J362" t="s">
        <v>81</v>
      </c>
      <c r="K362">
        <v>2750</v>
      </c>
      <c r="L362">
        <v>29.47</v>
      </c>
      <c r="M362">
        <v>14.67</v>
      </c>
      <c r="N362" s="4">
        <f t="shared" si="10"/>
        <v>6.8175750649999978E-2</v>
      </c>
      <c r="O362" s="4">
        <f t="shared" si="11"/>
        <v>1.0001382620354997</v>
      </c>
      <c r="P362">
        <v>88</v>
      </c>
      <c r="Q362">
        <v>4</v>
      </c>
      <c r="R362">
        <v>4</v>
      </c>
      <c r="S362">
        <v>3</v>
      </c>
      <c r="T362">
        <v>3</v>
      </c>
      <c r="U362">
        <v>1.7</v>
      </c>
      <c r="V362" t="s">
        <v>27</v>
      </c>
    </row>
    <row r="363" spans="1:22" x14ac:dyDescent="0.25">
      <c r="A363" t="s">
        <v>77</v>
      </c>
      <c r="B363">
        <v>2</v>
      </c>
      <c r="C363" t="s">
        <v>47</v>
      </c>
      <c r="D363" t="s">
        <v>78</v>
      </c>
      <c r="E363" t="s">
        <v>79</v>
      </c>
      <c r="F363">
        <v>150</v>
      </c>
      <c r="G363">
        <v>1250</v>
      </c>
      <c r="H363">
        <v>-3</v>
      </c>
      <c r="I363">
        <v>1983</v>
      </c>
      <c r="J363" t="s">
        <v>36</v>
      </c>
      <c r="K363">
        <v>2573</v>
      </c>
      <c r="L363">
        <v>23.29</v>
      </c>
      <c r="M363">
        <v>17.739999999999998</v>
      </c>
      <c r="N363" s="4">
        <f t="shared" si="10"/>
        <v>4.258029185E-2</v>
      </c>
      <c r="O363" s="4">
        <f t="shared" si="11"/>
        <v>0.75537437741899993</v>
      </c>
      <c r="P363">
        <v>75</v>
      </c>
      <c r="Q363">
        <v>3</v>
      </c>
      <c r="R363">
        <v>3</v>
      </c>
      <c r="S363">
        <v>3</v>
      </c>
      <c r="T363">
        <v>3.5</v>
      </c>
      <c r="U363">
        <v>2.5</v>
      </c>
      <c r="V363" t="s">
        <v>27</v>
      </c>
    </row>
    <row r="364" spans="1:22" x14ac:dyDescent="0.25">
      <c r="A364" t="s">
        <v>77</v>
      </c>
      <c r="B364">
        <v>2</v>
      </c>
      <c r="C364" t="s">
        <v>47</v>
      </c>
      <c r="D364" t="s">
        <v>78</v>
      </c>
      <c r="E364" t="s">
        <v>79</v>
      </c>
      <c r="F364">
        <v>150</v>
      </c>
      <c r="G364">
        <v>1250</v>
      </c>
      <c r="H364">
        <v>-3</v>
      </c>
      <c r="I364">
        <v>1983</v>
      </c>
      <c r="J364" t="s">
        <v>62</v>
      </c>
      <c r="K364">
        <v>2550</v>
      </c>
      <c r="L364">
        <v>24.55</v>
      </c>
      <c r="M364">
        <v>15.98</v>
      </c>
      <c r="N364" s="4">
        <f t="shared" si="10"/>
        <v>4.7312146249999999E-2</v>
      </c>
      <c r="O364" s="4">
        <f t="shared" si="11"/>
        <v>0.75604809707499998</v>
      </c>
      <c r="P364">
        <v>13</v>
      </c>
      <c r="Q364">
        <v>3</v>
      </c>
      <c r="R364">
        <v>2.7</v>
      </c>
      <c r="S364">
        <v>4</v>
      </c>
      <c r="T364">
        <v>3.3</v>
      </c>
      <c r="U364">
        <v>3</v>
      </c>
      <c r="V364" t="s">
        <v>38</v>
      </c>
    </row>
    <row r="365" spans="1:22" x14ac:dyDescent="0.25">
      <c r="A365" t="s">
        <v>77</v>
      </c>
      <c r="B365">
        <v>2</v>
      </c>
      <c r="C365" t="s">
        <v>47</v>
      </c>
      <c r="D365" t="s">
        <v>78</v>
      </c>
      <c r="E365" t="s">
        <v>79</v>
      </c>
      <c r="F365">
        <v>150</v>
      </c>
      <c r="G365">
        <v>1250</v>
      </c>
      <c r="H365">
        <v>-3</v>
      </c>
      <c r="I365">
        <v>1983</v>
      </c>
      <c r="J365" t="s">
        <v>62</v>
      </c>
      <c r="K365">
        <v>2553</v>
      </c>
      <c r="L365">
        <v>23.53</v>
      </c>
      <c r="M365">
        <v>21.06</v>
      </c>
      <c r="N365" s="4">
        <f t="shared" si="10"/>
        <v>4.3462380650000007E-2</v>
      </c>
      <c r="O365" s="4">
        <f t="shared" si="11"/>
        <v>0.91531773648900006</v>
      </c>
      <c r="P365">
        <v>50</v>
      </c>
      <c r="Q365">
        <v>4.5</v>
      </c>
      <c r="R365">
        <v>3.5</v>
      </c>
      <c r="S365">
        <v>3.3</v>
      </c>
      <c r="T365">
        <v>3.2</v>
      </c>
      <c r="U365">
        <v>2.8</v>
      </c>
      <c r="V365" t="s">
        <v>25</v>
      </c>
    </row>
    <row r="366" spans="1:22" x14ac:dyDescent="0.25">
      <c r="A366" t="s">
        <v>77</v>
      </c>
      <c r="B366">
        <v>2</v>
      </c>
      <c r="C366" t="s">
        <v>47</v>
      </c>
      <c r="D366" t="s">
        <v>78</v>
      </c>
      <c r="E366" t="s">
        <v>79</v>
      </c>
      <c r="F366">
        <v>150</v>
      </c>
      <c r="G366">
        <v>1250</v>
      </c>
      <c r="H366">
        <v>-3</v>
      </c>
      <c r="I366">
        <v>1983</v>
      </c>
      <c r="J366" t="s">
        <v>37</v>
      </c>
      <c r="K366">
        <v>2575</v>
      </c>
      <c r="L366">
        <v>3.62</v>
      </c>
      <c r="M366">
        <v>6.03</v>
      </c>
      <c r="N366" s="4">
        <f t="shared" si="10"/>
        <v>1.0286954000000002E-3</v>
      </c>
      <c r="O366" s="4">
        <f t="shared" si="11"/>
        <v>6.2030332620000017E-3</v>
      </c>
      <c r="P366">
        <v>25</v>
      </c>
      <c r="Q366">
        <v>1</v>
      </c>
      <c r="R366">
        <v>3</v>
      </c>
      <c r="S366">
        <v>2.5</v>
      </c>
      <c r="T366">
        <v>2.5</v>
      </c>
      <c r="U366">
        <v>3</v>
      </c>
      <c r="V366" t="s">
        <v>50</v>
      </c>
    </row>
    <row r="367" spans="1:22" x14ac:dyDescent="0.25">
      <c r="A367" t="s">
        <v>77</v>
      </c>
      <c r="B367">
        <v>2</v>
      </c>
      <c r="C367" t="s">
        <v>47</v>
      </c>
      <c r="D367" t="s">
        <v>78</v>
      </c>
      <c r="E367" t="s">
        <v>79</v>
      </c>
      <c r="F367">
        <v>150</v>
      </c>
      <c r="G367">
        <v>1250</v>
      </c>
      <c r="H367">
        <v>-3</v>
      </c>
      <c r="I367">
        <v>1983</v>
      </c>
      <c r="J367" t="s">
        <v>26</v>
      </c>
      <c r="K367">
        <v>2552</v>
      </c>
      <c r="L367">
        <v>31.73</v>
      </c>
      <c r="M367">
        <v>18.88</v>
      </c>
      <c r="N367" s="4">
        <f t="shared" si="10"/>
        <v>7.9033242650000016E-2</v>
      </c>
      <c r="O367" s="4">
        <f t="shared" si="11"/>
        <v>1.4921476212320002</v>
      </c>
      <c r="P367">
        <v>63</v>
      </c>
      <c r="Q367">
        <v>3.8</v>
      </c>
      <c r="R367">
        <v>3.2</v>
      </c>
      <c r="S367">
        <v>3</v>
      </c>
      <c r="T367">
        <v>3</v>
      </c>
      <c r="U367">
        <v>2</v>
      </c>
      <c r="V367" t="s">
        <v>25</v>
      </c>
    </row>
    <row r="368" spans="1:22" x14ac:dyDescent="0.25">
      <c r="A368" t="s">
        <v>77</v>
      </c>
      <c r="B368">
        <v>2</v>
      </c>
      <c r="C368" t="s">
        <v>47</v>
      </c>
      <c r="D368" t="s">
        <v>78</v>
      </c>
      <c r="E368" t="s">
        <v>79</v>
      </c>
      <c r="F368">
        <v>150</v>
      </c>
      <c r="G368">
        <v>1250</v>
      </c>
      <c r="H368">
        <v>-3</v>
      </c>
      <c r="I368">
        <v>1983</v>
      </c>
      <c r="J368" t="s">
        <v>34</v>
      </c>
      <c r="K368">
        <v>2458</v>
      </c>
      <c r="L368">
        <v>18.88</v>
      </c>
      <c r="M368">
        <v>10.53</v>
      </c>
      <c r="N368" s="4">
        <f t="shared" si="10"/>
        <v>2.7981670400000002E-2</v>
      </c>
      <c r="O368" s="4">
        <f t="shared" si="11"/>
        <v>0.29464698931200001</v>
      </c>
      <c r="P368">
        <v>63</v>
      </c>
      <c r="Q368">
        <v>3.5</v>
      </c>
      <c r="R368">
        <v>3</v>
      </c>
      <c r="S368">
        <v>2</v>
      </c>
      <c r="T368">
        <v>2</v>
      </c>
      <c r="U368">
        <v>1.5</v>
      </c>
      <c r="V368" t="s">
        <v>38</v>
      </c>
    </row>
    <row r="369" spans="1:22" x14ac:dyDescent="0.25">
      <c r="A369" t="s">
        <v>77</v>
      </c>
      <c r="B369">
        <v>2</v>
      </c>
      <c r="C369" t="s">
        <v>47</v>
      </c>
      <c r="D369" t="s">
        <v>78</v>
      </c>
      <c r="E369" t="s">
        <v>79</v>
      </c>
      <c r="F369">
        <v>150</v>
      </c>
      <c r="G369">
        <v>1250</v>
      </c>
      <c r="H369">
        <v>-3</v>
      </c>
      <c r="I369">
        <v>1983</v>
      </c>
      <c r="J369" t="s">
        <v>62</v>
      </c>
      <c r="K369">
        <v>2574</v>
      </c>
      <c r="L369">
        <v>24.4</v>
      </c>
      <c r="M369">
        <v>20.329999999999998</v>
      </c>
      <c r="N369" s="4">
        <f t="shared" si="10"/>
        <v>4.6735760000000001E-2</v>
      </c>
      <c r="O369" s="4">
        <f t="shared" si="11"/>
        <v>0.95013800079999999</v>
      </c>
      <c r="P369">
        <v>75</v>
      </c>
      <c r="Q369">
        <v>4.5</v>
      </c>
      <c r="R369">
        <v>3.5</v>
      </c>
      <c r="S369">
        <v>3.3</v>
      </c>
      <c r="T369">
        <v>3.2</v>
      </c>
      <c r="U369">
        <v>2.8</v>
      </c>
      <c r="V369" t="s">
        <v>25</v>
      </c>
    </row>
    <row r="370" spans="1:22" x14ac:dyDescent="0.25">
      <c r="A370" t="s">
        <v>77</v>
      </c>
      <c r="B370">
        <v>3</v>
      </c>
      <c r="C370" t="s">
        <v>47</v>
      </c>
      <c r="D370" t="s">
        <v>78</v>
      </c>
      <c r="E370" t="s">
        <v>79</v>
      </c>
      <c r="F370">
        <v>150</v>
      </c>
      <c r="G370">
        <v>1250</v>
      </c>
      <c r="H370">
        <v>-3</v>
      </c>
      <c r="I370">
        <v>1983</v>
      </c>
      <c r="J370" t="s">
        <v>76</v>
      </c>
      <c r="K370">
        <v>1592</v>
      </c>
      <c r="L370">
        <v>18.399999999999999</v>
      </c>
      <c r="M370">
        <v>14.18</v>
      </c>
      <c r="N370" s="4">
        <f t="shared" si="10"/>
        <v>2.657696E-2</v>
      </c>
      <c r="O370" s="4">
        <f t="shared" si="11"/>
        <v>0.37686129279999997</v>
      </c>
      <c r="P370">
        <v>50</v>
      </c>
      <c r="Q370">
        <v>3.5</v>
      </c>
      <c r="R370">
        <v>3.2</v>
      </c>
      <c r="S370">
        <v>2</v>
      </c>
      <c r="T370">
        <v>2.5</v>
      </c>
      <c r="U370">
        <v>1.5</v>
      </c>
      <c r="V370" t="s">
        <v>25</v>
      </c>
    </row>
    <row r="371" spans="1:22" x14ac:dyDescent="0.25">
      <c r="A371" t="s">
        <v>77</v>
      </c>
      <c r="B371">
        <v>3</v>
      </c>
      <c r="C371" t="s">
        <v>47</v>
      </c>
      <c r="D371" t="s">
        <v>78</v>
      </c>
      <c r="E371" t="s">
        <v>79</v>
      </c>
      <c r="F371">
        <v>150</v>
      </c>
      <c r="G371">
        <v>1250</v>
      </c>
      <c r="H371">
        <v>-3</v>
      </c>
      <c r="I371">
        <v>1983</v>
      </c>
      <c r="J371" t="s">
        <v>76</v>
      </c>
      <c r="K371">
        <v>2560</v>
      </c>
      <c r="L371">
        <v>18.59</v>
      </c>
      <c r="M371">
        <v>8.26</v>
      </c>
      <c r="N371" s="4">
        <f t="shared" si="10"/>
        <v>2.7128665850000004E-2</v>
      </c>
      <c r="O371" s="4">
        <f t="shared" si="11"/>
        <v>0.22408277992100004</v>
      </c>
      <c r="P371">
        <v>13</v>
      </c>
      <c r="Q371">
        <v>2.5</v>
      </c>
      <c r="R371">
        <v>3.5</v>
      </c>
      <c r="S371">
        <v>2</v>
      </c>
      <c r="T371">
        <v>2</v>
      </c>
      <c r="U371">
        <v>2</v>
      </c>
      <c r="V371" t="s">
        <v>38</v>
      </c>
    </row>
    <row r="372" spans="1:22" x14ac:dyDescent="0.25">
      <c r="A372" t="s">
        <v>77</v>
      </c>
      <c r="B372">
        <v>3</v>
      </c>
      <c r="C372" t="s">
        <v>47</v>
      </c>
      <c r="D372" t="s">
        <v>78</v>
      </c>
      <c r="E372" t="s">
        <v>79</v>
      </c>
      <c r="F372">
        <v>150</v>
      </c>
      <c r="G372">
        <v>1250</v>
      </c>
      <c r="H372">
        <v>-3</v>
      </c>
      <c r="I372">
        <v>1983</v>
      </c>
      <c r="J372" t="s">
        <v>24</v>
      </c>
      <c r="K372">
        <v>2562</v>
      </c>
      <c r="L372">
        <v>14.87</v>
      </c>
      <c r="M372">
        <v>15.56</v>
      </c>
      <c r="N372" s="4">
        <f t="shared" si="10"/>
        <v>1.7357676650000001E-2</v>
      </c>
      <c r="O372" s="4">
        <f t="shared" si="11"/>
        <v>0.27008544867400003</v>
      </c>
      <c r="P372">
        <v>38</v>
      </c>
      <c r="Q372">
        <v>3.5</v>
      </c>
      <c r="R372">
        <v>3.5</v>
      </c>
      <c r="S372">
        <v>3.3</v>
      </c>
      <c r="T372">
        <v>3.3</v>
      </c>
      <c r="U372">
        <v>3</v>
      </c>
      <c r="V372" t="s">
        <v>25</v>
      </c>
    </row>
    <row r="373" spans="1:22" x14ac:dyDescent="0.25">
      <c r="A373" t="s">
        <v>77</v>
      </c>
      <c r="B373">
        <v>3</v>
      </c>
      <c r="C373" t="s">
        <v>47</v>
      </c>
      <c r="D373" t="s">
        <v>78</v>
      </c>
      <c r="E373" t="s">
        <v>79</v>
      </c>
      <c r="F373">
        <v>150</v>
      </c>
      <c r="G373">
        <v>1250</v>
      </c>
      <c r="H373">
        <v>-3</v>
      </c>
      <c r="I373">
        <v>1983</v>
      </c>
      <c r="J373" t="s">
        <v>59</v>
      </c>
      <c r="K373">
        <v>2548</v>
      </c>
      <c r="L373">
        <v>41.51</v>
      </c>
      <c r="M373">
        <v>14.6</v>
      </c>
      <c r="N373" s="4">
        <f t="shared" si="10"/>
        <v>0.13526178784999998</v>
      </c>
      <c r="O373" s="4">
        <f t="shared" si="11"/>
        <v>1.9748221026099997</v>
      </c>
      <c r="P373">
        <v>25</v>
      </c>
      <c r="Q373">
        <v>3</v>
      </c>
      <c r="R373">
        <v>3</v>
      </c>
      <c r="S373">
        <v>1.5</v>
      </c>
      <c r="T373">
        <v>1.5</v>
      </c>
      <c r="U373">
        <v>1</v>
      </c>
      <c r="V373" t="s">
        <v>38</v>
      </c>
    </row>
    <row r="374" spans="1:22" x14ac:dyDescent="0.25">
      <c r="A374" t="s">
        <v>77</v>
      </c>
      <c r="B374">
        <v>3</v>
      </c>
      <c r="C374" t="s">
        <v>47</v>
      </c>
      <c r="D374" t="s">
        <v>78</v>
      </c>
      <c r="E374" t="s">
        <v>79</v>
      </c>
      <c r="F374">
        <v>150</v>
      </c>
      <c r="G374">
        <v>1250</v>
      </c>
      <c r="H374">
        <v>-3</v>
      </c>
      <c r="I374">
        <v>1983</v>
      </c>
      <c r="J374" t="s">
        <v>32</v>
      </c>
      <c r="K374">
        <v>1596</v>
      </c>
      <c r="L374">
        <v>19.04</v>
      </c>
      <c r="M374">
        <v>14.75</v>
      </c>
      <c r="N374" s="4">
        <f t="shared" si="10"/>
        <v>2.8457945599999996E-2</v>
      </c>
      <c r="O374" s="4">
        <f t="shared" si="11"/>
        <v>0.41975469759999995</v>
      </c>
      <c r="P374">
        <v>50</v>
      </c>
      <c r="Q374">
        <v>3.5</v>
      </c>
      <c r="R374">
        <v>4</v>
      </c>
      <c r="S374">
        <v>2.5</v>
      </c>
      <c r="T374">
        <v>2.5</v>
      </c>
      <c r="U374">
        <v>2</v>
      </c>
      <c r="V374" t="s">
        <v>25</v>
      </c>
    </row>
    <row r="375" spans="1:22" x14ac:dyDescent="0.25">
      <c r="A375" t="s">
        <v>77</v>
      </c>
      <c r="B375">
        <v>3</v>
      </c>
      <c r="C375" t="s">
        <v>47</v>
      </c>
      <c r="D375" t="s">
        <v>78</v>
      </c>
      <c r="E375" t="s">
        <v>79</v>
      </c>
      <c r="F375">
        <v>150</v>
      </c>
      <c r="G375">
        <v>1250</v>
      </c>
      <c r="H375">
        <v>-3</v>
      </c>
      <c r="I375">
        <v>1983</v>
      </c>
      <c r="J375" t="s">
        <v>32</v>
      </c>
      <c r="K375">
        <v>2569</v>
      </c>
      <c r="L375">
        <v>15.55</v>
      </c>
      <c r="M375">
        <v>12.87</v>
      </c>
      <c r="N375" s="4">
        <f t="shared" si="10"/>
        <v>1.898149625E-2</v>
      </c>
      <c r="O375" s="4">
        <f t="shared" si="11"/>
        <v>0.24429185673749998</v>
      </c>
      <c r="P375">
        <v>63</v>
      </c>
      <c r="Q375">
        <v>3</v>
      </c>
      <c r="R375">
        <v>3</v>
      </c>
      <c r="S375">
        <v>2.5</v>
      </c>
      <c r="T375">
        <v>3</v>
      </c>
      <c r="U375">
        <v>2</v>
      </c>
      <c r="V375" t="s">
        <v>25</v>
      </c>
    </row>
    <row r="376" spans="1:22" x14ac:dyDescent="0.25">
      <c r="A376" t="s">
        <v>77</v>
      </c>
      <c r="B376">
        <v>3</v>
      </c>
      <c r="C376" t="s">
        <v>47</v>
      </c>
      <c r="D376" t="s">
        <v>78</v>
      </c>
      <c r="E376" t="s">
        <v>79</v>
      </c>
      <c r="F376">
        <v>150</v>
      </c>
      <c r="G376">
        <v>1250</v>
      </c>
      <c r="H376">
        <v>-3</v>
      </c>
      <c r="I376">
        <v>1983</v>
      </c>
      <c r="J376" t="s">
        <v>33</v>
      </c>
      <c r="K376">
        <v>2547</v>
      </c>
      <c r="L376">
        <v>25.4</v>
      </c>
      <c r="M376">
        <v>18.75</v>
      </c>
      <c r="N376" s="4">
        <f t="shared" si="10"/>
        <v>5.0645060000000006E-2</v>
      </c>
      <c r="O376" s="4">
        <f t="shared" si="11"/>
        <v>0.94959487500000006</v>
      </c>
      <c r="P376">
        <v>13</v>
      </c>
      <c r="Q376">
        <v>3.7</v>
      </c>
      <c r="R376">
        <v>2.7</v>
      </c>
      <c r="S376">
        <v>2</v>
      </c>
      <c r="T376">
        <v>2.5</v>
      </c>
      <c r="U376">
        <v>2.2999999999999998</v>
      </c>
      <c r="V376" t="s">
        <v>38</v>
      </c>
    </row>
    <row r="377" spans="1:22" x14ac:dyDescent="0.25">
      <c r="A377" t="s">
        <v>77</v>
      </c>
      <c r="B377">
        <v>3</v>
      </c>
      <c r="C377" t="s">
        <v>47</v>
      </c>
      <c r="D377" t="s">
        <v>78</v>
      </c>
      <c r="E377" t="s">
        <v>79</v>
      </c>
      <c r="F377">
        <v>150</v>
      </c>
      <c r="G377">
        <v>1250</v>
      </c>
      <c r="H377">
        <v>-3</v>
      </c>
      <c r="I377">
        <v>1983</v>
      </c>
      <c r="J377" t="s">
        <v>33</v>
      </c>
      <c r="K377">
        <v>2568</v>
      </c>
      <c r="L377">
        <v>47.73</v>
      </c>
      <c r="M377">
        <v>18.55</v>
      </c>
      <c r="N377" s="4">
        <f t="shared" si="10"/>
        <v>0.17883500264999996</v>
      </c>
      <c r="O377" s="4">
        <f t="shared" si="11"/>
        <v>3.3173892991574996</v>
      </c>
      <c r="P377">
        <v>13</v>
      </c>
      <c r="Q377">
        <v>3.5</v>
      </c>
      <c r="R377">
        <v>2.7</v>
      </c>
      <c r="S377">
        <v>2</v>
      </c>
      <c r="T377">
        <v>2</v>
      </c>
      <c r="U377">
        <v>2</v>
      </c>
      <c r="V377" t="s">
        <v>25</v>
      </c>
    </row>
    <row r="378" spans="1:22" x14ac:dyDescent="0.25">
      <c r="A378" t="s">
        <v>77</v>
      </c>
      <c r="B378">
        <v>3</v>
      </c>
      <c r="C378" t="s">
        <v>47</v>
      </c>
      <c r="D378" t="s">
        <v>78</v>
      </c>
      <c r="E378" t="s">
        <v>79</v>
      </c>
      <c r="F378">
        <v>150</v>
      </c>
      <c r="G378">
        <v>1250</v>
      </c>
      <c r="H378">
        <v>-3</v>
      </c>
      <c r="I378">
        <v>1983</v>
      </c>
      <c r="J378" t="s">
        <v>34</v>
      </c>
      <c r="K378">
        <v>1522</v>
      </c>
      <c r="L378">
        <v>21.7</v>
      </c>
      <c r="M378">
        <v>17.329999999999998</v>
      </c>
      <c r="N378" s="4">
        <f t="shared" si="10"/>
        <v>3.6964865E-2</v>
      </c>
      <c r="O378" s="4">
        <f t="shared" si="11"/>
        <v>0.6406011104499999</v>
      </c>
      <c r="P378">
        <v>25</v>
      </c>
      <c r="Q378">
        <v>3.3</v>
      </c>
      <c r="R378">
        <v>3</v>
      </c>
      <c r="S378">
        <v>3</v>
      </c>
      <c r="T378">
        <v>3</v>
      </c>
      <c r="U378">
        <v>3</v>
      </c>
      <c r="V378" t="s">
        <v>25</v>
      </c>
    </row>
    <row r="379" spans="1:22" x14ac:dyDescent="0.25">
      <c r="A379" t="s">
        <v>77</v>
      </c>
      <c r="B379">
        <v>3</v>
      </c>
      <c r="C379" t="s">
        <v>47</v>
      </c>
      <c r="D379" t="s">
        <v>78</v>
      </c>
      <c r="E379" t="s">
        <v>79</v>
      </c>
      <c r="F379">
        <v>150</v>
      </c>
      <c r="G379">
        <v>1250</v>
      </c>
      <c r="H379">
        <v>-3</v>
      </c>
      <c r="I379">
        <v>1983</v>
      </c>
      <c r="J379" t="s">
        <v>34</v>
      </c>
      <c r="K379">
        <v>2570</v>
      </c>
      <c r="L379">
        <v>34.67</v>
      </c>
      <c r="M379">
        <v>15.41</v>
      </c>
      <c r="N379" s="4">
        <f t="shared" si="10"/>
        <v>9.4357698650000002E-2</v>
      </c>
      <c r="O379" s="4">
        <f t="shared" si="11"/>
        <v>1.4540521361965</v>
      </c>
      <c r="P379">
        <v>13</v>
      </c>
      <c r="Q379">
        <v>4</v>
      </c>
      <c r="R379">
        <v>3</v>
      </c>
      <c r="S379">
        <v>2.5</v>
      </c>
      <c r="T379">
        <v>2.5</v>
      </c>
      <c r="U379">
        <v>2</v>
      </c>
      <c r="V379" t="s">
        <v>38</v>
      </c>
    </row>
    <row r="380" spans="1:22" x14ac:dyDescent="0.25">
      <c r="A380" t="s">
        <v>77</v>
      </c>
      <c r="B380">
        <v>3</v>
      </c>
      <c r="C380" t="s">
        <v>47</v>
      </c>
      <c r="D380" t="s">
        <v>78</v>
      </c>
      <c r="E380" t="s">
        <v>79</v>
      </c>
      <c r="F380">
        <v>150</v>
      </c>
      <c r="G380">
        <v>1250</v>
      </c>
      <c r="H380">
        <v>-3</v>
      </c>
      <c r="I380">
        <v>1983</v>
      </c>
      <c r="J380" t="s">
        <v>35</v>
      </c>
      <c r="K380">
        <v>1788</v>
      </c>
      <c r="L380">
        <v>7.4</v>
      </c>
      <c r="M380">
        <v>13.38</v>
      </c>
      <c r="N380" s="4">
        <f t="shared" si="10"/>
        <v>4.2986600000000019E-3</v>
      </c>
      <c r="O380" s="4">
        <f t="shared" si="11"/>
        <v>5.7516070800000027E-2</v>
      </c>
      <c r="P380">
        <v>25</v>
      </c>
      <c r="Q380">
        <v>1</v>
      </c>
      <c r="R380">
        <v>2</v>
      </c>
      <c r="S380">
        <v>3.2</v>
      </c>
      <c r="T380">
        <v>3</v>
      </c>
      <c r="U380">
        <v>3</v>
      </c>
      <c r="V380" t="s">
        <v>50</v>
      </c>
    </row>
    <row r="381" spans="1:22" x14ac:dyDescent="0.25">
      <c r="A381" t="s">
        <v>77</v>
      </c>
      <c r="B381">
        <v>3</v>
      </c>
      <c r="C381" t="s">
        <v>47</v>
      </c>
      <c r="D381" t="s">
        <v>78</v>
      </c>
      <c r="E381" t="s">
        <v>79</v>
      </c>
      <c r="F381">
        <v>150</v>
      </c>
      <c r="G381">
        <v>1250</v>
      </c>
      <c r="H381">
        <v>-3</v>
      </c>
      <c r="I381">
        <v>1983</v>
      </c>
      <c r="J381" t="s">
        <v>35</v>
      </c>
      <c r="K381">
        <v>2571</v>
      </c>
      <c r="L381">
        <v>22.03</v>
      </c>
      <c r="M381">
        <v>19.34</v>
      </c>
      <c r="N381" s="4">
        <f t="shared" si="10"/>
        <v>3.8097690650000016E-2</v>
      </c>
      <c r="O381" s="4">
        <f t="shared" si="11"/>
        <v>0.73680933717100028</v>
      </c>
      <c r="P381">
        <v>50</v>
      </c>
      <c r="Q381">
        <v>4</v>
      </c>
      <c r="R381">
        <v>2.5</v>
      </c>
      <c r="S381">
        <v>3.3</v>
      </c>
      <c r="T381">
        <v>3.3</v>
      </c>
      <c r="U381">
        <v>3</v>
      </c>
      <c r="V381" t="s">
        <v>27</v>
      </c>
    </row>
    <row r="382" spans="1:22" x14ac:dyDescent="0.25">
      <c r="A382" t="s">
        <v>77</v>
      </c>
      <c r="B382">
        <v>3</v>
      </c>
      <c r="C382" t="s">
        <v>47</v>
      </c>
      <c r="D382" t="s">
        <v>78</v>
      </c>
      <c r="E382" t="s">
        <v>79</v>
      </c>
      <c r="F382">
        <v>150</v>
      </c>
      <c r="G382">
        <v>1250</v>
      </c>
      <c r="H382">
        <v>-3</v>
      </c>
      <c r="I382">
        <v>1983</v>
      </c>
      <c r="J382" t="s">
        <v>81</v>
      </c>
      <c r="K382">
        <v>2750</v>
      </c>
      <c r="L382">
        <v>32.75</v>
      </c>
      <c r="M382">
        <v>16.37</v>
      </c>
      <c r="N382" s="4">
        <f t="shared" si="10"/>
        <v>8.4196156250000015E-2</v>
      </c>
      <c r="O382" s="4">
        <f t="shared" si="11"/>
        <v>1.3782910778125004</v>
      </c>
      <c r="P382">
        <v>50</v>
      </c>
      <c r="Q382">
        <v>4</v>
      </c>
      <c r="R382">
        <v>4</v>
      </c>
      <c r="S382">
        <v>2</v>
      </c>
      <c r="T382">
        <v>2</v>
      </c>
      <c r="U382">
        <v>2</v>
      </c>
      <c r="V382" t="s">
        <v>27</v>
      </c>
    </row>
    <row r="383" spans="1:22" x14ac:dyDescent="0.25">
      <c r="A383" t="s">
        <v>77</v>
      </c>
      <c r="B383">
        <v>3</v>
      </c>
      <c r="C383" t="s">
        <v>47</v>
      </c>
      <c r="D383" t="s">
        <v>78</v>
      </c>
      <c r="E383" t="s">
        <v>79</v>
      </c>
      <c r="F383">
        <v>150</v>
      </c>
      <c r="G383">
        <v>1250</v>
      </c>
      <c r="H383">
        <v>-3</v>
      </c>
      <c r="I383">
        <v>1983</v>
      </c>
      <c r="J383" t="s">
        <v>36</v>
      </c>
      <c r="K383">
        <v>2573</v>
      </c>
      <c r="L383">
        <v>27.4</v>
      </c>
      <c r="M383">
        <v>17.899999999999999</v>
      </c>
      <c r="N383" s="4">
        <f t="shared" si="10"/>
        <v>5.8934659999999986E-2</v>
      </c>
      <c r="O383" s="4">
        <f t="shared" si="11"/>
        <v>1.0549304139999998</v>
      </c>
      <c r="P383">
        <v>38</v>
      </c>
      <c r="Q383">
        <v>3</v>
      </c>
      <c r="R383">
        <v>3.3</v>
      </c>
      <c r="S383">
        <v>2.5</v>
      </c>
      <c r="T383">
        <v>3</v>
      </c>
      <c r="U383">
        <v>2</v>
      </c>
      <c r="V383" t="s">
        <v>25</v>
      </c>
    </row>
    <row r="384" spans="1:22" x14ac:dyDescent="0.25">
      <c r="A384" t="s">
        <v>77</v>
      </c>
      <c r="B384">
        <v>3</v>
      </c>
      <c r="C384" t="s">
        <v>47</v>
      </c>
      <c r="D384" t="s">
        <v>78</v>
      </c>
      <c r="E384" t="s">
        <v>79</v>
      </c>
      <c r="F384">
        <v>150</v>
      </c>
      <c r="G384">
        <v>1250</v>
      </c>
      <c r="H384">
        <v>-3</v>
      </c>
      <c r="I384">
        <v>1983</v>
      </c>
      <c r="J384" t="s">
        <v>62</v>
      </c>
      <c r="K384">
        <v>2550</v>
      </c>
      <c r="L384">
        <v>23.1</v>
      </c>
      <c r="M384">
        <v>18.59</v>
      </c>
      <c r="N384" s="4">
        <f t="shared" si="10"/>
        <v>4.1888385000000007E-2</v>
      </c>
      <c r="O384" s="4">
        <f t="shared" si="11"/>
        <v>0.77870507715000015</v>
      </c>
      <c r="P384">
        <v>63</v>
      </c>
      <c r="Q384">
        <v>4</v>
      </c>
      <c r="R384">
        <v>3.5</v>
      </c>
      <c r="S384">
        <v>3.3</v>
      </c>
      <c r="T384">
        <v>3.3</v>
      </c>
      <c r="U384">
        <v>3</v>
      </c>
      <c r="V384" t="s">
        <v>25</v>
      </c>
    </row>
    <row r="385" spans="1:22" x14ac:dyDescent="0.25">
      <c r="A385" t="s">
        <v>77</v>
      </c>
      <c r="B385">
        <v>3</v>
      </c>
      <c r="C385" t="s">
        <v>47</v>
      </c>
      <c r="D385" t="s">
        <v>78</v>
      </c>
      <c r="E385" t="s">
        <v>79</v>
      </c>
      <c r="F385">
        <v>150</v>
      </c>
      <c r="G385">
        <v>1250</v>
      </c>
      <c r="H385">
        <v>-3</v>
      </c>
      <c r="I385">
        <v>1983</v>
      </c>
      <c r="J385" t="s">
        <v>62</v>
      </c>
      <c r="K385">
        <v>2553</v>
      </c>
      <c r="L385">
        <v>20.34</v>
      </c>
      <c r="M385">
        <v>18.45</v>
      </c>
      <c r="N385" s="4">
        <f t="shared" si="10"/>
        <v>3.2476674600000005E-2</v>
      </c>
      <c r="O385" s="4">
        <f t="shared" si="11"/>
        <v>0.59919464637000008</v>
      </c>
      <c r="P385">
        <v>75</v>
      </c>
      <c r="Q385">
        <v>3.5</v>
      </c>
      <c r="R385">
        <v>3</v>
      </c>
      <c r="S385">
        <v>3.3</v>
      </c>
      <c r="T385">
        <v>3.3</v>
      </c>
      <c r="U385">
        <v>3</v>
      </c>
      <c r="V385" t="s">
        <v>25</v>
      </c>
    </row>
    <row r="386" spans="1:22" x14ac:dyDescent="0.25">
      <c r="A386" t="s">
        <v>77</v>
      </c>
      <c r="B386">
        <v>3</v>
      </c>
      <c r="C386" t="s">
        <v>47</v>
      </c>
      <c r="D386" t="s">
        <v>78</v>
      </c>
      <c r="E386" t="s">
        <v>79</v>
      </c>
      <c r="F386">
        <v>150</v>
      </c>
      <c r="G386">
        <v>1250</v>
      </c>
      <c r="H386">
        <v>-3</v>
      </c>
      <c r="I386">
        <v>1983</v>
      </c>
      <c r="J386" t="s">
        <v>37</v>
      </c>
      <c r="K386">
        <v>2575</v>
      </c>
      <c r="L386">
        <v>5.18</v>
      </c>
      <c r="M386">
        <v>4.82</v>
      </c>
      <c r="N386" s="4">
        <f t="shared" si="10"/>
        <v>2.1063434000000002E-3</v>
      </c>
      <c r="O386" s="4">
        <f t="shared" si="11"/>
        <v>1.0152575188000001E-2</v>
      </c>
      <c r="P386">
        <v>38</v>
      </c>
      <c r="Q386">
        <v>1</v>
      </c>
      <c r="R386">
        <v>2</v>
      </c>
      <c r="S386">
        <v>2</v>
      </c>
      <c r="T386">
        <v>2</v>
      </c>
      <c r="U386">
        <v>2</v>
      </c>
      <c r="V386" t="s">
        <v>50</v>
      </c>
    </row>
    <row r="387" spans="1:22" x14ac:dyDescent="0.25">
      <c r="A387" t="s">
        <v>77</v>
      </c>
      <c r="B387">
        <v>3</v>
      </c>
      <c r="C387" t="s">
        <v>47</v>
      </c>
      <c r="D387" t="s">
        <v>78</v>
      </c>
      <c r="E387" t="s">
        <v>79</v>
      </c>
      <c r="F387">
        <v>150</v>
      </c>
      <c r="G387">
        <v>1250</v>
      </c>
      <c r="H387">
        <v>-3</v>
      </c>
      <c r="I387">
        <v>1983</v>
      </c>
      <c r="J387" t="s">
        <v>26</v>
      </c>
      <c r="K387">
        <v>2552</v>
      </c>
      <c r="L387">
        <v>15.05</v>
      </c>
      <c r="M387">
        <v>9.0500000000000007</v>
      </c>
      <c r="N387" s="4">
        <f t="shared" ref="N387:N450" si="12">3.14/4*((L387/100)^2)</f>
        <v>1.7780446249999998E-2</v>
      </c>
      <c r="O387" s="4">
        <f t="shared" ref="O387:O450" si="13">3.14/4*((L387/100)^2)*M387</f>
        <v>0.1609130385625</v>
      </c>
      <c r="P387">
        <v>25</v>
      </c>
      <c r="Q387">
        <v>4</v>
      </c>
      <c r="R387">
        <v>4</v>
      </c>
      <c r="S387">
        <v>2</v>
      </c>
      <c r="T387">
        <v>1.5</v>
      </c>
      <c r="U387">
        <v>1</v>
      </c>
      <c r="V387" t="s">
        <v>38</v>
      </c>
    </row>
    <row r="388" spans="1:22" x14ac:dyDescent="0.25">
      <c r="A388" t="s">
        <v>77</v>
      </c>
      <c r="B388">
        <v>3</v>
      </c>
      <c r="C388" t="s">
        <v>47</v>
      </c>
      <c r="D388" t="s">
        <v>78</v>
      </c>
      <c r="E388" t="s">
        <v>79</v>
      </c>
      <c r="F388">
        <v>150</v>
      </c>
      <c r="G388">
        <v>1250</v>
      </c>
      <c r="H388">
        <v>-3</v>
      </c>
      <c r="I388">
        <v>1983</v>
      </c>
      <c r="J388" t="s">
        <v>62</v>
      </c>
      <c r="K388">
        <v>2574</v>
      </c>
      <c r="L388">
        <v>22.08</v>
      </c>
      <c r="M388">
        <v>21.79</v>
      </c>
      <c r="N388" s="4">
        <f t="shared" si="12"/>
        <v>3.8270822400000001E-2</v>
      </c>
      <c r="O388" s="4">
        <f t="shared" si="13"/>
        <v>0.833921220096</v>
      </c>
      <c r="P388">
        <v>50</v>
      </c>
      <c r="Q388">
        <v>3.5</v>
      </c>
      <c r="R388">
        <v>3</v>
      </c>
      <c r="S388">
        <v>3.3</v>
      </c>
      <c r="T388">
        <v>3.3</v>
      </c>
      <c r="U388">
        <v>3</v>
      </c>
      <c r="V388" t="s">
        <v>25</v>
      </c>
    </row>
    <row r="389" spans="1:22" x14ac:dyDescent="0.25">
      <c r="A389" t="s">
        <v>77</v>
      </c>
      <c r="B389">
        <v>3</v>
      </c>
      <c r="C389" t="s">
        <v>47</v>
      </c>
      <c r="D389" t="s">
        <v>78</v>
      </c>
      <c r="E389" t="s">
        <v>79</v>
      </c>
      <c r="F389">
        <v>150</v>
      </c>
      <c r="G389">
        <v>1250</v>
      </c>
      <c r="H389">
        <v>-3</v>
      </c>
      <c r="I389">
        <v>1983</v>
      </c>
      <c r="J389" t="s">
        <v>32</v>
      </c>
      <c r="K389">
        <v>2634</v>
      </c>
      <c r="L389">
        <v>26.28</v>
      </c>
      <c r="M389">
        <v>20.11</v>
      </c>
      <c r="N389" s="4">
        <f t="shared" si="12"/>
        <v>5.4215114400000014E-2</v>
      </c>
      <c r="O389" s="4">
        <f t="shared" si="13"/>
        <v>1.0902659505840002</v>
      </c>
      <c r="P389">
        <v>25</v>
      </c>
      <c r="Q389">
        <v>3.1</v>
      </c>
      <c r="R389">
        <v>3</v>
      </c>
      <c r="S389">
        <v>3</v>
      </c>
      <c r="T389">
        <v>3</v>
      </c>
      <c r="U389">
        <v>2</v>
      </c>
      <c r="V389" t="s">
        <v>25</v>
      </c>
    </row>
    <row r="390" spans="1:22" x14ac:dyDescent="0.25">
      <c r="A390" t="s">
        <v>82</v>
      </c>
      <c r="B390">
        <v>1</v>
      </c>
      <c r="C390" t="s">
        <v>66</v>
      </c>
      <c r="D390" t="s">
        <v>67</v>
      </c>
      <c r="E390" t="s">
        <v>68</v>
      </c>
      <c r="F390">
        <v>180</v>
      </c>
      <c r="G390">
        <v>1080</v>
      </c>
      <c r="H390">
        <v>-3</v>
      </c>
      <c r="I390">
        <v>1983</v>
      </c>
      <c r="J390" t="s">
        <v>24</v>
      </c>
      <c r="K390">
        <v>2562</v>
      </c>
      <c r="L390">
        <v>17.41</v>
      </c>
      <c r="M390">
        <v>12.44</v>
      </c>
      <c r="N390" s="4">
        <f t="shared" si="12"/>
        <v>2.3793985850000001E-2</v>
      </c>
      <c r="O390" s="4">
        <f t="shared" si="13"/>
        <v>0.29599718397399999</v>
      </c>
      <c r="P390">
        <v>50</v>
      </c>
      <c r="Q390">
        <v>3.5</v>
      </c>
      <c r="R390">
        <v>3.3</v>
      </c>
      <c r="S390">
        <v>3</v>
      </c>
      <c r="T390">
        <v>3.5</v>
      </c>
      <c r="U390">
        <v>3</v>
      </c>
      <c r="V390" t="s">
        <v>25</v>
      </c>
    </row>
    <row r="391" spans="1:22" x14ac:dyDescent="0.25">
      <c r="A391" t="s">
        <v>82</v>
      </c>
      <c r="B391">
        <v>1</v>
      </c>
      <c r="C391" t="s">
        <v>66</v>
      </c>
      <c r="D391" t="s">
        <v>67</v>
      </c>
      <c r="E391" t="s">
        <v>68</v>
      </c>
      <c r="F391">
        <v>180</v>
      </c>
      <c r="G391">
        <v>1080</v>
      </c>
      <c r="H391">
        <v>-3</v>
      </c>
      <c r="I391">
        <v>1983</v>
      </c>
      <c r="J391" t="s">
        <v>80</v>
      </c>
      <c r="K391">
        <v>1252</v>
      </c>
      <c r="L391">
        <v>12.96</v>
      </c>
      <c r="M391">
        <v>11.21</v>
      </c>
      <c r="N391" s="4">
        <f t="shared" si="12"/>
        <v>1.3184985600000004E-2</v>
      </c>
      <c r="O391" s="4">
        <f t="shared" si="13"/>
        <v>0.14780368857600007</v>
      </c>
      <c r="P391">
        <v>88</v>
      </c>
      <c r="Q391">
        <v>4</v>
      </c>
      <c r="R391">
        <v>4</v>
      </c>
      <c r="S391">
        <v>2.5</v>
      </c>
      <c r="T391">
        <v>2</v>
      </c>
      <c r="U391">
        <v>2</v>
      </c>
      <c r="V391" t="s">
        <v>38</v>
      </c>
    </row>
    <row r="392" spans="1:22" x14ac:dyDescent="0.25">
      <c r="A392" t="s">
        <v>82</v>
      </c>
      <c r="B392">
        <v>1</v>
      </c>
      <c r="C392" t="s">
        <v>66</v>
      </c>
      <c r="D392" t="s">
        <v>67</v>
      </c>
      <c r="E392" t="s">
        <v>68</v>
      </c>
      <c r="F392">
        <v>180</v>
      </c>
      <c r="G392">
        <v>1080</v>
      </c>
      <c r="H392">
        <v>-3</v>
      </c>
      <c r="I392">
        <v>1983</v>
      </c>
      <c r="J392" t="s">
        <v>24</v>
      </c>
      <c r="K392">
        <v>1</v>
      </c>
      <c r="L392">
        <v>6.77</v>
      </c>
      <c r="M392">
        <v>7.19</v>
      </c>
      <c r="N392" s="4">
        <f t="shared" si="12"/>
        <v>3.5978826499999997E-3</v>
      </c>
      <c r="O392" s="4">
        <f t="shared" si="13"/>
        <v>2.5868776253499998E-2</v>
      </c>
      <c r="P392">
        <v>75</v>
      </c>
      <c r="Q392">
        <v>3</v>
      </c>
      <c r="R392">
        <v>3</v>
      </c>
      <c r="S392">
        <v>2.7</v>
      </c>
      <c r="T392">
        <v>3</v>
      </c>
      <c r="U392">
        <v>3</v>
      </c>
      <c r="V392" t="s">
        <v>38</v>
      </c>
    </row>
    <row r="393" spans="1:22" x14ac:dyDescent="0.25">
      <c r="A393" t="s">
        <v>82</v>
      </c>
      <c r="B393">
        <v>1</v>
      </c>
      <c r="C393" t="s">
        <v>66</v>
      </c>
      <c r="D393" t="s">
        <v>67</v>
      </c>
      <c r="E393" t="s">
        <v>68</v>
      </c>
      <c r="F393">
        <v>180</v>
      </c>
      <c r="G393">
        <v>1080</v>
      </c>
      <c r="H393">
        <v>-3</v>
      </c>
      <c r="I393">
        <v>1983</v>
      </c>
      <c r="J393" t="s">
        <v>59</v>
      </c>
      <c r="K393">
        <v>2548</v>
      </c>
      <c r="L393">
        <v>2.95</v>
      </c>
      <c r="M393">
        <v>4.43</v>
      </c>
      <c r="N393" s="4">
        <f t="shared" si="12"/>
        <v>6.8314625000000012E-4</v>
      </c>
      <c r="O393" s="4">
        <f t="shared" si="13"/>
        <v>3.0263378875000002E-3</v>
      </c>
      <c r="P393">
        <v>13</v>
      </c>
      <c r="Q393">
        <v>1</v>
      </c>
      <c r="R393">
        <v>2</v>
      </c>
      <c r="S393">
        <v>3</v>
      </c>
      <c r="T393">
        <v>3</v>
      </c>
      <c r="U393">
        <v>3</v>
      </c>
      <c r="V393" t="s">
        <v>50</v>
      </c>
    </row>
    <row r="394" spans="1:22" x14ac:dyDescent="0.25">
      <c r="A394" t="s">
        <v>82</v>
      </c>
      <c r="B394">
        <v>1</v>
      </c>
      <c r="C394" t="s">
        <v>66</v>
      </c>
      <c r="D394" t="s">
        <v>67</v>
      </c>
      <c r="E394" t="s">
        <v>68</v>
      </c>
      <c r="F394">
        <v>180</v>
      </c>
      <c r="G394">
        <v>1080</v>
      </c>
      <c r="H394">
        <v>-3</v>
      </c>
      <c r="I394">
        <v>1983</v>
      </c>
      <c r="J394" t="s">
        <v>32</v>
      </c>
      <c r="K394">
        <v>1596</v>
      </c>
      <c r="L394">
        <v>7.68</v>
      </c>
      <c r="M394">
        <v>6.56</v>
      </c>
      <c r="N394" s="4">
        <f t="shared" si="12"/>
        <v>4.6301183999999992E-3</v>
      </c>
      <c r="O394" s="4">
        <f t="shared" si="13"/>
        <v>3.0373576703999993E-2</v>
      </c>
      <c r="P394">
        <v>50</v>
      </c>
      <c r="Q394">
        <v>3</v>
      </c>
      <c r="R394">
        <v>3.5</v>
      </c>
      <c r="S394">
        <v>3.5</v>
      </c>
      <c r="T394">
        <v>4</v>
      </c>
      <c r="U394">
        <v>4</v>
      </c>
      <c r="V394" t="s">
        <v>38</v>
      </c>
    </row>
    <row r="395" spans="1:22" x14ac:dyDescent="0.25">
      <c r="A395" t="s">
        <v>82</v>
      </c>
      <c r="B395">
        <v>1</v>
      </c>
      <c r="C395" t="s">
        <v>66</v>
      </c>
      <c r="D395" t="s">
        <v>67</v>
      </c>
      <c r="E395" t="s">
        <v>68</v>
      </c>
      <c r="F395">
        <v>180</v>
      </c>
      <c r="G395">
        <v>1080</v>
      </c>
      <c r="H395">
        <v>-3</v>
      </c>
      <c r="I395">
        <v>1983</v>
      </c>
      <c r="J395" t="s">
        <v>32</v>
      </c>
      <c r="K395">
        <v>2569</v>
      </c>
      <c r="L395">
        <v>16.690000000000001</v>
      </c>
      <c r="M395">
        <v>11.67</v>
      </c>
      <c r="N395" s="4">
        <f t="shared" si="12"/>
        <v>2.1866653850000004E-2</v>
      </c>
      <c r="O395" s="4">
        <f t="shared" si="13"/>
        <v>0.25518385042950004</v>
      </c>
      <c r="P395">
        <v>75</v>
      </c>
      <c r="Q395">
        <v>3</v>
      </c>
      <c r="R395">
        <v>3.8</v>
      </c>
      <c r="S395">
        <v>3.4</v>
      </c>
      <c r="T395">
        <v>4</v>
      </c>
      <c r="U395">
        <v>3.5</v>
      </c>
      <c r="V395" t="s">
        <v>38</v>
      </c>
    </row>
    <row r="396" spans="1:22" x14ac:dyDescent="0.25">
      <c r="A396" t="s">
        <v>82</v>
      </c>
      <c r="B396">
        <v>1</v>
      </c>
      <c r="C396" t="s">
        <v>66</v>
      </c>
      <c r="D396" t="s">
        <v>67</v>
      </c>
      <c r="E396" t="s">
        <v>68</v>
      </c>
      <c r="F396">
        <v>180</v>
      </c>
      <c r="G396">
        <v>1080</v>
      </c>
      <c r="H396">
        <v>-3</v>
      </c>
      <c r="I396">
        <v>1983</v>
      </c>
      <c r="J396" t="s">
        <v>34</v>
      </c>
      <c r="K396">
        <v>2458</v>
      </c>
      <c r="L396">
        <v>8.4600000000000009</v>
      </c>
      <c r="M396">
        <v>7.05</v>
      </c>
      <c r="N396" s="4">
        <f t="shared" si="12"/>
        <v>5.6183706000000021E-3</v>
      </c>
      <c r="O396" s="4">
        <f t="shared" si="13"/>
        <v>3.9609512730000011E-2</v>
      </c>
      <c r="P396">
        <v>13</v>
      </c>
      <c r="Q396">
        <v>2</v>
      </c>
      <c r="R396">
        <v>3</v>
      </c>
      <c r="S396">
        <v>3</v>
      </c>
      <c r="T396">
        <v>3</v>
      </c>
      <c r="U396">
        <v>3</v>
      </c>
      <c r="V396" t="s">
        <v>30</v>
      </c>
    </row>
    <row r="397" spans="1:22" x14ac:dyDescent="0.25">
      <c r="A397" t="s">
        <v>82</v>
      </c>
      <c r="B397">
        <v>1</v>
      </c>
      <c r="C397" t="s">
        <v>66</v>
      </c>
      <c r="D397" t="s">
        <v>67</v>
      </c>
      <c r="E397" t="s">
        <v>68</v>
      </c>
      <c r="F397">
        <v>180</v>
      </c>
      <c r="G397">
        <v>1080</v>
      </c>
      <c r="H397">
        <v>-3</v>
      </c>
      <c r="I397">
        <v>1983</v>
      </c>
      <c r="J397" t="s">
        <v>35</v>
      </c>
      <c r="K397">
        <v>1788</v>
      </c>
      <c r="L397">
        <v>5.35</v>
      </c>
      <c r="M397">
        <v>5.9</v>
      </c>
      <c r="N397" s="4">
        <f t="shared" si="12"/>
        <v>2.24686625E-3</v>
      </c>
      <c r="O397" s="4">
        <f t="shared" si="13"/>
        <v>1.3256510875E-2</v>
      </c>
      <c r="P397">
        <v>25</v>
      </c>
      <c r="Q397">
        <v>2</v>
      </c>
      <c r="R397">
        <v>1.8</v>
      </c>
      <c r="S397">
        <v>2</v>
      </c>
      <c r="T397">
        <v>2.5</v>
      </c>
      <c r="U397">
        <v>3</v>
      </c>
      <c r="V397" t="s">
        <v>30</v>
      </c>
    </row>
    <row r="398" spans="1:22" x14ac:dyDescent="0.25">
      <c r="A398" t="s">
        <v>82</v>
      </c>
      <c r="B398">
        <v>1</v>
      </c>
      <c r="C398" t="s">
        <v>66</v>
      </c>
      <c r="D398" t="s">
        <v>67</v>
      </c>
      <c r="E398" t="s">
        <v>68</v>
      </c>
      <c r="F398">
        <v>180</v>
      </c>
      <c r="G398">
        <v>1080</v>
      </c>
      <c r="H398">
        <v>-3</v>
      </c>
      <c r="I398">
        <v>1983</v>
      </c>
      <c r="J398" t="s">
        <v>35</v>
      </c>
      <c r="K398">
        <v>2571</v>
      </c>
      <c r="L398">
        <v>14.82</v>
      </c>
      <c r="M398">
        <v>14.23</v>
      </c>
      <c r="N398" s="4">
        <f t="shared" si="12"/>
        <v>1.7241143399999999E-2</v>
      </c>
      <c r="O398" s="4">
        <f t="shared" si="13"/>
        <v>0.24534147058199998</v>
      </c>
      <c r="P398">
        <v>50</v>
      </c>
      <c r="Q398">
        <v>3</v>
      </c>
      <c r="R398">
        <v>1.7</v>
      </c>
      <c r="S398">
        <v>4</v>
      </c>
      <c r="T398">
        <v>4</v>
      </c>
      <c r="U398">
        <v>3.5</v>
      </c>
      <c r="V398" t="s">
        <v>25</v>
      </c>
    </row>
    <row r="399" spans="1:22" x14ac:dyDescent="0.25">
      <c r="A399" t="s">
        <v>82</v>
      </c>
      <c r="B399">
        <v>1</v>
      </c>
      <c r="C399" t="s">
        <v>66</v>
      </c>
      <c r="D399" t="s">
        <v>67</v>
      </c>
      <c r="E399" t="s">
        <v>68</v>
      </c>
      <c r="F399">
        <v>180</v>
      </c>
      <c r="G399">
        <v>1080</v>
      </c>
      <c r="H399">
        <v>-3</v>
      </c>
      <c r="I399">
        <v>1983</v>
      </c>
      <c r="J399" t="s">
        <v>81</v>
      </c>
      <c r="K399">
        <v>2750</v>
      </c>
      <c r="L399">
        <v>9.19</v>
      </c>
      <c r="M399">
        <v>7.81</v>
      </c>
      <c r="N399" s="4">
        <f t="shared" si="12"/>
        <v>6.6298038499999993E-3</v>
      </c>
      <c r="O399" s="4">
        <f t="shared" si="13"/>
        <v>5.1778768068499993E-2</v>
      </c>
      <c r="P399">
        <v>50</v>
      </c>
      <c r="Q399">
        <v>2.8</v>
      </c>
      <c r="R399">
        <v>3</v>
      </c>
      <c r="S399">
        <v>3</v>
      </c>
      <c r="T399">
        <v>4</v>
      </c>
      <c r="U399">
        <v>3</v>
      </c>
      <c r="V399" t="s">
        <v>50</v>
      </c>
    </row>
    <row r="400" spans="1:22" x14ac:dyDescent="0.25">
      <c r="A400" t="s">
        <v>82</v>
      </c>
      <c r="B400">
        <v>1</v>
      </c>
      <c r="C400" t="s">
        <v>66</v>
      </c>
      <c r="D400" t="s">
        <v>67</v>
      </c>
      <c r="E400" t="s">
        <v>68</v>
      </c>
      <c r="F400">
        <v>180</v>
      </c>
      <c r="G400">
        <v>1080</v>
      </c>
      <c r="H400">
        <v>-3</v>
      </c>
      <c r="I400">
        <v>1983</v>
      </c>
      <c r="J400" t="s">
        <v>36</v>
      </c>
      <c r="K400">
        <v>2573</v>
      </c>
      <c r="L400">
        <v>5.19</v>
      </c>
      <c r="M400">
        <v>4.4400000000000004</v>
      </c>
      <c r="N400" s="4">
        <f t="shared" si="12"/>
        <v>2.1144838500000004E-3</v>
      </c>
      <c r="O400" s="4">
        <f t="shared" si="13"/>
        <v>9.3883082940000029E-3</v>
      </c>
      <c r="P400">
        <v>13</v>
      </c>
      <c r="Q400">
        <v>1.5</v>
      </c>
      <c r="R400">
        <v>2.5</v>
      </c>
      <c r="S400">
        <v>3</v>
      </c>
      <c r="T400">
        <v>3</v>
      </c>
      <c r="U400">
        <v>3</v>
      </c>
      <c r="V400" t="s">
        <v>50</v>
      </c>
    </row>
    <row r="401" spans="1:22" x14ac:dyDescent="0.25">
      <c r="A401" t="s">
        <v>82</v>
      </c>
      <c r="B401">
        <v>1</v>
      </c>
      <c r="C401" t="s">
        <v>66</v>
      </c>
      <c r="D401" t="s">
        <v>67</v>
      </c>
      <c r="E401" t="s">
        <v>68</v>
      </c>
      <c r="F401">
        <v>180</v>
      </c>
      <c r="G401">
        <v>1080</v>
      </c>
      <c r="H401">
        <v>-3</v>
      </c>
      <c r="I401">
        <v>1983</v>
      </c>
      <c r="J401" t="s">
        <v>62</v>
      </c>
      <c r="K401">
        <v>2553</v>
      </c>
      <c r="L401">
        <v>9.73</v>
      </c>
      <c r="M401">
        <v>11.04</v>
      </c>
      <c r="N401" s="4">
        <f t="shared" si="12"/>
        <v>7.4318226500000003E-3</v>
      </c>
      <c r="O401" s="4">
        <f t="shared" si="13"/>
        <v>8.2047322056000002E-2</v>
      </c>
      <c r="P401">
        <v>75</v>
      </c>
      <c r="Q401">
        <v>3</v>
      </c>
      <c r="R401">
        <v>3</v>
      </c>
      <c r="S401">
        <v>3.5</v>
      </c>
      <c r="T401">
        <v>4</v>
      </c>
      <c r="U401">
        <v>3.5</v>
      </c>
      <c r="V401" t="s">
        <v>25</v>
      </c>
    </row>
    <row r="402" spans="1:22" x14ac:dyDescent="0.25">
      <c r="A402" t="s">
        <v>82</v>
      </c>
      <c r="B402">
        <v>1</v>
      </c>
      <c r="C402" t="s">
        <v>66</v>
      </c>
      <c r="D402" t="s">
        <v>67</v>
      </c>
      <c r="E402" t="s">
        <v>68</v>
      </c>
      <c r="F402">
        <v>180</v>
      </c>
      <c r="G402">
        <v>1080</v>
      </c>
      <c r="H402">
        <v>-3</v>
      </c>
      <c r="I402">
        <v>1983</v>
      </c>
      <c r="J402" t="s">
        <v>37</v>
      </c>
      <c r="K402">
        <v>2575</v>
      </c>
      <c r="L402">
        <v>13.54</v>
      </c>
      <c r="M402">
        <v>8.81</v>
      </c>
      <c r="N402" s="4">
        <f t="shared" si="12"/>
        <v>1.4391530599999999E-2</v>
      </c>
      <c r="O402" s="4">
        <f t="shared" si="13"/>
        <v>0.126789384586</v>
      </c>
      <c r="P402">
        <v>88</v>
      </c>
      <c r="Q402">
        <v>2.7</v>
      </c>
      <c r="R402">
        <v>2</v>
      </c>
      <c r="S402">
        <v>2.5</v>
      </c>
      <c r="T402">
        <v>3</v>
      </c>
      <c r="U402">
        <v>3</v>
      </c>
      <c r="V402" t="s">
        <v>38</v>
      </c>
    </row>
    <row r="403" spans="1:22" x14ac:dyDescent="0.25">
      <c r="A403" t="s">
        <v>82</v>
      </c>
      <c r="B403">
        <v>1</v>
      </c>
      <c r="C403" t="s">
        <v>66</v>
      </c>
      <c r="D403" t="s">
        <v>67</v>
      </c>
      <c r="E403" t="s">
        <v>68</v>
      </c>
      <c r="F403">
        <v>180</v>
      </c>
      <c r="G403">
        <v>1080</v>
      </c>
      <c r="H403">
        <v>-3</v>
      </c>
      <c r="I403">
        <v>1983</v>
      </c>
      <c r="J403" t="s">
        <v>26</v>
      </c>
      <c r="K403">
        <v>2552</v>
      </c>
      <c r="L403">
        <v>5.78</v>
      </c>
      <c r="M403">
        <v>7.21</v>
      </c>
      <c r="N403" s="4">
        <f t="shared" si="12"/>
        <v>2.6225594000000001E-3</v>
      </c>
      <c r="O403" s="4">
        <f t="shared" si="13"/>
        <v>1.8908653274000001E-2</v>
      </c>
      <c r="P403">
        <v>13</v>
      </c>
      <c r="Q403">
        <v>1.5</v>
      </c>
      <c r="R403">
        <v>3</v>
      </c>
      <c r="S403">
        <v>4</v>
      </c>
      <c r="T403">
        <v>4</v>
      </c>
      <c r="U403">
        <v>4</v>
      </c>
      <c r="V403" t="s">
        <v>50</v>
      </c>
    </row>
    <row r="404" spans="1:22" x14ac:dyDescent="0.25">
      <c r="A404" t="s">
        <v>82</v>
      </c>
      <c r="B404">
        <v>2</v>
      </c>
      <c r="C404" t="s">
        <v>66</v>
      </c>
      <c r="D404" t="s">
        <v>67</v>
      </c>
      <c r="E404" t="s">
        <v>68</v>
      </c>
      <c r="F404">
        <v>180</v>
      </c>
      <c r="G404">
        <v>1080</v>
      </c>
      <c r="H404">
        <v>-3</v>
      </c>
      <c r="I404">
        <v>1983</v>
      </c>
      <c r="J404" t="s">
        <v>80</v>
      </c>
      <c r="K404">
        <v>1252</v>
      </c>
      <c r="L404">
        <v>5.36</v>
      </c>
      <c r="M404">
        <v>4.6100000000000003</v>
      </c>
      <c r="N404" s="4">
        <f t="shared" si="12"/>
        <v>2.2552736000000006E-3</v>
      </c>
      <c r="O404" s="4">
        <f t="shared" si="13"/>
        <v>1.0396811296000003E-2</v>
      </c>
      <c r="P404">
        <v>63</v>
      </c>
      <c r="Q404">
        <v>3</v>
      </c>
      <c r="R404">
        <v>3</v>
      </c>
      <c r="S404">
        <v>2</v>
      </c>
      <c r="T404">
        <v>2</v>
      </c>
      <c r="U404">
        <v>3</v>
      </c>
      <c r="V404" t="s">
        <v>30</v>
      </c>
    </row>
    <row r="405" spans="1:22" x14ac:dyDescent="0.25">
      <c r="A405" t="s">
        <v>82</v>
      </c>
      <c r="B405">
        <v>2</v>
      </c>
      <c r="C405" t="s">
        <v>66</v>
      </c>
      <c r="D405" t="s">
        <v>67</v>
      </c>
      <c r="E405" t="s">
        <v>68</v>
      </c>
      <c r="F405">
        <v>180</v>
      </c>
      <c r="G405">
        <v>1080</v>
      </c>
      <c r="H405">
        <v>-3</v>
      </c>
      <c r="I405">
        <v>1983</v>
      </c>
      <c r="J405" t="s">
        <v>24</v>
      </c>
      <c r="K405">
        <v>1</v>
      </c>
      <c r="L405">
        <v>11.88</v>
      </c>
      <c r="M405">
        <v>9.81</v>
      </c>
      <c r="N405" s="4">
        <f t="shared" si="12"/>
        <v>1.1079050400000002E-2</v>
      </c>
      <c r="O405" s="4">
        <f t="shared" si="13"/>
        <v>0.10868548442400003</v>
      </c>
      <c r="P405">
        <v>63</v>
      </c>
      <c r="Q405">
        <v>3</v>
      </c>
      <c r="R405">
        <v>4</v>
      </c>
      <c r="S405">
        <v>2.5</v>
      </c>
      <c r="T405">
        <v>2.5</v>
      </c>
      <c r="U405">
        <v>2.5</v>
      </c>
      <c r="V405" t="s">
        <v>38</v>
      </c>
    </row>
    <row r="406" spans="1:22" x14ac:dyDescent="0.25">
      <c r="A406" t="s">
        <v>82</v>
      </c>
      <c r="B406">
        <v>2</v>
      </c>
      <c r="C406" t="s">
        <v>66</v>
      </c>
      <c r="D406" t="s">
        <v>67</v>
      </c>
      <c r="E406" t="s">
        <v>68</v>
      </c>
      <c r="F406">
        <v>180</v>
      </c>
      <c r="G406">
        <v>1080</v>
      </c>
      <c r="H406">
        <v>-3</v>
      </c>
      <c r="I406">
        <v>1983</v>
      </c>
      <c r="J406" t="s">
        <v>59</v>
      </c>
      <c r="K406">
        <v>1482</v>
      </c>
      <c r="L406">
        <v>14.03</v>
      </c>
      <c r="M406">
        <v>9.9</v>
      </c>
      <c r="N406" s="4">
        <f t="shared" si="12"/>
        <v>1.5452010649999997E-2</v>
      </c>
      <c r="O406" s="4">
        <f t="shared" si="13"/>
        <v>0.15297490543499997</v>
      </c>
      <c r="P406">
        <v>63</v>
      </c>
      <c r="Q406">
        <v>3.5</v>
      </c>
      <c r="R406">
        <v>4</v>
      </c>
      <c r="S406">
        <v>3.5</v>
      </c>
      <c r="T406">
        <v>3</v>
      </c>
      <c r="U406">
        <v>3</v>
      </c>
      <c r="V406" t="s">
        <v>25</v>
      </c>
    </row>
    <row r="407" spans="1:22" x14ac:dyDescent="0.25">
      <c r="A407" t="s">
        <v>82</v>
      </c>
      <c r="B407">
        <v>2</v>
      </c>
      <c r="C407" t="s">
        <v>66</v>
      </c>
      <c r="D407" t="s">
        <v>67</v>
      </c>
      <c r="E407" t="s">
        <v>68</v>
      </c>
      <c r="F407">
        <v>180</v>
      </c>
      <c r="G407">
        <v>1080</v>
      </c>
      <c r="H407">
        <v>-3</v>
      </c>
      <c r="I407">
        <v>1983</v>
      </c>
      <c r="J407" t="s">
        <v>59</v>
      </c>
      <c r="K407">
        <v>2548</v>
      </c>
      <c r="L407">
        <v>23.63</v>
      </c>
      <c r="M407">
        <v>11.82</v>
      </c>
      <c r="N407" s="4">
        <f t="shared" si="12"/>
        <v>4.3832586649999991E-2</v>
      </c>
      <c r="O407" s="4">
        <f t="shared" si="13"/>
        <v>0.51810117420299995</v>
      </c>
      <c r="P407">
        <v>88</v>
      </c>
      <c r="Q407">
        <v>4.5</v>
      </c>
      <c r="R407">
        <v>4</v>
      </c>
      <c r="S407">
        <v>3</v>
      </c>
      <c r="T407">
        <v>2.5</v>
      </c>
      <c r="U407">
        <v>2</v>
      </c>
      <c r="V407" t="s">
        <v>25</v>
      </c>
    </row>
    <row r="408" spans="1:22" x14ac:dyDescent="0.25">
      <c r="A408" t="s">
        <v>82</v>
      </c>
      <c r="B408">
        <v>2</v>
      </c>
      <c r="C408" t="s">
        <v>66</v>
      </c>
      <c r="D408" t="s">
        <v>67</v>
      </c>
      <c r="E408" t="s">
        <v>68</v>
      </c>
      <c r="F408">
        <v>180</v>
      </c>
      <c r="G408">
        <v>1080</v>
      </c>
      <c r="H408">
        <v>-3</v>
      </c>
      <c r="I408">
        <v>1983</v>
      </c>
      <c r="J408" t="s">
        <v>26</v>
      </c>
      <c r="K408">
        <v>2552</v>
      </c>
      <c r="L408">
        <v>10.39</v>
      </c>
      <c r="M408">
        <v>8.66</v>
      </c>
      <c r="N408" s="4">
        <f t="shared" si="12"/>
        <v>8.4742398500000007E-3</v>
      </c>
      <c r="O408" s="4">
        <f t="shared" si="13"/>
        <v>7.338691710100001E-2</v>
      </c>
      <c r="P408">
        <v>38</v>
      </c>
      <c r="Q408">
        <v>3</v>
      </c>
      <c r="R408">
        <v>3.5</v>
      </c>
      <c r="S408">
        <v>3</v>
      </c>
      <c r="T408">
        <v>4</v>
      </c>
      <c r="U408">
        <v>3</v>
      </c>
      <c r="V408" t="s">
        <v>38</v>
      </c>
    </row>
    <row r="409" spans="1:22" x14ac:dyDescent="0.25">
      <c r="A409" t="s">
        <v>82</v>
      </c>
      <c r="B409">
        <v>2</v>
      </c>
      <c r="C409" t="s">
        <v>66</v>
      </c>
      <c r="D409" t="s">
        <v>67</v>
      </c>
      <c r="E409" t="s">
        <v>68</v>
      </c>
      <c r="F409">
        <v>180</v>
      </c>
      <c r="G409">
        <v>1080</v>
      </c>
      <c r="H409">
        <v>-3</v>
      </c>
      <c r="I409">
        <v>1983</v>
      </c>
      <c r="J409" t="s">
        <v>32</v>
      </c>
      <c r="K409">
        <v>1596</v>
      </c>
      <c r="L409">
        <v>7.83</v>
      </c>
      <c r="M409">
        <v>6.79</v>
      </c>
      <c r="N409" s="4">
        <f t="shared" si="12"/>
        <v>4.8127486499999995E-3</v>
      </c>
      <c r="O409" s="4">
        <f t="shared" si="13"/>
        <v>3.2678563333499999E-2</v>
      </c>
      <c r="P409">
        <v>100</v>
      </c>
      <c r="Q409">
        <v>3</v>
      </c>
      <c r="R409">
        <v>3</v>
      </c>
      <c r="S409">
        <v>3.5</v>
      </c>
      <c r="T409">
        <v>4.5</v>
      </c>
      <c r="U409">
        <v>3.5</v>
      </c>
      <c r="V409" t="s">
        <v>25</v>
      </c>
    </row>
    <row r="410" spans="1:22" x14ac:dyDescent="0.25">
      <c r="A410" t="s">
        <v>82</v>
      </c>
      <c r="B410">
        <v>2</v>
      </c>
      <c r="C410" t="s">
        <v>66</v>
      </c>
      <c r="D410" t="s">
        <v>67</v>
      </c>
      <c r="E410" t="s">
        <v>68</v>
      </c>
      <c r="F410">
        <v>180</v>
      </c>
      <c r="G410">
        <v>1080</v>
      </c>
      <c r="H410">
        <v>-3</v>
      </c>
      <c r="I410">
        <v>1983</v>
      </c>
      <c r="J410" t="s">
        <v>32</v>
      </c>
      <c r="K410">
        <v>2569</v>
      </c>
      <c r="L410">
        <v>11.23</v>
      </c>
      <c r="M410">
        <v>10.34</v>
      </c>
      <c r="N410" s="4">
        <f t="shared" si="12"/>
        <v>9.8998626500000023E-3</v>
      </c>
      <c r="O410" s="4">
        <f t="shared" si="13"/>
        <v>0.10236457980100003</v>
      </c>
      <c r="P410">
        <v>50</v>
      </c>
      <c r="Q410">
        <v>3</v>
      </c>
      <c r="R410">
        <v>3.5</v>
      </c>
      <c r="S410">
        <v>3.3</v>
      </c>
      <c r="T410">
        <v>4</v>
      </c>
      <c r="U410">
        <v>3.5</v>
      </c>
      <c r="V410" t="s">
        <v>25</v>
      </c>
    </row>
    <row r="411" spans="1:22" x14ac:dyDescent="0.25">
      <c r="A411" t="s">
        <v>82</v>
      </c>
      <c r="B411">
        <v>2</v>
      </c>
      <c r="C411" t="s">
        <v>66</v>
      </c>
      <c r="D411" t="s">
        <v>67</v>
      </c>
      <c r="E411" t="s">
        <v>68</v>
      </c>
      <c r="F411">
        <v>180</v>
      </c>
      <c r="G411">
        <v>1080</v>
      </c>
      <c r="H411">
        <v>-3</v>
      </c>
      <c r="I411">
        <v>1983</v>
      </c>
      <c r="J411" t="s">
        <v>33</v>
      </c>
      <c r="K411">
        <v>2547</v>
      </c>
      <c r="L411">
        <v>9.1300000000000008</v>
      </c>
      <c r="M411">
        <v>8.01</v>
      </c>
      <c r="N411" s="4">
        <f t="shared" si="12"/>
        <v>6.5435166500000018E-3</v>
      </c>
      <c r="O411" s="4">
        <f t="shared" si="13"/>
        <v>5.2413568366500012E-2</v>
      </c>
      <c r="P411">
        <v>75</v>
      </c>
      <c r="Q411">
        <v>2.8</v>
      </c>
      <c r="R411">
        <v>2</v>
      </c>
      <c r="S411">
        <v>3.3</v>
      </c>
      <c r="T411">
        <v>3.3</v>
      </c>
      <c r="U411">
        <v>3</v>
      </c>
      <c r="V411" t="s">
        <v>38</v>
      </c>
    </row>
    <row r="412" spans="1:22" x14ac:dyDescent="0.25">
      <c r="A412" t="s">
        <v>82</v>
      </c>
      <c r="B412">
        <v>2</v>
      </c>
      <c r="C412" t="s">
        <v>66</v>
      </c>
      <c r="D412" t="s">
        <v>67</v>
      </c>
      <c r="E412" t="s">
        <v>68</v>
      </c>
      <c r="F412">
        <v>180</v>
      </c>
      <c r="G412">
        <v>1080</v>
      </c>
      <c r="H412">
        <v>-3</v>
      </c>
      <c r="I412">
        <v>1983</v>
      </c>
      <c r="J412" t="s">
        <v>33</v>
      </c>
      <c r="K412">
        <v>2568</v>
      </c>
      <c r="L412">
        <v>11.66</v>
      </c>
      <c r="M412">
        <v>8.57</v>
      </c>
      <c r="N412" s="4">
        <f t="shared" si="12"/>
        <v>1.06725146E-2</v>
      </c>
      <c r="O412" s="4">
        <f t="shared" si="13"/>
        <v>9.1463450122000009E-2</v>
      </c>
      <c r="P412">
        <v>75</v>
      </c>
      <c r="Q412">
        <v>3</v>
      </c>
      <c r="R412">
        <v>2.5</v>
      </c>
      <c r="S412">
        <v>2.5</v>
      </c>
      <c r="T412">
        <v>2.5</v>
      </c>
      <c r="U412">
        <v>2.5</v>
      </c>
      <c r="V412" t="s">
        <v>30</v>
      </c>
    </row>
    <row r="413" spans="1:22" x14ac:dyDescent="0.25">
      <c r="A413" t="s">
        <v>82</v>
      </c>
      <c r="B413">
        <v>2</v>
      </c>
      <c r="C413" t="s">
        <v>66</v>
      </c>
      <c r="D413" t="s">
        <v>67</v>
      </c>
      <c r="E413" t="s">
        <v>68</v>
      </c>
      <c r="F413">
        <v>180</v>
      </c>
      <c r="G413">
        <v>1080</v>
      </c>
      <c r="H413">
        <v>-3</v>
      </c>
      <c r="I413">
        <v>1983</v>
      </c>
      <c r="J413" t="s">
        <v>34</v>
      </c>
      <c r="K413">
        <v>2570</v>
      </c>
      <c r="L413">
        <v>3.81</v>
      </c>
      <c r="M413">
        <v>4.93</v>
      </c>
      <c r="N413" s="4">
        <f t="shared" si="12"/>
        <v>1.1395138500000001E-3</v>
      </c>
      <c r="O413" s="4">
        <f t="shared" si="13"/>
        <v>5.6178032805000002E-3</v>
      </c>
      <c r="P413">
        <v>13</v>
      </c>
      <c r="Q413">
        <v>2</v>
      </c>
      <c r="R413">
        <v>2.5</v>
      </c>
      <c r="S413">
        <v>3</v>
      </c>
      <c r="T413">
        <v>4</v>
      </c>
      <c r="U413">
        <v>3</v>
      </c>
      <c r="V413" t="s">
        <v>50</v>
      </c>
    </row>
    <row r="414" spans="1:22" x14ac:dyDescent="0.25">
      <c r="A414" t="s">
        <v>82</v>
      </c>
      <c r="B414">
        <v>2</v>
      </c>
      <c r="C414" t="s">
        <v>66</v>
      </c>
      <c r="D414" t="s">
        <v>67</v>
      </c>
      <c r="E414" t="s">
        <v>68</v>
      </c>
      <c r="F414">
        <v>180</v>
      </c>
      <c r="G414">
        <v>1080</v>
      </c>
      <c r="H414">
        <v>-3</v>
      </c>
      <c r="I414">
        <v>1983</v>
      </c>
      <c r="J414" t="s">
        <v>35</v>
      </c>
      <c r="K414">
        <v>1788</v>
      </c>
      <c r="L414">
        <v>16.16</v>
      </c>
      <c r="M414">
        <v>10.98</v>
      </c>
      <c r="N414" s="4">
        <f t="shared" si="12"/>
        <v>2.0499929600000001E-2</v>
      </c>
      <c r="O414" s="4">
        <f t="shared" si="13"/>
        <v>0.22508922700800002</v>
      </c>
      <c r="P414">
        <v>13</v>
      </c>
      <c r="Q414">
        <v>3.5</v>
      </c>
      <c r="R414">
        <v>2.5</v>
      </c>
      <c r="S414">
        <v>3</v>
      </c>
      <c r="T414">
        <v>4</v>
      </c>
      <c r="U414">
        <v>3</v>
      </c>
      <c r="V414" t="s">
        <v>25</v>
      </c>
    </row>
    <row r="415" spans="1:22" x14ac:dyDescent="0.25">
      <c r="A415" t="s">
        <v>82</v>
      </c>
      <c r="B415">
        <v>2</v>
      </c>
      <c r="C415" t="s">
        <v>66</v>
      </c>
      <c r="D415" t="s">
        <v>67</v>
      </c>
      <c r="E415" t="s">
        <v>68</v>
      </c>
      <c r="F415">
        <v>180</v>
      </c>
      <c r="G415">
        <v>1080</v>
      </c>
      <c r="H415">
        <v>-3</v>
      </c>
      <c r="I415">
        <v>1983</v>
      </c>
      <c r="J415" t="s">
        <v>35</v>
      </c>
      <c r="K415">
        <v>2571</v>
      </c>
      <c r="L415">
        <v>8.83</v>
      </c>
      <c r="M415">
        <v>7.91</v>
      </c>
      <c r="N415" s="4">
        <f t="shared" si="12"/>
        <v>6.1205586500000008E-3</v>
      </c>
      <c r="O415" s="4">
        <f t="shared" si="13"/>
        <v>4.8413618921500007E-2</v>
      </c>
      <c r="P415">
        <v>63</v>
      </c>
      <c r="Q415">
        <v>3.5</v>
      </c>
      <c r="R415">
        <v>2.5</v>
      </c>
      <c r="S415">
        <v>3.5</v>
      </c>
      <c r="T415">
        <v>4</v>
      </c>
      <c r="U415">
        <v>4</v>
      </c>
      <c r="V415" t="s">
        <v>25</v>
      </c>
    </row>
    <row r="416" spans="1:22" x14ac:dyDescent="0.25">
      <c r="A416" t="s">
        <v>82</v>
      </c>
      <c r="B416">
        <v>2</v>
      </c>
      <c r="C416" t="s">
        <v>66</v>
      </c>
      <c r="D416" t="s">
        <v>67</v>
      </c>
      <c r="E416" t="s">
        <v>68</v>
      </c>
      <c r="F416">
        <v>180</v>
      </c>
      <c r="G416">
        <v>1080</v>
      </c>
      <c r="H416">
        <v>-3</v>
      </c>
      <c r="I416">
        <v>1983</v>
      </c>
      <c r="J416" t="s">
        <v>81</v>
      </c>
      <c r="K416">
        <v>2750</v>
      </c>
      <c r="L416">
        <v>1.38</v>
      </c>
      <c r="M416">
        <v>1.53</v>
      </c>
      <c r="N416" s="4">
        <f t="shared" si="12"/>
        <v>1.4949540000000001E-4</v>
      </c>
      <c r="O416" s="4">
        <f t="shared" si="13"/>
        <v>2.28727962E-4</v>
      </c>
      <c r="P416">
        <v>13</v>
      </c>
      <c r="Q416">
        <v>1</v>
      </c>
      <c r="R416">
        <v>1</v>
      </c>
      <c r="S416">
        <v>3</v>
      </c>
      <c r="T416">
        <v>3</v>
      </c>
      <c r="U416">
        <v>3</v>
      </c>
      <c r="V416" t="s">
        <v>50</v>
      </c>
    </row>
    <row r="417" spans="1:22" x14ac:dyDescent="0.25">
      <c r="A417" t="s">
        <v>82</v>
      </c>
      <c r="B417">
        <v>2</v>
      </c>
      <c r="C417" t="s">
        <v>66</v>
      </c>
      <c r="D417" t="s">
        <v>67</v>
      </c>
      <c r="E417" t="s">
        <v>68</v>
      </c>
      <c r="F417">
        <v>180</v>
      </c>
      <c r="G417">
        <v>1080</v>
      </c>
      <c r="H417">
        <v>-3</v>
      </c>
      <c r="I417">
        <v>1983</v>
      </c>
      <c r="J417" t="s">
        <v>36</v>
      </c>
      <c r="K417">
        <v>2573</v>
      </c>
      <c r="L417">
        <v>1.48</v>
      </c>
      <c r="M417">
        <v>2.96</v>
      </c>
      <c r="N417" s="4">
        <f t="shared" si="12"/>
        <v>1.7194640000000002E-4</v>
      </c>
      <c r="O417" s="4">
        <f t="shared" si="13"/>
        <v>5.0896134400000008E-4</v>
      </c>
      <c r="P417">
        <v>13</v>
      </c>
      <c r="Q417">
        <v>1</v>
      </c>
      <c r="R417">
        <v>3</v>
      </c>
      <c r="S417">
        <v>3</v>
      </c>
      <c r="T417">
        <v>3</v>
      </c>
      <c r="U417">
        <v>3</v>
      </c>
      <c r="V417" t="s">
        <v>50</v>
      </c>
    </row>
    <row r="418" spans="1:22" x14ac:dyDescent="0.25">
      <c r="A418" t="s">
        <v>82</v>
      </c>
      <c r="B418">
        <v>2</v>
      </c>
      <c r="C418" t="s">
        <v>66</v>
      </c>
      <c r="D418" t="s">
        <v>67</v>
      </c>
      <c r="E418" t="s">
        <v>68</v>
      </c>
      <c r="F418">
        <v>180</v>
      </c>
      <c r="G418">
        <v>1080</v>
      </c>
      <c r="H418">
        <v>-3</v>
      </c>
      <c r="I418">
        <v>1983</v>
      </c>
      <c r="J418" t="s">
        <v>62</v>
      </c>
      <c r="K418">
        <v>2550</v>
      </c>
      <c r="L418">
        <v>9.15</v>
      </c>
      <c r="M418">
        <v>8.42</v>
      </c>
      <c r="N418" s="4">
        <f t="shared" si="12"/>
        <v>6.5722162499999995E-3</v>
      </c>
      <c r="O418" s="4">
        <f t="shared" si="13"/>
        <v>5.5338060824999993E-2</v>
      </c>
      <c r="P418">
        <v>25</v>
      </c>
      <c r="Q418">
        <v>3</v>
      </c>
      <c r="R418">
        <v>3.5</v>
      </c>
      <c r="S418">
        <v>3.5</v>
      </c>
      <c r="T418">
        <v>4</v>
      </c>
      <c r="U418">
        <v>4</v>
      </c>
      <c r="V418" t="s">
        <v>38</v>
      </c>
    </row>
    <row r="419" spans="1:22" x14ac:dyDescent="0.25">
      <c r="A419" t="s">
        <v>82</v>
      </c>
      <c r="B419">
        <v>2</v>
      </c>
      <c r="C419" t="s">
        <v>66</v>
      </c>
      <c r="D419" t="s">
        <v>67</v>
      </c>
      <c r="E419" t="s">
        <v>68</v>
      </c>
      <c r="F419">
        <v>180</v>
      </c>
      <c r="G419">
        <v>1080</v>
      </c>
      <c r="H419">
        <v>-3</v>
      </c>
      <c r="I419">
        <v>1983</v>
      </c>
      <c r="J419" t="s">
        <v>62</v>
      </c>
      <c r="K419">
        <v>2553</v>
      </c>
      <c r="L419">
        <v>4.79</v>
      </c>
      <c r="M419">
        <v>4.3600000000000003</v>
      </c>
      <c r="N419" s="4">
        <f t="shared" si="12"/>
        <v>1.8011118499999998E-3</v>
      </c>
      <c r="O419" s="4">
        <f t="shared" si="13"/>
        <v>7.8528476659999995E-3</v>
      </c>
      <c r="P419">
        <v>38</v>
      </c>
      <c r="Q419">
        <v>2</v>
      </c>
      <c r="R419">
        <v>3.5</v>
      </c>
      <c r="S419">
        <v>3.5</v>
      </c>
      <c r="T419">
        <v>4</v>
      </c>
      <c r="U419">
        <v>3.5</v>
      </c>
      <c r="V419" t="s">
        <v>30</v>
      </c>
    </row>
    <row r="420" spans="1:22" x14ac:dyDescent="0.25">
      <c r="A420" t="s">
        <v>82</v>
      </c>
      <c r="B420">
        <v>2</v>
      </c>
      <c r="C420" t="s">
        <v>66</v>
      </c>
      <c r="D420" t="s">
        <v>67</v>
      </c>
      <c r="E420" t="s">
        <v>68</v>
      </c>
      <c r="F420">
        <v>180</v>
      </c>
      <c r="G420">
        <v>1080</v>
      </c>
      <c r="H420">
        <v>-3</v>
      </c>
      <c r="I420">
        <v>1983</v>
      </c>
      <c r="J420" t="s">
        <v>37</v>
      </c>
      <c r="K420">
        <v>2575</v>
      </c>
      <c r="L420">
        <v>6.7</v>
      </c>
      <c r="M420">
        <v>6.83</v>
      </c>
      <c r="N420" s="4">
        <f t="shared" si="12"/>
        <v>3.5238650000000006E-3</v>
      </c>
      <c r="O420" s="4">
        <f t="shared" si="13"/>
        <v>2.4067997950000003E-2</v>
      </c>
      <c r="P420">
        <v>75</v>
      </c>
      <c r="Q420">
        <v>2.7</v>
      </c>
      <c r="R420">
        <v>2.7</v>
      </c>
      <c r="S420">
        <v>3</v>
      </c>
      <c r="T420">
        <v>3.5</v>
      </c>
      <c r="U420">
        <v>3.5</v>
      </c>
      <c r="V420" t="s">
        <v>30</v>
      </c>
    </row>
    <row r="421" spans="1:22" x14ac:dyDescent="0.25">
      <c r="A421" t="s">
        <v>82</v>
      </c>
      <c r="B421">
        <v>3</v>
      </c>
      <c r="C421" t="s">
        <v>66</v>
      </c>
      <c r="D421" t="s">
        <v>67</v>
      </c>
      <c r="E421" t="s">
        <v>68</v>
      </c>
      <c r="F421">
        <v>180</v>
      </c>
      <c r="G421">
        <v>1080</v>
      </c>
      <c r="H421">
        <v>-3</v>
      </c>
      <c r="I421">
        <v>1983</v>
      </c>
      <c r="J421" t="s">
        <v>76</v>
      </c>
      <c r="K421">
        <v>1592</v>
      </c>
      <c r="L421">
        <v>15.73</v>
      </c>
      <c r="M421">
        <v>10.67</v>
      </c>
      <c r="N421" s="4">
        <f t="shared" si="12"/>
        <v>1.9423482650000001E-2</v>
      </c>
      <c r="O421" s="4">
        <f t="shared" si="13"/>
        <v>0.2072485598755</v>
      </c>
      <c r="P421">
        <v>75</v>
      </c>
      <c r="Q421">
        <v>3</v>
      </c>
      <c r="R421">
        <v>4</v>
      </c>
      <c r="S421">
        <v>3</v>
      </c>
      <c r="T421">
        <v>4</v>
      </c>
      <c r="U421">
        <v>3</v>
      </c>
      <c r="V421" t="s">
        <v>27</v>
      </c>
    </row>
    <row r="422" spans="1:22" x14ac:dyDescent="0.25">
      <c r="A422" t="s">
        <v>82</v>
      </c>
      <c r="B422">
        <v>3</v>
      </c>
      <c r="C422" t="s">
        <v>66</v>
      </c>
      <c r="D422" t="s">
        <v>67</v>
      </c>
      <c r="E422" t="s">
        <v>68</v>
      </c>
      <c r="F422">
        <v>180</v>
      </c>
      <c r="G422">
        <v>1080</v>
      </c>
      <c r="H422">
        <v>-3</v>
      </c>
      <c r="I422">
        <v>1983</v>
      </c>
      <c r="J422" t="s">
        <v>76</v>
      </c>
      <c r="K422">
        <v>2560</v>
      </c>
      <c r="L422">
        <v>13.13</v>
      </c>
      <c r="M422">
        <v>11.49</v>
      </c>
      <c r="N422" s="4">
        <f t="shared" si="12"/>
        <v>1.3533156649999999E-2</v>
      </c>
      <c r="O422" s="4">
        <f t="shared" si="13"/>
        <v>0.15549596990849998</v>
      </c>
      <c r="P422">
        <v>88</v>
      </c>
      <c r="Q422">
        <v>3</v>
      </c>
      <c r="R422">
        <v>4</v>
      </c>
      <c r="S422">
        <v>3</v>
      </c>
      <c r="T422">
        <v>4</v>
      </c>
      <c r="U422">
        <v>4</v>
      </c>
      <c r="V422" t="s">
        <v>27</v>
      </c>
    </row>
    <row r="423" spans="1:22" x14ac:dyDescent="0.25">
      <c r="A423" t="s">
        <v>82</v>
      </c>
      <c r="B423">
        <v>3</v>
      </c>
      <c r="C423" t="s">
        <v>66</v>
      </c>
      <c r="D423" t="s">
        <v>67</v>
      </c>
      <c r="E423" t="s">
        <v>68</v>
      </c>
      <c r="F423">
        <v>180</v>
      </c>
      <c r="G423">
        <v>1080</v>
      </c>
      <c r="H423">
        <v>-3</v>
      </c>
      <c r="I423">
        <v>1983</v>
      </c>
      <c r="J423" t="s">
        <v>24</v>
      </c>
      <c r="K423">
        <v>2562</v>
      </c>
      <c r="L423">
        <v>9.94</v>
      </c>
      <c r="M423">
        <v>7.46</v>
      </c>
      <c r="N423" s="4">
        <f t="shared" si="12"/>
        <v>7.7560825999999986E-3</v>
      </c>
      <c r="O423" s="4">
        <f t="shared" si="13"/>
        <v>5.7860376195999992E-2</v>
      </c>
      <c r="P423">
        <v>50</v>
      </c>
      <c r="Q423">
        <v>3</v>
      </c>
      <c r="R423">
        <v>4</v>
      </c>
      <c r="S423">
        <v>3</v>
      </c>
      <c r="T423">
        <v>4</v>
      </c>
      <c r="U423">
        <v>3</v>
      </c>
      <c r="V423" t="s">
        <v>38</v>
      </c>
    </row>
    <row r="424" spans="1:22" x14ac:dyDescent="0.25">
      <c r="A424" t="s">
        <v>82</v>
      </c>
      <c r="B424">
        <v>3</v>
      </c>
      <c r="C424" t="s">
        <v>66</v>
      </c>
      <c r="D424" t="s">
        <v>67</v>
      </c>
      <c r="E424" t="s">
        <v>68</v>
      </c>
      <c r="F424">
        <v>180</v>
      </c>
      <c r="G424">
        <v>1080</v>
      </c>
      <c r="H424">
        <v>-3</v>
      </c>
      <c r="I424">
        <v>1983</v>
      </c>
      <c r="J424" t="s">
        <v>80</v>
      </c>
      <c r="K424">
        <v>1252</v>
      </c>
      <c r="L424">
        <v>5.86</v>
      </c>
      <c r="M424">
        <v>5.61</v>
      </c>
      <c r="N424" s="4">
        <f t="shared" si="12"/>
        <v>2.6956586000000007E-3</v>
      </c>
      <c r="O424" s="4">
        <f t="shared" si="13"/>
        <v>1.5122644746000004E-2</v>
      </c>
      <c r="P424">
        <v>50</v>
      </c>
      <c r="Q424">
        <v>3</v>
      </c>
      <c r="R424">
        <v>4</v>
      </c>
      <c r="S424">
        <v>2.5</v>
      </c>
      <c r="T424">
        <v>2.5</v>
      </c>
      <c r="U424">
        <v>3</v>
      </c>
      <c r="V424" t="s">
        <v>30</v>
      </c>
    </row>
    <row r="425" spans="1:22" x14ac:dyDescent="0.25">
      <c r="A425" t="s">
        <v>82</v>
      </c>
      <c r="B425">
        <v>3</v>
      </c>
      <c r="C425" t="s">
        <v>66</v>
      </c>
      <c r="D425" t="s">
        <v>67</v>
      </c>
      <c r="E425" t="s">
        <v>68</v>
      </c>
      <c r="F425">
        <v>180</v>
      </c>
      <c r="G425">
        <v>1080</v>
      </c>
      <c r="H425">
        <v>-3</v>
      </c>
      <c r="I425">
        <v>1983</v>
      </c>
      <c r="J425" t="s">
        <v>24</v>
      </c>
      <c r="K425">
        <v>1</v>
      </c>
      <c r="L425">
        <v>9.1199999999999992</v>
      </c>
      <c r="M425">
        <v>9.67</v>
      </c>
      <c r="N425" s="4">
        <f t="shared" si="12"/>
        <v>6.5291903999999991E-3</v>
      </c>
      <c r="O425" s="4">
        <f t="shared" si="13"/>
        <v>6.3137271167999998E-2</v>
      </c>
      <c r="P425">
        <v>50</v>
      </c>
      <c r="Q425">
        <v>3</v>
      </c>
      <c r="R425">
        <v>4</v>
      </c>
      <c r="S425">
        <v>3</v>
      </c>
      <c r="T425">
        <v>3</v>
      </c>
      <c r="U425">
        <v>3</v>
      </c>
      <c r="V425" t="s">
        <v>38</v>
      </c>
    </row>
    <row r="426" spans="1:22" x14ac:dyDescent="0.25">
      <c r="A426" t="s">
        <v>82</v>
      </c>
      <c r="B426">
        <v>3</v>
      </c>
      <c r="C426" t="s">
        <v>66</v>
      </c>
      <c r="D426" t="s">
        <v>67</v>
      </c>
      <c r="E426" t="s">
        <v>68</v>
      </c>
      <c r="F426">
        <v>180</v>
      </c>
      <c r="G426">
        <v>1080</v>
      </c>
      <c r="H426">
        <v>-3</v>
      </c>
      <c r="I426">
        <v>1983</v>
      </c>
      <c r="J426" t="s">
        <v>59</v>
      </c>
      <c r="K426">
        <v>1482</v>
      </c>
      <c r="L426">
        <v>6.94</v>
      </c>
      <c r="M426">
        <v>5.17</v>
      </c>
      <c r="N426" s="4">
        <f t="shared" si="12"/>
        <v>3.7808426000000006E-3</v>
      </c>
      <c r="O426" s="4">
        <f t="shared" si="13"/>
        <v>1.9546956242000004E-2</v>
      </c>
      <c r="P426">
        <v>38</v>
      </c>
      <c r="Q426">
        <v>2.5</v>
      </c>
      <c r="R426">
        <v>3</v>
      </c>
      <c r="S426">
        <v>3</v>
      </c>
      <c r="T426">
        <v>4</v>
      </c>
      <c r="U426">
        <v>3.5</v>
      </c>
      <c r="V426" t="s">
        <v>30</v>
      </c>
    </row>
    <row r="427" spans="1:22" x14ac:dyDescent="0.25">
      <c r="A427" t="s">
        <v>82</v>
      </c>
      <c r="B427">
        <v>3</v>
      </c>
      <c r="C427" t="s">
        <v>66</v>
      </c>
      <c r="D427" t="s">
        <v>67</v>
      </c>
      <c r="E427" t="s">
        <v>68</v>
      </c>
      <c r="F427">
        <v>180</v>
      </c>
      <c r="G427">
        <v>1080</v>
      </c>
      <c r="H427">
        <v>-3</v>
      </c>
      <c r="I427">
        <v>1983</v>
      </c>
      <c r="J427" t="s">
        <v>59</v>
      </c>
      <c r="K427">
        <v>2548</v>
      </c>
      <c r="L427">
        <v>16.25</v>
      </c>
      <c r="M427">
        <v>13.29</v>
      </c>
      <c r="N427" s="4">
        <f t="shared" si="12"/>
        <v>2.0728906250000002E-2</v>
      </c>
      <c r="O427" s="4">
        <f t="shared" si="13"/>
        <v>0.27548716406250001</v>
      </c>
      <c r="P427">
        <v>13</v>
      </c>
      <c r="Q427">
        <v>3</v>
      </c>
      <c r="R427">
        <v>4</v>
      </c>
      <c r="S427">
        <v>4</v>
      </c>
      <c r="T427">
        <v>3.5</v>
      </c>
      <c r="U427">
        <v>3</v>
      </c>
      <c r="V427" t="s">
        <v>38</v>
      </c>
    </row>
    <row r="428" spans="1:22" x14ac:dyDescent="0.25">
      <c r="A428" t="s">
        <v>82</v>
      </c>
      <c r="B428">
        <v>3</v>
      </c>
      <c r="C428" t="s">
        <v>66</v>
      </c>
      <c r="D428" t="s">
        <v>67</v>
      </c>
      <c r="E428" t="s">
        <v>68</v>
      </c>
      <c r="F428">
        <v>180</v>
      </c>
      <c r="G428">
        <v>1080</v>
      </c>
      <c r="H428">
        <v>-3</v>
      </c>
      <c r="I428">
        <v>1983</v>
      </c>
      <c r="J428" t="s">
        <v>26</v>
      </c>
      <c r="K428">
        <v>2552</v>
      </c>
      <c r="L428">
        <v>1.59</v>
      </c>
      <c r="M428">
        <v>2.89</v>
      </c>
      <c r="N428" s="4">
        <f t="shared" si="12"/>
        <v>1.9845585000000002E-4</v>
      </c>
      <c r="O428" s="4">
        <f t="shared" si="13"/>
        <v>5.7353740650000005E-4</v>
      </c>
      <c r="P428">
        <v>38</v>
      </c>
      <c r="Q428">
        <v>2.5</v>
      </c>
      <c r="R428">
        <v>3</v>
      </c>
      <c r="S428">
        <v>3</v>
      </c>
      <c r="T428">
        <v>3</v>
      </c>
      <c r="U428">
        <v>3</v>
      </c>
      <c r="V428" t="s">
        <v>30</v>
      </c>
    </row>
    <row r="429" spans="1:22" x14ac:dyDescent="0.25">
      <c r="A429" t="s">
        <v>82</v>
      </c>
      <c r="B429">
        <v>3</v>
      </c>
      <c r="C429" t="s">
        <v>66</v>
      </c>
      <c r="D429" t="s">
        <v>67</v>
      </c>
      <c r="E429" t="s">
        <v>68</v>
      </c>
      <c r="F429">
        <v>180</v>
      </c>
      <c r="G429">
        <v>1080</v>
      </c>
      <c r="H429">
        <v>-3</v>
      </c>
      <c r="I429">
        <v>1983</v>
      </c>
      <c r="J429" t="s">
        <v>32</v>
      </c>
      <c r="K429">
        <v>2569</v>
      </c>
      <c r="L429">
        <v>5.32</v>
      </c>
      <c r="M429">
        <v>5.91</v>
      </c>
      <c r="N429" s="4">
        <f t="shared" si="12"/>
        <v>2.2217384000000006E-3</v>
      </c>
      <c r="O429" s="4">
        <f t="shared" si="13"/>
        <v>1.3130473944000003E-2</v>
      </c>
      <c r="P429">
        <v>50</v>
      </c>
      <c r="Q429">
        <v>3</v>
      </c>
      <c r="R429">
        <v>4</v>
      </c>
      <c r="S429">
        <v>3.5</v>
      </c>
      <c r="T429">
        <v>4</v>
      </c>
      <c r="U429">
        <v>3.5</v>
      </c>
      <c r="V429" t="s">
        <v>38</v>
      </c>
    </row>
    <row r="430" spans="1:22" x14ac:dyDescent="0.25">
      <c r="A430" t="s">
        <v>82</v>
      </c>
      <c r="B430">
        <v>3</v>
      </c>
      <c r="C430" t="s">
        <v>66</v>
      </c>
      <c r="D430" t="s">
        <v>67</v>
      </c>
      <c r="E430" t="s">
        <v>68</v>
      </c>
      <c r="F430">
        <v>180</v>
      </c>
      <c r="G430">
        <v>1080</v>
      </c>
      <c r="H430">
        <v>-3</v>
      </c>
      <c r="I430">
        <v>1983</v>
      </c>
      <c r="J430" t="s">
        <v>33</v>
      </c>
      <c r="K430">
        <v>2547</v>
      </c>
      <c r="L430">
        <v>24.73</v>
      </c>
      <c r="M430">
        <v>14.19</v>
      </c>
      <c r="N430" s="4">
        <f t="shared" si="12"/>
        <v>4.8008472650000002E-2</v>
      </c>
      <c r="O430" s="4">
        <f t="shared" si="13"/>
        <v>0.68124022690349995</v>
      </c>
      <c r="P430">
        <v>88</v>
      </c>
      <c r="Q430">
        <v>4.5</v>
      </c>
      <c r="R430">
        <v>3</v>
      </c>
      <c r="S430">
        <v>3</v>
      </c>
      <c r="T430">
        <v>3</v>
      </c>
      <c r="U430">
        <v>2.8</v>
      </c>
      <c r="V430" t="s">
        <v>27</v>
      </c>
    </row>
    <row r="431" spans="1:22" x14ac:dyDescent="0.25">
      <c r="A431" t="s">
        <v>82</v>
      </c>
      <c r="B431">
        <v>3</v>
      </c>
      <c r="C431" t="s">
        <v>66</v>
      </c>
      <c r="D431" t="s">
        <v>67</v>
      </c>
      <c r="E431" t="s">
        <v>68</v>
      </c>
      <c r="F431">
        <v>180</v>
      </c>
      <c r="G431">
        <v>1080</v>
      </c>
      <c r="H431">
        <v>-3</v>
      </c>
      <c r="I431">
        <v>1983</v>
      </c>
      <c r="J431" t="s">
        <v>33</v>
      </c>
      <c r="K431">
        <v>2568</v>
      </c>
      <c r="L431">
        <v>9.1300000000000008</v>
      </c>
      <c r="M431">
        <v>7.02</v>
      </c>
      <c r="N431" s="4">
        <f t="shared" si="12"/>
        <v>6.5435166500000018E-3</v>
      </c>
      <c r="O431" s="4">
        <f t="shared" si="13"/>
        <v>4.5935486883000011E-2</v>
      </c>
      <c r="P431">
        <v>13</v>
      </c>
      <c r="Q431">
        <v>2.8</v>
      </c>
      <c r="R431">
        <v>2.5</v>
      </c>
      <c r="S431">
        <v>3</v>
      </c>
      <c r="T431">
        <v>3</v>
      </c>
      <c r="U431">
        <v>2.5</v>
      </c>
      <c r="V431" t="s">
        <v>30</v>
      </c>
    </row>
    <row r="432" spans="1:22" x14ac:dyDescent="0.25">
      <c r="A432" t="s">
        <v>82</v>
      </c>
      <c r="B432">
        <v>3</v>
      </c>
      <c r="C432" t="s">
        <v>66</v>
      </c>
      <c r="D432" t="s">
        <v>67</v>
      </c>
      <c r="E432" t="s">
        <v>68</v>
      </c>
      <c r="F432">
        <v>180</v>
      </c>
      <c r="G432">
        <v>1080</v>
      </c>
      <c r="H432">
        <v>-3</v>
      </c>
      <c r="I432">
        <v>1983</v>
      </c>
      <c r="J432" t="s">
        <v>34</v>
      </c>
      <c r="K432">
        <v>1522</v>
      </c>
      <c r="L432">
        <v>1.41</v>
      </c>
      <c r="M432">
        <v>2.82</v>
      </c>
      <c r="N432" s="4">
        <f t="shared" si="12"/>
        <v>1.5606585000000001E-4</v>
      </c>
      <c r="O432" s="4">
        <f t="shared" si="13"/>
        <v>4.4010569700000002E-4</v>
      </c>
      <c r="P432">
        <v>13</v>
      </c>
      <c r="Q432">
        <v>1</v>
      </c>
      <c r="R432">
        <v>3</v>
      </c>
      <c r="S432">
        <v>3</v>
      </c>
      <c r="T432">
        <v>3</v>
      </c>
      <c r="U432">
        <v>3</v>
      </c>
      <c r="V432" t="s">
        <v>50</v>
      </c>
    </row>
    <row r="433" spans="1:22" x14ac:dyDescent="0.25">
      <c r="A433" t="s">
        <v>82</v>
      </c>
      <c r="B433">
        <v>3</v>
      </c>
      <c r="C433" t="s">
        <v>66</v>
      </c>
      <c r="D433" t="s">
        <v>67</v>
      </c>
      <c r="E433" t="s">
        <v>68</v>
      </c>
      <c r="F433">
        <v>180</v>
      </c>
      <c r="G433">
        <v>1080</v>
      </c>
      <c r="H433">
        <v>-3</v>
      </c>
      <c r="I433">
        <v>1983</v>
      </c>
      <c r="J433" t="s">
        <v>34</v>
      </c>
      <c r="K433">
        <v>2458</v>
      </c>
      <c r="L433">
        <v>2.11</v>
      </c>
      <c r="M433">
        <v>3.1</v>
      </c>
      <c r="N433" s="4">
        <f t="shared" si="12"/>
        <v>3.4948984999999988E-4</v>
      </c>
      <c r="O433" s="4">
        <f t="shared" si="13"/>
        <v>1.0834185349999997E-3</v>
      </c>
      <c r="P433">
        <v>38</v>
      </c>
      <c r="Q433">
        <v>1.3</v>
      </c>
      <c r="R433">
        <v>3</v>
      </c>
      <c r="S433">
        <v>3</v>
      </c>
      <c r="T433">
        <v>3</v>
      </c>
      <c r="U433">
        <v>3</v>
      </c>
      <c r="V433" t="s">
        <v>50</v>
      </c>
    </row>
    <row r="434" spans="1:22" x14ac:dyDescent="0.25">
      <c r="A434" t="s">
        <v>82</v>
      </c>
      <c r="B434">
        <v>3</v>
      </c>
      <c r="C434" t="s">
        <v>66</v>
      </c>
      <c r="D434" t="s">
        <v>67</v>
      </c>
      <c r="E434" t="s">
        <v>68</v>
      </c>
      <c r="F434">
        <v>180</v>
      </c>
      <c r="G434">
        <v>1080</v>
      </c>
      <c r="H434">
        <v>-3</v>
      </c>
      <c r="I434">
        <v>1983</v>
      </c>
      <c r="J434" t="s">
        <v>34</v>
      </c>
      <c r="K434">
        <v>2570</v>
      </c>
      <c r="L434">
        <v>21.43</v>
      </c>
      <c r="M434">
        <v>14.1</v>
      </c>
      <c r="N434" s="4">
        <f t="shared" si="12"/>
        <v>3.6050724649999998E-2</v>
      </c>
      <c r="O434" s="4">
        <f t="shared" si="13"/>
        <v>0.50831521756499998</v>
      </c>
      <c r="P434">
        <v>38</v>
      </c>
      <c r="Q434">
        <v>4</v>
      </c>
      <c r="R434">
        <v>3.5</v>
      </c>
      <c r="S434">
        <v>3</v>
      </c>
      <c r="T434">
        <v>3.5</v>
      </c>
      <c r="U434">
        <v>3</v>
      </c>
      <c r="V434" t="s">
        <v>25</v>
      </c>
    </row>
    <row r="435" spans="1:22" x14ac:dyDescent="0.25">
      <c r="A435" t="s">
        <v>82</v>
      </c>
      <c r="B435">
        <v>3</v>
      </c>
      <c r="C435" t="s">
        <v>66</v>
      </c>
      <c r="D435" t="s">
        <v>67</v>
      </c>
      <c r="E435" t="s">
        <v>68</v>
      </c>
      <c r="F435">
        <v>180</v>
      </c>
      <c r="G435">
        <v>1080</v>
      </c>
      <c r="H435">
        <v>-3</v>
      </c>
      <c r="I435">
        <v>1983</v>
      </c>
      <c r="J435" t="s">
        <v>35</v>
      </c>
      <c r="K435">
        <v>2571</v>
      </c>
      <c r="L435">
        <v>8.75</v>
      </c>
      <c r="M435">
        <v>7.27</v>
      </c>
      <c r="N435" s="4">
        <f t="shared" si="12"/>
        <v>6.0101562499999999E-3</v>
      </c>
      <c r="O435" s="4">
        <f t="shared" si="13"/>
        <v>4.3693835937499995E-2</v>
      </c>
      <c r="P435">
        <v>38</v>
      </c>
      <c r="Q435">
        <v>3.5</v>
      </c>
      <c r="R435">
        <v>2.5</v>
      </c>
      <c r="S435">
        <v>3</v>
      </c>
      <c r="T435">
        <v>4</v>
      </c>
      <c r="U435">
        <v>3.3</v>
      </c>
      <c r="V435" t="s">
        <v>30</v>
      </c>
    </row>
    <row r="436" spans="1:22" x14ac:dyDescent="0.25">
      <c r="A436" t="s">
        <v>82</v>
      </c>
      <c r="B436">
        <v>3</v>
      </c>
      <c r="C436" t="s">
        <v>66</v>
      </c>
      <c r="D436" t="s">
        <v>67</v>
      </c>
      <c r="E436" t="s">
        <v>68</v>
      </c>
      <c r="F436">
        <v>180</v>
      </c>
      <c r="G436">
        <v>1080</v>
      </c>
      <c r="H436">
        <v>-3</v>
      </c>
      <c r="I436">
        <v>1983</v>
      </c>
      <c r="J436" t="s">
        <v>81</v>
      </c>
      <c r="K436">
        <v>2750</v>
      </c>
      <c r="L436">
        <v>3.37</v>
      </c>
      <c r="M436">
        <v>3.68</v>
      </c>
      <c r="N436" s="4">
        <f t="shared" si="12"/>
        <v>8.9151664999999997E-4</v>
      </c>
      <c r="O436" s="4">
        <f t="shared" si="13"/>
        <v>3.2807812720000002E-3</v>
      </c>
      <c r="P436">
        <v>50</v>
      </c>
      <c r="Q436">
        <v>2</v>
      </c>
      <c r="R436">
        <v>2.5</v>
      </c>
      <c r="S436">
        <v>3</v>
      </c>
      <c r="T436">
        <v>4</v>
      </c>
      <c r="U436">
        <v>3</v>
      </c>
      <c r="V436" t="s">
        <v>30</v>
      </c>
    </row>
    <row r="437" spans="1:22" x14ac:dyDescent="0.25">
      <c r="A437" t="s">
        <v>82</v>
      </c>
      <c r="B437">
        <v>3</v>
      </c>
      <c r="C437" t="s">
        <v>66</v>
      </c>
      <c r="D437" t="s">
        <v>67</v>
      </c>
      <c r="E437" t="s">
        <v>68</v>
      </c>
      <c r="F437">
        <v>180</v>
      </c>
      <c r="G437">
        <v>1080</v>
      </c>
      <c r="H437">
        <v>-3</v>
      </c>
      <c r="I437">
        <v>1983</v>
      </c>
      <c r="J437" t="s">
        <v>62</v>
      </c>
      <c r="K437">
        <v>2553</v>
      </c>
      <c r="L437">
        <v>8.1300000000000008</v>
      </c>
      <c r="M437">
        <v>7.99</v>
      </c>
      <c r="N437" s="4">
        <f t="shared" si="12"/>
        <v>5.188606650000001E-3</v>
      </c>
      <c r="O437" s="4">
        <f t="shared" si="13"/>
        <v>4.1456967133500007E-2</v>
      </c>
      <c r="P437">
        <v>88</v>
      </c>
      <c r="Q437">
        <v>3</v>
      </c>
      <c r="R437">
        <v>3</v>
      </c>
      <c r="S437">
        <v>3.5</v>
      </c>
      <c r="T437">
        <v>4</v>
      </c>
      <c r="U437">
        <v>4</v>
      </c>
      <c r="V437" t="s">
        <v>38</v>
      </c>
    </row>
    <row r="438" spans="1:22" x14ac:dyDescent="0.25">
      <c r="A438" t="s">
        <v>82</v>
      </c>
      <c r="B438">
        <v>3</v>
      </c>
      <c r="C438" t="s">
        <v>66</v>
      </c>
      <c r="D438" t="s">
        <v>67</v>
      </c>
      <c r="E438" t="s">
        <v>68</v>
      </c>
      <c r="F438">
        <v>180</v>
      </c>
      <c r="G438">
        <v>1080</v>
      </c>
      <c r="H438">
        <v>-3</v>
      </c>
      <c r="I438">
        <v>1983</v>
      </c>
      <c r="J438" t="s">
        <v>37</v>
      </c>
      <c r="K438">
        <v>2575</v>
      </c>
      <c r="L438">
        <v>2.63</v>
      </c>
      <c r="M438">
        <v>4.5999999999999996</v>
      </c>
      <c r="N438" s="4">
        <f t="shared" si="12"/>
        <v>5.4297665000000003E-4</v>
      </c>
      <c r="O438" s="4">
        <f t="shared" si="13"/>
        <v>2.49769259E-3</v>
      </c>
      <c r="P438">
        <v>38</v>
      </c>
      <c r="Q438">
        <v>2</v>
      </c>
      <c r="R438">
        <v>1.5</v>
      </c>
      <c r="S438">
        <v>3</v>
      </c>
      <c r="T438">
        <v>3</v>
      </c>
      <c r="U438">
        <v>3</v>
      </c>
      <c r="V438" t="s">
        <v>50</v>
      </c>
    </row>
    <row r="439" spans="1:22" x14ac:dyDescent="0.25">
      <c r="A439" t="s">
        <v>83</v>
      </c>
      <c r="B439">
        <v>1</v>
      </c>
      <c r="C439" t="s">
        <v>71</v>
      </c>
      <c r="D439" t="s">
        <v>84</v>
      </c>
      <c r="E439" t="s">
        <v>85</v>
      </c>
      <c r="F439">
        <v>220</v>
      </c>
      <c r="G439">
        <v>1050</v>
      </c>
      <c r="H439">
        <v>-2</v>
      </c>
      <c r="I439">
        <v>1983</v>
      </c>
      <c r="J439" t="s">
        <v>76</v>
      </c>
      <c r="K439">
        <v>1592</v>
      </c>
      <c r="L439">
        <v>23.59</v>
      </c>
      <c r="M439">
        <v>9.8699999999999992</v>
      </c>
      <c r="N439" s="4">
        <f t="shared" si="12"/>
        <v>4.3684315850000002E-2</v>
      </c>
      <c r="O439" s="4">
        <f t="shared" si="13"/>
        <v>0.43116419743949996</v>
      </c>
      <c r="P439">
        <v>75</v>
      </c>
      <c r="Q439">
        <v>3</v>
      </c>
      <c r="R439">
        <v>4</v>
      </c>
      <c r="S439">
        <v>3</v>
      </c>
      <c r="T439">
        <v>4</v>
      </c>
      <c r="U439">
        <v>3</v>
      </c>
      <c r="V439" t="s">
        <v>25</v>
      </c>
    </row>
    <row r="440" spans="1:22" x14ac:dyDescent="0.25">
      <c r="A440" t="s">
        <v>83</v>
      </c>
      <c r="B440">
        <v>1</v>
      </c>
      <c r="C440" t="s">
        <v>71</v>
      </c>
      <c r="D440" t="s">
        <v>84</v>
      </c>
      <c r="E440" t="s">
        <v>85</v>
      </c>
      <c r="F440">
        <v>220</v>
      </c>
      <c r="G440">
        <v>1050</v>
      </c>
      <c r="H440">
        <v>-2</v>
      </c>
      <c r="I440">
        <v>1983</v>
      </c>
      <c r="J440" t="s">
        <v>76</v>
      </c>
      <c r="K440">
        <v>2560</v>
      </c>
      <c r="L440">
        <v>20.72</v>
      </c>
      <c r="M440">
        <v>8.67</v>
      </c>
      <c r="N440" s="4">
        <f t="shared" si="12"/>
        <v>3.3701494400000004E-2</v>
      </c>
      <c r="O440" s="4">
        <f t="shared" si="13"/>
        <v>0.29219195644800006</v>
      </c>
      <c r="P440">
        <v>100</v>
      </c>
      <c r="Q440">
        <v>3.5</v>
      </c>
      <c r="R440">
        <v>3.5</v>
      </c>
      <c r="S440">
        <v>2.5</v>
      </c>
      <c r="T440">
        <v>4</v>
      </c>
      <c r="U440">
        <v>4</v>
      </c>
      <c r="V440" t="s">
        <v>27</v>
      </c>
    </row>
    <row r="441" spans="1:22" x14ac:dyDescent="0.25">
      <c r="A441" t="s">
        <v>83</v>
      </c>
      <c r="B441">
        <v>1</v>
      </c>
      <c r="C441" t="s">
        <v>71</v>
      </c>
      <c r="D441" t="s">
        <v>84</v>
      </c>
      <c r="E441" t="s">
        <v>85</v>
      </c>
      <c r="F441">
        <v>220</v>
      </c>
      <c r="G441">
        <v>1050</v>
      </c>
      <c r="H441">
        <v>-2</v>
      </c>
      <c r="I441">
        <v>1983</v>
      </c>
      <c r="J441" t="s">
        <v>24</v>
      </c>
      <c r="K441">
        <v>2562</v>
      </c>
      <c r="L441">
        <v>19.64</v>
      </c>
      <c r="M441">
        <v>11.02</v>
      </c>
      <c r="N441" s="4">
        <f t="shared" si="12"/>
        <v>3.0279773600000011E-2</v>
      </c>
      <c r="O441" s="4">
        <f t="shared" si="13"/>
        <v>0.33368310507200011</v>
      </c>
      <c r="P441">
        <v>100</v>
      </c>
      <c r="Q441">
        <v>4</v>
      </c>
      <c r="R441">
        <v>3</v>
      </c>
      <c r="S441">
        <v>3</v>
      </c>
      <c r="T441">
        <v>3</v>
      </c>
      <c r="U441">
        <v>3</v>
      </c>
      <c r="V441" t="s">
        <v>25</v>
      </c>
    </row>
    <row r="442" spans="1:22" x14ac:dyDescent="0.25">
      <c r="A442" t="s">
        <v>83</v>
      </c>
      <c r="B442">
        <v>1</v>
      </c>
      <c r="C442" t="s">
        <v>71</v>
      </c>
      <c r="D442" t="s">
        <v>84</v>
      </c>
      <c r="E442" t="s">
        <v>85</v>
      </c>
      <c r="F442">
        <v>220</v>
      </c>
      <c r="G442">
        <v>1050</v>
      </c>
      <c r="H442">
        <v>-2</v>
      </c>
      <c r="I442">
        <v>1983</v>
      </c>
      <c r="J442" t="s">
        <v>80</v>
      </c>
      <c r="K442">
        <v>1252</v>
      </c>
      <c r="L442">
        <v>14.13</v>
      </c>
      <c r="M442">
        <v>8.85</v>
      </c>
      <c r="N442" s="4">
        <f t="shared" si="12"/>
        <v>1.5673066650000001E-2</v>
      </c>
      <c r="O442" s="4">
        <f t="shared" si="13"/>
        <v>0.13870663985250001</v>
      </c>
      <c r="P442">
        <v>100</v>
      </c>
      <c r="Q442">
        <v>3</v>
      </c>
      <c r="R442">
        <v>2.5</v>
      </c>
      <c r="S442">
        <v>1.5</v>
      </c>
      <c r="T442">
        <v>2</v>
      </c>
      <c r="U442">
        <v>2</v>
      </c>
      <c r="V442" t="s">
        <v>30</v>
      </c>
    </row>
    <row r="443" spans="1:22" x14ac:dyDescent="0.25">
      <c r="A443" t="s">
        <v>83</v>
      </c>
      <c r="B443">
        <v>1</v>
      </c>
      <c r="C443" t="s">
        <v>71</v>
      </c>
      <c r="D443" t="s">
        <v>84</v>
      </c>
      <c r="E443" t="s">
        <v>85</v>
      </c>
      <c r="F443">
        <v>220</v>
      </c>
      <c r="G443">
        <v>1050</v>
      </c>
      <c r="H443">
        <v>-2</v>
      </c>
      <c r="I443">
        <v>1983</v>
      </c>
      <c r="J443" t="s">
        <v>59</v>
      </c>
      <c r="K443">
        <v>1482</v>
      </c>
      <c r="L443">
        <v>22.62</v>
      </c>
      <c r="M443">
        <v>8.83</v>
      </c>
      <c r="N443" s="4">
        <f t="shared" si="12"/>
        <v>4.0165655400000007E-2</v>
      </c>
      <c r="O443" s="4">
        <f t="shared" si="13"/>
        <v>0.35466273718200009</v>
      </c>
      <c r="P443">
        <v>88</v>
      </c>
      <c r="Q443">
        <v>2</v>
      </c>
      <c r="R443">
        <v>3</v>
      </c>
      <c r="S443">
        <v>3</v>
      </c>
      <c r="T443">
        <v>3</v>
      </c>
      <c r="U443">
        <v>3</v>
      </c>
      <c r="V443" t="s">
        <v>30</v>
      </c>
    </row>
    <row r="444" spans="1:22" x14ac:dyDescent="0.25">
      <c r="A444" t="s">
        <v>83</v>
      </c>
      <c r="B444">
        <v>1</v>
      </c>
      <c r="C444" t="s">
        <v>71</v>
      </c>
      <c r="D444" t="s">
        <v>84</v>
      </c>
      <c r="E444" t="s">
        <v>85</v>
      </c>
      <c r="F444">
        <v>220</v>
      </c>
      <c r="G444">
        <v>1050</v>
      </c>
      <c r="H444">
        <v>-2</v>
      </c>
      <c r="I444">
        <v>1983</v>
      </c>
      <c r="J444" t="s">
        <v>59</v>
      </c>
      <c r="K444">
        <v>2548</v>
      </c>
      <c r="L444">
        <v>15.98</v>
      </c>
      <c r="M444">
        <v>6.24</v>
      </c>
      <c r="N444" s="4">
        <f t="shared" si="12"/>
        <v>2.0045791399999999E-2</v>
      </c>
      <c r="O444" s="4">
        <f t="shared" si="13"/>
        <v>0.12508573833600001</v>
      </c>
      <c r="P444">
        <v>63</v>
      </c>
      <c r="Q444">
        <v>3.5</v>
      </c>
      <c r="R444">
        <v>4</v>
      </c>
      <c r="S444">
        <v>2.8</v>
      </c>
      <c r="T444">
        <v>2.8</v>
      </c>
      <c r="U444">
        <v>2.5</v>
      </c>
      <c r="V444" t="s">
        <v>38</v>
      </c>
    </row>
    <row r="445" spans="1:22" x14ac:dyDescent="0.25">
      <c r="A445" t="s">
        <v>83</v>
      </c>
      <c r="B445">
        <v>1</v>
      </c>
      <c r="C445" t="s">
        <v>71</v>
      </c>
      <c r="D445" t="s">
        <v>84</v>
      </c>
      <c r="E445" t="s">
        <v>85</v>
      </c>
      <c r="F445">
        <v>220</v>
      </c>
      <c r="G445">
        <v>1050</v>
      </c>
      <c r="H445">
        <v>-2</v>
      </c>
      <c r="I445">
        <v>1983</v>
      </c>
      <c r="J445" t="s">
        <v>32</v>
      </c>
      <c r="K445">
        <v>1596</v>
      </c>
      <c r="L445">
        <v>16.18</v>
      </c>
      <c r="M445">
        <v>7.67</v>
      </c>
      <c r="N445" s="4">
        <f t="shared" si="12"/>
        <v>2.0550703400000002E-2</v>
      </c>
      <c r="O445" s="4">
        <f t="shared" si="13"/>
        <v>0.15762389507800001</v>
      </c>
      <c r="P445">
        <v>88</v>
      </c>
      <c r="Q445">
        <v>3.5</v>
      </c>
      <c r="R445">
        <v>3</v>
      </c>
      <c r="S445">
        <v>2.5</v>
      </c>
      <c r="T445">
        <v>4</v>
      </c>
      <c r="U445">
        <v>3</v>
      </c>
      <c r="V445" t="s">
        <v>27</v>
      </c>
    </row>
    <row r="446" spans="1:22" x14ac:dyDescent="0.25">
      <c r="A446" t="s">
        <v>83</v>
      </c>
      <c r="B446">
        <v>1</v>
      </c>
      <c r="C446" t="s">
        <v>71</v>
      </c>
      <c r="D446" t="s">
        <v>84</v>
      </c>
      <c r="E446" t="s">
        <v>85</v>
      </c>
      <c r="F446">
        <v>220</v>
      </c>
      <c r="G446">
        <v>1050</v>
      </c>
      <c r="H446">
        <v>-2</v>
      </c>
      <c r="I446">
        <v>1983</v>
      </c>
      <c r="J446" t="s">
        <v>32</v>
      </c>
      <c r="K446">
        <v>2569</v>
      </c>
      <c r="L446">
        <v>18.440000000000001</v>
      </c>
      <c r="M446">
        <v>8.74</v>
      </c>
      <c r="N446" s="4">
        <f t="shared" si="12"/>
        <v>2.6692637600000003E-2</v>
      </c>
      <c r="O446" s="4">
        <f t="shared" si="13"/>
        <v>0.23329365262400004</v>
      </c>
      <c r="P446">
        <v>100</v>
      </c>
      <c r="Q446">
        <v>3.5</v>
      </c>
      <c r="R446">
        <v>3.5</v>
      </c>
      <c r="S446">
        <v>2.8</v>
      </c>
      <c r="T446">
        <v>4</v>
      </c>
      <c r="U446">
        <v>2.8</v>
      </c>
      <c r="V446" t="s">
        <v>25</v>
      </c>
    </row>
    <row r="447" spans="1:22" x14ac:dyDescent="0.25">
      <c r="A447" t="s">
        <v>83</v>
      </c>
      <c r="B447">
        <v>1</v>
      </c>
      <c r="C447" t="s">
        <v>71</v>
      </c>
      <c r="D447" t="s">
        <v>84</v>
      </c>
      <c r="E447" t="s">
        <v>85</v>
      </c>
      <c r="F447">
        <v>220</v>
      </c>
      <c r="G447">
        <v>1050</v>
      </c>
      <c r="H447">
        <v>-2</v>
      </c>
      <c r="I447">
        <v>1983</v>
      </c>
      <c r="J447" t="s">
        <v>33</v>
      </c>
      <c r="K447">
        <v>2547</v>
      </c>
      <c r="L447">
        <v>21.25</v>
      </c>
      <c r="M447">
        <v>9.6199999999999992</v>
      </c>
      <c r="N447" s="4">
        <f t="shared" si="12"/>
        <v>3.5447656250000001E-2</v>
      </c>
      <c r="O447" s="4">
        <f t="shared" si="13"/>
        <v>0.341006453125</v>
      </c>
      <c r="P447">
        <v>100</v>
      </c>
      <c r="Q447">
        <v>3.5</v>
      </c>
      <c r="R447">
        <v>2.5</v>
      </c>
      <c r="S447">
        <v>3</v>
      </c>
      <c r="T447">
        <v>3</v>
      </c>
      <c r="U447">
        <v>2</v>
      </c>
      <c r="V447" t="s">
        <v>25</v>
      </c>
    </row>
    <row r="448" spans="1:22" x14ac:dyDescent="0.25">
      <c r="A448" t="s">
        <v>83</v>
      </c>
      <c r="B448">
        <v>1</v>
      </c>
      <c r="C448" t="s">
        <v>71</v>
      </c>
      <c r="D448" t="s">
        <v>84</v>
      </c>
      <c r="E448" t="s">
        <v>85</v>
      </c>
      <c r="F448">
        <v>220</v>
      </c>
      <c r="G448">
        <v>1050</v>
      </c>
      <c r="H448">
        <v>-2</v>
      </c>
      <c r="I448">
        <v>1983</v>
      </c>
      <c r="J448" t="s">
        <v>33</v>
      </c>
      <c r="K448">
        <v>2568</v>
      </c>
      <c r="L448">
        <v>16.7</v>
      </c>
      <c r="M448">
        <v>7.64</v>
      </c>
      <c r="N448" s="4">
        <f t="shared" si="12"/>
        <v>2.1892864999999997E-2</v>
      </c>
      <c r="O448" s="4">
        <f t="shared" si="13"/>
        <v>0.16726148859999998</v>
      </c>
      <c r="P448">
        <v>100</v>
      </c>
      <c r="Q448">
        <v>3.5</v>
      </c>
      <c r="R448">
        <v>2.8</v>
      </c>
      <c r="S448">
        <v>3</v>
      </c>
      <c r="T448">
        <v>3</v>
      </c>
      <c r="U448">
        <v>2</v>
      </c>
      <c r="V448" t="s">
        <v>25</v>
      </c>
    </row>
    <row r="449" spans="1:22" x14ac:dyDescent="0.25">
      <c r="A449" t="s">
        <v>83</v>
      </c>
      <c r="B449">
        <v>1</v>
      </c>
      <c r="C449" t="s">
        <v>71</v>
      </c>
      <c r="D449" t="s">
        <v>84</v>
      </c>
      <c r="E449" t="s">
        <v>85</v>
      </c>
      <c r="F449">
        <v>220</v>
      </c>
      <c r="G449">
        <v>1050</v>
      </c>
      <c r="H449">
        <v>-2</v>
      </c>
      <c r="I449">
        <v>1983</v>
      </c>
      <c r="J449" t="s">
        <v>34</v>
      </c>
      <c r="K449">
        <v>1522</v>
      </c>
      <c r="L449">
        <v>15.73</v>
      </c>
      <c r="M449">
        <v>7.8</v>
      </c>
      <c r="N449" s="4">
        <f t="shared" si="12"/>
        <v>1.9423482650000001E-2</v>
      </c>
      <c r="O449" s="4">
        <f t="shared" si="13"/>
        <v>0.15150316467</v>
      </c>
      <c r="P449">
        <v>88</v>
      </c>
      <c r="Q449">
        <v>3.5</v>
      </c>
      <c r="R449">
        <v>2.8</v>
      </c>
      <c r="S449">
        <v>3</v>
      </c>
      <c r="T449">
        <v>3.5</v>
      </c>
      <c r="U449">
        <v>3.5</v>
      </c>
      <c r="V449" t="s">
        <v>27</v>
      </c>
    </row>
    <row r="450" spans="1:22" x14ac:dyDescent="0.25">
      <c r="A450" t="s">
        <v>83</v>
      </c>
      <c r="B450">
        <v>1</v>
      </c>
      <c r="C450" t="s">
        <v>71</v>
      </c>
      <c r="D450" t="s">
        <v>84</v>
      </c>
      <c r="E450" t="s">
        <v>85</v>
      </c>
      <c r="F450">
        <v>220</v>
      </c>
      <c r="G450">
        <v>1050</v>
      </c>
      <c r="H450">
        <v>-2</v>
      </c>
      <c r="I450">
        <v>1983</v>
      </c>
      <c r="J450" t="s">
        <v>34</v>
      </c>
      <c r="K450">
        <v>2570</v>
      </c>
      <c r="L450">
        <v>16.55</v>
      </c>
      <c r="M450">
        <v>8.2100000000000009</v>
      </c>
      <c r="N450" s="4">
        <f t="shared" si="12"/>
        <v>2.1501346250000001E-2</v>
      </c>
      <c r="O450" s="4">
        <f t="shared" si="13"/>
        <v>0.17652605271250002</v>
      </c>
      <c r="P450">
        <v>100</v>
      </c>
      <c r="Q450">
        <v>3.5</v>
      </c>
      <c r="R450">
        <v>3</v>
      </c>
      <c r="S450">
        <v>3.5</v>
      </c>
      <c r="T450">
        <v>3.3</v>
      </c>
      <c r="U450">
        <v>3</v>
      </c>
      <c r="V450" t="s">
        <v>25</v>
      </c>
    </row>
    <row r="451" spans="1:22" x14ac:dyDescent="0.25">
      <c r="A451" t="s">
        <v>83</v>
      </c>
      <c r="B451">
        <v>1</v>
      </c>
      <c r="C451" t="s">
        <v>71</v>
      </c>
      <c r="D451" t="s">
        <v>84</v>
      </c>
      <c r="E451" t="s">
        <v>85</v>
      </c>
      <c r="F451">
        <v>220</v>
      </c>
      <c r="G451">
        <v>1050</v>
      </c>
      <c r="H451">
        <v>-2</v>
      </c>
      <c r="I451">
        <v>1983</v>
      </c>
      <c r="J451" t="s">
        <v>35</v>
      </c>
      <c r="K451">
        <v>2571</v>
      </c>
      <c r="L451">
        <v>13.67</v>
      </c>
      <c r="M451">
        <v>5.24</v>
      </c>
      <c r="N451" s="4">
        <f t="shared" ref="N451:N514" si="14">3.14/4*((L451/100)^2)</f>
        <v>1.466920865E-2</v>
      </c>
      <c r="O451" s="4">
        <f t="shared" ref="O451:O514" si="15">3.14/4*((L451/100)^2)*M451</f>
        <v>7.6866653325999998E-2</v>
      </c>
      <c r="P451">
        <v>63</v>
      </c>
      <c r="Q451">
        <v>2.5</v>
      </c>
      <c r="R451">
        <v>2</v>
      </c>
      <c r="S451">
        <v>2.5</v>
      </c>
      <c r="T451">
        <v>3.3</v>
      </c>
      <c r="U451">
        <v>3</v>
      </c>
      <c r="V451" t="s">
        <v>25</v>
      </c>
    </row>
    <row r="452" spans="1:22" x14ac:dyDescent="0.25">
      <c r="A452" t="s">
        <v>83</v>
      </c>
      <c r="B452">
        <v>1</v>
      </c>
      <c r="C452" t="s">
        <v>71</v>
      </c>
      <c r="D452" t="s">
        <v>84</v>
      </c>
      <c r="E452" t="s">
        <v>85</v>
      </c>
      <c r="F452">
        <v>220</v>
      </c>
      <c r="G452">
        <v>1050</v>
      </c>
      <c r="H452">
        <v>-2</v>
      </c>
      <c r="I452">
        <v>1983</v>
      </c>
      <c r="J452" t="s">
        <v>81</v>
      </c>
      <c r="K452">
        <v>2750</v>
      </c>
      <c r="L452">
        <v>12.8</v>
      </c>
      <c r="M452">
        <v>7.25</v>
      </c>
      <c r="N452" s="4">
        <f t="shared" si="14"/>
        <v>1.286144E-2</v>
      </c>
      <c r="O452" s="4">
        <f t="shared" si="15"/>
        <v>9.3245439999999999E-2</v>
      </c>
      <c r="P452">
        <v>50</v>
      </c>
      <c r="Q452">
        <v>2.2999999999999998</v>
      </c>
      <c r="R452">
        <v>4.5</v>
      </c>
      <c r="S452">
        <v>2.5</v>
      </c>
      <c r="T452">
        <v>3</v>
      </c>
      <c r="U452">
        <v>3</v>
      </c>
      <c r="V452" t="s">
        <v>38</v>
      </c>
    </row>
    <row r="453" spans="1:22" x14ac:dyDescent="0.25">
      <c r="A453" t="s">
        <v>83</v>
      </c>
      <c r="B453">
        <v>1</v>
      </c>
      <c r="C453" t="s">
        <v>71</v>
      </c>
      <c r="D453" t="s">
        <v>84</v>
      </c>
      <c r="E453" t="s">
        <v>85</v>
      </c>
      <c r="F453">
        <v>220</v>
      </c>
      <c r="G453">
        <v>1050</v>
      </c>
      <c r="H453">
        <v>-2</v>
      </c>
      <c r="I453">
        <v>1983</v>
      </c>
      <c r="J453" t="s">
        <v>62</v>
      </c>
      <c r="K453">
        <v>2553</v>
      </c>
      <c r="L453">
        <v>20.82</v>
      </c>
      <c r="M453">
        <v>11.37</v>
      </c>
      <c r="N453" s="4">
        <f t="shared" si="14"/>
        <v>3.4027583399999999E-2</v>
      </c>
      <c r="O453" s="4">
        <f t="shared" si="15"/>
        <v>0.38689362325799997</v>
      </c>
      <c r="P453">
        <v>88</v>
      </c>
      <c r="Q453">
        <v>2.5</v>
      </c>
      <c r="R453">
        <v>3.3</v>
      </c>
      <c r="S453">
        <v>3.3</v>
      </c>
      <c r="T453">
        <v>3</v>
      </c>
      <c r="U453">
        <v>2.2999999999999998</v>
      </c>
      <c r="V453" t="s">
        <v>38</v>
      </c>
    </row>
    <row r="454" spans="1:22" x14ac:dyDescent="0.25">
      <c r="A454" t="s">
        <v>83</v>
      </c>
      <c r="B454">
        <v>1</v>
      </c>
      <c r="C454" t="s">
        <v>71</v>
      </c>
      <c r="D454" t="s">
        <v>84</v>
      </c>
      <c r="E454" t="s">
        <v>85</v>
      </c>
      <c r="F454">
        <v>220</v>
      </c>
      <c r="G454">
        <v>1050</v>
      </c>
      <c r="H454">
        <v>-2</v>
      </c>
      <c r="I454">
        <v>1983</v>
      </c>
      <c r="J454" t="s">
        <v>37</v>
      </c>
      <c r="K454">
        <v>2575</v>
      </c>
      <c r="L454">
        <v>6.65</v>
      </c>
      <c r="M454">
        <v>5.08</v>
      </c>
      <c r="N454" s="4">
        <f t="shared" si="14"/>
        <v>3.4714662500000006E-3</v>
      </c>
      <c r="O454" s="4">
        <f t="shared" si="15"/>
        <v>1.7635048550000004E-2</v>
      </c>
      <c r="P454">
        <v>88</v>
      </c>
      <c r="Q454">
        <v>2.5</v>
      </c>
      <c r="R454">
        <v>2.5</v>
      </c>
      <c r="S454">
        <v>2.5</v>
      </c>
      <c r="T454">
        <v>3</v>
      </c>
      <c r="U454">
        <v>3</v>
      </c>
      <c r="V454" t="s">
        <v>38</v>
      </c>
    </row>
    <row r="455" spans="1:22" x14ac:dyDescent="0.25">
      <c r="A455" t="s">
        <v>83</v>
      </c>
      <c r="B455">
        <v>1</v>
      </c>
      <c r="C455" t="s">
        <v>71</v>
      </c>
      <c r="D455" t="s">
        <v>84</v>
      </c>
      <c r="E455" t="s">
        <v>85</v>
      </c>
      <c r="F455">
        <v>220</v>
      </c>
      <c r="G455">
        <v>1050</v>
      </c>
      <c r="H455">
        <v>-2</v>
      </c>
      <c r="I455">
        <v>1983</v>
      </c>
      <c r="J455" t="s">
        <v>26</v>
      </c>
      <c r="K455">
        <v>2552</v>
      </c>
      <c r="L455">
        <v>18.88</v>
      </c>
      <c r="M455">
        <v>9.59</v>
      </c>
      <c r="N455" s="4">
        <f t="shared" si="14"/>
        <v>2.7981670400000002E-2</v>
      </c>
      <c r="O455" s="4">
        <f t="shared" si="15"/>
        <v>0.26834421913600004</v>
      </c>
      <c r="P455">
        <v>75</v>
      </c>
      <c r="Q455">
        <v>3</v>
      </c>
      <c r="R455">
        <v>3</v>
      </c>
      <c r="S455">
        <v>3</v>
      </c>
      <c r="T455">
        <v>3.3</v>
      </c>
      <c r="U455">
        <v>3</v>
      </c>
      <c r="V455" t="s">
        <v>25</v>
      </c>
    </row>
    <row r="456" spans="1:22" x14ac:dyDescent="0.25">
      <c r="A456" t="s">
        <v>83</v>
      </c>
      <c r="B456">
        <v>2</v>
      </c>
      <c r="C456" t="s">
        <v>71</v>
      </c>
      <c r="D456" t="s">
        <v>84</v>
      </c>
      <c r="E456" t="s">
        <v>85</v>
      </c>
      <c r="F456">
        <v>220</v>
      </c>
      <c r="G456">
        <v>1050</v>
      </c>
      <c r="H456">
        <v>-2</v>
      </c>
      <c r="I456">
        <v>1983</v>
      </c>
      <c r="J456" t="s">
        <v>76</v>
      </c>
      <c r="K456">
        <v>1592</v>
      </c>
      <c r="L456">
        <v>24.3</v>
      </c>
      <c r="M456">
        <v>10.49</v>
      </c>
      <c r="N456" s="4">
        <f t="shared" si="14"/>
        <v>4.6353464999999996E-2</v>
      </c>
      <c r="O456" s="4">
        <f t="shared" si="15"/>
        <v>0.48624784784999997</v>
      </c>
      <c r="P456">
        <v>50</v>
      </c>
      <c r="Q456">
        <v>3.5</v>
      </c>
      <c r="R456">
        <v>3</v>
      </c>
      <c r="S456">
        <v>3</v>
      </c>
      <c r="T456">
        <v>4</v>
      </c>
      <c r="U456">
        <v>2.5</v>
      </c>
      <c r="V456" t="s">
        <v>25</v>
      </c>
    </row>
    <row r="457" spans="1:22" x14ac:dyDescent="0.25">
      <c r="A457" t="s">
        <v>83</v>
      </c>
      <c r="B457">
        <v>2</v>
      </c>
      <c r="C457" t="s">
        <v>71</v>
      </c>
      <c r="D457" t="s">
        <v>84</v>
      </c>
      <c r="E457" t="s">
        <v>85</v>
      </c>
      <c r="F457">
        <v>220</v>
      </c>
      <c r="G457">
        <v>1050</v>
      </c>
      <c r="H457">
        <v>-2</v>
      </c>
      <c r="I457">
        <v>1983</v>
      </c>
      <c r="J457" t="s">
        <v>76</v>
      </c>
      <c r="K457">
        <v>2560</v>
      </c>
      <c r="L457">
        <v>16.5</v>
      </c>
      <c r="M457">
        <v>7.08</v>
      </c>
      <c r="N457" s="4">
        <f t="shared" si="14"/>
        <v>2.1371625000000002E-2</v>
      </c>
      <c r="O457" s="4">
        <f t="shared" si="15"/>
        <v>0.151311105</v>
      </c>
      <c r="P457">
        <v>75</v>
      </c>
      <c r="Q457">
        <v>3</v>
      </c>
      <c r="R457">
        <v>3.5</v>
      </c>
      <c r="S457">
        <v>2.5</v>
      </c>
      <c r="T457">
        <v>4</v>
      </c>
      <c r="U457">
        <v>3</v>
      </c>
      <c r="V457" t="s">
        <v>25</v>
      </c>
    </row>
    <row r="458" spans="1:22" x14ac:dyDescent="0.25">
      <c r="A458" t="s">
        <v>83</v>
      </c>
      <c r="B458">
        <v>2</v>
      </c>
      <c r="C458" t="s">
        <v>71</v>
      </c>
      <c r="D458" t="s">
        <v>84</v>
      </c>
      <c r="E458" t="s">
        <v>85</v>
      </c>
      <c r="F458">
        <v>220</v>
      </c>
      <c r="G458">
        <v>1050</v>
      </c>
      <c r="H458">
        <v>-2</v>
      </c>
      <c r="I458">
        <v>1983</v>
      </c>
      <c r="J458" t="s">
        <v>24</v>
      </c>
      <c r="K458">
        <v>2562</v>
      </c>
      <c r="L458">
        <v>17.62</v>
      </c>
      <c r="M458">
        <v>9.9</v>
      </c>
      <c r="N458" s="4">
        <f t="shared" si="14"/>
        <v>2.4371455400000009E-2</v>
      </c>
      <c r="O458" s="4">
        <f t="shared" si="15"/>
        <v>0.24127740846000009</v>
      </c>
      <c r="P458">
        <v>88</v>
      </c>
      <c r="Q458">
        <v>3.3</v>
      </c>
      <c r="R458">
        <v>3.3</v>
      </c>
      <c r="S458">
        <v>3</v>
      </c>
      <c r="T458">
        <v>3.5</v>
      </c>
      <c r="U458">
        <v>3.3</v>
      </c>
      <c r="V458" t="s">
        <v>25</v>
      </c>
    </row>
    <row r="459" spans="1:22" x14ac:dyDescent="0.25">
      <c r="A459" t="s">
        <v>83</v>
      </c>
      <c r="B459">
        <v>2</v>
      </c>
      <c r="C459" t="s">
        <v>71</v>
      </c>
      <c r="D459" t="s">
        <v>84</v>
      </c>
      <c r="E459" t="s">
        <v>85</v>
      </c>
      <c r="F459">
        <v>220</v>
      </c>
      <c r="G459">
        <v>1050</v>
      </c>
      <c r="H459">
        <v>-2</v>
      </c>
      <c r="I459">
        <v>1983</v>
      </c>
      <c r="J459" t="s">
        <v>80</v>
      </c>
      <c r="K459">
        <v>1252</v>
      </c>
      <c r="L459">
        <v>12.52</v>
      </c>
      <c r="M459">
        <v>9.23</v>
      </c>
      <c r="N459" s="4">
        <f t="shared" si="14"/>
        <v>1.2304906400000001E-2</v>
      </c>
      <c r="O459" s="4">
        <f t="shared" si="15"/>
        <v>0.11357428607200001</v>
      </c>
      <c r="P459">
        <v>100</v>
      </c>
      <c r="Q459">
        <v>3</v>
      </c>
      <c r="R459">
        <v>2.8</v>
      </c>
      <c r="S459">
        <v>2</v>
      </c>
      <c r="T459">
        <v>2.8</v>
      </c>
      <c r="U459">
        <v>2</v>
      </c>
      <c r="V459" t="s">
        <v>30</v>
      </c>
    </row>
    <row r="460" spans="1:22" x14ac:dyDescent="0.25">
      <c r="A460" t="s">
        <v>83</v>
      </c>
      <c r="B460">
        <v>2</v>
      </c>
      <c r="C460" t="s">
        <v>71</v>
      </c>
      <c r="D460" t="s">
        <v>84</v>
      </c>
      <c r="E460" t="s">
        <v>85</v>
      </c>
      <c r="F460">
        <v>220</v>
      </c>
      <c r="G460">
        <v>1050</v>
      </c>
      <c r="H460">
        <v>-2</v>
      </c>
      <c r="I460">
        <v>1983</v>
      </c>
      <c r="J460" t="s">
        <v>59</v>
      </c>
      <c r="K460">
        <v>1482</v>
      </c>
      <c r="L460">
        <v>21.8</v>
      </c>
      <c r="M460">
        <v>8.52</v>
      </c>
      <c r="N460" s="4">
        <f t="shared" si="14"/>
        <v>3.730634E-2</v>
      </c>
      <c r="O460" s="4">
        <f t="shared" si="15"/>
        <v>0.31785001679999997</v>
      </c>
      <c r="P460">
        <v>100</v>
      </c>
      <c r="Q460">
        <v>2</v>
      </c>
      <c r="R460">
        <v>3</v>
      </c>
      <c r="S460">
        <v>3</v>
      </c>
      <c r="T460">
        <v>3</v>
      </c>
      <c r="U460">
        <v>3</v>
      </c>
      <c r="V460" t="s">
        <v>50</v>
      </c>
    </row>
    <row r="461" spans="1:22" x14ac:dyDescent="0.25">
      <c r="A461" t="s">
        <v>83</v>
      </c>
      <c r="B461">
        <v>2</v>
      </c>
      <c r="C461" t="s">
        <v>71</v>
      </c>
      <c r="D461" t="s">
        <v>84</v>
      </c>
      <c r="E461" t="s">
        <v>85</v>
      </c>
      <c r="F461">
        <v>220</v>
      </c>
      <c r="G461">
        <v>1050</v>
      </c>
      <c r="H461">
        <v>-2</v>
      </c>
      <c r="I461">
        <v>1983</v>
      </c>
      <c r="J461" t="s">
        <v>59</v>
      </c>
      <c r="K461">
        <v>2548</v>
      </c>
      <c r="L461">
        <v>13.7</v>
      </c>
      <c r="M461">
        <v>5.35</v>
      </c>
      <c r="N461" s="4">
        <f t="shared" si="14"/>
        <v>1.4733664999999996E-2</v>
      </c>
      <c r="O461" s="4">
        <f t="shared" si="15"/>
        <v>7.882510774999997E-2</v>
      </c>
      <c r="P461">
        <v>88</v>
      </c>
      <c r="Q461">
        <v>4</v>
      </c>
      <c r="R461">
        <v>3</v>
      </c>
      <c r="S461">
        <v>2</v>
      </c>
      <c r="T461">
        <v>3</v>
      </c>
      <c r="U461">
        <v>1.5</v>
      </c>
      <c r="V461" t="s">
        <v>25</v>
      </c>
    </row>
    <row r="462" spans="1:22" x14ac:dyDescent="0.25">
      <c r="A462" t="s">
        <v>83</v>
      </c>
      <c r="B462">
        <v>2</v>
      </c>
      <c r="C462" t="s">
        <v>71</v>
      </c>
      <c r="D462" t="s">
        <v>84</v>
      </c>
      <c r="E462" t="s">
        <v>85</v>
      </c>
      <c r="F462">
        <v>220</v>
      </c>
      <c r="G462">
        <v>1050</v>
      </c>
      <c r="H462">
        <v>-2</v>
      </c>
      <c r="I462">
        <v>1983</v>
      </c>
      <c r="J462" t="s">
        <v>32</v>
      </c>
      <c r="K462">
        <v>1596</v>
      </c>
      <c r="L462">
        <v>10.97</v>
      </c>
      <c r="M462">
        <v>5.2</v>
      </c>
      <c r="N462" s="4">
        <f t="shared" si="14"/>
        <v>9.4467606500000002E-3</v>
      </c>
      <c r="O462" s="4">
        <f t="shared" si="15"/>
        <v>4.9123155380000005E-2</v>
      </c>
      <c r="P462">
        <v>50</v>
      </c>
      <c r="Q462">
        <v>3.3</v>
      </c>
      <c r="R462">
        <v>3</v>
      </c>
      <c r="S462">
        <v>3.3</v>
      </c>
      <c r="T462">
        <v>4</v>
      </c>
      <c r="U462">
        <v>3.5</v>
      </c>
      <c r="V462" t="s">
        <v>25</v>
      </c>
    </row>
    <row r="463" spans="1:22" x14ac:dyDescent="0.25">
      <c r="A463" t="s">
        <v>83</v>
      </c>
      <c r="B463">
        <v>2</v>
      </c>
      <c r="C463" t="s">
        <v>71</v>
      </c>
      <c r="D463" t="s">
        <v>84</v>
      </c>
      <c r="E463" t="s">
        <v>85</v>
      </c>
      <c r="F463">
        <v>220</v>
      </c>
      <c r="G463">
        <v>1050</v>
      </c>
      <c r="H463">
        <v>-2</v>
      </c>
      <c r="I463">
        <v>1983</v>
      </c>
      <c r="J463" t="s">
        <v>32</v>
      </c>
      <c r="K463">
        <v>2569</v>
      </c>
      <c r="L463">
        <v>20.86</v>
      </c>
      <c r="M463">
        <v>9.89</v>
      </c>
      <c r="N463" s="4">
        <f t="shared" si="14"/>
        <v>3.4158458600000004E-2</v>
      </c>
      <c r="O463" s="4">
        <f t="shared" si="15"/>
        <v>0.33782715555400006</v>
      </c>
      <c r="P463">
        <v>25</v>
      </c>
      <c r="Q463">
        <v>1.5</v>
      </c>
      <c r="R463">
        <v>3</v>
      </c>
      <c r="S463">
        <v>3</v>
      </c>
      <c r="T463">
        <v>3</v>
      </c>
      <c r="U463">
        <v>3</v>
      </c>
      <c r="V463" t="s">
        <v>50</v>
      </c>
    </row>
    <row r="464" spans="1:22" x14ac:dyDescent="0.25">
      <c r="A464" t="s">
        <v>83</v>
      </c>
      <c r="B464">
        <v>2</v>
      </c>
      <c r="C464" t="s">
        <v>71</v>
      </c>
      <c r="D464" t="s">
        <v>84</v>
      </c>
      <c r="E464" t="s">
        <v>85</v>
      </c>
      <c r="F464">
        <v>220</v>
      </c>
      <c r="G464">
        <v>1050</v>
      </c>
      <c r="H464">
        <v>-2</v>
      </c>
      <c r="I464">
        <v>1983</v>
      </c>
      <c r="J464" t="s">
        <v>33</v>
      </c>
      <c r="K464">
        <v>2547</v>
      </c>
      <c r="L464">
        <v>20.309999999999999</v>
      </c>
      <c r="M464">
        <v>9.27</v>
      </c>
      <c r="N464" s="4">
        <f t="shared" si="14"/>
        <v>3.2380943849999996E-2</v>
      </c>
      <c r="O464" s="4">
        <f t="shared" si="15"/>
        <v>0.30017134948949997</v>
      </c>
      <c r="P464">
        <v>100</v>
      </c>
      <c r="Q464">
        <v>4</v>
      </c>
      <c r="R464">
        <v>2.5</v>
      </c>
      <c r="S464">
        <v>2.8</v>
      </c>
      <c r="T464">
        <v>2.5</v>
      </c>
      <c r="U464">
        <v>2.5</v>
      </c>
      <c r="V464" t="s">
        <v>25</v>
      </c>
    </row>
    <row r="465" spans="1:22" x14ac:dyDescent="0.25">
      <c r="A465" t="s">
        <v>83</v>
      </c>
      <c r="B465">
        <v>2</v>
      </c>
      <c r="C465" t="s">
        <v>71</v>
      </c>
      <c r="D465" t="s">
        <v>84</v>
      </c>
      <c r="E465" t="s">
        <v>85</v>
      </c>
      <c r="F465">
        <v>220</v>
      </c>
      <c r="G465">
        <v>1050</v>
      </c>
      <c r="H465">
        <v>-2</v>
      </c>
      <c r="I465">
        <v>1983</v>
      </c>
      <c r="J465" t="s">
        <v>33</v>
      </c>
      <c r="K465">
        <v>2568</v>
      </c>
      <c r="L465">
        <v>20.29</v>
      </c>
      <c r="M465">
        <v>9.27</v>
      </c>
      <c r="N465" s="4">
        <f t="shared" si="14"/>
        <v>3.2317201849999998E-2</v>
      </c>
      <c r="O465" s="4">
        <f t="shared" si="15"/>
        <v>0.29958046114949999</v>
      </c>
      <c r="P465">
        <v>88</v>
      </c>
      <c r="Q465">
        <v>2</v>
      </c>
      <c r="R465">
        <v>2.5</v>
      </c>
      <c r="S465">
        <v>3</v>
      </c>
      <c r="T465">
        <v>3</v>
      </c>
      <c r="U465">
        <v>2</v>
      </c>
      <c r="V465" t="s">
        <v>30</v>
      </c>
    </row>
    <row r="466" spans="1:22" x14ac:dyDescent="0.25">
      <c r="A466" t="s">
        <v>83</v>
      </c>
      <c r="B466">
        <v>2</v>
      </c>
      <c r="C466" t="s">
        <v>71</v>
      </c>
      <c r="D466" t="s">
        <v>84</v>
      </c>
      <c r="E466" t="s">
        <v>85</v>
      </c>
      <c r="F466">
        <v>220</v>
      </c>
      <c r="G466">
        <v>1050</v>
      </c>
      <c r="H466">
        <v>-2</v>
      </c>
      <c r="I466">
        <v>1983</v>
      </c>
      <c r="J466" t="s">
        <v>34</v>
      </c>
      <c r="K466">
        <v>1522</v>
      </c>
      <c r="L466">
        <v>7.6</v>
      </c>
      <c r="M466">
        <v>3.76</v>
      </c>
      <c r="N466" s="4">
        <f t="shared" si="14"/>
        <v>4.5341599999999998E-3</v>
      </c>
      <c r="O466" s="4">
        <f t="shared" si="15"/>
        <v>1.7048441599999999E-2</v>
      </c>
      <c r="P466">
        <v>63</v>
      </c>
      <c r="Q466">
        <v>2</v>
      </c>
      <c r="R466">
        <v>3</v>
      </c>
      <c r="S466">
        <v>3</v>
      </c>
      <c r="T466">
        <v>3</v>
      </c>
      <c r="U466">
        <v>3</v>
      </c>
      <c r="V466" t="s">
        <v>50</v>
      </c>
    </row>
    <row r="467" spans="1:22" x14ac:dyDescent="0.25">
      <c r="A467" t="s">
        <v>83</v>
      </c>
      <c r="B467">
        <v>2</v>
      </c>
      <c r="C467" t="s">
        <v>71</v>
      </c>
      <c r="D467" t="s">
        <v>84</v>
      </c>
      <c r="E467" t="s">
        <v>85</v>
      </c>
      <c r="F467">
        <v>220</v>
      </c>
      <c r="G467">
        <v>1050</v>
      </c>
      <c r="H467">
        <v>-2</v>
      </c>
      <c r="I467">
        <v>1983</v>
      </c>
      <c r="J467" t="s">
        <v>34</v>
      </c>
      <c r="K467">
        <v>2570</v>
      </c>
      <c r="L467">
        <v>19.010000000000002</v>
      </c>
      <c r="M467">
        <v>9.41</v>
      </c>
      <c r="N467" s="4">
        <f t="shared" si="14"/>
        <v>2.8368337850000005E-2</v>
      </c>
      <c r="O467" s="4">
        <f t="shared" si="15"/>
        <v>0.26694605916850006</v>
      </c>
      <c r="P467">
        <v>75</v>
      </c>
      <c r="Q467">
        <v>3.5</v>
      </c>
      <c r="R467">
        <v>3</v>
      </c>
      <c r="S467">
        <v>3.5</v>
      </c>
      <c r="T467">
        <v>3.5</v>
      </c>
      <c r="U467">
        <v>3.5</v>
      </c>
      <c r="V467" t="s">
        <v>25</v>
      </c>
    </row>
    <row r="468" spans="1:22" x14ac:dyDescent="0.25">
      <c r="A468" t="s">
        <v>83</v>
      </c>
      <c r="B468">
        <v>2</v>
      </c>
      <c r="C468" t="s">
        <v>71</v>
      </c>
      <c r="D468" t="s">
        <v>84</v>
      </c>
      <c r="E468" t="s">
        <v>85</v>
      </c>
      <c r="F468">
        <v>220</v>
      </c>
      <c r="G468">
        <v>1050</v>
      </c>
      <c r="H468">
        <v>-2</v>
      </c>
      <c r="I468">
        <v>1983</v>
      </c>
      <c r="J468" t="s">
        <v>35</v>
      </c>
      <c r="K468">
        <v>2571</v>
      </c>
      <c r="L468">
        <v>16.149999999999999</v>
      </c>
      <c r="M468">
        <v>6.19</v>
      </c>
      <c r="N468" s="4">
        <f t="shared" si="14"/>
        <v>2.0474566249999993E-2</v>
      </c>
      <c r="O468" s="4">
        <f t="shared" si="15"/>
        <v>0.12673756508749995</v>
      </c>
      <c r="P468">
        <v>100</v>
      </c>
      <c r="Q468">
        <v>3</v>
      </c>
      <c r="R468">
        <v>2.2999999999999998</v>
      </c>
      <c r="S468">
        <v>3</v>
      </c>
      <c r="T468">
        <v>4</v>
      </c>
      <c r="U468">
        <v>4</v>
      </c>
      <c r="V468" t="s">
        <v>25</v>
      </c>
    </row>
    <row r="469" spans="1:22" x14ac:dyDescent="0.25">
      <c r="A469" t="s">
        <v>83</v>
      </c>
      <c r="B469">
        <v>2</v>
      </c>
      <c r="C469" t="s">
        <v>71</v>
      </c>
      <c r="D469" t="s">
        <v>84</v>
      </c>
      <c r="E469" t="s">
        <v>85</v>
      </c>
      <c r="F469">
        <v>220</v>
      </c>
      <c r="G469">
        <v>1050</v>
      </c>
      <c r="H469">
        <v>-2</v>
      </c>
      <c r="I469">
        <v>1983</v>
      </c>
      <c r="J469" t="s">
        <v>81</v>
      </c>
      <c r="K469">
        <v>2750</v>
      </c>
      <c r="L469">
        <v>14.5</v>
      </c>
      <c r="M469">
        <v>8.17</v>
      </c>
      <c r="N469" s="4">
        <f t="shared" si="14"/>
        <v>1.6504624999999998E-2</v>
      </c>
      <c r="O469" s="4">
        <f t="shared" si="15"/>
        <v>0.13484278624999999</v>
      </c>
      <c r="P469">
        <v>88</v>
      </c>
      <c r="Q469">
        <v>1</v>
      </c>
      <c r="R469">
        <v>3</v>
      </c>
      <c r="S469">
        <v>3</v>
      </c>
      <c r="T469">
        <v>3</v>
      </c>
      <c r="U469">
        <v>3</v>
      </c>
      <c r="V469" t="s">
        <v>50</v>
      </c>
    </row>
    <row r="470" spans="1:22" x14ac:dyDescent="0.25">
      <c r="A470" t="s">
        <v>83</v>
      </c>
      <c r="B470">
        <v>2</v>
      </c>
      <c r="C470" t="s">
        <v>71</v>
      </c>
      <c r="D470" t="s">
        <v>84</v>
      </c>
      <c r="E470" t="s">
        <v>85</v>
      </c>
      <c r="F470">
        <v>220</v>
      </c>
      <c r="G470">
        <v>1050</v>
      </c>
      <c r="H470">
        <v>-2</v>
      </c>
      <c r="I470">
        <v>1983</v>
      </c>
      <c r="J470" t="s">
        <v>62</v>
      </c>
      <c r="K470">
        <v>2553</v>
      </c>
      <c r="L470">
        <v>11.28</v>
      </c>
      <c r="M470">
        <v>6.41</v>
      </c>
      <c r="N470" s="4">
        <f t="shared" si="14"/>
        <v>9.9882144000000006E-3</v>
      </c>
      <c r="O470" s="4">
        <f t="shared" si="15"/>
        <v>6.4024454304E-2</v>
      </c>
      <c r="P470">
        <v>50</v>
      </c>
      <c r="Q470">
        <v>4</v>
      </c>
      <c r="R470">
        <v>3.5</v>
      </c>
      <c r="S470">
        <v>3.5</v>
      </c>
      <c r="T470">
        <v>3.5</v>
      </c>
      <c r="U470">
        <v>3</v>
      </c>
      <c r="V470" t="s">
        <v>25</v>
      </c>
    </row>
    <row r="471" spans="1:22" x14ac:dyDescent="0.25">
      <c r="A471" t="s">
        <v>83</v>
      </c>
      <c r="B471">
        <v>2</v>
      </c>
      <c r="C471" t="s">
        <v>71</v>
      </c>
      <c r="D471" t="s">
        <v>84</v>
      </c>
      <c r="E471" t="s">
        <v>85</v>
      </c>
      <c r="F471">
        <v>220</v>
      </c>
      <c r="G471">
        <v>1050</v>
      </c>
      <c r="H471">
        <v>-2</v>
      </c>
      <c r="I471">
        <v>1983</v>
      </c>
      <c r="J471" t="s">
        <v>37</v>
      </c>
      <c r="K471">
        <v>2575</v>
      </c>
      <c r="L471">
        <v>13.31</v>
      </c>
      <c r="M471">
        <v>8.75</v>
      </c>
      <c r="N471" s="4">
        <f t="shared" si="14"/>
        <v>1.390675385E-2</v>
      </c>
      <c r="O471" s="4">
        <f t="shared" si="15"/>
        <v>0.12168409618750001</v>
      </c>
      <c r="P471">
        <v>75</v>
      </c>
      <c r="Q471">
        <v>2.8</v>
      </c>
      <c r="R471">
        <v>3</v>
      </c>
      <c r="S471">
        <v>2.5</v>
      </c>
      <c r="T471">
        <v>3</v>
      </c>
      <c r="U471">
        <v>2.5</v>
      </c>
      <c r="V471" t="s">
        <v>30</v>
      </c>
    </row>
    <row r="472" spans="1:22" x14ac:dyDescent="0.25">
      <c r="A472" t="s">
        <v>83</v>
      </c>
      <c r="B472">
        <v>2</v>
      </c>
      <c r="C472" t="s">
        <v>71</v>
      </c>
      <c r="D472" t="s">
        <v>84</v>
      </c>
      <c r="E472" t="s">
        <v>85</v>
      </c>
      <c r="F472">
        <v>220</v>
      </c>
      <c r="G472">
        <v>1050</v>
      </c>
      <c r="H472">
        <v>-2</v>
      </c>
      <c r="I472">
        <v>1983</v>
      </c>
      <c r="J472" t="s">
        <v>26</v>
      </c>
      <c r="K472">
        <v>2552</v>
      </c>
      <c r="L472">
        <v>14.89</v>
      </c>
      <c r="M472">
        <v>7.56</v>
      </c>
      <c r="N472" s="4">
        <f t="shared" si="14"/>
        <v>1.7404399850000002E-2</v>
      </c>
      <c r="O472" s="4">
        <f t="shared" si="15"/>
        <v>0.13157726286599999</v>
      </c>
      <c r="P472">
        <v>50</v>
      </c>
      <c r="Q472">
        <v>4</v>
      </c>
      <c r="R472">
        <v>4</v>
      </c>
      <c r="S472">
        <v>2</v>
      </c>
      <c r="T472">
        <v>3</v>
      </c>
      <c r="U472">
        <v>2</v>
      </c>
      <c r="V472" t="s">
        <v>25</v>
      </c>
    </row>
    <row r="473" spans="1:22" x14ac:dyDescent="0.25">
      <c r="A473" t="s">
        <v>83</v>
      </c>
      <c r="B473">
        <v>3</v>
      </c>
      <c r="C473" t="s">
        <v>71</v>
      </c>
      <c r="D473" t="s">
        <v>84</v>
      </c>
      <c r="E473" t="s">
        <v>85</v>
      </c>
      <c r="F473">
        <v>220</v>
      </c>
      <c r="G473">
        <v>1050</v>
      </c>
      <c r="H473">
        <v>-2</v>
      </c>
      <c r="I473">
        <v>1983</v>
      </c>
      <c r="J473" t="s">
        <v>76</v>
      </c>
      <c r="K473">
        <v>1592</v>
      </c>
      <c r="L473">
        <v>19.34</v>
      </c>
      <c r="M473">
        <v>8.3000000000000007</v>
      </c>
      <c r="N473" s="4">
        <f t="shared" si="14"/>
        <v>2.9361794599999998E-2</v>
      </c>
      <c r="O473" s="4">
        <f t="shared" si="15"/>
        <v>0.24370289517999999</v>
      </c>
      <c r="P473">
        <v>100</v>
      </c>
      <c r="Q473">
        <v>3.5</v>
      </c>
      <c r="R473">
        <v>3.5</v>
      </c>
      <c r="S473">
        <v>2.5</v>
      </c>
      <c r="T473">
        <v>3.5</v>
      </c>
      <c r="U473">
        <v>2.5</v>
      </c>
      <c r="V473" t="s">
        <v>25</v>
      </c>
    </row>
    <row r="474" spans="1:22" x14ac:dyDescent="0.25">
      <c r="A474" t="s">
        <v>83</v>
      </c>
      <c r="B474">
        <v>3</v>
      </c>
      <c r="C474" t="s">
        <v>71</v>
      </c>
      <c r="D474" t="s">
        <v>84</v>
      </c>
      <c r="E474" t="s">
        <v>85</v>
      </c>
      <c r="F474">
        <v>220</v>
      </c>
      <c r="G474">
        <v>1050</v>
      </c>
      <c r="H474">
        <v>-2</v>
      </c>
      <c r="I474">
        <v>1983</v>
      </c>
      <c r="J474" t="s">
        <v>76</v>
      </c>
      <c r="K474">
        <v>2560</v>
      </c>
      <c r="L474">
        <v>21.27</v>
      </c>
      <c r="M474">
        <v>9.1300000000000008</v>
      </c>
      <c r="N474" s="4">
        <f t="shared" si="14"/>
        <v>3.5514412650000007E-2</v>
      </c>
      <c r="O474" s="4">
        <f t="shared" si="15"/>
        <v>0.32424658749450008</v>
      </c>
      <c r="P474">
        <v>88</v>
      </c>
      <c r="Q474">
        <v>3.3</v>
      </c>
      <c r="R474">
        <v>3.5</v>
      </c>
      <c r="S474">
        <v>2.5</v>
      </c>
      <c r="T474">
        <v>3.3</v>
      </c>
      <c r="U474">
        <v>3</v>
      </c>
      <c r="V474" t="s">
        <v>25</v>
      </c>
    </row>
    <row r="475" spans="1:22" x14ac:dyDescent="0.25">
      <c r="A475" t="s">
        <v>83</v>
      </c>
      <c r="B475">
        <v>3</v>
      </c>
      <c r="C475" t="s">
        <v>71</v>
      </c>
      <c r="D475" t="s">
        <v>84</v>
      </c>
      <c r="E475" t="s">
        <v>85</v>
      </c>
      <c r="F475">
        <v>220</v>
      </c>
      <c r="G475">
        <v>1050</v>
      </c>
      <c r="H475">
        <v>-2</v>
      </c>
      <c r="I475">
        <v>1983</v>
      </c>
      <c r="J475" t="s">
        <v>24</v>
      </c>
      <c r="K475">
        <v>2562</v>
      </c>
      <c r="L475">
        <v>17.62</v>
      </c>
      <c r="M475">
        <v>9.9</v>
      </c>
      <c r="N475" s="4">
        <f t="shared" si="14"/>
        <v>2.4371455400000009E-2</v>
      </c>
      <c r="O475" s="4">
        <f t="shared" si="15"/>
        <v>0.24127740846000009</v>
      </c>
      <c r="P475">
        <v>100</v>
      </c>
      <c r="Q475">
        <v>3.5</v>
      </c>
      <c r="R475">
        <v>3</v>
      </c>
      <c r="S475">
        <v>3</v>
      </c>
      <c r="T475">
        <v>3.3</v>
      </c>
      <c r="U475">
        <v>3.3</v>
      </c>
      <c r="V475" t="s">
        <v>25</v>
      </c>
    </row>
    <row r="476" spans="1:22" x14ac:dyDescent="0.25">
      <c r="A476" t="s">
        <v>83</v>
      </c>
      <c r="B476">
        <v>3</v>
      </c>
      <c r="C476" t="s">
        <v>71</v>
      </c>
      <c r="D476" t="s">
        <v>84</v>
      </c>
      <c r="E476" t="s">
        <v>85</v>
      </c>
      <c r="F476">
        <v>220</v>
      </c>
      <c r="G476">
        <v>1050</v>
      </c>
      <c r="H476">
        <v>-2</v>
      </c>
      <c r="I476">
        <v>1983</v>
      </c>
      <c r="J476" t="s">
        <v>80</v>
      </c>
      <c r="K476">
        <v>1252</v>
      </c>
      <c r="L476">
        <v>10.36</v>
      </c>
      <c r="M476">
        <v>7.54</v>
      </c>
      <c r="N476" s="4">
        <f t="shared" si="14"/>
        <v>8.425373600000001E-3</v>
      </c>
      <c r="O476" s="4">
        <f t="shared" si="15"/>
        <v>6.3527316944000004E-2</v>
      </c>
      <c r="P476">
        <v>100</v>
      </c>
      <c r="Q476">
        <v>2.7</v>
      </c>
      <c r="R476">
        <v>3</v>
      </c>
      <c r="S476">
        <v>2</v>
      </c>
      <c r="T476">
        <v>2</v>
      </c>
      <c r="U476">
        <v>2</v>
      </c>
      <c r="V476" t="s">
        <v>30</v>
      </c>
    </row>
    <row r="477" spans="1:22" x14ac:dyDescent="0.25">
      <c r="A477" t="s">
        <v>83</v>
      </c>
      <c r="B477">
        <v>3</v>
      </c>
      <c r="C477" t="s">
        <v>71</v>
      </c>
      <c r="D477" t="s">
        <v>84</v>
      </c>
      <c r="E477" t="s">
        <v>85</v>
      </c>
      <c r="F477">
        <v>220</v>
      </c>
      <c r="G477">
        <v>1050</v>
      </c>
      <c r="H477">
        <v>-2</v>
      </c>
      <c r="I477">
        <v>1983</v>
      </c>
      <c r="J477" t="s">
        <v>59</v>
      </c>
      <c r="K477">
        <v>1482</v>
      </c>
      <c r="L477">
        <v>22.38</v>
      </c>
      <c r="M477">
        <v>8.74</v>
      </c>
      <c r="N477" s="4">
        <f t="shared" si="14"/>
        <v>3.9317855400000004E-2</v>
      </c>
      <c r="O477" s="4">
        <f t="shared" si="15"/>
        <v>0.34363805619600002</v>
      </c>
      <c r="P477">
        <v>100</v>
      </c>
      <c r="Q477">
        <v>3.7</v>
      </c>
      <c r="R477">
        <v>3</v>
      </c>
      <c r="S477">
        <v>3.2</v>
      </c>
      <c r="T477">
        <v>3.3</v>
      </c>
      <c r="U477">
        <v>2.6</v>
      </c>
      <c r="V477" t="s">
        <v>25</v>
      </c>
    </row>
    <row r="478" spans="1:22" x14ac:dyDescent="0.25">
      <c r="A478" t="s">
        <v>83</v>
      </c>
      <c r="B478">
        <v>3</v>
      </c>
      <c r="C478" t="s">
        <v>71</v>
      </c>
      <c r="D478" t="s">
        <v>84</v>
      </c>
      <c r="E478" t="s">
        <v>85</v>
      </c>
      <c r="F478">
        <v>220</v>
      </c>
      <c r="G478">
        <v>1050</v>
      </c>
      <c r="H478">
        <v>-2</v>
      </c>
      <c r="I478">
        <v>1983</v>
      </c>
      <c r="J478" t="s">
        <v>59</v>
      </c>
      <c r="K478">
        <v>2548</v>
      </c>
      <c r="L478">
        <v>6.34</v>
      </c>
      <c r="M478">
        <v>3.65</v>
      </c>
      <c r="N478" s="4">
        <f t="shared" si="14"/>
        <v>3.1553546000000002E-3</v>
      </c>
      <c r="O478" s="4">
        <f t="shared" si="15"/>
        <v>1.151704429E-2</v>
      </c>
      <c r="P478">
        <v>100</v>
      </c>
      <c r="Q478">
        <v>3</v>
      </c>
      <c r="R478">
        <v>3</v>
      </c>
      <c r="S478">
        <v>2</v>
      </c>
      <c r="T478">
        <v>2.5</v>
      </c>
      <c r="U478">
        <v>2.5</v>
      </c>
      <c r="V478" t="s">
        <v>30</v>
      </c>
    </row>
    <row r="479" spans="1:22" x14ac:dyDescent="0.25">
      <c r="A479" t="s">
        <v>83</v>
      </c>
      <c r="B479">
        <v>3</v>
      </c>
      <c r="C479" t="s">
        <v>71</v>
      </c>
      <c r="D479" t="s">
        <v>84</v>
      </c>
      <c r="E479" t="s">
        <v>85</v>
      </c>
      <c r="F479">
        <v>220</v>
      </c>
      <c r="G479">
        <v>1050</v>
      </c>
      <c r="H479">
        <v>-2</v>
      </c>
      <c r="I479">
        <v>1983</v>
      </c>
      <c r="J479" t="s">
        <v>32</v>
      </c>
      <c r="K479">
        <v>1596</v>
      </c>
      <c r="L479">
        <v>14.77</v>
      </c>
      <c r="M479">
        <v>7</v>
      </c>
      <c r="N479" s="4">
        <f t="shared" si="14"/>
        <v>1.7125002650000002E-2</v>
      </c>
      <c r="O479" s="4">
        <f t="shared" si="15"/>
        <v>0.11987501855000002</v>
      </c>
      <c r="P479">
        <v>100</v>
      </c>
      <c r="Q479">
        <v>3</v>
      </c>
      <c r="R479">
        <v>4</v>
      </c>
      <c r="S479">
        <v>2</v>
      </c>
      <c r="T479">
        <v>3.5</v>
      </c>
      <c r="U479">
        <v>3</v>
      </c>
      <c r="V479" t="s">
        <v>25</v>
      </c>
    </row>
    <row r="480" spans="1:22" x14ac:dyDescent="0.25">
      <c r="A480" t="s">
        <v>83</v>
      </c>
      <c r="B480">
        <v>3</v>
      </c>
      <c r="C480" t="s">
        <v>71</v>
      </c>
      <c r="D480" t="s">
        <v>84</v>
      </c>
      <c r="E480" t="s">
        <v>85</v>
      </c>
      <c r="F480">
        <v>220</v>
      </c>
      <c r="G480">
        <v>1050</v>
      </c>
      <c r="H480">
        <v>-2</v>
      </c>
      <c r="I480">
        <v>1983</v>
      </c>
      <c r="J480" t="s">
        <v>32</v>
      </c>
      <c r="K480">
        <v>2569</v>
      </c>
      <c r="L480">
        <v>10.11</v>
      </c>
      <c r="M480">
        <v>4.79</v>
      </c>
      <c r="N480" s="4">
        <f t="shared" si="14"/>
        <v>8.02364985E-3</v>
      </c>
      <c r="O480" s="4">
        <f t="shared" si="15"/>
        <v>3.8433282781500003E-2</v>
      </c>
      <c r="P480">
        <v>100</v>
      </c>
      <c r="Q480">
        <v>2.7</v>
      </c>
      <c r="R480">
        <v>3.5</v>
      </c>
      <c r="S480">
        <v>2.8</v>
      </c>
      <c r="T480">
        <v>4</v>
      </c>
      <c r="U480">
        <v>4</v>
      </c>
      <c r="V480" t="s">
        <v>25</v>
      </c>
    </row>
    <row r="481" spans="1:22" x14ac:dyDescent="0.25">
      <c r="A481" t="s">
        <v>83</v>
      </c>
      <c r="B481">
        <v>3</v>
      </c>
      <c r="C481" t="s">
        <v>71</v>
      </c>
      <c r="D481" t="s">
        <v>84</v>
      </c>
      <c r="E481" t="s">
        <v>85</v>
      </c>
      <c r="F481">
        <v>220</v>
      </c>
      <c r="G481">
        <v>1050</v>
      </c>
      <c r="H481">
        <v>-2</v>
      </c>
      <c r="I481">
        <v>1983</v>
      </c>
      <c r="J481" t="s">
        <v>33</v>
      </c>
      <c r="K481">
        <v>2547</v>
      </c>
      <c r="L481">
        <v>18.16</v>
      </c>
      <c r="M481">
        <v>8.2899999999999991</v>
      </c>
      <c r="N481" s="4">
        <f t="shared" si="14"/>
        <v>2.5888169600000004E-2</v>
      </c>
      <c r="O481" s="4">
        <f t="shared" si="15"/>
        <v>0.214612925984</v>
      </c>
      <c r="P481">
        <v>75</v>
      </c>
      <c r="Q481">
        <v>4</v>
      </c>
      <c r="R481">
        <v>2.2999999999999998</v>
      </c>
      <c r="S481">
        <v>3.3</v>
      </c>
      <c r="T481">
        <v>3.3</v>
      </c>
      <c r="U481">
        <v>3</v>
      </c>
      <c r="V481" t="s">
        <v>25</v>
      </c>
    </row>
    <row r="482" spans="1:22" x14ac:dyDescent="0.25">
      <c r="A482" t="s">
        <v>83</v>
      </c>
      <c r="B482">
        <v>3</v>
      </c>
      <c r="C482" t="s">
        <v>71</v>
      </c>
      <c r="D482" t="s">
        <v>84</v>
      </c>
      <c r="E482" t="s">
        <v>85</v>
      </c>
      <c r="F482">
        <v>220</v>
      </c>
      <c r="G482">
        <v>1050</v>
      </c>
      <c r="H482">
        <v>-2</v>
      </c>
      <c r="I482">
        <v>1983</v>
      </c>
      <c r="J482" t="s">
        <v>33</v>
      </c>
      <c r="K482">
        <v>2568</v>
      </c>
      <c r="L482">
        <v>21.09</v>
      </c>
      <c r="M482">
        <v>9.6300000000000008</v>
      </c>
      <c r="N482" s="4">
        <f t="shared" si="14"/>
        <v>3.4915865850000005E-2</v>
      </c>
      <c r="O482" s="4">
        <f t="shared" si="15"/>
        <v>0.3362397881355001</v>
      </c>
      <c r="P482">
        <v>63</v>
      </c>
      <c r="Q482">
        <v>4</v>
      </c>
      <c r="R482">
        <v>3</v>
      </c>
      <c r="S482">
        <v>4</v>
      </c>
      <c r="T482">
        <v>3.3</v>
      </c>
      <c r="U482">
        <v>3</v>
      </c>
      <c r="V482" t="s">
        <v>25</v>
      </c>
    </row>
    <row r="483" spans="1:22" x14ac:dyDescent="0.25">
      <c r="A483" t="s">
        <v>83</v>
      </c>
      <c r="B483">
        <v>3</v>
      </c>
      <c r="C483" t="s">
        <v>71</v>
      </c>
      <c r="D483" t="s">
        <v>84</v>
      </c>
      <c r="E483" t="s">
        <v>85</v>
      </c>
      <c r="F483">
        <v>220</v>
      </c>
      <c r="G483">
        <v>1050</v>
      </c>
      <c r="H483">
        <v>-2</v>
      </c>
      <c r="I483">
        <v>1983</v>
      </c>
      <c r="J483" t="s">
        <v>34</v>
      </c>
      <c r="K483">
        <v>1522</v>
      </c>
      <c r="L483">
        <v>17.84</v>
      </c>
      <c r="M483">
        <v>8.83</v>
      </c>
      <c r="N483" s="4">
        <f t="shared" si="14"/>
        <v>2.4983849600000003E-2</v>
      </c>
      <c r="O483" s="4">
        <f t="shared" si="15"/>
        <v>0.22060739196800003</v>
      </c>
      <c r="P483">
        <v>88</v>
      </c>
      <c r="Q483">
        <v>3.5</v>
      </c>
      <c r="R483">
        <v>3</v>
      </c>
      <c r="S483">
        <v>3</v>
      </c>
      <c r="T483">
        <v>3</v>
      </c>
      <c r="U483">
        <v>2.7</v>
      </c>
      <c r="V483" t="s">
        <v>25</v>
      </c>
    </row>
    <row r="484" spans="1:22" x14ac:dyDescent="0.25">
      <c r="A484" t="s">
        <v>83</v>
      </c>
      <c r="B484">
        <v>3</v>
      </c>
      <c r="C484" t="s">
        <v>71</v>
      </c>
      <c r="D484" t="s">
        <v>84</v>
      </c>
      <c r="E484" t="s">
        <v>85</v>
      </c>
      <c r="F484">
        <v>220</v>
      </c>
      <c r="G484">
        <v>1050</v>
      </c>
      <c r="H484">
        <v>-2</v>
      </c>
      <c r="I484">
        <v>1983</v>
      </c>
      <c r="J484" t="s">
        <v>34</v>
      </c>
      <c r="K484">
        <v>2570</v>
      </c>
      <c r="L484">
        <v>18.3</v>
      </c>
      <c r="M484">
        <v>9.06</v>
      </c>
      <c r="N484" s="4">
        <f t="shared" si="14"/>
        <v>2.6288864999999998E-2</v>
      </c>
      <c r="O484" s="4">
        <f t="shared" si="15"/>
        <v>0.23817711689999999</v>
      </c>
      <c r="P484">
        <v>50</v>
      </c>
      <c r="Q484">
        <v>3.5</v>
      </c>
      <c r="R484">
        <v>3</v>
      </c>
      <c r="S484">
        <v>2.5</v>
      </c>
      <c r="T484">
        <v>3</v>
      </c>
      <c r="U484">
        <v>2.5</v>
      </c>
      <c r="V484" t="s">
        <v>38</v>
      </c>
    </row>
    <row r="485" spans="1:22" x14ac:dyDescent="0.25">
      <c r="A485" t="s">
        <v>83</v>
      </c>
      <c r="B485">
        <v>3</v>
      </c>
      <c r="C485" t="s">
        <v>71</v>
      </c>
      <c r="D485" t="s">
        <v>84</v>
      </c>
      <c r="E485" t="s">
        <v>85</v>
      </c>
      <c r="F485">
        <v>220</v>
      </c>
      <c r="G485">
        <v>1050</v>
      </c>
      <c r="H485">
        <v>-2</v>
      </c>
      <c r="I485">
        <v>1983</v>
      </c>
      <c r="J485" t="s">
        <v>35</v>
      </c>
      <c r="K485">
        <v>2571</v>
      </c>
      <c r="L485">
        <v>14.53</v>
      </c>
      <c r="M485">
        <v>5.57</v>
      </c>
      <c r="N485" s="4">
        <f t="shared" si="14"/>
        <v>1.6572990649999998E-2</v>
      </c>
      <c r="O485" s="4">
        <f t="shared" si="15"/>
        <v>9.2311557920499984E-2</v>
      </c>
      <c r="P485">
        <v>100</v>
      </c>
      <c r="Q485">
        <v>3</v>
      </c>
      <c r="R485">
        <v>2</v>
      </c>
      <c r="S485">
        <v>3</v>
      </c>
      <c r="T485">
        <v>4</v>
      </c>
      <c r="U485">
        <v>3.5</v>
      </c>
      <c r="V485" t="s">
        <v>38</v>
      </c>
    </row>
    <row r="486" spans="1:22" x14ac:dyDescent="0.25">
      <c r="A486" t="s">
        <v>83</v>
      </c>
      <c r="B486">
        <v>3</v>
      </c>
      <c r="C486" t="s">
        <v>71</v>
      </c>
      <c r="D486" t="s">
        <v>84</v>
      </c>
      <c r="E486" t="s">
        <v>85</v>
      </c>
      <c r="F486">
        <v>220</v>
      </c>
      <c r="G486">
        <v>1050</v>
      </c>
      <c r="H486">
        <v>-2</v>
      </c>
      <c r="I486">
        <v>1983</v>
      </c>
      <c r="J486" t="s">
        <v>81</v>
      </c>
      <c r="K486">
        <v>2750</v>
      </c>
      <c r="L486">
        <v>13.26</v>
      </c>
      <c r="M486">
        <v>8.94</v>
      </c>
      <c r="N486" s="4">
        <f t="shared" si="14"/>
        <v>1.38024666E-2</v>
      </c>
      <c r="O486" s="4">
        <f t="shared" si="15"/>
        <v>0.12339405140399999</v>
      </c>
      <c r="P486">
        <v>100</v>
      </c>
      <c r="Q486">
        <v>4</v>
      </c>
      <c r="R486">
        <v>4</v>
      </c>
      <c r="S486">
        <v>3</v>
      </c>
      <c r="T486">
        <v>3.5</v>
      </c>
      <c r="U486">
        <v>3.5</v>
      </c>
      <c r="V486" t="s">
        <v>25</v>
      </c>
    </row>
    <row r="487" spans="1:22" x14ac:dyDescent="0.25">
      <c r="A487" t="s">
        <v>83</v>
      </c>
      <c r="B487">
        <v>3</v>
      </c>
      <c r="C487" t="s">
        <v>71</v>
      </c>
      <c r="D487" t="s">
        <v>84</v>
      </c>
      <c r="E487" t="s">
        <v>85</v>
      </c>
      <c r="F487">
        <v>220</v>
      </c>
      <c r="G487">
        <v>1050</v>
      </c>
      <c r="H487">
        <v>-2</v>
      </c>
      <c r="I487">
        <v>1983</v>
      </c>
      <c r="J487" t="s">
        <v>62</v>
      </c>
      <c r="K487">
        <v>2553</v>
      </c>
      <c r="L487">
        <v>11.55</v>
      </c>
      <c r="M487">
        <v>6.56</v>
      </c>
      <c r="N487" s="4">
        <f t="shared" si="14"/>
        <v>1.0472096250000002E-2</v>
      </c>
      <c r="O487" s="4">
        <f t="shared" si="15"/>
        <v>6.8696951400000011E-2</v>
      </c>
      <c r="P487">
        <v>100</v>
      </c>
      <c r="Q487">
        <v>3</v>
      </c>
      <c r="R487">
        <v>2.7</v>
      </c>
      <c r="S487">
        <v>3.3</v>
      </c>
      <c r="T487">
        <v>4</v>
      </c>
      <c r="U487">
        <v>4</v>
      </c>
      <c r="V487" t="s">
        <v>25</v>
      </c>
    </row>
    <row r="488" spans="1:22" x14ac:dyDescent="0.25">
      <c r="A488" t="s">
        <v>83</v>
      </c>
      <c r="B488">
        <v>3</v>
      </c>
      <c r="C488" t="s">
        <v>71</v>
      </c>
      <c r="D488" t="s">
        <v>84</v>
      </c>
      <c r="E488" t="s">
        <v>85</v>
      </c>
      <c r="F488">
        <v>220</v>
      </c>
      <c r="G488">
        <v>1050</v>
      </c>
      <c r="H488">
        <v>-2</v>
      </c>
      <c r="I488">
        <v>1983</v>
      </c>
      <c r="J488" t="s">
        <v>37</v>
      </c>
      <c r="K488">
        <v>2575</v>
      </c>
      <c r="L488">
        <v>15.93</v>
      </c>
      <c r="M488">
        <v>9.1</v>
      </c>
      <c r="N488" s="4">
        <f t="shared" si="14"/>
        <v>1.992054465E-2</v>
      </c>
      <c r="O488" s="4">
        <f t="shared" si="15"/>
        <v>0.18127695631499999</v>
      </c>
      <c r="P488">
        <v>88</v>
      </c>
      <c r="Q488">
        <v>3</v>
      </c>
      <c r="R488">
        <v>3</v>
      </c>
      <c r="S488">
        <v>2</v>
      </c>
      <c r="T488">
        <v>2.5</v>
      </c>
      <c r="U488">
        <v>2.5</v>
      </c>
      <c r="V488" t="s">
        <v>30</v>
      </c>
    </row>
    <row r="489" spans="1:22" x14ac:dyDescent="0.25">
      <c r="A489" t="s">
        <v>83</v>
      </c>
      <c r="B489">
        <v>3</v>
      </c>
      <c r="C489" t="s">
        <v>71</v>
      </c>
      <c r="D489" t="s">
        <v>84</v>
      </c>
      <c r="E489" t="s">
        <v>85</v>
      </c>
      <c r="F489">
        <v>220</v>
      </c>
      <c r="G489">
        <v>1050</v>
      </c>
      <c r="H489">
        <v>-2</v>
      </c>
      <c r="I489">
        <v>1983</v>
      </c>
      <c r="J489" t="s">
        <v>26</v>
      </c>
      <c r="K489">
        <v>2552</v>
      </c>
      <c r="L489">
        <v>14.25</v>
      </c>
      <c r="M489">
        <v>7.23</v>
      </c>
      <c r="N489" s="4">
        <f t="shared" si="14"/>
        <v>1.5940406250000001E-2</v>
      </c>
      <c r="O489" s="4">
        <f t="shared" si="15"/>
        <v>0.11524913718750002</v>
      </c>
      <c r="P489">
        <v>63</v>
      </c>
      <c r="Q489">
        <v>4</v>
      </c>
      <c r="R489">
        <v>3</v>
      </c>
      <c r="S489">
        <v>3</v>
      </c>
      <c r="T489">
        <v>2.8</v>
      </c>
      <c r="U489">
        <v>2</v>
      </c>
      <c r="V489" t="s">
        <v>38</v>
      </c>
    </row>
    <row r="490" spans="1:22" x14ac:dyDescent="0.25">
      <c r="A490" t="s">
        <v>83</v>
      </c>
      <c r="B490">
        <v>3</v>
      </c>
      <c r="C490" t="s">
        <v>71</v>
      </c>
      <c r="D490" t="s">
        <v>84</v>
      </c>
      <c r="E490" t="s">
        <v>85</v>
      </c>
      <c r="F490">
        <v>220</v>
      </c>
      <c r="G490">
        <v>1050</v>
      </c>
      <c r="H490">
        <v>-2</v>
      </c>
      <c r="I490">
        <v>1983</v>
      </c>
      <c r="J490" t="s">
        <v>26</v>
      </c>
      <c r="K490">
        <v>2751</v>
      </c>
      <c r="L490">
        <v>12.35</v>
      </c>
      <c r="M490">
        <v>6.27</v>
      </c>
      <c r="N490" s="4">
        <f t="shared" si="14"/>
        <v>1.1973016250000001E-2</v>
      </c>
      <c r="O490" s="4">
        <f t="shared" si="15"/>
        <v>7.5070811887500005E-2</v>
      </c>
      <c r="P490">
        <v>71</v>
      </c>
      <c r="Q490">
        <v>4</v>
      </c>
      <c r="R490">
        <v>4</v>
      </c>
      <c r="S490">
        <v>2.5</v>
      </c>
      <c r="T490">
        <v>3.5</v>
      </c>
      <c r="U490">
        <v>2.5</v>
      </c>
      <c r="V490" t="s">
        <v>25</v>
      </c>
    </row>
    <row r="491" spans="1:22" x14ac:dyDescent="0.25">
      <c r="A491" t="s">
        <v>83</v>
      </c>
      <c r="B491">
        <v>3</v>
      </c>
      <c r="C491" t="s">
        <v>71</v>
      </c>
      <c r="D491" t="s">
        <v>84</v>
      </c>
      <c r="E491" t="s">
        <v>85</v>
      </c>
      <c r="F491">
        <v>220</v>
      </c>
      <c r="G491">
        <v>1050</v>
      </c>
      <c r="H491">
        <v>-2</v>
      </c>
      <c r="I491">
        <v>1983</v>
      </c>
      <c r="J491" t="s">
        <v>62</v>
      </c>
      <c r="K491">
        <v>2574</v>
      </c>
      <c r="L491">
        <v>7.22</v>
      </c>
      <c r="M491">
        <v>4.0999999999999996</v>
      </c>
      <c r="N491" s="4">
        <f t="shared" si="14"/>
        <v>4.0920794000000003E-3</v>
      </c>
      <c r="O491" s="4">
        <f t="shared" si="15"/>
        <v>1.6777525540000001E-2</v>
      </c>
      <c r="P491">
        <v>57</v>
      </c>
      <c r="Q491">
        <v>3</v>
      </c>
      <c r="R491">
        <v>3</v>
      </c>
      <c r="S491">
        <v>2</v>
      </c>
      <c r="T491">
        <v>3</v>
      </c>
      <c r="U491">
        <v>2</v>
      </c>
      <c r="V491" t="s">
        <v>38</v>
      </c>
    </row>
    <row r="492" spans="1:22" x14ac:dyDescent="0.25">
      <c r="A492" t="s">
        <v>86</v>
      </c>
      <c r="B492">
        <v>1</v>
      </c>
      <c r="C492" t="s">
        <v>71</v>
      </c>
      <c r="D492" t="s">
        <v>87</v>
      </c>
      <c r="E492" t="s">
        <v>88</v>
      </c>
      <c r="F492">
        <v>300</v>
      </c>
      <c r="G492">
        <v>1200</v>
      </c>
      <c r="H492">
        <v>-3</v>
      </c>
      <c r="I492">
        <v>1982</v>
      </c>
      <c r="J492" t="s">
        <v>76</v>
      </c>
      <c r="K492">
        <v>1592</v>
      </c>
      <c r="L492">
        <v>10.4</v>
      </c>
      <c r="M492">
        <v>5.77</v>
      </c>
      <c r="N492" s="4">
        <f t="shared" si="14"/>
        <v>8.4905600000000029E-3</v>
      </c>
      <c r="O492" s="4">
        <f t="shared" si="15"/>
        <v>4.8990531200000013E-2</v>
      </c>
      <c r="P492">
        <v>75</v>
      </c>
      <c r="Q492">
        <v>3</v>
      </c>
      <c r="R492">
        <v>3</v>
      </c>
      <c r="S492">
        <v>2</v>
      </c>
      <c r="T492">
        <v>3</v>
      </c>
      <c r="U492">
        <v>2</v>
      </c>
      <c r="V492" t="s">
        <v>38</v>
      </c>
    </row>
    <row r="493" spans="1:22" x14ac:dyDescent="0.25">
      <c r="A493" t="s">
        <v>86</v>
      </c>
      <c r="B493">
        <v>1</v>
      </c>
      <c r="C493" t="s">
        <v>71</v>
      </c>
      <c r="D493" t="s">
        <v>87</v>
      </c>
      <c r="E493" t="s">
        <v>88</v>
      </c>
      <c r="F493">
        <v>300</v>
      </c>
      <c r="G493">
        <v>1200</v>
      </c>
      <c r="H493">
        <v>-3</v>
      </c>
      <c r="I493">
        <v>1982</v>
      </c>
      <c r="J493" t="s">
        <v>76</v>
      </c>
      <c r="K493">
        <v>2560</v>
      </c>
      <c r="L493">
        <v>11.66</v>
      </c>
      <c r="M493">
        <v>7.27</v>
      </c>
      <c r="N493" s="4">
        <f t="shared" si="14"/>
        <v>1.06725146E-2</v>
      </c>
      <c r="O493" s="4">
        <f t="shared" si="15"/>
        <v>7.7589181142000002E-2</v>
      </c>
      <c r="P493">
        <v>100</v>
      </c>
      <c r="Q493">
        <v>3</v>
      </c>
      <c r="R493">
        <v>3</v>
      </c>
      <c r="S493">
        <v>2</v>
      </c>
      <c r="T493">
        <v>3</v>
      </c>
      <c r="U493">
        <v>2</v>
      </c>
      <c r="V493" t="s">
        <v>38</v>
      </c>
    </row>
    <row r="494" spans="1:22" x14ac:dyDescent="0.25">
      <c r="A494" t="s">
        <v>86</v>
      </c>
      <c r="B494">
        <v>1</v>
      </c>
      <c r="C494" t="s">
        <v>71</v>
      </c>
      <c r="D494" t="s">
        <v>87</v>
      </c>
      <c r="E494" t="s">
        <v>88</v>
      </c>
      <c r="F494">
        <v>300</v>
      </c>
      <c r="G494">
        <v>1200</v>
      </c>
      <c r="H494">
        <v>-3</v>
      </c>
      <c r="I494">
        <v>1982</v>
      </c>
      <c r="J494" t="s">
        <v>56</v>
      </c>
      <c r="K494">
        <v>1111</v>
      </c>
      <c r="L494">
        <v>10.99</v>
      </c>
      <c r="M494">
        <v>7.2</v>
      </c>
      <c r="N494" s="4">
        <f t="shared" si="14"/>
        <v>9.4812378500000009E-3</v>
      </c>
      <c r="O494" s="4">
        <f t="shared" si="15"/>
        <v>6.8264912520000012E-2</v>
      </c>
      <c r="P494">
        <v>100</v>
      </c>
      <c r="Q494">
        <v>2</v>
      </c>
      <c r="R494">
        <v>3</v>
      </c>
      <c r="S494">
        <v>3</v>
      </c>
      <c r="T494">
        <v>3</v>
      </c>
      <c r="U494">
        <v>3</v>
      </c>
      <c r="V494" t="s">
        <v>38</v>
      </c>
    </row>
    <row r="495" spans="1:22" x14ac:dyDescent="0.25">
      <c r="A495" t="s">
        <v>86</v>
      </c>
      <c r="B495">
        <v>1</v>
      </c>
      <c r="C495" t="s">
        <v>71</v>
      </c>
      <c r="D495" t="s">
        <v>87</v>
      </c>
      <c r="E495" t="s">
        <v>88</v>
      </c>
      <c r="F495">
        <v>300</v>
      </c>
      <c r="G495">
        <v>1200</v>
      </c>
      <c r="H495">
        <v>-3</v>
      </c>
      <c r="I495">
        <v>1982</v>
      </c>
      <c r="J495" t="s">
        <v>57</v>
      </c>
      <c r="K495">
        <v>2620</v>
      </c>
      <c r="L495">
        <v>7.87</v>
      </c>
      <c r="M495">
        <v>6.25</v>
      </c>
      <c r="N495" s="4">
        <f t="shared" si="14"/>
        <v>4.8620466500000009E-3</v>
      </c>
      <c r="O495" s="4">
        <f t="shared" si="15"/>
        <v>3.0387791562500006E-2</v>
      </c>
      <c r="P495">
        <v>100</v>
      </c>
      <c r="Q495">
        <v>3.5</v>
      </c>
      <c r="R495">
        <v>1.5</v>
      </c>
      <c r="S495">
        <v>2</v>
      </c>
      <c r="T495">
        <v>2</v>
      </c>
      <c r="U495">
        <v>2</v>
      </c>
      <c r="V495" t="s">
        <v>30</v>
      </c>
    </row>
    <row r="496" spans="1:22" x14ac:dyDescent="0.25">
      <c r="A496" t="s">
        <v>86</v>
      </c>
      <c r="B496">
        <v>1</v>
      </c>
      <c r="C496" t="s">
        <v>71</v>
      </c>
      <c r="D496" t="s">
        <v>87</v>
      </c>
      <c r="E496" t="s">
        <v>88</v>
      </c>
      <c r="F496">
        <v>300</v>
      </c>
      <c r="G496">
        <v>1200</v>
      </c>
      <c r="H496">
        <v>-3</v>
      </c>
      <c r="I496">
        <v>1982</v>
      </c>
      <c r="J496" t="s">
        <v>57</v>
      </c>
      <c r="K496">
        <v>2621</v>
      </c>
      <c r="L496">
        <v>7.64</v>
      </c>
      <c r="M496">
        <v>6.72</v>
      </c>
      <c r="N496" s="4">
        <f t="shared" si="14"/>
        <v>4.5820135999999996E-3</v>
      </c>
      <c r="O496" s="4">
        <f t="shared" si="15"/>
        <v>3.0791131391999994E-2</v>
      </c>
      <c r="P496">
        <v>100</v>
      </c>
      <c r="Q496">
        <v>3.5</v>
      </c>
      <c r="R496">
        <v>2</v>
      </c>
      <c r="S496">
        <v>2</v>
      </c>
      <c r="T496">
        <v>2</v>
      </c>
      <c r="U496">
        <v>2</v>
      </c>
      <c r="V496" t="s">
        <v>30</v>
      </c>
    </row>
    <row r="497" spans="1:22" x14ac:dyDescent="0.25">
      <c r="A497" t="s">
        <v>86</v>
      </c>
      <c r="B497">
        <v>1</v>
      </c>
      <c r="C497" t="s">
        <v>71</v>
      </c>
      <c r="D497" t="s">
        <v>87</v>
      </c>
      <c r="E497" t="s">
        <v>88</v>
      </c>
      <c r="F497">
        <v>300</v>
      </c>
      <c r="G497">
        <v>1200</v>
      </c>
      <c r="H497">
        <v>-3</v>
      </c>
      <c r="I497">
        <v>1982</v>
      </c>
      <c r="J497" t="s">
        <v>58</v>
      </c>
      <c r="K497">
        <v>2638</v>
      </c>
      <c r="L497">
        <v>1.27</v>
      </c>
      <c r="M497">
        <v>1.74</v>
      </c>
      <c r="N497" s="4">
        <f t="shared" si="14"/>
        <v>1.2661264999999999E-4</v>
      </c>
      <c r="O497" s="4">
        <f t="shared" si="15"/>
        <v>2.2030601099999998E-4</v>
      </c>
      <c r="P497">
        <v>50</v>
      </c>
      <c r="Q497">
        <v>1</v>
      </c>
      <c r="R497">
        <v>3</v>
      </c>
      <c r="S497">
        <v>2</v>
      </c>
      <c r="T497">
        <v>3</v>
      </c>
      <c r="U497">
        <v>3</v>
      </c>
      <c r="V497" t="s">
        <v>50</v>
      </c>
    </row>
    <row r="498" spans="1:22" x14ac:dyDescent="0.25">
      <c r="A498" t="s">
        <v>86</v>
      </c>
      <c r="B498">
        <v>1</v>
      </c>
      <c r="C498" t="s">
        <v>71</v>
      </c>
      <c r="D498" t="s">
        <v>87</v>
      </c>
      <c r="E498" t="s">
        <v>88</v>
      </c>
      <c r="F498">
        <v>300</v>
      </c>
      <c r="G498">
        <v>1200</v>
      </c>
      <c r="H498">
        <v>-3</v>
      </c>
      <c r="I498">
        <v>1982</v>
      </c>
      <c r="J498" t="s">
        <v>59</v>
      </c>
      <c r="K498">
        <v>2426</v>
      </c>
      <c r="L498">
        <v>11.85</v>
      </c>
      <c r="M498">
        <v>7.47</v>
      </c>
      <c r="N498" s="4">
        <f t="shared" si="14"/>
        <v>1.1023166249999999E-2</v>
      </c>
      <c r="O498" s="4">
        <f t="shared" si="15"/>
        <v>8.2343051887499991E-2</v>
      </c>
      <c r="P498">
        <v>50</v>
      </c>
      <c r="Q498">
        <v>3</v>
      </c>
      <c r="R498">
        <v>3</v>
      </c>
      <c r="S498">
        <v>4</v>
      </c>
      <c r="T498">
        <v>3</v>
      </c>
      <c r="U498">
        <v>3</v>
      </c>
      <c r="V498" t="s">
        <v>38</v>
      </c>
    </row>
    <row r="499" spans="1:22" x14ac:dyDescent="0.25">
      <c r="A499" t="s">
        <v>86</v>
      </c>
      <c r="B499">
        <v>1</v>
      </c>
      <c r="C499" t="s">
        <v>71</v>
      </c>
      <c r="D499" t="s">
        <v>87</v>
      </c>
      <c r="E499" t="s">
        <v>88</v>
      </c>
      <c r="F499">
        <v>300</v>
      </c>
      <c r="G499">
        <v>1200</v>
      </c>
      <c r="H499">
        <v>-3</v>
      </c>
      <c r="I499">
        <v>1982</v>
      </c>
      <c r="J499" t="s">
        <v>59</v>
      </c>
      <c r="K499">
        <v>1482</v>
      </c>
      <c r="L499">
        <v>6.52</v>
      </c>
      <c r="M499">
        <v>5.81</v>
      </c>
      <c r="N499" s="4">
        <f t="shared" si="14"/>
        <v>3.3370663999999998E-3</v>
      </c>
      <c r="O499" s="4">
        <f t="shared" si="15"/>
        <v>1.9388355783999996E-2</v>
      </c>
      <c r="P499">
        <v>100</v>
      </c>
      <c r="Q499">
        <v>3</v>
      </c>
      <c r="R499">
        <v>3</v>
      </c>
      <c r="S499">
        <v>3</v>
      </c>
      <c r="T499">
        <v>3</v>
      </c>
      <c r="U499">
        <v>3</v>
      </c>
      <c r="V499" t="s">
        <v>25</v>
      </c>
    </row>
    <row r="500" spans="1:22" x14ac:dyDescent="0.25">
      <c r="A500" t="s">
        <v>86</v>
      </c>
      <c r="B500">
        <v>1</v>
      </c>
      <c r="C500" t="s">
        <v>71</v>
      </c>
      <c r="D500" t="s">
        <v>87</v>
      </c>
      <c r="E500" t="s">
        <v>88</v>
      </c>
      <c r="F500">
        <v>300</v>
      </c>
      <c r="G500">
        <v>1200</v>
      </c>
      <c r="H500">
        <v>-3</v>
      </c>
      <c r="I500">
        <v>1982</v>
      </c>
      <c r="J500" t="s">
        <v>59</v>
      </c>
      <c r="K500">
        <v>2548</v>
      </c>
      <c r="L500">
        <v>7.7</v>
      </c>
      <c r="M500">
        <v>5.69</v>
      </c>
      <c r="N500" s="4">
        <f t="shared" si="14"/>
        <v>4.6542650000000003E-3</v>
      </c>
      <c r="O500" s="4">
        <f t="shared" si="15"/>
        <v>2.6482767850000005E-2</v>
      </c>
      <c r="P500">
        <v>100</v>
      </c>
      <c r="Q500">
        <v>3</v>
      </c>
      <c r="R500">
        <v>3</v>
      </c>
      <c r="S500">
        <v>4</v>
      </c>
      <c r="T500">
        <v>4</v>
      </c>
      <c r="U500">
        <v>4</v>
      </c>
      <c r="V500" t="s">
        <v>38</v>
      </c>
    </row>
    <row r="501" spans="1:22" x14ac:dyDescent="0.25">
      <c r="A501" t="s">
        <v>86</v>
      </c>
      <c r="B501">
        <v>1</v>
      </c>
      <c r="C501" t="s">
        <v>71</v>
      </c>
      <c r="D501" t="s">
        <v>87</v>
      </c>
      <c r="E501" t="s">
        <v>88</v>
      </c>
      <c r="F501">
        <v>300</v>
      </c>
      <c r="G501">
        <v>1200</v>
      </c>
      <c r="H501">
        <v>-3</v>
      </c>
      <c r="I501">
        <v>1982</v>
      </c>
      <c r="J501" t="s">
        <v>61</v>
      </c>
      <c r="K501">
        <v>1171</v>
      </c>
      <c r="L501">
        <v>10.81</v>
      </c>
      <c r="M501">
        <v>3.45</v>
      </c>
      <c r="N501" s="4">
        <f t="shared" si="14"/>
        <v>9.1732038500000005E-3</v>
      </c>
      <c r="O501" s="4">
        <f t="shared" si="15"/>
        <v>3.1647553282500004E-2</v>
      </c>
      <c r="P501">
        <v>100</v>
      </c>
      <c r="Q501">
        <v>3</v>
      </c>
      <c r="R501">
        <v>2</v>
      </c>
      <c r="S501">
        <v>1</v>
      </c>
      <c r="T501">
        <v>1</v>
      </c>
      <c r="U501">
        <v>1</v>
      </c>
      <c r="V501" t="s">
        <v>50</v>
      </c>
    </row>
    <row r="502" spans="1:22" x14ac:dyDescent="0.25">
      <c r="A502" t="s">
        <v>86</v>
      </c>
      <c r="B502">
        <v>1</v>
      </c>
      <c r="C502" t="s">
        <v>71</v>
      </c>
      <c r="D502" t="s">
        <v>87</v>
      </c>
      <c r="E502" t="s">
        <v>88</v>
      </c>
      <c r="F502">
        <v>300</v>
      </c>
      <c r="G502">
        <v>1200</v>
      </c>
      <c r="H502">
        <v>-3</v>
      </c>
      <c r="I502">
        <v>1982</v>
      </c>
      <c r="J502" t="s">
        <v>61</v>
      </c>
      <c r="K502">
        <v>2631</v>
      </c>
      <c r="L502">
        <v>17.829999999999998</v>
      </c>
      <c r="M502">
        <v>6.56</v>
      </c>
      <c r="N502" s="4">
        <f t="shared" si="14"/>
        <v>2.4955848649999997E-2</v>
      </c>
      <c r="O502" s="4">
        <f t="shared" si="15"/>
        <v>0.16371036714399997</v>
      </c>
      <c r="P502">
        <v>75</v>
      </c>
      <c r="Q502">
        <v>4</v>
      </c>
      <c r="R502">
        <v>2</v>
      </c>
      <c r="S502">
        <v>1</v>
      </c>
      <c r="T502">
        <v>1</v>
      </c>
      <c r="U502">
        <v>1</v>
      </c>
      <c r="V502" t="s">
        <v>30</v>
      </c>
    </row>
    <row r="503" spans="1:22" x14ac:dyDescent="0.25">
      <c r="A503" t="s">
        <v>86</v>
      </c>
      <c r="B503">
        <v>1</v>
      </c>
      <c r="C503" t="s">
        <v>71</v>
      </c>
      <c r="D503" t="s">
        <v>87</v>
      </c>
      <c r="E503" t="s">
        <v>88</v>
      </c>
      <c r="F503">
        <v>300</v>
      </c>
      <c r="G503">
        <v>1200</v>
      </c>
      <c r="H503">
        <v>-3</v>
      </c>
      <c r="I503">
        <v>1982</v>
      </c>
      <c r="J503" t="s">
        <v>32</v>
      </c>
      <c r="K503">
        <v>2569</v>
      </c>
      <c r="L503">
        <v>12.5</v>
      </c>
      <c r="M503">
        <v>6.62</v>
      </c>
      <c r="N503" s="4">
        <f t="shared" si="14"/>
        <v>1.2265625E-2</v>
      </c>
      <c r="O503" s="4">
        <f t="shared" si="15"/>
        <v>8.1198437499999998E-2</v>
      </c>
      <c r="P503">
        <v>100</v>
      </c>
      <c r="Q503">
        <v>3</v>
      </c>
      <c r="R503">
        <v>3</v>
      </c>
      <c r="S503">
        <v>3</v>
      </c>
      <c r="T503">
        <v>3</v>
      </c>
      <c r="U503">
        <v>3</v>
      </c>
      <c r="V503" t="s">
        <v>25</v>
      </c>
    </row>
    <row r="504" spans="1:22" x14ac:dyDescent="0.25">
      <c r="A504" t="s">
        <v>86</v>
      </c>
      <c r="B504">
        <v>1</v>
      </c>
      <c r="C504" t="s">
        <v>71</v>
      </c>
      <c r="D504" t="s">
        <v>87</v>
      </c>
      <c r="E504" t="s">
        <v>88</v>
      </c>
      <c r="F504">
        <v>300</v>
      </c>
      <c r="G504">
        <v>1200</v>
      </c>
      <c r="H504">
        <v>-3</v>
      </c>
      <c r="I504">
        <v>1982</v>
      </c>
      <c r="J504" t="s">
        <v>32</v>
      </c>
      <c r="K504">
        <v>2634</v>
      </c>
      <c r="L504">
        <v>7.97</v>
      </c>
      <c r="M504">
        <v>5.88</v>
      </c>
      <c r="N504" s="4">
        <f t="shared" si="14"/>
        <v>4.9863906499999994E-3</v>
      </c>
      <c r="O504" s="4">
        <f t="shared" si="15"/>
        <v>2.9319977021999996E-2</v>
      </c>
      <c r="P504">
        <v>75</v>
      </c>
      <c r="Q504">
        <v>2.5</v>
      </c>
      <c r="R504">
        <v>3</v>
      </c>
      <c r="S504">
        <v>3</v>
      </c>
      <c r="T504">
        <v>3</v>
      </c>
      <c r="U504">
        <v>3.5</v>
      </c>
      <c r="V504" t="s">
        <v>38</v>
      </c>
    </row>
    <row r="505" spans="1:22" x14ac:dyDescent="0.25">
      <c r="A505" t="s">
        <v>86</v>
      </c>
      <c r="B505">
        <v>1</v>
      </c>
      <c r="C505" t="s">
        <v>71</v>
      </c>
      <c r="D505" t="s">
        <v>87</v>
      </c>
      <c r="E505" t="s">
        <v>88</v>
      </c>
      <c r="F505">
        <v>300</v>
      </c>
      <c r="G505">
        <v>1200</v>
      </c>
      <c r="H505">
        <v>-3</v>
      </c>
      <c r="I505">
        <v>1982</v>
      </c>
      <c r="J505" t="s">
        <v>32</v>
      </c>
      <c r="K505">
        <v>2635</v>
      </c>
      <c r="L505">
        <v>8.58</v>
      </c>
      <c r="M505">
        <v>7.48</v>
      </c>
      <c r="N505" s="4">
        <f t="shared" si="14"/>
        <v>5.7788874E-3</v>
      </c>
      <c r="O505" s="4">
        <f t="shared" si="15"/>
        <v>4.3226077752000006E-2</v>
      </c>
      <c r="P505">
        <v>100</v>
      </c>
      <c r="Q505">
        <v>3.5</v>
      </c>
      <c r="R505">
        <v>3</v>
      </c>
      <c r="S505">
        <v>2.5</v>
      </c>
      <c r="T505">
        <v>3.5</v>
      </c>
      <c r="U505">
        <v>3</v>
      </c>
      <c r="V505" t="s">
        <v>25</v>
      </c>
    </row>
    <row r="506" spans="1:22" x14ac:dyDescent="0.25">
      <c r="A506" t="s">
        <v>86</v>
      </c>
      <c r="B506">
        <v>1</v>
      </c>
      <c r="C506" t="s">
        <v>71</v>
      </c>
      <c r="D506" t="s">
        <v>87</v>
      </c>
      <c r="E506" t="s">
        <v>88</v>
      </c>
      <c r="F506">
        <v>300</v>
      </c>
      <c r="G506">
        <v>1200</v>
      </c>
      <c r="H506">
        <v>-3</v>
      </c>
      <c r="I506">
        <v>1982</v>
      </c>
      <c r="J506" t="s">
        <v>34</v>
      </c>
      <c r="K506">
        <v>2570</v>
      </c>
      <c r="L506">
        <v>6.05</v>
      </c>
      <c r="M506">
        <v>5.44</v>
      </c>
      <c r="N506" s="4">
        <f t="shared" si="14"/>
        <v>2.8732962499999999E-3</v>
      </c>
      <c r="O506" s="4">
        <f t="shared" si="15"/>
        <v>1.5630731599999999E-2</v>
      </c>
      <c r="P506">
        <v>100</v>
      </c>
      <c r="Q506">
        <v>3</v>
      </c>
      <c r="R506">
        <v>2.5</v>
      </c>
      <c r="S506">
        <v>3.5</v>
      </c>
      <c r="T506">
        <v>3.5</v>
      </c>
      <c r="U506">
        <v>3</v>
      </c>
      <c r="V506" t="s">
        <v>38</v>
      </c>
    </row>
    <row r="507" spans="1:22" x14ac:dyDescent="0.25">
      <c r="A507" t="s">
        <v>86</v>
      </c>
      <c r="B507">
        <v>1</v>
      </c>
      <c r="C507" t="s">
        <v>71</v>
      </c>
      <c r="D507" t="s">
        <v>87</v>
      </c>
      <c r="E507" t="s">
        <v>88</v>
      </c>
      <c r="F507">
        <v>300</v>
      </c>
      <c r="G507">
        <v>1200</v>
      </c>
      <c r="H507">
        <v>-3</v>
      </c>
      <c r="I507">
        <v>1982</v>
      </c>
      <c r="J507" t="s">
        <v>35</v>
      </c>
      <c r="K507">
        <v>1788</v>
      </c>
      <c r="L507">
        <v>6.76</v>
      </c>
      <c r="M507">
        <v>6.76</v>
      </c>
      <c r="N507" s="4">
        <f t="shared" si="14"/>
        <v>3.5872615999999993E-3</v>
      </c>
      <c r="O507" s="4">
        <f t="shared" si="15"/>
        <v>2.4249888415999996E-2</v>
      </c>
      <c r="P507">
        <v>75</v>
      </c>
      <c r="Q507">
        <v>1</v>
      </c>
      <c r="R507">
        <v>1</v>
      </c>
      <c r="S507">
        <v>3</v>
      </c>
      <c r="T507">
        <v>3</v>
      </c>
      <c r="U507">
        <v>3</v>
      </c>
      <c r="V507" t="s">
        <v>50</v>
      </c>
    </row>
    <row r="508" spans="1:22" x14ac:dyDescent="0.25">
      <c r="A508" t="s">
        <v>86</v>
      </c>
      <c r="B508">
        <v>1</v>
      </c>
      <c r="C508" t="s">
        <v>71</v>
      </c>
      <c r="D508" t="s">
        <v>87</v>
      </c>
      <c r="E508" t="s">
        <v>88</v>
      </c>
      <c r="F508">
        <v>300</v>
      </c>
      <c r="G508">
        <v>1200</v>
      </c>
      <c r="H508">
        <v>-3</v>
      </c>
      <c r="I508">
        <v>1982</v>
      </c>
      <c r="J508" t="s">
        <v>35</v>
      </c>
      <c r="K508">
        <v>1259</v>
      </c>
      <c r="L508">
        <v>13.99</v>
      </c>
      <c r="M508">
        <v>9.09</v>
      </c>
      <c r="N508" s="4">
        <f t="shared" si="14"/>
        <v>1.5364027849999998E-2</v>
      </c>
      <c r="O508" s="4">
        <f t="shared" si="15"/>
        <v>0.13965901315649998</v>
      </c>
      <c r="P508">
        <v>100</v>
      </c>
      <c r="Q508">
        <v>4</v>
      </c>
      <c r="R508">
        <v>2</v>
      </c>
      <c r="S508">
        <v>2</v>
      </c>
      <c r="T508">
        <v>2</v>
      </c>
      <c r="U508">
        <v>2</v>
      </c>
      <c r="V508" t="s">
        <v>38</v>
      </c>
    </row>
    <row r="509" spans="1:22" x14ac:dyDescent="0.25">
      <c r="A509" t="s">
        <v>86</v>
      </c>
      <c r="B509">
        <v>1</v>
      </c>
      <c r="C509" t="s">
        <v>71</v>
      </c>
      <c r="D509" t="s">
        <v>87</v>
      </c>
      <c r="E509" t="s">
        <v>88</v>
      </c>
      <c r="F509">
        <v>300</v>
      </c>
      <c r="G509">
        <v>1200</v>
      </c>
      <c r="H509">
        <v>-3</v>
      </c>
      <c r="I509">
        <v>1982</v>
      </c>
      <c r="J509" t="s">
        <v>35</v>
      </c>
      <c r="K509">
        <v>1785</v>
      </c>
      <c r="L509">
        <v>8.65</v>
      </c>
      <c r="M509">
        <v>5.95</v>
      </c>
      <c r="N509" s="4">
        <f t="shared" si="14"/>
        <v>5.8735662500000009E-3</v>
      </c>
      <c r="O509" s="4">
        <f t="shared" si="15"/>
        <v>3.4947719187500004E-2</v>
      </c>
      <c r="P509">
        <v>100</v>
      </c>
      <c r="Q509">
        <v>1.5</v>
      </c>
      <c r="R509">
        <v>1</v>
      </c>
      <c r="S509">
        <v>3</v>
      </c>
      <c r="T509">
        <v>3</v>
      </c>
      <c r="U509">
        <v>3</v>
      </c>
      <c r="V509" t="s">
        <v>50</v>
      </c>
    </row>
    <row r="510" spans="1:22" x14ac:dyDescent="0.25">
      <c r="A510" t="s">
        <v>86</v>
      </c>
      <c r="B510">
        <v>1</v>
      </c>
      <c r="C510" t="s">
        <v>71</v>
      </c>
      <c r="D510" t="s">
        <v>87</v>
      </c>
      <c r="E510" t="s">
        <v>88</v>
      </c>
      <c r="F510">
        <v>300</v>
      </c>
      <c r="G510">
        <v>1200</v>
      </c>
      <c r="H510">
        <v>-3</v>
      </c>
      <c r="I510">
        <v>1982</v>
      </c>
      <c r="J510" t="s">
        <v>35</v>
      </c>
      <c r="K510">
        <v>2571</v>
      </c>
      <c r="L510">
        <v>16.79</v>
      </c>
      <c r="M510">
        <v>13.17</v>
      </c>
      <c r="N510" s="4">
        <f t="shared" si="14"/>
        <v>2.2129471849999999E-2</v>
      </c>
      <c r="O510" s="4">
        <f t="shared" si="15"/>
        <v>0.29144514426449997</v>
      </c>
      <c r="P510">
        <v>100</v>
      </c>
      <c r="Q510">
        <v>4</v>
      </c>
      <c r="R510">
        <v>2</v>
      </c>
      <c r="S510">
        <v>3</v>
      </c>
      <c r="T510">
        <v>3</v>
      </c>
      <c r="U510">
        <v>2.5</v>
      </c>
      <c r="V510" t="s">
        <v>25</v>
      </c>
    </row>
    <row r="511" spans="1:22" x14ac:dyDescent="0.25">
      <c r="A511" t="s">
        <v>86</v>
      </c>
      <c r="B511">
        <v>1</v>
      </c>
      <c r="C511" t="s">
        <v>71</v>
      </c>
      <c r="D511" t="s">
        <v>87</v>
      </c>
      <c r="E511" t="s">
        <v>88</v>
      </c>
      <c r="F511">
        <v>300</v>
      </c>
      <c r="G511">
        <v>1200</v>
      </c>
      <c r="H511">
        <v>-3</v>
      </c>
      <c r="I511">
        <v>1982</v>
      </c>
      <c r="J511" t="s">
        <v>36</v>
      </c>
      <c r="K511">
        <v>2573</v>
      </c>
      <c r="L511">
        <v>2.4500000000000002</v>
      </c>
      <c r="M511">
        <v>3.06</v>
      </c>
      <c r="N511" s="4">
        <f t="shared" si="14"/>
        <v>4.7119625000000009E-4</v>
      </c>
      <c r="O511" s="4">
        <f t="shared" si="15"/>
        <v>1.4418605250000004E-3</v>
      </c>
      <c r="P511">
        <v>50</v>
      </c>
      <c r="Q511">
        <v>1.5</v>
      </c>
      <c r="R511">
        <v>4</v>
      </c>
      <c r="S511">
        <v>1</v>
      </c>
      <c r="T511">
        <v>2</v>
      </c>
      <c r="U511">
        <v>3</v>
      </c>
      <c r="V511" t="s">
        <v>50</v>
      </c>
    </row>
    <row r="512" spans="1:22" x14ac:dyDescent="0.25">
      <c r="A512" t="s">
        <v>86</v>
      </c>
      <c r="B512">
        <v>1</v>
      </c>
      <c r="C512" t="s">
        <v>71</v>
      </c>
      <c r="D512" t="s">
        <v>87</v>
      </c>
      <c r="E512" t="s">
        <v>88</v>
      </c>
      <c r="F512">
        <v>300</v>
      </c>
      <c r="G512">
        <v>1200</v>
      </c>
      <c r="H512">
        <v>-3</v>
      </c>
      <c r="I512">
        <v>1982</v>
      </c>
      <c r="J512" t="s">
        <v>62</v>
      </c>
      <c r="K512">
        <v>2550</v>
      </c>
      <c r="L512">
        <v>9.84</v>
      </c>
      <c r="M512">
        <v>8.68</v>
      </c>
      <c r="N512" s="4">
        <f t="shared" si="14"/>
        <v>7.6008096000000002E-3</v>
      </c>
      <c r="O512" s="4">
        <f t="shared" si="15"/>
        <v>6.5975027327999994E-2</v>
      </c>
      <c r="P512">
        <v>75</v>
      </c>
      <c r="Q512">
        <v>2</v>
      </c>
      <c r="R512">
        <v>2</v>
      </c>
      <c r="S512">
        <v>4</v>
      </c>
      <c r="T512">
        <v>4</v>
      </c>
      <c r="U512">
        <v>4</v>
      </c>
      <c r="V512" t="s">
        <v>38</v>
      </c>
    </row>
    <row r="513" spans="1:22" x14ac:dyDescent="0.25">
      <c r="A513" t="s">
        <v>86</v>
      </c>
      <c r="B513">
        <v>1</v>
      </c>
      <c r="C513" t="s">
        <v>71</v>
      </c>
      <c r="D513" t="s">
        <v>87</v>
      </c>
      <c r="E513" t="s">
        <v>88</v>
      </c>
      <c r="F513">
        <v>300</v>
      </c>
      <c r="G513">
        <v>1200</v>
      </c>
      <c r="H513">
        <v>-3</v>
      </c>
      <c r="I513">
        <v>1982</v>
      </c>
      <c r="J513" t="s">
        <v>62</v>
      </c>
      <c r="K513">
        <v>1352</v>
      </c>
      <c r="L513">
        <v>4.9800000000000004</v>
      </c>
      <c r="M513">
        <v>4.05</v>
      </c>
      <c r="N513" s="4">
        <f t="shared" si="14"/>
        <v>1.9468314000000001E-3</v>
      </c>
      <c r="O513" s="4">
        <f t="shared" si="15"/>
        <v>7.8846671699999999E-3</v>
      </c>
      <c r="P513">
        <v>75</v>
      </c>
      <c r="Q513">
        <v>2</v>
      </c>
      <c r="R513">
        <v>2.5</v>
      </c>
      <c r="S513">
        <v>3</v>
      </c>
      <c r="T513">
        <v>3</v>
      </c>
      <c r="U513">
        <v>3</v>
      </c>
      <c r="V513" t="s">
        <v>30</v>
      </c>
    </row>
    <row r="514" spans="1:22" x14ac:dyDescent="0.25">
      <c r="A514" t="s">
        <v>86</v>
      </c>
      <c r="B514">
        <v>1</v>
      </c>
      <c r="C514" t="s">
        <v>71</v>
      </c>
      <c r="D514" t="s">
        <v>87</v>
      </c>
      <c r="E514" t="s">
        <v>88</v>
      </c>
      <c r="F514">
        <v>300</v>
      </c>
      <c r="G514">
        <v>1200</v>
      </c>
      <c r="H514">
        <v>-3</v>
      </c>
      <c r="I514">
        <v>1982</v>
      </c>
      <c r="J514" t="s">
        <v>62</v>
      </c>
      <c r="K514">
        <v>2432</v>
      </c>
      <c r="L514">
        <v>8.92</v>
      </c>
      <c r="M514">
        <v>6.14</v>
      </c>
      <c r="N514" s="4">
        <f t="shared" si="14"/>
        <v>6.2459624000000009E-3</v>
      </c>
      <c r="O514" s="4">
        <f t="shared" si="15"/>
        <v>3.8350209136000006E-2</v>
      </c>
      <c r="P514">
        <v>75</v>
      </c>
      <c r="Q514">
        <v>2.5</v>
      </c>
      <c r="R514">
        <v>3</v>
      </c>
      <c r="S514">
        <v>4</v>
      </c>
      <c r="T514">
        <v>4</v>
      </c>
      <c r="U514">
        <v>3.5</v>
      </c>
      <c r="V514" t="s">
        <v>38</v>
      </c>
    </row>
    <row r="515" spans="1:22" x14ac:dyDescent="0.25">
      <c r="A515" t="s">
        <v>86</v>
      </c>
      <c r="B515">
        <v>1</v>
      </c>
      <c r="C515" t="s">
        <v>71</v>
      </c>
      <c r="D515" t="s">
        <v>87</v>
      </c>
      <c r="E515" t="s">
        <v>88</v>
      </c>
      <c r="F515">
        <v>300</v>
      </c>
      <c r="G515">
        <v>1200</v>
      </c>
      <c r="H515">
        <v>-3</v>
      </c>
      <c r="I515">
        <v>1982</v>
      </c>
      <c r="J515" t="s">
        <v>62</v>
      </c>
      <c r="K515">
        <v>2553</v>
      </c>
      <c r="L515">
        <v>13.39</v>
      </c>
      <c r="M515">
        <v>6.6</v>
      </c>
      <c r="N515" s="4">
        <f t="shared" ref="N515:N578" si="16">3.14/4*((L515/100)^2)</f>
        <v>1.4074429850000004E-2</v>
      </c>
      <c r="O515" s="4">
        <f t="shared" ref="O515:O578" si="17">3.14/4*((L515/100)^2)*M515</f>
        <v>9.2891237010000016E-2</v>
      </c>
      <c r="P515">
        <v>75</v>
      </c>
      <c r="Q515">
        <v>3</v>
      </c>
      <c r="R515">
        <v>2.5</v>
      </c>
      <c r="S515">
        <v>3</v>
      </c>
      <c r="T515">
        <v>3</v>
      </c>
      <c r="U515">
        <v>2.5</v>
      </c>
      <c r="V515" t="s">
        <v>38</v>
      </c>
    </row>
    <row r="516" spans="1:22" x14ac:dyDescent="0.25">
      <c r="A516" t="s">
        <v>86</v>
      </c>
      <c r="B516">
        <v>1</v>
      </c>
      <c r="C516" t="s">
        <v>71</v>
      </c>
      <c r="D516" t="s">
        <v>87</v>
      </c>
      <c r="E516" t="s">
        <v>88</v>
      </c>
      <c r="F516">
        <v>300</v>
      </c>
      <c r="G516">
        <v>1200</v>
      </c>
      <c r="H516">
        <v>-3</v>
      </c>
      <c r="I516">
        <v>1982</v>
      </c>
      <c r="J516" t="s">
        <v>62</v>
      </c>
      <c r="K516">
        <v>2574</v>
      </c>
      <c r="L516">
        <v>13.43</v>
      </c>
      <c r="M516">
        <v>9.0299999999999994</v>
      </c>
      <c r="N516" s="4">
        <f t="shared" si="16"/>
        <v>1.4158644650000001E-2</v>
      </c>
      <c r="O516" s="4">
        <f t="shared" si="17"/>
        <v>0.1278525611895</v>
      </c>
      <c r="P516">
        <v>100</v>
      </c>
      <c r="Q516">
        <v>4</v>
      </c>
      <c r="R516">
        <v>2</v>
      </c>
      <c r="S516">
        <v>4</v>
      </c>
      <c r="T516">
        <v>3</v>
      </c>
      <c r="U516">
        <v>2.5</v>
      </c>
      <c r="V516" t="s">
        <v>25</v>
      </c>
    </row>
    <row r="517" spans="1:22" x14ac:dyDescent="0.25">
      <c r="A517" t="s">
        <v>86</v>
      </c>
      <c r="B517">
        <v>1</v>
      </c>
      <c r="C517" t="s">
        <v>71</v>
      </c>
      <c r="D517" t="s">
        <v>87</v>
      </c>
      <c r="E517" t="s">
        <v>88</v>
      </c>
      <c r="F517">
        <v>300</v>
      </c>
      <c r="G517">
        <v>1200</v>
      </c>
      <c r="H517">
        <v>-3</v>
      </c>
      <c r="I517">
        <v>1982</v>
      </c>
      <c r="J517" t="s">
        <v>37</v>
      </c>
      <c r="K517">
        <v>2575</v>
      </c>
      <c r="L517">
        <v>9.84</v>
      </c>
      <c r="M517">
        <v>5.67</v>
      </c>
      <c r="N517" s="4">
        <f t="shared" si="16"/>
        <v>7.6008096000000002E-3</v>
      </c>
      <c r="O517" s="4">
        <f t="shared" si="17"/>
        <v>4.3096590432000002E-2</v>
      </c>
      <c r="P517">
        <v>100</v>
      </c>
      <c r="Q517">
        <v>1.5</v>
      </c>
      <c r="R517">
        <v>1.5</v>
      </c>
      <c r="S517">
        <v>2</v>
      </c>
      <c r="T517">
        <v>2</v>
      </c>
      <c r="U517">
        <v>2</v>
      </c>
      <c r="V517" t="s">
        <v>50</v>
      </c>
    </row>
    <row r="518" spans="1:22" x14ac:dyDescent="0.25">
      <c r="A518" t="s">
        <v>86</v>
      </c>
      <c r="B518">
        <v>2</v>
      </c>
      <c r="C518" t="s">
        <v>71</v>
      </c>
      <c r="D518" t="s">
        <v>87</v>
      </c>
      <c r="E518" t="s">
        <v>88</v>
      </c>
      <c r="F518">
        <v>300</v>
      </c>
      <c r="G518">
        <v>1200</v>
      </c>
      <c r="H518">
        <v>-3</v>
      </c>
      <c r="I518">
        <v>1982</v>
      </c>
      <c r="J518" t="s">
        <v>76</v>
      </c>
      <c r="K518">
        <v>1592</v>
      </c>
      <c r="L518">
        <v>4.7300000000000004</v>
      </c>
      <c r="M518">
        <v>5.31</v>
      </c>
      <c r="N518" s="4">
        <f t="shared" si="16"/>
        <v>1.7562726500000003E-3</v>
      </c>
      <c r="O518" s="4">
        <f t="shared" si="17"/>
        <v>9.3258077715000012E-3</v>
      </c>
      <c r="P518">
        <v>100</v>
      </c>
      <c r="Q518">
        <v>2</v>
      </c>
      <c r="R518">
        <v>3</v>
      </c>
      <c r="S518">
        <v>3</v>
      </c>
      <c r="T518">
        <v>4</v>
      </c>
      <c r="U518">
        <v>4</v>
      </c>
      <c r="V518" t="s">
        <v>25</v>
      </c>
    </row>
    <row r="519" spans="1:22" x14ac:dyDescent="0.25">
      <c r="A519" t="s">
        <v>86</v>
      </c>
      <c r="B519">
        <v>2</v>
      </c>
      <c r="C519" t="s">
        <v>71</v>
      </c>
      <c r="D519" t="s">
        <v>87</v>
      </c>
      <c r="E519" t="s">
        <v>88</v>
      </c>
      <c r="F519">
        <v>300</v>
      </c>
      <c r="G519">
        <v>1200</v>
      </c>
      <c r="H519">
        <v>-3</v>
      </c>
      <c r="I519">
        <v>1982</v>
      </c>
      <c r="J519" t="s">
        <v>76</v>
      </c>
      <c r="K519">
        <v>2560</v>
      </c>
      <c r="L519">
        <v>6.35</v>
      </c>
      <c r="M519">
        <v>4.62</v>
      </c>
      <c r="N519" s="4">
        <f t="shared" si="16"/>
        <v>3.1653162500000004E-3</v>
      </c>
      <c r="O519" s="4">
        <f t="shared" si="17"/>
        <v>1.4623761075000002E-2</v>
      </c>
      <c r="P519">
        <v>100</v>
      </c>
      <c r="Q519">
        <v>3</v>
      </c>
      <c r="R519">
        <v>4</v>
      </c>
      <c r="S519">
        <v>2</v>
      </c>
      <c r="T519">
        <v>3</v>
      </c>
      <c r="U519">
        <v>4</v>
      </c>
      <c r="V519" t="s">
        <v>38</v>
      </c>
    </row>
    <row r="520" spans="1:22" x14ac:dyDescent="0.25">
      <c r="A520" t="s">
        <v>86</v>
      </c>
      <c r="B520">
        <v>2</v>
      </c>
      <c r="C520" t="s">
        <v>71</v>
      </c>
      <c r="D520" t="s">
        <v>87</v>
      </c>
      <c r="E520" t="s">
        <v>88</v>
      </c>
      <c r="F520">
        <v>300</v>
      </c>
      <c r="G520">
        <v>1200</v>
      </c>
      <c r="H520">
        <v>-3</v>
      </c>
      <c r="I520">
        <v>1982</v>
      </c>
      <c r="J520" t="s">
        <v>56</v>
      </c>
      <c r="K520">
        <v>1111</v>
      </c>
      <c r="L520">
        <v>18.989999999999998</v>
      </c>
      <c r="M520">
        <v>10.73</v>
      </c>
      <c r="N520" s="4">
        <f t="shared" si="16"/>
        <v>2.8308677849999995E-2</v>
      </c>
      <c r="O520" s="4">
        <f t="shared" si="17"/>
        <v>0.30375211333049995</v>
      </c>
      <c r="P520">
        <v>75</v>
      </c>
      <c r="Q520">
        <v>3</v>
      </c>
      <c r="R520">
        <v>3</v>
      </c>
      <c r="S520">
        <v>3.5</v>
      </c>
      <c r="T520">
        <v>3</v>
      </c>
      <c r="U520">
        <v>3</v>
      </c>
      <c r="V520" t="s">
        <v>25</v>
      </c>
    </row>
    <row r="521" spans="1:22" x14ac:dyDescent="0.25">
      <c r="A521" t="s">
        <v>86</v>
      </c>
      <c r="B521">
        <v>2</v>
      </c>
      <c r="C521" t="s">
        <v>71</v>
      </c>
      <c r="D521" t="s">
        <v>87</v>
      </c>
      <c r="E521" t="s">
        <v>88</v>
      </c>
      <c r="F521">
        <v>300</v>
      </c>
      <c r="G521">
        <v>1200</v>
      </c>
      <c r="H521">
        <v>-3</v>
      </c>
      <c r="I521">
        <v>1982</v>
      </c>
      <c r="J521" t="s">
        <v>57</v>
      </c>
      <c r="K521">
        <v>2620</v>
      </c>
      <c r="L521">
        <v>7.3</v>
      </c>
      <c r="M521">
        <v>5.91</v>
      </c>
      <c r="N521" s="4">
        <f t="shared" si="16"/>
        <v>4.1832649999999994E-3</v>
      </c>
      <c r="O521" s="4">
        <f t="shared" si="17"/>
        <v>2.4723096149999998E-2</v>
      </c>
      <c r="P521">
        <v>100</v>
      </c>
      <c r="Q521">
        <v>2</v>
      </c>
      <c r="R521">
        <v>2</v>
      </c>
      <c r="S521">
        <v>3</v>
      </c>
      <c r="T521">
        <v>4</v>
      </c>
      <c r="U521">
        <v>4</v>
      </c>
      <c r="V521" t="s">
        <v>30</v>
      </c>
    </row>
    <row r="522" spans="1:22" x14ac:dyDescent="0.25">
      <c r="A522" t="s">
        <v>86</v>
      </c>
      <c r="B522">
        <v>2</v>
      </c>
      <c r="C522" t="s">
        <v>71</v>
      </c>
      <c r="D522" t="s">
        <v>87</v>
      </c>
      <c r="E522" t="s">
        <v>88</v>
      </c>
      <c r="F522">
        <v>300</v>
      </c>
      <c r="G522">
        <v>1200</v>
      </c>
      <c r="H522">
        <v>-3</v>
      </c>
      <c r="I522">
        <v>1982</v>
      </c>
      <c r="J522" t="s">
        <v>57</v>
      </c>
      <c r="K522">
        <v>2621</v>
      </c>
      <c r="L522">
        <v>8.11</v>
      </c>
      <c r="M522">
        <v>4.9800000000000004</v>
      </c>
      <c r="N522" s="4">
        <f t="shared" si="16"/>
        <v>5.1631098499999991E-3</v>
      </c>
      <c r="O522" s="4">
        <f t="shared" si="17"/>
        <v>2.5712287052999997E-2</v>
      </c>
      <c r="P522">
        <v>100</v>
      </c>
      <c r="Q522">
        <v>3</v>
      </c>
      <c r="R522">
        <v>1</v>
      </c>
      <c r="S522">
        <v>4</v>
      </c>
      <c r="T522">
        <v>4</v>
      </c>
      <c r="U522">
        <v>4</v>
      </c>
      <c r="V522" t="s">
        <v>38</v>
      </c>
    </row>
    <row r="523" spans="1:22" x14ac:dyDescent="0.25">
      <c r="A523" t="s">
        <v>86</v>
      </c>
      <c r="B523">
        <v>2</v>
      </c>
      <c r="C523" t="s">
        <v>71</v>
      </c>
      <c r="D523" t="s">
        <v>87</v>
      </c>
      <c r="E523" t="s">
        <v>88</v>
      </c>
      <c r="F523">
        <v>300</v>
      </c>
      <c r="G523">
        <v>1200</v>
      </c>
      <c r="H523">
        <v>-3</v>
      </c>
      <c r="I523">
        <v>1982</v>
      </c>
      <c r="J523" t="s">
        <v>58</v>
      </c>
      <c r="K523">
        <v>2638</v>
      </c>
      <c r="L523">
        <v>5.25</v>
      </c>
      <c r="M523">
        <v>3.5</v>
      </c>
      <c r="N523" s="4">
        <f t="shared" si="16"/>
        <v>2.1636562499999998E-3</v>
      </c>
      <c r="O523" s="4">
        <f t="shared" si="17"/>
        <v>7.5727968749999992E-3</v>
      </c>
      <c r="P523">
        <v>50</v>
      </c>
      <c r="Q523">
        <v>2</v>
      </c>
      <c r="R523">
        <v>3</v>
      </c>
      <c r="S523">
        <v>3</v>
      </c>
      <c r="T523">
        <v>3</v>
      </c>
      <c r="U523">
        <v>4</v>
      </c>
      <c r="V523" t="s">
        <v>30</v>
      </c>
    </row>
    <row r="524" spans="1:22" x14ac:dyDescent="0.25">
      <c r="A524" t="s">
        <v>86</v>
      </c>
      <c r="B524">
        <v>2</v>
      </c>
      <c r="C524" t="s">
        <v>71</v>
      </c>
      <c r="D524" t="s">
        <v>87</v>
      </c>
      <c r="E524" t="s">
        <v>88</v>
      </c>
      <c r="F524">
        <v>300</v>
      </c>
      <c r="G524">
        <v>1200</v>
      </c>
      <c r="H524">
        <v>-3</v>
      </c>
      <c r="I524">
        <v>1982</v>
      </c>
      <c r="J524" t="s">
        <v>59</v>
      </c>
      <c r="K524">
        <v>2426</v>
      </c>
      <c r="L524">
        <v>16.690000000000001</v>
      </c>
      <c r="M524">
        <v>9.48</v>
      </c>
      <c r="N524" s="4">
        <f t="shared" si="16"/>
        <v>2.1866653850000004E-2</v>
      </c>
      <c r="O524" s="4">
        <f t="shared" si="17"/>
        <v>0.20729587849800005</v>
      </c>
      <c r="P524">
        <v>50</v>
      </c>
      <c r="Q524">
        <v>4</v>
      </c>
      <c r="R524">
        <v>3</v>
      </c>
      <c r="S524">
        <v>4</v>
      </c>
      <c r="T524">
        <v>4</v>
      </c>
      <c r="U524">
        <v>3</v>
      </c>
      <c r="V524" t="s">
        <v>27</v>
      </c>
    </row>
    <row r="525" spans="1:22" x14ac:dyDescent="0.25">
      <c r="A525" t="s">
        <v>86</v>
      </c>
      <c r="B525">
        <v>2</v>
      </c>
      <c r="C525" t="s">
        <v>71</v>
      </c>
      <c r="D525" t="s">
        <v>87</v>
      </c>
      <c r="E525" t="s">
        <v>88</v>
      </c>
      <c r="F525">
        <v>300</v>
      </c>
      <c r="G525">
        <v>1200</v>
      </c>
      <c r="H525">
        <v>-3</v>
      </c>
      <c r="I525">
        <v>1982</v>
      </c>
      <c r="J525" t="s">
        <v>59</v>
      </c>
      <c r="K525">
        <v>1482</v>
      </c>
      <c r="L525">
        <v>2.37</v>
      </c>
      <c r="M525">
        <v>2.73</v>
      </c>
      <c r="N525" s="4">
        <f t="shared" si="16"/>
        <v>4.4092665000000013E-4</v>
      </c>
      <c r="O525" s="4">
        <f t="shared" si="17"/>
        <v>1.2037297545000004E-3</v>
      </c>
      <c r="P525">
        <v>50</v>
      </c>
      <c r="Q525">
        <v>1</v>
      </c>
      <c r="R525">
        <v>3</v>
      </c>
      <c r="S525">
        <v>3</v>
      </c>
      <c r="T525">
        <v>3</v>
      </c>
      <c r="U525">
        <v>3</v>
      </c>
      <c r="V525" t="s">
        <v>50</v>
      </c>
    </row>
    <row r="526" spans="1:22" x14ac:dyDescent="0.25">
      <c r="A526" t="s">
        <v>86</v>
      </c>
      <c r="B526">
        <v>2</v>
      </c>
      <c r="C526" t="s">
        <v>71</v>
      </c>
      <c r="D526" t="s">
        <v>87</v>
      </c>
      <c r="E526" t="s">
        <v>88</v>
      </c>
      <c r="F526">
        <v>300</v>
      </c>
      <c r="G526">
        <v>1200</v>
      </c>
      <c r="H526">
        <v>-3</v>
      </c>
      <c r="I526">
        <v>1982</v>
      </c>
      <c r="J526" t="s">
        <v>59</v>
      </c>
      <c r="K526">
        <v>2548</v>
      </c>
      <c r="L526">
        <v>10.08</v>
      </c>
      <c r="M526">
        <v>6.52</v>
      </c>
      <c r="N526" s="4">
        <f t="shared" si="16"/>
        <v>7.9761024000000007E-3</v>
      </c>
      <c r="O526" s="4">
        <f t="shared" si="17"/>
        <v>5.2004187648000001E-2</v>
      </c>
      <c r="P526">
        <v>50</v>
      </c>
      <c r="Q526">
        <v>3</v>
      </c>
      <c r="R526">
        <v>3</v>
      </c>
      <c r="S526">
        <v>4</v>
      </c>
      <c r="T526">
        <v>4</v>
      </c>
      <c r="U526">
        <v>4</v>
      </c>
      <c r="V526" t="s">
        <v>38</v>
      </c>
    </row>
    <row r="527" spans="1:22" x14ac:dyDescent="0.25">
      <c r="A527" t="s">
        <v>86</v>
      </c>
      <c r="B527">
        <v>2</v>
      </c>
      <c r="C527" t="s">
        <v>71</v>
      </c>
      <c r="D527" t="s">
        <v>87</v>
      </c>
      <c r="E527" t="s">
        <v>88</v>
      </c>
      <c r="F527">
        <v>300</v>
      </c>
      <c r="G527">
        <v>1200</v>
      </c>
      <c r="H527">
        <v>-3</v>
      </c>
      <c r="I527">
        <v>1982</v>
      </c>
      <c r="J527" t="s">
        <v>26</v>
      </c>
      <c r="K527">
        <v>2552</v>
      </c>
      <c r="L527">
        <v>17.190000000000001</v>
      </c>
      <c r="M527">
        <v>12.45</v>
      </c>
      <c r="N527" s="4">
        <f t="shared" si="16"/>
        <v>2.3196443850000005E-2</v>
      </c>
      <c r="O527" s="4">
        <f t="shared" si="17"/>
        <v>0.28879572593250002</v>
      </c>
      <c r="P527">
        <v>50</v>
      </c>
      <c r="Q527">
        <v>4</v>
      </c>
      <c r="R527">
        <v>4</v>
      </c>
      <c r="S527">
        <v>4</v>
      </c>
      <c r="T527">
        <v>4</v>
      </c>
      <c r="U527">
        <v>4</v>
      </c>
      <c r="V527" t="s">
        <v>25</v>
      </c>
    </row>
    <row r="528" spans="1:22" x14ac:dyDescent="0.25">
      <c r="A528" t="s">
        <v>86</v>
      </c>
      <c r="B528">
        <v>2</v>
      </c>
      <c r="C528" t="s">
        <v>71</v>
      </c>
      <c r="D528" t="s">
        <v>87</v>
      </c>
      <c r="E528" t="s">
        <v>88</v>
      </c>
      <c r="F528">
        <v>300</v>
      </c>
      <c r="G528">
        <v>1200</v>
      </c>
      <c r="H528">
        <v>-3</v>
      </c>
      <c r="I528">
        <v>1982</v>
      </c>
      <c r="J528" t="s">
        <v>61</v>
      </c>
      <c r="K528">
        <v>1171</v>
      </c>
      <c r="L528">
        <v>1.27</v>
      </c>
      <c r="M528">
        <v>1.1200000000000001</v>
      </c>
      <c r="N528" s="4">
        <f t="shared" si="16"/>
        <v>1.2661264999999999E-4</v>
      </c>
      <c r="O528" s="4">
        <f t="shared" si="17"/>
        <v>1.41806168E-4</v>
      </c>
      <c r="P528">
        <v>25</v>
      </c>
      <c r="Q528">
        <v>1.5</v>
      </c>
      <c r="R528">
        <v>3</v>
      </c>
      <c r="S528">
        <v>0</v>
      </c>
      <c r="T528">
        <v>2</v>
      </c>
      <c r="U528">
        <v>3</v>
      </c>
      <c r="V528" t="s">
        <v>50</v>
      </c>
    </row>
    <row r="529" spans="1:22" x14ac:dyDescent="0.25">
      <c r="A529" t="s">
        <v>86</v>
      </c>
      <c r="B529">
        <v>2</v>
      </c>
      <c r="C529" t="s">
        <v>71</v>
      </c>
      <c r="D529" t="s">
        <v>87</v>
      </c>
      <c r="E529" t="s">
        <v>88</v>
      </c>
      <c r="F529">
        <v>300</v>
      </c>
      <c r="G529">
        <v>1200</v>
      </c>
      <c r="H529">
        <v>-3</v>
      </c>
      <c r="I529">
        <v>1982</v>
      </c>
      <c r="J529" t="s">
        <v>61</v>
      </c>
      <c r="K529">
        <v>2631</v>
      </c>
      <c r="L529">
        <v>5.75</v>
      </c>
      <c r="M529">
        <v>4.5999999999999996</v>
      </c>
      <c r="N529" s="4">
        <f t="shared" si="16"/>
        <v>2.5954062500000001E-3</v>
      </c>
      <c r="O529" s="4">
        <f t="shared" si="17"/>
        <v>1.193886875E-2</v>
      </c>
      <c r="P529">
        <v>25</v>
      </c>
      <c r="Q529">
        <v>2</v>
      </c>
      <c r="R529">
        <v>2</v>
      </c>
      <c r="S529">
        <v>3</v>
      </c>
      <c r="T529">
        <v>3</v>
      </c>
      <c r="U529">
        <v>3</v>
      </c>
      <c r="V529" t="s">
        <v>50</v>
      </c>
    </row>
    <row r="530" spans="1:22" x14ac:dyDescent="0.25">
      <c r="A530" t="s">
        <v>86</v>
      </c>
      <c r="B530">
        <v>2</v>
      </c>
      <c r="C530" t="s">
        <v>71</v>
      </c>
      <c r="D530" t="s">
        <v>87</v>
      </c>
      <c r="E530" t="s">
        <v>88</v>
      </c>
      <c r="F530">
        <v>300</v>
      </c>
      <c r="G530">
        <v>1200</v>
      </c>
      <c r="H530">
        <v>-3</v>
      </c>
      <c r="I530">
        <v>1982</v>
      </c>
      <c r="J530" t="s">
        <v>32</v>
      </c>
      <c r="K530">
        <v>1595</v>
      </c>
      <c r="L530">
        <v>15.69</v>
      </c>
      <c r="M530">
        <v>8.9499999999999993</v>
      </c>
      <c r="N530" s="4">
        <f t="shared" si="16"/>
        <v>1.9324823849999995E-2</v>
      </c>
      <c r="O530" s="4">
        <f t="shared" si="17"/>
        <v>0.17295717345749995</v>
      </c>
      <c r="P530">
        <v>100</v>
      </c>
      <c r="Q530">
        <v>3</v>
      </c>
      <c r="R530">
        <v>3</v>
      </c>
      <c r="S530">
        <v>4</v>
      </c>
      <c r="T530">
        <v>4</v>
      </c>
      <c r="U530">
        <v>3</v>
      </c>
      <c r="V530" t="s">
        <v>25</v>
      </c>
    </row>
    <row r="531" spans="1:22" x14ac:dyDescent="0.25">
      <c r="A531" t="s">
        <v>86</v>
      </c>
      <c r="B531">
        <v>2</v>
      </c>
      <c r="C531" t="s">
        <v>71</v>
      </c>
      <c r="D531" t="s">
        <v>87</v>
      </c>
      <c r="E531" t="s">
        <v>88</v>
      </c>
      <c r="F531">
        <v>300</v>
      </c>
      <c r="G531">
        <v>1200</v>
      </c>
      <c r="H531">
        <v>-3</v>
      </c>
      <c r="I531">
        <v>1982</v>
      </c>
      <c r="J531" t="s">
        <v>32</v>
      </c>
      <c r="K531">
        <v>2569</v>
      </c>
      <c r="L531">
        <v>17.03</v>
      </c>
      <c r="M531">
        <v>10.42</v>
      </c>
      <c r="N531" s="4">
        <f t="shared" si="16"/>
        <v>2.2766640650000003E-2</v>
      </c>
      <c r="O531" s="4">
        <f t="shared" si="17"/>
        <v>0.23722839557300002</v>
      </c>
      <c r="P531">
        <v>100</v>
      </c>
      <c r="Q531">
        <v>3</v>
      </c>
      <c r="R531">
        <v>3</v>
      </c>
      <c r="S531">
        <v>4</v>
      </c>
      <c r="T531">
        <v>4</v>
      </c>
      <c r="U531">
        <v>3</v>
      </c>
      <c r="V531" t="s">
        <v>25</v>
      </c>
    </row>
    <row r="532" spans="1:22" x14ac:dyDescent="0.25">
      <c r="A532" t="s">
        <v>86</v>
      </c>
      <c r="B532">
        <v>2</v>
      </c>
      <c r="C532" t="s">
        <v>71</v>
      </c>
      <c r="D532" t="s">
        <v>87</v>
      </c>
      <c r="E532" t="s">
        <v>88</v>
      </c>
      <c r="F532">
        <v>300</v>
      </c>
      <c r="G532">
        <v>1200</v>
      </c>
      <c r="H532">
        <v>-3</v>
      </c>
      <c r="I532">
        <v>1982</v>
      </c>
      <c r="J532" t="s">
        <v>32</v>
      </c>
      <c r="K532">
        <v>2634</v>
      </c>
      <c r="L532">
        <v>17.77</v>
      </c>
      <c r="M532">
        <v>10.42</v>
      </c>
      <c r="N532" s="4">
        <f t="shared" si="16"/>
        <v>2.4788172650000002E-2</v>
      </c>
      <c r="O532" s="4">
        <f t="shared" si="17"/>
        <v>0.25829275901300003</v>
      </c>
      <c r="P532">
        <v>50</v>
      </c>
      <c r="Q532">
        <v>3</v>
      </c>
      <c r="R532">
        <v>3</v>
      </c>
      <c r="S532">
        <v>2</v>
      </c>
      <c r="T532">
        <v>2</v>
      </c>
      <c r="U532">
        <v>2</v>
      </c>
      <c r="V532" t="s">
        <v>38</v>
      </c>
    </row>
    <row r="533" spans="1:22" x14ac:dyDescent="0.25">
      <c r="A533" t="s">
        <v>86</v>
      </c>
      <c r="B533">
        <v>2</v>
      </c>
      <c r="C533" t="s">
        <v>71</v>
      </c>
      <c r="D533" t="s">
        <v>87</v>
      </c>
      <c r="E533" t="s">
        <v>88</v>
      </c>
      <c r="F533">
        <v>300</v>
      </c>
      <c r="G533">
        <v>1200</v>
      </c>
      <c r="H533">
        <v>-3</v>
      </c>
      <c r="I533">
        <v>1982</v>
      </c>
      <c r="J533" t="s">
        <v>32</v>
      </c>
      <c r="K533">
        <v>2635</v>
      </c>
      <c r="L533">
        <v>17.399999999999999</v>
      </c>
      <c r="M533">
        <v>10.66</v>
      </c>
      <c r="N533" s="4">
        <f t="shared" si="16"/>
        <v>2.3766659999999998E-2</v>
      </c>
      <c r="O533" s="4">
        <f t="shared" si="17"/>
        <v>0.25335259560000001</v>
      </c>
      <c r="P533">
        <v>75</v>
      </c>
      <c r="Q533">
        <v>3</v>
      </c>
      <c r="R533">
        <v>2</v>
      </c>
      <c r="S533">
        <v>4</v>
      </c>
      <c r="T533">
        <v>4</v>
      </c>
      <c r="U533">
        <v>3</v>
      </c>
      <c r="V533" t="s">
        <v>25</v>
      </c>
    </row>
    <row r="534" spans="1:22" x14ac:dyDescent="0.25">
      <c r="A534" t="s">
        <v>86</v>
      </c>
      <c r="B534">
        <v>2</v>
      </c>
      <c r="C534" t="s">
        <v>71</v>
      </c>
      <c r="D534" t="s">
        <v>87</v>
      </c>
      <c r="E534" t="s">
        <v>88</v>
      </c>
      <c r="F534">
        <v>300</v>
      </c>
      <c r="G534">
        <v>1200</v>
      </c>
      <c r="H534">
        <v>-3</v>
      </c>
      <c r="I534">
        <v>1982</v>
      </c>
      <c r="J534" t="s">
        <v>34</v>
      </c>
      <c r="K534">
        <v>2570</v>
      </c>
      <c r="L534">
        <v>10.16</v>
      </c>
      <c r="M534">
        <v>7.74</v>
      </c>
      <c r="N534" s="4">
        <f t="shared" si="16"/>
        <v>8.1032095999999994E-3</v>
      </c>
      <c r="O534" s="4">
        <f t="shared" si="17"/>
        <v>6.2718842304000003E-2</v>
      </c>
      <c r="P534">
        <v>100</v>
      </c>
      <c r="Q534">
        <v>3</v>
      </c>
      <c r="R534">
        <v>3</v>
      </c>
      <c r="S534">
        <v>4</v>
      </c>
      <c r="T534">
        <v>4</v>
      </c>
      <c r="U534">
        <v>4</v>
      </c>
      <c r="V534" t="s">
        <v>25</v>
      </c>
    </row>
    <row r="535" spans="1:22" x14ac:dyDescent="0.25">
      <c r="A535" t="s">
        <v>86</v>
      </c>
      <c r="B535">
        <v>2</v>
      </c>
      <c r="C535" t="s">
        <v>71</v>
      </c>
      <c r="D535" t="s">
        <v>87</v>
      </c>
      <c r="E535" t="s">
        <v>88</v>
      </c>
      <c r="F535">
        <v>300</v>
      </c>
      <c r="G535">
        <v>1200</v>
      </c>
      <c r="H535">
        <v>-3</v>
      </c>
      <c r="I535">
        <v>1982</v>
      </c>
      <c r="J535" t="s">
        <v>35</v>
      </c>
      <c r="K535">
        <v>1788</v>
      </c>
      <c r="L535">
        <v>6.06</v>
      </c>
      <c r="M535">
        <v>4.2</v>
      </c>
      <c r="N535" s="4">
        <f t="shared" si="16"/>
        <v>2.8828025999999992E-3</v>
      </c>
      <c r="O535" s="4">
        <f t="shared" si="17"/>
        <v>1.2107770919999997E-2</v>
      </c>
      <c r="P535">
        <v>100</v>
      </c>
      <c r="Q535">
        <v>1.5</v>
      </c>
      <c r="R535">
        <v>1.5</v>
      </c>
      <c r="S535">
        <v>2</v>
      </c>
      <c r="T535">
        <v>2</v>
      </c>
      <c r="U535">
        <v>1</v>
      </c>
      <c r="V535" t="s">
        <v>50</v>
      </c>
    </row>
    <row r="536" spans="1:22" x14ac:dyDescent="0.25">
      <c r="A536" t="s">
        <v>86</v>
      </c>
      <c r="B536">
        <v>2</v>
      </c>
      <c r="C536" t="s">
        <v>71</v>
      </c>
      <c r="D536" t="s">
        <v>87</v>
      </c>
      <c r="E536" t="s">
        <v>88</v>
      </c>
      <c r="F536">
        <v>300</v>
      </c>
      <c r="G536">
        <v>1200</v>
      </c>
      <c r="H536">
        <v>-3</v>
      </c>
      <c r="I536">
        <v>1982</v>
      </c>
      <c r="J536" t="s">
        <v>35</v>
      </c>
      <c r="K536">
        <v>1259</v>
      </c>
      <c r="L536">
        <v>10.37</v>
      </c>
      <c r="M536">
        <v>5.6</v>
      </c>
      <c r="N536" s="4">
        <f t="shared" si="16"/>
        <v>8.4416466499999988E-3</v>
      </c>
      <c r="O536" s="4">
        <f t="shared" si="17"/>
        <v>4.7273221239999989E-2</v>
      </c>
      <c r="P536">
        <v>100</v>
      </c>
      <c r="Q536">
        <v>3</v>
      </c>
      <c r="R536">
        <v>2</v>
      </c>
      <c r="S536">
        <v>2</v>
      </c>
      <c r="T536">
        <v>2</v>
      </c>
      <c r="U536">
        <v>1</v>
      </c>
      <c r="V536" t="s">
        <v>30</v>
      </c>
    </row>
    <row r="537" spans="1:22" x14ac:dyDescent="0.25">
      <c r="A537" t="s">
        <v>86</v>
      </c>
      <c r="B537">
        <v>2</v>
      </c>
      <c r="C537" t="s">
        <v>71</v>
      </c>
      <c r="D537" t="s">
        <v>87</v>
      </c>
      <c r="E537" t="s">
        <v>88</v>
      </c>
      <c r="F537">
        <v>300</v>
      </c>
      <c r="G537">
        <v>1200</v>
      </c>
      <c r="H537">
        <v>-3</v>
      </c>
      <c r="I537">
        <v>1982</v>
      </c>
      <c r="J537" t="s">
        <v>35</v>
      </c>
      <c r="K537">
        <v>1785</v>
      </c>
      <c r="L537">
        <v>2.56</v>
      </c>
      <c r="M537">
        <v>2.91</v>
      </c>
      <c r="N537" s="4">
        <f t="shared" si="16"/>
        <v>5.1445760000000005E-4</v>
      </c>
      <c r="O537" s="4">
        <f t="shared" si="17"/>
        <v>1.4970716160000001E-3</v>
      </c>
      <c r="P537">
        <v>75</v>
      </c>
      <c r="Q537">
        <v>1</v>
      </c>
      <c r="R537">
        <v>1</v>
      </c>
      <c r="S537">
        <v>2</v>
      </c>
      <c r="T537">
        <v>2</v>
      </c>
      <c r="U537">
        <v>3</v>
      </c>
      <c r="V537" t="s">
        <v>50</v>
      </c>
    </row>
    <row r="538" spans="1:22" x14ac:dyDescent="0.25">
      <c r="A538" t="s">
        <v>86</v>
      </c>
      <c r="B538">
        <v>2</v>
      </c>
      <c r="C538" t="s">
        <v>71</v>
      </c>
      <c r="D538" t="s">
        <v>87</v>
      </c>
      <c r="E538" t="s">
        <v>88</v>
      </c>
      <c r="F538">
        <v>300</v>
      </c>
      <c r="G538">
        <v>1200</v>
      </c>
      <c r="H538">
        <v>-3</v>
      </c>
      <c r="I538">
        <v>1982</v>
      </c>
      <c r="J538" t="s">
        <v>35</v>
      </c>
      <c r="K538">
        <v>2571</v>
      </c>
      <c r="L538">
        <v>8.98</v>
      </c>
      <c r="M538">
        <v>4.08</v>
      </c>
      <c r="N538" s="4">
        <f t="shared" si="16"/>
        <v>6.3302714000000012E-3</v>
      </c>
      <c r="O538" s="4">
        <f t="shared" si="17"/>
        <v>2.5827507312000005E-2</v>
      </c>
      <c r="P538">
        <v>75</v>
      </c>
      <c r="Q538">
        <v>4</v>
      </c>
      <c r="R538">
        <v>2</v>
      </c>
      <c r="S538">
        <v>2</v>
      </c>
      <c r="T538">
        <v>2</v>
      </c>
      <c r="U538">
        <v>2</v>
      </c>
      <c r="V538" t="s">
        <v>38</v>
      </c>
    </row>
    <row r="539" spans="1:22" x14ac:dyDescent="0.25">
      <c r="A539" t="s">
        <v>86</v>
      </c>
      <c r="B539">
        <v>2</v>
      </c>
      <c r="C539" t="s">
        <v>71</v>
      </c>
      <c r="D539" t="s">
        <v>87</v>
      </c>
      <c r="E539" t="s">
        <v>88</v>
      </c>
      <c r="F539">
        <v>300</v>
      </c>
      <c r="G539">
        <v>1200</v>
      </c>
      <c r="H539">
        <v>-3</v>
      </c>
      <c r="I539">
        <v>1982</v>
      </c>
      <c r="J539" t="s">
        <v>36</v>
      </c>
      <c r="K539">
        <v>2573</v>
      </c>
      <c r="L539">
        <v>7.84</v>
      </c>
      <c r="M539">
        <v>4.29</v>
      </c>
      <c r="N539" s="4">
        <f t="shared" si="16"/>
        <v>4.8250495999999999E-3</v>
      </c>
      <c r="O539" s="4">
        <f t="shared" si="17"/>
        <v>2.0699462783999999E-2</v>
      </c>
      <c r="P539">
        <v>25</v>
      </c>
      <c r="Q539">
        <v>2</v>
      </c>
      <c r="R539">
        <v>4</v>
      </c>
      <c r="S539">
        <v>1</v>
      </c>
      <c r="T539">
        <v>2</v>
      </c>
      <c r="U539">
        <v>3</v>
      </c>
      <c r="V539" t="s">
        <v>50</v>
      </c>
    </row>
    <row r="540" spans="1:22" x14ac:dyDescent="0.25">
      <c r="A540" t="s">
        <v>86</v>
      </c>
      <c r="B540">
        <v>2</v>
      </c>
      <c r="C540" t="s">
        <v>71</v>
      </c>
      <c r="D540" t="s">
        <v>87</v>
      </c>
      <c r="E540" t="s">
        <v>88</v>
      </c>
      <c r="F540">
        <v>300</v>
      </c>
      <c r="G540">
        <v>1200</v>
      </c>
      <c r="H540">
        <v>-3</v>
      </c>
      <c r="I540">
        <v>1982</v>
      </c>
      <c r="J540" t="s">
        <v>62</v>
      </c>
      <c r="K540">
        <v>2550</v>
      </c>
      <c r="L540">
        <v>5.44</v>
      </c>
      <c r="M540">
        <v>4.05</v>
      </c>
      <c r="N540" s="4">
        <f t="shared" si="16"/>
        <v>2.3230976000000003E-3</v>
      </c>
      <c r="O540" s="4">
        <f t="shared" si="17"/>
        <v>9.4085452800000014E-3</v>
      </c>
      <c r="P540">
        <v>50</v>
      </c>
      <c r="Q540">
        <v>1</v>
      </c>
      <c r="R540">
        <v>2</v>
      </c>
      <c r="S540">
        <v>3</v>
      </c>
      <c r="T540">
        <v>3</v>
      </c>
      <c r="U540">
        <v>3</v>
      </c>
      <c r="V540" t="s">
        <v>50</v>
      </c>
    </row>
    <row r="541" spans="1:22" x14ac:dyDescent="0.25">
      <c r="A541" t="s">
        <v>86</v>
      </c>
      <c r="B541">
        <v>2</v>
      </c>
      <c r="C541" t="s">
        <v>71</v>
      </c>
      <c r="D541" t="s">
        <v>87</v>
      </c>
      <c r="E541" t="s">
        <v>88</v>
      </c>
      <c r="F541">
        <v>300</v>
      </c>
      <c r="G541">
        <v>1200</v>
      </c>
      <c r="H541">
        <v>-3</v>
      </c>
      <c r="I541">
        <v>1982</v>
      </c>
      <c r="J541" t="s">
        <v>62</v>
      </c>
      <c r="K541">
        <v>1352</v>
      </c>
      <c r="L541">
        <v>11.93</v>
      </c>
      <c r="M541">
        <v>11</v>
      </c>
      <c r="N541" s="4">
        <f t="shared" si="16"/>
        <v>1.1172504650000002E-2</v>
      </c>
      <c r="O541" s="4">
        <f t="shared" si="17"/>
        <v>0.12289755115000002</v>
      </c>
      <c r="P541">
        <v>100</v>
      </c>
      <c r="Q541">
        <v>3.5</v>
      </c>
      <c r="R541">
        <v>3</v>
      </c>
      <c r="S541">
        <v>4</v>
      </c>
      <c r="T541">
        <v>4</v>
      </c>
      <c r="U541">
        <v>3.5</v>
      </c>
      <c r="V541" t="s">
        <v>25</v>
      </c>
    </row>
    <row r="542" spans="1:22" x14ac:dyDescent="0.25">
      <c r="A542" t="s">
        <v>86</v>
      </c>
      <c r="B542">
        <v>2</v>
      </c>
      <c r="C542" t="s">
        <v>71</v>
      </c>
      <c r="D542" t="s">
        <v>87</v>
      </c>
      <c r="E542" t="s">
        <v>88</v>
      </c>
      <c r="F542">
        <v>300</v>
      </c>
      <c r="G542">
        <v>1200</v>
      </c>
      <c r="H542">
        <v>-3</v>
      </c>
      <c r="I542">
        <v>1982</v>
      </c>
      <c r="J542" t="s">
        <v>62</v>
      </c>
      <c r="K542">
        <v>2432</v>
      </c>
      <c r="L542">
        <v>12.39</v>
      </c>
      <c r="M542">
        <v>10.77</v>
      </c>
      <c r="N542" s="4">
        <f t="shared" si="16"/>
        <v>1.2050699850000002E-2</v>
      </c>
      <c r="O542" s="4">
        <f t="shared" si="17"/>
        <v>0.12978603738450001</v>
      </c>
      <c r="P542">
        <v>75</v>
      </c>
      <c r="Q542">
        <v>3</v>
      </c>
      <c r="R542">
        <v>3</v>
      </c>
      <c r="S542">
        <v>4</v>
      </c>
      <c r="T542">
        <v>4</v>
      </c>
      <c r="U542">
        <v>4</v>
      </c>
      <c r="V542" t="s">
        <v>25</v>
      </c>
    </row>
    <row r="543" spans="1:22" x14ac:dyDescent="0.25">
      <c r="A543" t="s">
        <v>86</v>
      </c>
      <c r="B543">
        <v>2</v>
      </c>
      <c r="C543" t="s">
        <v>71</v>
      </c>
      <c r="D543" t="s">
        <v>87</v>
      </c>
      <c r="E543" t="s">
        <v>88</v>
      </c>
      <c r="F543">
        <v>300</v>
      </c>
      <c r="G543">
        <v>1200</v>
      </c>
      <c r="H543">
        <v>-3</v>
      </c>
      <c r="I543">
        <v>1982</v>
      </c>
      <c r="J543" t="s">
        <v>62</v>
      </c>
      <c r="K543">
        <v>2553</v>
      </c>
      <c r="L543">
        <v>17.95</v>
      </c>
      <c r="M543">
        <v>13.66</v>
      </c>
      <c r="N543" s="4">
        <f t="shared" si="16"/>
        <v>2.5292896249999999E-2</v>
      </c>
      <c r="O543" s="4">
        <f t="shared" si="17"/>
        <v>0.34550096277499998</v>
      </c>
      <c r="P543">
        <v>100</v>
      </c>
      <c r="Q543">
        <v>5</v>
      </c>
      <c r="R543">
        <v>3</v>
      </c>
      <c r="S543">
        <v>4.5</v>
      </c>
      <c r="T543">
        <v>4.5</v>
      </c>
      <c r="U543">
        <v>4</v>
      </c>
      <c r="V543" t="s">
        <v>27</v>
      </c>
    </row>
    <row r="544" spans="1:22" x14ac:dyDescent="0.25">
      <c r="A544" t="s">
        <v>86</v>
      </c>
      <c r="B544">
        <v>2</v>
      </c>
      <c r="C544" t="s">
        <v>71</v>
      </c>
      <c r="D544" t="s">
        <v>87</v>
      </c>
      <c r="E544" t="s">
        <v>88</v>
      </c>
      <c r="F544">
        <v>300</v>
      </c>
      <c r="G544">
        <v>1200</v>
      </c>
      <c r="H544">
        <v>-3</v>
      </c>
      <c r="I544">
        <v>1982</v>
      </c>
      <c r="J544" t="s">
        <v>62</v>
      </c>
      <c r="K544">
        <v>2574</v>
      </c>
      <c r="L544">
        <v>10.07</v>
      </c>
      <c r="M544">
        <v>12.74</v>
      </c>
      <c r="N544" s="4">
        <f t="shared" si="16"/>
        <v>7.9602846499999998E-3</v>
      </c>
      <c r="O544" s="4">
        <f t="shared" si="17"/>
        <v>0.101414026441</v>
      </c>
      <c r="P544">
        <v>100</v>
      </c>
      <c r="Q544">
        <v>2.5</v>
      </c>
      <c r="R544">
        <v>2.5</v>
      </c>
      <c r="S544">
        <v>5</v>
      </c>
      <c r="T544">
        <v>5</v>
      </c>
      <c r="U544">
        <v>5</v>
      </c>
      <c r="V544" t="s">
        <v>25</v>
      </c>
    </row>
    <row r="545" spans="1:22" x14ac:dyDescent="0.25">
      <c r="A545" t="s">
        <v>86</v>
      </c>
      <c r="B545">
        <v>2</v>
      </c>
      <c r="C545" t="s">
        <v>71</v>
      </c>
      <c r="D545" t="s">
        <v>87</v>
      </c>
      <c r="E545" t="s">
        <v>88</v>
      </c>
      <c r="F545">
        <v>300</v>
      </c>
      <c r="G545">
        <v>1200</v>
      </c>
      <c r="H545">
        <v>-3</v>
      </c>
      <c r="I545">
        <v>1982</v>
      </c>
      <c r="J545" t="s">
        <v>37</v>
      </c>
      <c r="K545">
        <v>2575</v>
      </c>
      <c r="L545">
        <v>8.56</v>
      </c>
      <c r="M545">
        <v>3.33</v>
      </c>
      <c r="N545" s="4">
        <f t="shared" si="16"/>
        <v>5.7519776000000012E-3</v>
      </c>
      <c r="O545" s="4">
        <f t="shared" si="17"/>
        <v>1.9154085408000003E-2</v>
      </c>
      <c r="P545">
        <v>75</v>
      </c>
      <c r="Q545">
        <v>2</v>
      </c>
      <c r="R545">
        <v>3</v>
      </c>
      <c r="S545">
        <v>2</v>
      </c>
      <c r="T545">
        <v>2</v>
      </c>
      <c r="U545">
        <v>2</v>
      </c>
      <c r="V545" t="s">
        <v>50</v>
      </c>
    </row>
    <row r="546" spans="1:22" x14ac:dyDescent="0.25">
      <c r="A546" t="s">
        <v>86</v>
      </c>
      <c r="B546">
        <v>2</v>
      </c>
      <c r="C546" t="s">
        <v>71</v>
      </c>
      <c r="D546" t="s">
        <v>87</v>
      </c>
      <c r="E546" t="s">
        <v>88</v>
      </c>
      <c r="F546">
        <v>300</v>
      </c>
      <c r="G546">
        <v>1200</v>
      </c>
      <c r="H546">
        <v>-3</v>
      </c>
      <c r="I546">
        <v>1982</v>
      </c>
      <c r="J546" t="s">
        <v>63</v>
      </c>
      <c r="K546">
        <v>1340</v>
      </c>
      <c r="L546">
        <v>1.56</v>
      </c>
      <c r="M546">
        <v>2.16</v>
      </c>
      <c r="N546" s="4">
        <f t="shared" si="16"/>
        <v>1.9103760000000004E-4</v>
      </c>
      <c r="O546" s="4">
        <f t="shared" si="17"/>
        <v>4.1264121600000011E-4</v>
      </c>
      <c r="P546">
        <v>50</v>
      </c>
      <c r="Q546">
        <v>1</v>
      </c>
      <c r="R546">
        <v>2</v>
      </c>
      <c r="S546">
        <v>2</v>
      </c>
      <c r="T546">
        <v>2</v>
      </c>
      <c r="U546">
        <v>3</v>
      </c>
      <c r="V546" t="s">
        <v>50</v>
      </c>
    </row>
    <row r="547" spans="1:22" x14ac:dyDescent="0.25">
      <c r="A547" t="s">
        <v>86</v>
      </c>
      <c r="B547">
        <v>3</v>
      </c>
      <c r="C547" t="s">
        <v>71</v>
      </c>
      <c r="D547" t="s">
        <v>87</v>
      </c>
      <c r="E547" t="s">
        <v>88</v>
      </c>
      <c r="F547">
        <v>300</v>
      </c>
      <c r="G547">
        <v>1200</v>
      </c>
      <c r="H547">
        <v>-3</v>
      </c>
      <c r="I547">
        <v>1982</v>
      </c>
      <c r="J547" t="s">
        <v>76</v>
      </c>
      <c r="K547">
        <v>1592</v>
      </c>
      <c r="L547">
        <v>20.43</v>
      </c>
      <c r="M547">
        <v>10.39</v>
      </c>
      <c r="N547" s="4">
        <f t="shared" si="16"/>
        <v>3.2764714650000006E-2</v>
      </c>
      <c r="O547" s="4">
        <f t="shared" si="17"/>
        <v>0.34042538521350008</v>
      </c>
      <c r="P547">
        <v>75</v>
      </c>
      <c r="Q547">
        <v>3</v>
      </c>
      <c r="R547">
        <v>4</v>
      </c>
      <c r="S547">
        <v>2</v>
      </c>
      <c r="T547">
        <v>3</v>
      </c>
      <c r="U547">
        <v>2</v>
      </c>
      <c r="V547" t="s">
        <v>25</v>
      </c>
    </row>
    <row r="548" spans="1:22" x14ac:dyDescent="0.25">
      <c r="A548" t="s">
        <v>86</v>
      </c>
      <c r="B548">
        <v>3</v>
      </c>
      <c r="C548" t="s">
        <v>71</v>
      </c>
      <c r="D548" t="s">
        <v>87</v>
      </c>
      <c r="E548" t="s">
        <v>88</v>
      </c>
      <c r="F548">
        <v>300</v>
      </c>
      <c r="G548">
        <v>1200</v>
      </c>
      <c r="H548">
        <v>-3</v>
      </c>
      <c r="I548">
        <v>1982</v>
      </c>
      <c r="J548" t="s">
        <v>76</v>
      </c>
      <c r="K548">
        <v>2560</v>
      </c>
      <c r="L548">
        <v>16.04</v>
      </c>
      <c r="M548">
        <v>8.66</v>
      </c>
      <c r="N548" s="4">
        <f t="shared" si="16"/>
        <v>2.0196605599999997E-2</v>
      </c>
      <c r="O548" s="4">
        <f t="shared" si="17"/>
        <v>0.17490260449599998</v>
      </c>
      <c r="P548">
        <v>100</v>
      </c>
      <c r="Q548">
        <v>3</v>
      </c>
      <c r="R548">
        <v>4</v>
      </c>
      <c r="S548">
        <v>4</v>
      </c>
      <c r="T548">
        <v>4</v>
      </c>
      <c r="U548">
        <v>4</v>
      </c>
      <c r="V548" t="s">
        <v>25</v>
      </c>
    </row>
    <row r="549" spans="1:22" x14ac:dyDescent="0.25">
      <c r="A549" t="s">
        <v>86</v>
      </c>
      <c r="B549">
        <v>3</v>
      </c>
      <c r="C549" t="s">
        <v>71</v>
      </c>
      <c r="D549" t="s">
        <v>87</v>
      </c>
      <c r="E549" t="s">
        <v>88</v>
      </c>
      <c r="F549">
        <v>300</v>
      </c>
      <c r="G549">
        <v>1200</v>
      </c>
      <c r="H549">
        <v>-3</v>
      </c>
      <c r="I549">
        <v>1982</v>
      </c>
      <c r="J549" t="s">
        <v>56</v>
      </c>
      <c r="K549">
        <v>1111</v>
      </c>
      <c r="L549">
        <v>11.9</v>
      </c>
      <c r="M549">
        <v>7.2</v>
      </c>
      <c r="N549" s="4">
        <f t="shared" si="16"/>
        <v>1.1116385000000001E-2</v>
      </c>
      <c r="O549" s="4">
        <f t="shared" si="17"/>
        <v>8.0037972000000013E-2</v>
      </c>
      <c r="P549">
        <v>100</v>
      </c>
      <c r="Q549">
        <v>3</v>
      </c>
      <c r="R549">
        <v>2</v>
      </c>
      <c r="S549">
        <v>3</v>
      </c>
      <c r="T549">
        <v>3</v>
      </c>
      <c r="U549">
        <v>3</v>
      </c>
      <c r="V549" t="s">
        <v>38</v>
      </c>
    </row>
    <row r="550" spans="1:22" x14ac:dyDescent="0.25">
      <c r="A550" t="s">
        <v>86</v>
      </c>
      <c r="B550">
        <v>3</v>
      </c>
      <c r="C550" t="s">
        <v>71</v>
      </c>
      <c r="D550" t="s">
        <v>87</v>
      </c>
      <c r="E550" t="s">
        <v>88</v>
      </c>
      <c r="F550">
        <v>300</v>
      </c>
      <c r="G550">
        <v>1200</v>
      </c>
      <c r="H550">
        <v>-3</v>
      </c>
      <c r="I550">
        <v>1982</v>
      </c>
      <c r="J550" t="s">
        <v>57</v>
      </c>
      <c r="K550">
        <v>2620</v>
      </c>
      <c r="L550">
        <v>2.66</v>
      </c>
      <c r="M550">
        <v>2.08</v>
      </c>
      <c r="N550" s="4">
        <f t="shared" si="16"/>
        <v>5.5543460000000015E-4</v>
      </c>
      <c r="O550" s="4">
        <f t="shared" si="17"/>
        <v>1.1553039680000004E-3</v>
      </c>
      <c r="P550">
        <v>100</v>
      </c>
      <c r="Q550">
        <v>2</v>
      </c>
      <c r="R550">
        <v>1.5</v>
      </c>
      <c r="S550">
        <v>1</v>
      </c>
      <c r="T550">
        <v>2</v>
      </c>
      <c r="U550">
        <v>3</v>
      </c>
      <c r="V550" t="s">
        <v>50</v>
      </c>
    </row>
    <row r="551" spans="1:22" x14ac:dyDescent="0.25">
      <c r="A551" t="s">
        <v>86</v>
      </c>
      <c r="B551">
        <v>3</v>
      </c>
      <c r="C551" t="s">
        <v>71</v>
      </c>
      <c r="D551" t="s">
        <v>87</v>
      </c>
      <c r="E551" t="s">
        <v>88</v>
      </c>
      <c r="F551">
        <v>300</v>
      </c>
      <c r="G551">
        <v>1200</v>
      </c>
      <c r="H551">
        <v>-3</v>
      </c>
      <c r="I551">
        <v>1982</v>
      </c>
      <c r="J551" t="s">
        <v>57</v>
      </c>
      <c r="K551">
        <v>2621</v>
      </c>
      <c r="L551">
        <v>5.0999999999999996</v>
      </c>
      <c r="M551">
        <v>2.66</v>
      </c>
      <c r="N551" s="4">
        <f t="shared" si="16"/>
        <v>2.041785E-3</v>
      </c>
      <c r="O551" s="4">
        <f t="shared" si="17"/>
        <v>5.4311480999999998E-3</v>
      </c>
      <c r="P551">
        <v>75</v>
      </c>
      <c r="Q551">
        <v>3</v>
      </c>
      <c r="R551">
        <v>2</v>
      </c>
      <c r="S551">
        <v>2</v>
      </c>
      <c r="T551">
        <v>2</v>
      </c>
      <c r="U551">
        <v>3</v>
      </c>
      <c r="V551" t="s">
        <v>30</v>
      </c>
    </row>
    <row r="552" spans="1:22" x14ac:dyDescent="0.25">
      <c r="A552" t="s">
        <v>86</v>
      </c>
      <c r="B552">
        <v>3</v>
      </c>
      <c r="C552" t="s">
        <v>71</v>
      </c>
      <c r="D552" t="s">
        <v>87</v>
      </c>
      <c r="E552" t="s">
        <v>88</v>
      </c>
      <c r="F552">
        <v>300</v>
      </c>
      <c r="G552">
        <v>1200</v>
      </c>
      <c r="H552">
        <v>-3</v>
      </c>
      <c r="I552">
        <v>1982</v>
      </c>
      <c r="J552" t="s">
        <v>58</v>
      </c>
      <c r="K552">
        <v>2638</v>
      </c>
      <c r="L552">
        <v>12.24</v>
      </c>
      <c r="M552">
        <v>5.83</v>
      </c>
      <c r="N552" s="4">
        <f t="shared" si="16"/>
        <v>1.1760681600000001E-2</v>
      </c>
      <c r="O552" s="4">
        <f t="shared" si="17"/>
        <v>6.8564773728000003E-2</v>
      </c>
      <c r="P552">
        <v>25</v>
      </c>
      <c r="Q552">
        <v>2</v>
      </c>
      <c r="R552">
        <v>3</v>
      </c>
      <c r="S552">
        <v>3</v>
      </c>
      <c r="T552">
        <v>3</v>
      </c>
      <c r="U552">
        <v>3</v>
      </c>
      <c r="V552" t="s">
        <v>30</v>
      </c>
    </row>
    <row r="553" spans="1:22" x14ac:dyDescent="0.25">
      <c r="A553" t="s">
        <v>86</v>
      </c>
      <c r="B553">
        <v>3</v>
      </c>
      <c r="C553" t="s">
        <v>71</v>
      </c>
      <c r="D553" t="s">
        <v>87</v>
      </c>
      <c r="E553" t="s">
        <v>88</v>
      </c>
      <c r="F553">
        <v>300</v>
      </c>
      <c r="G553">
        <v>1200</v>
      </c>
      <c r="H553">
        <v>-3</v>
      </c>
      <c r="I553">
        <v>1982</v>
      </c>
      <c r="J553" t="s">
        <v>59</v>
      </c>
      <c r="K553">
        <v>2426</v>
      </c>
      <c r="L553">
        <v>21.93</v>
      </c>
      <c r="M553">
        <v>9.84</v>
      </c>
      <c r="N553" s="4">
        <f t="shared" si="16"/>
        <v>3.775260465E-2</v>
      </c>
      <c r="O553" s="4">
        <f t="shared" si="17"/>
        <v>0.37148562975600002</v>
      </c>
      <c r="P553">
        <v>100</v>
      </c>
      <c r="Q553">
        <v>4</v>
      </c>
      <c r="R553">
        <v>3</v>
      </c>
      <c r="S553">
        <v>3.5</v>
      </c>
      <c r="T553">
        <v>3</v>
      </c>
      <c r="U553">
        <v>2</v>
      </c>
      <c r="V553" t="s">
        <v>25</v>
      </c>
    </row>
    <row r="554" spans="1:22" x14ac:dyDescent="0.25">
      <c r="A554" t="s">
        <v>86</v>
      </c>
      <c r="B554">
        <v>3</v>
      </c>
      <c r="C554" t="s">
        <v>71</v>
      </c>
      <c r="D554" t="s">
        <v>87</v>
      </c>
      <c r="E554" t="s">
        <v>88</v>
      </c>
      <c r="F554">
        <v>300</v>
      </c>
      <c r="G554">
        <v>1200</v>
      </c>
      <c r="H554">
        <v>-3</v>
      </c>
      <c r="I554">
        <v>1982</v>
      </c>
      <c r="J554" t="s">
        <v>59</v>
      </c>
      <c r="K554">
        <v>1482</v>
      </c>
      <c r="L554">
        <v>24.16</v>
      </c>
      <c r="M554">
        <v>10.31</v>
      </c>
      <c r="N554" s="4">
        <f t="shared" si="16"/>
        <v>4.5820889600000005E-2</v>
      </c>
      <c r="O554" s="4">
        <f t="shared" si="17"/>
        <v>0.47241337177600007</v>
      </c>
      <c r="P554">
        <v>75</v>
      </c>
      <c r="Q554">
        <v>4.5</v>
      </c>
      <c r="R554">
        <v>3</v>
      </c>
      <c r="S554">
        <v>4</v>
      </c>
      <c r="T554">
        <v>3</v>
      </c>
      <c r="U554">
        <v>2</v>
      </c>
      <c r="V554" t="s">
        <v>25</v>
      </c>
    </row>
    <row r="555" spans="1:22" x14ac:dyDescent="0.25">
      <c r="A555" t="s">
        <v>86</v>
      </c>
      <c r="B555">
        <v>3</v>
      </c>
      <c r="C555" t="s">
        <v>71</v>
      </c>
      <c r="D555" t="s">
        <v>87</v>
      </c>
      <c r="E555" t="s">
        <v>88</v>
      </c>
      <c r="F555">
        <v>300</v>
      </c>
      <c r="G555">
        <v>1200</v>
      </c>
      <c r="H555">
        <v>-3</v>
      </c>
      <c r="I555">
        <v>1982</v>
      </c>
      <c r="J555" t="s">
        <v>59</v>
      </c>
      <c r="K555">
        <v>2548</v>
      </c>
      <c r="L555">
        <v>24.77</v>
      </c>
      <c r="M555">
        <v>10.67</v>
      </c>
      <c r="N555" s="4">
        <f t="shared" si="16"/>
        <v>4.816390265E-2</v>
      </c>
      <c r="O555" s="4">
        <f t="shared" si="17"/>
        <v>0.51390884127549996</v>
      </c>
      <c r="P555">
        <v>100</v>
      </c>
      <c r="Q555">
        <v>4.5</v>
      </c>
      <c r="R555">
        <v>3</v>
      </c>
      <c r="S555">
        <v>4</v>
      </c>
      <c r="T555">
        <v>3</v>
      </c>
      <c r="U555">
        <v>2</v>
      </c>
      <c r="V555" t="s">
        <v>25</v>
      </c>
    </row>
    <row r="556" spans="1:22" x14ac:dyDescent="0.25">
      <c r="A556" t="s">
        <v>86</v>
      </c>
      <c r="B556">
        <v>3</v>
      </c>
      <c r="C556" t="s">
        <v>71</v>
      </c>
      <c r="D556" t="s">
        <v>87</v>
      </c>
      <c r="E556" t="s">
        <v>88</v>
      </c>
      <c r="F556">
        <v>300</v>
      </c>
      <c r="G556">
        <v>1200</v>
      </c>
      <c r="H556">
        <v>-3</v>
      </c>
      <c r="I556">
        <v>1982</v>
      </c>
      <c r="J556" t="s">
        <v>26</v>
      </c>
      <c r="K556">
        <v>2552</v>
      </c>
      <c r="L556">
        <v>16.829999999999998</v>
      </c>
      <c r="M556">
        <v>10.31</v>
      </c>
      <c r="N556" s="4">
        <f t="shared" si="16"/>
        <v>2.2235038649999993E-2</v>
      </c>
      <c r="O556" s="4">
        <f t="shared" si="17"/>
        <v>0.22924324848149993</v>
      </c>
      <c r="P556">
        <v>75</v>
      </c>
      <c r="Q556">
        <v>4</v>
      </c>
      <c r="R556">
        <v>3</v>
      </c>
      <c r="S556">
        <v>4</v>
      </c>
      <c r="T556">
        <v>4</v>
      </c>
      <c r="U556">
        <v>3</v>
      </c>
      <c r="V556" t="s">
        <v>27</v>
      </c>
    </row>
    <row r="557" spans="1:22" x14ac:dyDescent="0.25">
      <c r="A557" t="s">
        <v>86</v>
      </c>
      <c r="B557">
        <v>3</v>
      </c>
      <c r="C557" t="s">
        <v>71</v>
      </c>
      <c r="D557" t="s">
        <v>87</v>
      </c>
      <c r="E557" t="s">
        <v>88</v>
      </c>
      <c r="F557">
        <v>300</v>
      </c>
      <c r="G557">
        <v>1200</v>
      </c>
      <c r="H557">
        <v>-3</v>
      </c>
      <c r="I557">
        <v>1982</v>
      </c>
      <c r="J557" t="s">
        <v>61</v>
      </c>
      <c r="K557">
        <v>1171</v>
      </c>
      <c r="L557">
        <v>8.4</v>
      </c>
      <c r="M557">
        <v>3.91</v>
      </c>
      <c r="N557" s="4">
        <f t="shared" si="16"/>
        <v>5.5389600000000008E-3</v>
      </c>
      <c r="O557" s="4">
        <f t="shared" si="17"/>
        <v>2.1657333600000005E-2</v>
      </c>
      <c r="P557">
        <v>100</v>
      </c>
      <c r="Q557">
        <v>3</v>
      </c>
      <c r="R557">
        <v>2</v>
      </c>
      <c r="S557">
        <v>1</v>
      </c>
      <c r="T557">
        <v>2</v>
      </c>
      <c r="U557">
        <v>1</v>
      </c>
      <c r="V557" t="s">
        <v>50</v>
      </c>
    </row>
    <row r="558" spans="1:22" x14ac:dyDescent="0.25">
      <c r="A558" t="s">
        <v>86</v>
      </c>
      <c r="B558">
        <v>3</v>
      </c>
      <c r="C558" t="s">
        <v>71</v>
      </c>
      <c r="D558" t="s">
        <v>87</v>
      </c>
      <c r="E558" t="s">
        <v>88</v>
      </c>
      <c r="F558">
        <v>300</v>
      </c>
      <c r="G558">
        <v>1200</v>
      </c>
      <c r="H558">
        <v>-3</v>
      </c>
      <c r="I558">
        <v>1982</v>
      </c>
      <c r="J558" t="s">
        <v>61</v>
      </c>
      <c r="K558">
        <v>2631</v>
      </c>
      <c r="L558">
        <v>5.75</v>
      </c>
      <c r="M558">
        <v>4.26</v>
      </c>
      <c r="N558" s="4">
        <f t="shared" si="16"/>
        <v>2.5954062500000001E-3</v>
      </c>
      <c r="O558" s="4">
        <f t="shared" si="17"/>
        <v>1.1056430625E-2</v>
      </c>
      <c r="P558">
        <v>75</v>
      </c>
      <c r="Q558">
        <v>2</v>
      </c>
      <c r="R558">
        <v>3</v>
      </c>
      <c r="S558">
        <v>2</v>
      </c>
      <c r="T558">
        <v>2</v>
      </c>
      <c r="U558">
        <v>2</v>
      </c>
      <c r="V558" t="s">
        <v>50</v>
      </c>
    </row>
    <row r="559" spans="1:22" x14ac:dyDescent="0.25">
      <c r="A559" t="s">
        <v>86</v>
      </c>
      <c r="B559">
        <v>3</v>
      </c>
      <c r="C559" t="s">
        <v>71</v>
      </c>
      <c r="D559" t="s">
        <v>87</v>
      </c>
      <c r="E559" t="s">
        <v>88</v>
      </c>
      <c r="F559">
        <v>300</v>
      </c>
      <c r="G559">
        <v>1200</v>
      </c>
      <c r="H559">
        <v>-3</v>
      </c>
      <c r="I559">
        <v>1982</v>
      </c>
      <c r="J559" t="s">
        <v>32</v>
      </c>
      <c r="K559">
        <v>1595</v>
      </c>
      <c r="L559">
        <v>16.54</v>
      </c>
      <c r="M559">
        <v>7.23</v>
      </c>
      <c r="N559" s="4">
        <f t="shared" si="16"/>
        <v>2.1475370599999998E-2</v>
      </c>
      <c r="O559" s="4">
        <f t="shared" si="17"/>
        <v>0.155266929438</v>
      </c>
      <c r="P559">
        <v>100</v>
      </c>
      <c r="Q559">
        <v>3</v>
      </c>
      <c r="R559">
        <v>2.5</v>
      </c>
      <c r="S559">
        <v>3</v>
      </c>
      <c r="T559">
        <v>4</v>
      </c>
      <c r="U559">
        <v>2</v>
      </c>
      <c r="V559" t="s">
        <v>25</v>
      </c>
    </row>
    <row r="560" spans="1:22" x14ac:dyDescent="0.25">
      <c r="A560" t="s">
        <v>86</v>
      </c>
      <c r="B560">
        <v>3</v>
      </c>
      <c r="C560" t="s">
        <v>71</v>
      </c>
      <c r="D560" t="s">
        <v>87</v>
      </c>
      <c r="E560" t="s">
        <v>88</v>
      </c>
      <c r="F560">
        <v>300</v>
      </c>
      <c r="G560">
        <v>1200</v>
      </c>
      <c r="H560">
        <v>-3</v>
      </c>
      <c r="I560">
        <v>1982</v>
      </c>
      <c r="J560" t="s">
        <v>32</v>
      </c>
      <c r="K560">
        <v>2569</v>
      </c>
      <c r="L560">
        <v>13.73</v>
      </c>
      <c r="M560">
        <v>7.6</v>
      </c>
      <c r="N560" s="4">
        <f t="shared" si="16"/>
        <v>1.4798262650000003E-2</v>
      </c>
      <c r="O560" s="4">
        <f t="shared" si="17"/>
        <v>0.11246679614000002</v>
      </c>
      <c r="P560">
        <v>75</v>
      </c>
      <c r="Q560">
        <v>2.5</v>
      </c>
      <c r="R560">
        <v>2</v>
      </c>
      <c r="S560">
        <v>3</v>
      </c>
      <c r="T560">
        <v>3</v>
      </c>
      <c r="U560">
        <v>3</v>
      </c>
      <c r="V560" t="s">
        <v>38</v>
      </c>
    </row>
    <row r="561" spans="1:22" x14ac:dyDescent="0.25">
      <c r="A561" t="s">
        <v>86</v>
      </c>
      <c r="B561">
        <v>3</v>
      </c>
      <c r="C561" t="s">
        <v>71</v>
      </c>
      <c r="D561" t="s">
        <v>87</v>
      </c>
      <c r="E561" t="s">
        <v>88</v>
      </c>
      <c r="F561">
        <v>300</v>
      </c>
      <c r="G561">
        <v>1200</v>
      </c>
      <c r="H561">
        <v>-3</v>
      </c>
      <c r="I561">
        <v>1982</v>
      </c>
      <c r="J561" t="s">
        <v>32</v>
      </c>
      <c r="K561">
        <v>2634</v>
      </c>
      <c r="L561">
        <v>16.3</v>
      </c>
      <c r="M561">
        <v>7.84</v>
      </c>
      <c r="N561" s="4">
        <f t="shared" si="16"/>
        <v>2.0856665000000003E-2</v>
      </c>
      <c r="O561" s="4">
        <f t="shared" si="17"/>
        <v>0.16351625360000002</v>
      </c>
      <c r="P561">
        <v>100</v>
      </c>
      <c r="Q561">
        <v>3</v>
      </c>
      <c r="R561">
        <v>3</v>
      </c>
      <c r="S561">
        <v>3</v>
      </c>
      <c r="T561">
        <v>3</v>
      </c>
      <c r="U561">
        <v>3</v>
      </c>
      <c r="V561" t="s">
        <v>38</v>
      </c>
    </row>
    <row r="562" spans="1:22" x14ac:dyDescent="0.25">
      <c r="A562" t="s">
        <v>86</v>
      </c>
      <c r="B562">
        <v>3</v>
      </c>
      <c r="C562" t="s">
        <v>71</v>
      </c>
      <c r="D562" t="s">
        <v>87</v>
      </c>
      <c r="E562" t="s">
        <v>88</v>
      </c>
      <c r="F562">
        <v>300</v>
      </c>
      <c r="G562">
        <v>1200</v>
      </c>
      <c r="H562">
        <v>-3</v>
      </c>
      <c r="I562">
        <v>1982</v>
      </c>
      <c r="J562" t="s">
        <v>32</v>
      </c>
      <c r="K562">
        <v>2635</v>
      </c>
      <c r="L562">
        <v>13.73</v>
      </c>
      <c r="M562">
        <v>8.58</v>
      </c>
      <c r="N562" s="4">
        <f t="shared" si="16"/>
        <v>1.4798262650000003E-2</v>
      </c>
      <c r="O562" s="4">
        <f t="shared" si="17"/>
        <v>0.12696909353700003</v>
      </c>
      <c r="P562">
        <v>75</v>
      </c>
      <c r="Q562">
        <v>3</v>
      </c>
      <c r="R562">
        <v>3</v>
      </c>
      <c r="S562">
        <v>3</v>
      </c>
      <c r="T562">
        <v>3</v>
      </c>
      <c r="U562">
        <v>3</v>
      </c>
      <c r="V562" t="s">
        <v>38</v>
      </c>
    </row>
    <row r="563" spans="1:22" x14ac:dyDescent="0.25">
      <c r="A563" t="s">
        <v>86</v>
      </c>
      <c r="B563">
        <v>3</v>
      </c>
      <c r="C563" t="s">
        <v>71</v>
      </c>
      <c r="D563" t="s">
        <v>87</v>
      </c>
      <c r="E563" t="s">
        <v>88</v>
      </c>
      <c r="F563">
        <v>300</v>
      </c>
      <c r="G563">
        <v>1200</v>
      </c>
      <c r="H563">
        <v>-3</v>
      </c>
      <c r="I563">
        <v>1982</v>
      </c>
      <c r="J563" t="s">
        <v>34</v>
      </c>
      <c r="K563">
        <v>2570</v>
      </c>
      <c r="L563">
        <v>16.93</v>
      </c>
      <c r="M563">
        <v>8.1</v>
      </c>
      <c r="N563" s="4">
        <f t="shared" si="16"/>
        <v>2.2500054650000004E-2</v>
      </c>
      <c r="O563" s="4">
        <f t="shared" si="17"/>
        <v>0.18225044266500001</v>
      </c>
      <c r="P563">
        <v>75</v>
      </c>
      <c r="Q563">
        <v>2.5</v>
      </c>
      <c r="R563">
        <v>2</v>
      </c>
      <c r="S563">
        <v>2.5</v>
      </c>
      <c r="T563">
        <v>2.5</v>
      </c>
      <c r="U563">
        <v>2</v>
      </c>
      <c r="V563" t="s">
        <v>38</v>
      </c>
    </row>
    <row r="564" spans="1:22" x14ac:dyDescent="0.25">
      <c r="A564" t="s">
        <v>86</v>
      </c>
      <c r="B564">
        <v>3</v>
      </c>
      <c r="C564" t="s">
        <v>71</v>
      </c>
      <c r="D564" t="s">
        <v>87</v>
      </c>
      <c r="E564" t="s">
        <v>88</v>
      </c>
      <c r="F564">
        <v>300</v>
      </c>
      <c r="G564">
        <v>1200</v>
      </c>
      <c r="H564">
        <v>-3</v>
      </c>
      <c r="I564">
        <v>1982</v>
      </c>
      <c r="J564" t="s">
        <v>35</v>
      </c>
      <c r="K564">
        <v>1788</v>
      </c>
      <c r="L564">
        <v>2.68</v>
      </c>
      <c r="M564">
        <v>2.33</v>
      </c>
      <c r="N564" s="4">
        <f t="shared" si="16"/>
        <v>5.6381840000000014E-4</v>
      </c>
      <c r="O564" s="4">
        <f t="shared" si="17"/>
        <v>1.3136968720000005E-3</v>
      </c>
      <c r="P564">
        <v>75</v>
      </c>
      <c r="Q564">
        <v>1</v>
      </c>
      <c r="R564">
        <v>1.5</v>
      </c>
      <c r="S564">
        <v>2</v>
      </c>
      <c r="T564">
        <v>2</v>
      </c>
      <c r="U564">
        <v>2</v>
      </c>
      <c r="V564" t="s">
        <v>50</v>
      </c>
    </row>
    <row r="565" spans="1:22" x14ac:dyDescent="0.25">
      <c r="A565" t="s">
        <v>86</v>
      </c>
      <c r="B565">
        <v>3</v>
      </c>
      <c r="C565" t="s">
        <v>71</v>
      </c>
      <c r="D565" t="s">
        <v>87</v>
      </c>
      <c r="E565" t="s">
        <v>88</v>
      </c>
      <c r="F565">
        <v>300</v>
      </c>
      <c r="G565">
        <v>1200</v>
      </c>
      <c r="H565">
        <v>-3</v>
      </c>
      <c r="I565">
        <v>1982</v>
      </c>
      <c r="J565" t="s">
        <v>35</v>
      </c>
      <c r="K565">
        <v>1259</v>
      </c>
      <c r="L565">
        <v>11.66</v>
      </c>
      <c r="M565">
        <v>6.18</v>
      </c>
      <c r="N565" s="4">
        <f t="shared" si="16"/>
        <v>1.06725146E-2</v>
      </c>
      <c r="O565" s="4">
        <f t="shared" si="17"/>
        <v>6.5956140228000004E-2</v>
      </c>
      <c r="P565">
        <v>75</v>
      </c>
      <c r="Q565">
        <v>3</v>
      </c>
      <c r="R565">
        <v>2</v>
      </c>
      <c r="S565">
        <v>3</v>
      </c>
      <c r="T565">
        <v>3</v>
      </c>
      <c r="U565">
        <v>3</v>
      </c>
      <c r="V565" t="s">
        <v>38</v>
      </c>
    </row>
    <row r="566" spans="1:22" x14ac:dyDescent="0.25">
      <c r="A566" t="s">
        <v>86</v>
      </c>
      <c r="B566">
        <v>3</v>
      </c>
      <c r="C566" t="s">
        <v>71</v>
      </c>
      <c r="D566" t="s">
        <v>87</v>
      </c>
      <c r="E566" t="s">
        <v>88</v>
      </c>
      <c r="F566">
        <v>300</v>
      </c>
      <c r="G566">
        <v>1200</v>
      </c>
      <c r="H566">
        <v>-3</v>
      </c>
      <c r="I566">
        <v>1982</v>
      </c>
      <c r="J566" t="s">
        <v>35</v>
      </c>
      <c r="K566">
        <v>1785</v>
      </c>
      <c r="L566">
        <v>3.03</v>
      </c>
      <c r="M566">
        <v>1.75</v>
      </c>
      <c r="N566" s="4">
        <f t="shared" si="16"/>
        <v>7.207006499999998E-4</v>
      </c>
      <c r="O566" s="4">
        <f t="shared" si="17"/>
        <v>1.2612261374999997E-3</v>
      </c>
      <c r="P566">
        <v>75</v>
      </c>
      <c r="Q566">
        <v>1</v>
      </c>
      <c r="R566">
        <v>2</v>
      </c>
      <c r="S566">
        <v>2</v>
      </c>
      <c r="T566">
        <v>2</v>
      </c>
      <c r="U566">
        <v>2</v>
      </c>
      <c r="V566" t="s">
        <v>50</v>
      </c>
    </row>
    <row r="567" spans="1:22" x14ac:dyDescent="0.25">
      <c r="A567" t="s">
        <v>86</v>
      </c>
      <c r="B567">
        <v>3</v>
      </c>
      <c r="C567" t="s">
        <v>71</v>
      </c>
      <c r="D567" t="s">
        <v>87</v>
      </c>
      <c r="E567" t="s">
        <v>88</v>
      </c>
      <c r="F567">
        <v>300</v>
      </c>
      <c r="G567">
        <v>1200</v>
      </c>
      <c r="H567">
        <v>-3</v>
      </c>
      <c r="I567">
        <v>1982</v>
      </c>
      <c r="J567" t="s">
        <v>35</v>
      </c>
      <c r="K567">
        <v>2571</v>
      </c>
      <c r="L567">
        <v>6.41</v>
      </c>
      <c r="M567">
        <v>3.26</v>
      </c>
      <c r="N567" s="4">
        <f t="shared" si="16"/>
        <v>3.2254158500000006E-3</v>
      </c>
      <c r="O567" s="4">
        <f t="shared" si="17"/>
        <v>1.0514855671000002E-2</v>
      </c>
      <c r="P567">
        <v>75</v>
      </c>
      <c r="Q567">
        <v>2</v>
      </c>
      <c r="R567">
        <v>2</v>
      </c>
      <c r="S567">
        <v>2</v>
      </c>
      <c r="T567">
        <v>2</v>
      </c>
      <c r="U567">
        <v>2</v>
      </c>
      <c r="V567" t="s">
        <v>30</v>
      </c>
    </row>
    <row r="568" spans="1:22" x14ac:dyDescent="0.25">
      <c r="A568" t="s">
        <v>86</v>
      </c>
      <c r="B568">
        <v>3</v>
      </c>
      <c r="C568" t="s">
        <v>71</v>
      </c>
      <c r="D568" t="s">
        <v>87</v>
      </c>
      <c r="E568" t="s">
        <v>88</v>
      </c>
      <c r="F568">
        <v>300</v>
      </c>
      <c r="G568">
        <v>1200</v>
      </c>
      <c r="H568">
        <v>-3</v>
      </c>
      <c r="I568">
        <v>1982</v>
      </c>
      <c r="J568" t="s">
        <v>36</v>
      </c>
      <c r="K568">
        <v>2573</v>
      </c>
      <c r="L568">
        <v>10.78</v>
      </c>
      <c r="M568">
        <v>6.62</v>
      </c>
      <c r="N568" s="4">
        <f t="shared" si="16"/>
        <v>9.1223593999999984E-3</v>
      </c>
      <c r="O568" s="4">
        <f t="shared" si="17"/>
        <v>6.039001922799999E-2</v>
      </c>
      <c r="P568">
        <v>100</v>
      </c>
      <c r="Q568">
        <v>2.5</v>
      </c>
      <c r="R568">
        <v>4</v>
      </c>
      <c r="S568">
        <v>3</v>
      </c>
      <c r="T568">
        <v>3</v>
      </c>
      <c r="U568">
        <v>2</v>
      </c>
      <c r="V568" t="s">
        <v>38</v>
      </c>
    </row>
    <row r="569" spans="1:22" x14ac:dyDescent="0.25">
      <c r="A569" t="s">
        <v>86</v>
      </c>
      <c r="B569">
        <v>3</v>
      </c>
      <c r="C569" t="s">
        <v>71</v>
      </c>
      <c r="D569" t="s">
        <v>87</v>
      </c>
      <c r="E569" t="s">
        <v>88</v>
      </c>
      <c r="F569">
        <v>300</v>
      </c>
      <c r="G569">
        <v>1200</v>
      </c>
      <c r="H569">
        <v>-3</v>
      </c>
      <c r="I569">
        <v>1982</v>
      </c>
      <c r="J569" t="s">
        <v>62</v>
      </c>
      <c r="K569">
        <v>2550</v>
      </c>
      <c r="L569">
        <v>14.59</v>
      </c>
      <c r="M569">
        <v>8.68</v>
      </c>
      <c r="N569" s="4">
        <f t="shared" si="16"/>
        <v>1.671014585E-2</v>
      </c>
      <c r="O569" s="4">
        <f t="shared" si="17"/>
        <v>0.14504406597799999</v>
      </c>
      <c r="P569">
        <v>100</v>
      </c>
      <c r="Q569">
        <v>3</v>
      </c>
      <c r="R569">
        <v>2</v>
      </c>
      <c r="S569">
        <v>4</v>
      </c>
      <c r="T569">
        <v>3</v>
      </c>
      <c r="U569">
        <v>3</v>
      </c>
      <c r="V569" t="s">
        <v>38</v>
      </c>
    </row>
    <row r="570" spans="1:22" x14ac:dyDescent="0.25">
      <c r="A570" t="s">
        <v>86</v>
      </c>
      <c r="B570">
        <v>3</v>
      </c>
      <c r="C570" t="s">
        <v>71</v>
      </c>
      <c r="D570" t="s">
        <v>87</v>
      </c>
      <c r="E570" t="s">
        <v>88</v>
      </c>
      <c r="F570">
        <v>300</v>
      </c>
      <c r="G570">
        <v>1200</v>
      </c>
      <c r="H570">
        <v>-3</v>
      </c>
      <c r="I570">
        <v>1982</v>
      </c>
      <c r="J570" t="s">
        <v>62</v>
      </c>
      <c r="K570">
        <v>1352</v>
      </c>
      <c r="L570">
        <v>17.95</v>
      </c>
      <c r="M570">
        <v>13.09</v>
      </c>
      <c r="N570" s="4">
        <f t="shared" si="16"/>
        <v>2.5292896249999999E-2</v>
      </c>
      <c r="O570" s="4">
        <f t="shared" si="17"/>
        <v>0.33108401191249998</v>
      </c>
      <c r="P570">
        <v>75</v>
      </c>
      <c r="Q570">
        <v>4</v>
      </c>
      <c r="R570">
        <v>3</v>
      </c>
      <c r="S570">
        <v>4</v>
      </c>
      <c r="T570">
        <v>3.5</v>
      </c>
      <c r="U570">
        <v>3</v>
      </c>
      <c r="V570" t="s">
        <v>25</v>
      </c>
    </row>
    <row r="571" spans="1:22" x14ac:dyDescent="0.25">
      <c r="A571" t="s">
        <v>86</v>
      </c>
      <c r="B571">
        <v>3</v>
      </c>
      <c r="C571" t="s">
        <v>71</v>
      </c>
      <c r="D571" t="s">
        <v>87</v>
      </c>
      <c r="E571" t="s">
        <v>88</v>
      </c>
      <c r="F571">
        <v>300</v>
      </c>
      <c r="G571">
        <v>1200</v>
      </c>
      <c r="H571">
        <v>-3</v>
      </c>
      <c r="I571">
        <v>1982</v>
      </c>
      <c r="J571" t="s">
        <v>62</v>
      </c>
      <c r="K571">
        <v>2432</v>
      </c>
      <c r="L571">
        <v>18.87</v>
      </c>
      <c r="M571">
        <v>14.24</v>
      </c>
      <c r="N571" s="4">
        <f t="shared" si="16"/>
        <v>2.7952036650000005E-2</v>
      </c>
      <c r="O571" s="4">
        <f t="shared" si="17"/>
        <v>0.39803700189600005</v>
      </c>
      <c r="P571">
        <v>75</v>
      </c>
      <c r="Q571">
        <v>5</v>
      </c>
      <c r="R571">
        <v>3</v>
      </c>
      <c r="S571">
        <v>5</v>
      </c>
      <c r="T571">
        <v>4</v>
      </c>
      <c r="U571">
        <v>4.5</v>
      </c>
      <c r="V571" t="s">
        <v>27</v>
      </c>
    </row>
    <row r="572" spans="1:22" x14ac:dyDescent="0.25">
      <c r="A572" t="s">
        <v>86</v>
      </c>
      <c r="B572">
        <v>3</v>
      </c>
      <c r="C572" t="s">
        <v>71</v>
      </c>
      <c r="D572" t="s">
        <v>87</v>
      </c>
      <c r="E572" t="s">
        <v>88</v>
      </c>
      <c r="F572">
        <v>300</v>
      </c>
      <c r="G572">
        <v>1200</v>
      </c>
      <c r="H572">
        <v>-3</v>
      </c>
      <c r="I572">
        <v>1982</v>
      </c>
      <c r="J572" t="s">
        <v>62</v>
      </c>
      <c r="K572">
        <v>2553</v>
      </c>
      <c r="L572">
        <v>17.72</v>
      </c>
      <c r="M572">
        <v>11.93</v>
      </c>
      <c r="N572" s="4">
        <f t="shared" si="16"/>
        <v>2.46488744E-2</v>
      </c>
      <c r="O572" s="4">
        <f t="shared" si="17"/>
        <v>0.29406107159200001</v>
      </c>
      <c r="P572">
        <v>75</v>
      </c>
      <c r="Q572">
        <v>4</v>
      </c>
      <c r="R572">
        <v>3</v>
      </c>
      <c r="S572">
        <v>5</v>
      </c>
      <c r="T572">
        <v>4</v>
      </c>
      <c r="U572">
        <v>4</v>
      </c>
      <c r="V572" t="s">
        <v>27</v>
      </c>
    </row>
    <row r="573" spans="1:22" x14ac:dyDescent="0.25">
      <c r="A573" t="s">
        <v>86</v>
      </c>
      <c r="B573">
        <v>3</v>
      </c>
      <c r="C573" t="s">
        <v>71</v>
      </c>
      <c r="D573" t="s">
        <v>87</v>
      </c>
      <c r="E573" t="s">
        <v>88</v>
      </c>
      <c r="F573">
        <v>300</v>
      </c>
      <c r="G573">
        <v>1200</v>
      </c>
      <c r="H573">
        <v>-3</v>
      </c>
      <c r="I573">
        <v>1982</v>
      </c>
      <c r="J573" t="s">
        <v>62</v>
      </c>
      <c r="K573">
        <v>2574</v>
      </c>
      <c r="L573">
        <v>13.55</v>
      </c>
      <c r="M573">
        <v>9.26</v>
      </c>
      <c r="N573" s="4">
        <f t="shared" si="16"/>
        <v>1.4412796250000002E-2</v>
      </c>
      <c r="O573" s="4">
        <f t="shared" si="17"/>
        <v>0.13346249327500001</v>
      </c>
      <c r="P573">
        <v>75</v>
      </c>
      <c r="Q573">
        <v>3</v>
      </c>
      <c r="R573">
        <v>3</v>
      </c>
      <c r="S573">
        <v>4</v>
      </c>
      <c r="T573">
        <v>4</v>
      </c>
      <c r="U573">
        <v>3.5</v>
      </c>
      <c r="V573" t="s">
        <v>25</v>
      </c>
    </row>
    <row r="574" spans="1:22" x14ac:dyDescent="0.25">
      <c r="A574" t="s">
        <v>86</v>
      </c>
      <c r="B574">
        <v>3</v>
      </c>
      <c r="C574" t="s">
        <v>71</v>
      </c>
      <c r="D574" t="s">
        <v>87</v>
      </c>
      <c r="E574" t="s">
        <v>88</v>
      </c>
      <c r="F574">
        <v>300</v>
      </c>
      <c r="G574">
        <v>1200</v>
      </c>
      <c r="H574">
        <v>-3</v>
      </c>
      <c r="I574">
        <v>1982</v>
      </c>
      <c r="J574" t="s">
        <v>37</v>
      </c>
      <c r="K574">
        <v>2575</v>
      </c>
      <c r="L574">
        <v>9.6300000000000008</v>
      </c>
      <c r="M574">
        <v>5.1100000000000003</v>
      </c>
      <c r="N574" s="4">
        <f t="shared" si="16"/>
        <v>7.2798466500000021E-3</v>
      </c>
      <c r="O574" s="4">
        <f t="shared" si="17"/>
        <v>3.7200016381500015E-2</v>
      </c>
      <c r="P574">
        <v>50</v>
      </c>
      <c r="Q574">
        <v>1</v>
      </c>
      <c r="R574">
        <v>0.5</v>
      </c>
      <c r="S574">
        <v>2</v>
      </c>
      <c r="T574">
        <v>2</v>
      </c>
      <c r="U574">
        <v>2</v>
      </c>
      <c r="V574" t="s">
        <v>50</v>
      </c>
    </row>
    <row r="575" spans="1:22" x14ac:dyDescent="0.25">
      <c r="A575" t="s">
        <v>86</v>
      </c>
      <c r="B575">
        <v>3</v>
      </c>
      <c r="C575" t="s">
        <v>71</v>
      </c>
      <c r="D575" t="s">
        <v>87</v>
      </c>
      <c r="E575" t="s">
        <v>88</v>
      </c>
      <c r="F575">
        <v>300</v>
      </c>
      <c r="G575">
        <v>1200</v>
      </c>
      <c r="H575">
        <v>-3</v>
      </c>
      <c r="I575">
        <v>1982</v>
      </c>
      <c r="J575" t="s">
        <v>63</v>
      </c>
      <c r="K575">
        <v>1340</v>
      </c>
      <c r="L575">
        <v>2.63</v>
      </c>
      <c r="M575">
        <v>2.39</v>
      </c>
      <c r="N575" s="4">
        <f t="shared" si="16"/>
        <v>5.4297665000000003E-4</v>
      </c>
      <c r="O575" s="4">
        <f t="shared" si="17"/>
        <v>1.2977141935E-3</v>
      </c>
      <c r="P575">
        <v>50</v>
      </c>
      <c r="Q575">
        <v>1</v>
      </c>
      <c r="R575">
        <v>1.5</v>
      </c>
      <c r="S575">
        <v>1</v>
      </c>
      <c r="T575">
        <v>2</v>
      </c>
      <c r="U575">
        <v>2</v>
      </c>
      <c r="V575" t="s">
        <v>50</v>
      </c>
    </row>
    <row r="576" spans="1:22" x14ac:dyDescent="0.25">
      <c r="A576" t="s">
        <v>89</v>
      </c>
      <c r="B576">
        <v>1</v>
      </c>
      <c r="C576" t="s">
        <v>90</v>
      </c>
      <c r="D576" t="s">
        <v>91</v>
      </c>
      <c r="E576" t="s">
        <v>92</v>
      </c>
      <c r="F576">
        <v>150</v>
      </c>
      <c r="G576">
        <v>1300</v>
      </c>
      <c r="H576">
        <v>-2</v>
      </c>
      <c r="I576">
        <v>1983</v>
      </c>
      <c r="J576" t="s">
        <v>76</v>
      </c>
      <c r="K576">
        <v>1592</v>
      </c>
      <c r="L576">
        <v>43.29</v>
      </c>
      <c r="M576">
        <v>17.2</v>
      </c>
      <c r="N576" s="4">
        <f t="shared" si="16"/>
        <v>0.14711089185000001</v>
      </c>
      <c r="O576" s="4">
        <f t="shared" si="17"/>
        <v>2.5303073398200002</v>
      </c>
      <c r="P576">
        <v>20</v>
      </c>
      <c r="Q576">
        <v>4.5</v>
      </c>
      <c r="R576">
        <v>4.5</v>
      </c>
      <c r="S576">
        <v>3.7</v>
      </c>
      <c r="T576">
        <v>4</v>
      </c>
      <c r="U576">
        <v>3</v>
      </c>
      <c r="V576" t="s">
        <v>27</v>
      </c>
    </row>
    <row r="577" spans="1:22" x14ac:dyDescent="0.25">
      <c r="A577" t="s">
        <v>89</v>
      </c>
      <c r="B577">
        <v>1</v>
      </c>
      <c r="C577" t="s">
        <v>90</v>
      </c>
      <c r="D577" t="s">
        <v>91</v>
      </c>
      <c r="E577" t="s">
        <v>92</v>
      </c>
      <c r="F577">
        <v>150</v>
      </c>
      <c r="G577">
        <v>1300</v>
      </c>
      <c r="H577">
        <v>-2</v>
      </c>
      <c r="I577">
        <v>1983</v>
      </c>
      <c r="J577" t="s">
        <v>76</v>
      </c>
      <c r="K577">
        <v>2560</v>
      </c>
      <c r="L577">
        <v>24.94</v>
      </c>
      <c r="M577">
        <v>14.33</v>
      </c>
      <c r="N577" s="4">
        <f t="shared" si="16"/>
        <v>4.8827282600000008E-2</v>
      </c>
      <c r="O577" s="4">
        <f t="shared" si="17"/>
        <v>0.6996949596580001</v>
      </c>
      <c r="P577">
        <v>10</v>
      </c>
      <c r="Q577">
        <v>3</v>
      </c>
      <c r="R577">
        <v>4</v>
      </c>
      <c r="S577">
        <v>3.5</v>
      </c>
      <c r="T577">
        <v>4</v>
      </c>
      <c r="U577">
        <v>3</v>
      </c>
      <c r="V577" t="s">
        <v>25</v>
      </c>
    </row>
    <row r="578" spans="1:22" x14ac:dyDescent="0.25">
      <c r="A578" t="s">
        <v>89</v>
      </c>
      <c r="B578">
        <v>1</v>
      </c>
      <c r="C578" t="s">
        <v>90</v>
      </c>
      <c r="D578" t="s">
        <v>91</v>
      </c>
      <c r="E578" t="s">
        <v>92</v>
      </c>
      <c r="F578">
        <v>150</v>
      </c>
      <c r="G578">
        <v>1300</v>
      </c>
      <c r="H578">
        <v>-2</v>
      </c>
      <c r="I578">
        <v>1983</v>
      </c>
      <c r="J578" t="s">
        <v>24</v>
      </c>
      <c r="K578">
        <v>2562</v>
      </c>
      <c r="L578">
        <v>29.22</v>
      </c>
      <c r="M578">
        <v>13.58</v>
      </c>
      <c r="N578" s="4">
        <f t="shared" si="16"/>
        <v>6.7023959400000013E-2</v>
      </c>
      <c r="O578" s="4">
        <f t="shared" si="17"/>
        <v>0.91018536865200017</v>
      </c>
      <c r="P578">
        <v>30</v>
      </c>
      <c r="Q578">
        <v>3.6</v>
      </c>
      <c r="R578">
        <v>3.8</v>
      </c>
      <c r="S578">
        <v>3.5</v>
      </c>
      <c r="T578">
        <v>3.9</v>
      </c>
      <c r="U578">
        <v>3.7</v>
      </c>
      <c r="V578" t="s">
        <v>25</v>
      </c>
    </row>
    <row r="579" spans="1:22" x14ac:dyDescent="0.25">
      <c r="A579" t="s">
        <v>89</v>
      </c>
      <c r="B579">
        <v>1</v>
      </c>
      <c r="C579" t="s">
        <v>90</v>
      </c>
      <c r="D579" t="s">
        <v>91</v>
      </c>
      <c r="E579" t="s">
        <v>92</v>
      </c>
      <c r="F579">
        <v>150</v>
      </c>
      <c r="G579">
        <v>1300</v>
      </c>
      <c r="H579">
        <v>-2</v>
      </c>
      <c r="I579">
        <v>1983</v>
      </c>
      <c r="J579" t="s">
        <v>80</v>
      </c>
      <c r="K579">
        <v>1252</v>
      </c>
      <c r="L579">
        <v>26.59</v>
      </c>
      <c r="M579">
        <v>10.8</v>
      </c>
      <c r="N579" s="4">
        <f t="shared" ref="N579:N642" si="18">3.14/4*((L579/100)^2)</f>
        <v>5.550170585000002E-2</v>
      </c>
      <c r="O579" s="4">
        <f t="shared" ref="O579:O642" si="19">3.14/4*((L579/100)^2)*M579</f>
        <v>0.59941842318000027</v>
      </c>
      <c r="P579">
        <v>40</v>
      </c>
      <c r="Q579">
        <v>3.6</v>
      </c>
      <c r="R579">
        <v>3.8</v>
      </c>
      <c r="S579">
        <v>2.6</v>
      </c>
      <c r="T579">
        <v>2.6</v>
      </c>
      <c r="U579">
        <v>2.5</v>
      </c>
      <c r="V579" t="s">
        <v>25</v>
      </c>
    </row>
    <row r="580" spans="1:22" x14ac:dyDescent="0.25">
      <c r="A580" t="s">
        <v>89</v>
      </c>
      <c r="B580">
        <v>1</v>
      </c>
      <c r="C580" t="s">
        <v>90</v>
      </c>
      <c r="D580" t="s">
        <v>91</v>
      </c>
      <c r="E580" t="s">
        <v>92</v>
      </c>
      <c r="F580">
        <v>150</v>
      </c>
      <c r="G580">
        <v>1300</v>
      </c>
      <c r="H580">
        <v>-2</v>
      </c>
      <c r="I580">
        <v>1983</v>
      </c>
      <c r="J580" t="s">
        <v>59</v>
      </c>
      <c r="K580">
        <v>2548</v>
      </c>
      <c r="L580">
        <v>35.54</v>
      </c>
      <c r="M580">
        <v>13.02</v>
      </c>
      <c r="N580" s="4">
        <f t="shared" si="18"/>
        <v>9.915269060000001E-2</v>
      </c>
      <c r="O580" s="4">
        <f t="shared" si="19"/>
        <v>1.290968031612</v>
      </c>
      <c r="P580">
        <v>20</v>
      </c>
      <c r="Q580">
        <v>3.2</v>
      </c>
      <c r="R580">
        <v>3.5</v>
      </c>
      <c r="S580">
        <v>2.5</v>
      </c>
      <c r="T580">
        <v>2.5</v>
      </c>
      <c r="U580">
        <v>2.2999999999999998</v>
      </c>
      <c r="V580" t="s">
        <v>25</v>
      </c>
    </row>
    <row r="581" spans="1:22" x14ac:dyDescent="0.25">
      <c r="A581" t="s">
        <v>89</v>
      </c>
      <c r="B581">
        <v>1</v>
      </c>
      <c r="C581" t="s">
        <v>90</v>
      </c>
      <c r="D581" t="s">
        <v>91</v>
      </c>
      <c r="E581" t="s">
        <v>92</v>
      </c>
      <c r="F581">
        <v>150</v>
      </c>
      <c r="G581">
        <v>1300</v>
      </c>
      <c r="H581">
        <v>-2</v>
      </c>
      <c r="I581">
        <v>1983</v>
      </c>
      <c r="J581" t="s">
        <v>59</v>
      </c>
      <c r="K581">
        <v>1482</v>
      </c>
      <c r="L581">
        <v>38.15</v>
      </c>
      <c r="M581">
        <v>16.850000000000001</v>
      </c>
      <c r="N581" s="4">
        <f t="shared" si="18"/>
        <v>0.11425066625000001</v>
      </c>
      <c r="O581" s="4">
        <f t="shared" si="19"/>
        <v>1.9251237263125003</v>
      </c>
      <c r="P581">
        <v>10</v>
      </c>
      <c r="Q581">
        <v>3.5</v>
      </c>
      <c r="R581">
        <v>4</v>
      </c>
      <c r="S581">
        <v>3.3</v>
      </c>
      <c r="T581">
        <v>4</v>
      </c>
      <c r="U581">
        <v>3.5</v>
      </c>
      <c r="V581" t="s">
        <v>27</v>
      </c>
    </row>
    <row r="582" spans="1:22" x14ac:dyDescent="0.25">
      <c r="A582" t="s">
        <v>89</v>
      </c>
      <c r="B582">
        <v>1</v>
      </c>
      <c r="C582" t="s">
        <v>90</v>
      </c>
      <c r="D582" t="s">
        <v>91</v>
      </c>
      <c r="E582" t="s">
        <v>92</v>
      </c>
      <c r="F582">
        <v>150</v>
      </c>
      <c r="G582">
        <v>1300</v>
      </c>
      <c r="H582">
        <v>-2</v>
      </c>
      <c r="I582">
        <v>1983</v>
      </c>
      <c r="J582" t="s">
        <v>26</v>
      </c>
      <c r="K582">
        <v>2552</v>
      </c>
      <c r="L582">
        <v>33.89</v>
      </c>
      <c r="M582">
        <v>14.24</v>
      </c>
      <c r="N582" s="4">
        <f t="shared" si="18"/>
        <v>9.0159769849999988E-2</v>
      </c>
      <c r="O582" s="4">
        <f t="shared" si="19"/>
        <v>1.2838751226639999</v>
      </c>
      <c r="P582">
        <v>20</v>
      </c>
      <c r="Q582">
        <v>3.1</v>
      </c>
      <c r="R582">
        <v>3.5</v>
      </c>
      <c r="S582">
        <v>3.2</v>
      </c>
      <c r="T582">
        <v>3.8</v>
      </c>
      <c r="U582">
        <v>2.5</v>
      </c>
      <c r="V582" t="s">
        <v>25</v>
      </c>
    </row>
    <row r="583" spans="1:22" x14ac:dyDescent="0.25">
      <c r="A583" t="s">
        <v>89</v>
      </c>
      <c r="B583">
        <v>1</v>
      </c>
      <c r="C583" t="s">
        <v>90</v>
      </c>
      <c r="D583" t="s">
        <v>91</v>
      </c>
      <c r="E583" t="s">
        <v>92</v>
      </c>
      <c r="F583">
        <v>150</v>
      </c>
      <c r="G583">
        <v>1300</v>
      </c>
      <c r="H583">
        <v>-2</v>
      </c>
      <c r="I583">
        <v>1983</v>
      </c>
      <c r="J583" t="s">
        <v>33</v>
      </c>
      <c r="K583">
        <v>2547</v>
      </c>
      <c r="L583">
        <v>37.49</v>
      </c>
      <c r="M583">
        <v>17.45</v>
      </c>
      <c r="N583" s="4">
        <f t="shared" si="18"/>
        <v>0.11033175785</v>
      </c>
      <c r="O583" s="4">
        <f t="shared" si="19"/>
        <v>1.9252891744825</v>
      </c>
      <c r="P583">
        <v>40</v>
      </c>
      <c r="Q583">
        <v>4.5</v>
      </c>
      <c r="R583">
        <v>2.6</v>
      </c>
      <c r="S583">
        <v>3.6</v>
      </c>
      <c r="T583">
        <v>2.9</v>
      </c>
      <c r="U583">
        <v>2.2999999999999998</v>
      </c>
      <c r="V583" t="s">
        <v>25</v>
      </c>
    </row>
    <row r="584" spans="1:22" x14ac:dyDescent="0.25">
      <c r="A584" t="s">
        <v>89</v>
      </c>
      <c r="B584">
        <v>1</v>
      </c>
      <c r="C584" t="s">
        <v>90</v>
      </c>
      <c r="D584" t="s">
        <v>91</v>
      </c>
      <c r="E584" t="s">
        <v>92</v>
      </c>
      <c r="F584">
        <v>150</v>
      </c>
      <c r="G584">
        <v>1300</v>
      </c>
      <c r="H584">
        <v>-2</v>
      </c>
      <c r="I584">
        <v>1983</v>
      </c>
      <c r="J584" t="s">
        <v>33</v>
      </c>
      <c r="K584">
        <v>2568</v>
      </c>
      <c r="L584">
        <v>31.63</v>
      </c>
      <c r="M584">
        <v>13.91</v>
      </c>
      <c r="N584" s="4">
        <f t="shared" si="18"/>
        <v>7.853586664999998E-2</v>
      </c>
      <c r="O584" s="4">
        <f t="shared" si="19"/>
        <v>1.0924339051014997</v>
      </c>
      <c r="P584">
        <v>60</v>
      </c>
      <c r="Q584">
        <v>3.6</v>
      </c>
      <c r="R584">
        <v>2.6</v>
      </c>
      <c r="S584">
        <v>3.6</v>
      </c>
      <c r="T584">
        <v>3.3</v>
      </c>
      <c r="U584">
        <v>2.8</v>
      </c>
      <c r="V584" t="s">
        <v>25</v>
      </c>
    </row>
    <row r="585" spans="1:22" x14ac:dyDescent="0.25">
      <c r="A585" t="s">
        <v>89</v>
      </c>
      <c r="B585">
        <v>1</v>
      </c>
      <c r="C585" t="s">
        <v>90</v>
      </c>
      <c r="D585" t="s">
        <v>91</v>
      </c>
      <c r="E585" t="s">
        <v>92</v>
      </c>
      <c r="F585">
        <v>150</v>
      </c>
      <c r="G585">
        <v>1300</v>
      </c>
      <c r="H585">
        <v>-2</v>
      </c>
      <c r="I585">
        <v>1983</v>
      </c>
      <c r="J585" t="s">
        <v>32</v>
      </c>
      <c r="K585">
        <v>1596</v>
      </c>
      <c r="L585">
        <v>20.11</v>
      </c>
      <c r="M585">
        <v>13.55</v>
      </c>
      <c r="N585" s="4">
        <f t="shared" si="18"/>
        <v>3.1746349850000001E-2</v>
      </c>
      <c r="O585" s="4">
        <f t="shared" si="19"/>
        <v>0.43016304046750004</v>
      </c>
      <c r="P585">
        <v>20</v>
      </c>
      <c r="Q585">
        <v>3</v>
      </c>
      <c r="R585">
        <v>4</v>
      </c>
      <c r="S585">
        <v>4</v>
      </c>
      <c r="T585">
        <v>4</v>
      </c>
      <c r="U585">
        <v>4</v>
      </c>
      <c r="V585" t="s">
        <v>38</v>
      </c>
    </row>
    <row r="586" spans="1:22" x14ac:dyDescent="0.25">
      <c r="A586" t="s">
        <v>89</v>
      </c>
      <c r="B586">
        <v>1</v>
      </c>
      <c r="C586" t="s">
        <v>90</v>
      </c>
      <c r="D586" t="s">
        <v>91</v>
      </c>
      <c r="E586" t="s">
        <v>92</v>
      </c>
      <c r="F586">
        <v>150</v>
      </c>
      <c r="G586">
        <v>1300</v>
      </c>
      <c r="H586">
        <v>-2</v>
      </c>
      <c r="I586">
        <v>1983</v>
      </c>
      <c r="J586" t="s">
        <v>32</v>
      </c>
      <c r="K586">
        <v>2569</v>
      </c>
      <c r="L586">
        <v>22.15</v>
      </c>
      <c r="M586">
        <v>14.57</v>
      </c>
      <c r="N586" s="4">
        <f t="shared" si="18"/>
        <v>3.8513866249999994E-2</v>
      </c>
      <c r="O586" s="4">
        <f t="shared" si="19"/>
        <v>0.56114703126249987</v>
      </c>
      <c r="P586">
        <v>20</v>
      </c>
      <c r="Q586">
        <v>3</v>
      </c>
      <c r="R586">
        <v>4</v>
      </c>
      <c r="S586">
        <v>3</v>
      </c>
      <c r="T586">
        <v>3.4</v>
      </c>
      <c r="U586">
        <v>3</v>
      </c>
      <c r="V586" t="s">
        <v>25</v>
      </c>
    </row>
    <row r="587" spans="1:22" x14ac:dyDescent="0.25">
      <c r="A587" t="s">
        <v>89</v>
      </c>
      <c r="B587">
        <v>1</v>
      </c>
      <c r="C587" t="s">
        <v>90</v>
      </c>
      <c r="D587" t="s">
        <v>91</v>
      </c>
      <c r="E587" t="s">
        <v>92</v>
      </c>
      <c r="F587">
        <v>150</v>
      </c>
      <c r="G587">
        <v>1300</v>
      </c>
      <c r="H587">
        <v>-2</v>
      </c>
      <c r="I587">
        <v>1983</v>
      </c>
      <c r="J587" t="s">
        <v>32</v>
      </c>
      <c r="K587">
        <v>2634</v>
      </c>
      <c r="L587">
        <v>40.520000000000003</v>
      </c>
      <c r="M587">
        <v>18.95</v>
      </c>
      <c r="N587" s="4">
        <f t="shared" si="18"/>
        <v>0.12888682640000002</v>
      </c>
      <c r="O587" s="4">
        <f t="shared" si="19"/>
        <v>2.44240536028</v>
      </c>
      <c r="P587">
        <v>10</v>
      </c>
      <c r="Q587">
        <v>4.5</v>
      </c>
      <c r="R587">
        <v>4.5</v>
      </c>
      <c r="S587">
        <v>3</v>
      </c>
      <c r="T587">
        <v>4</v>
      </c>
      <c r="U587">
        <v>2</v>
      </c>
      <c r="V587" t="s">
        <v>25</v>
      </c>
    </row>
    <row r="588" spans="1:22" x14ac:dyDescent="0.25">
      <c r="A588" t="s">
        <v>89</v>
      </c>
      <c r="B588">
        <v>1</v>
      </c>
      <c r="C588" t="s">
        <v>90</v>
      </c>
      <c r="D588" t="s">
        <v>91</v>
      </c>
      <c r="E588" t="s">
        <v>92</v>
      </c>
      <c r="F588">
        <v>150</v>
      </c>
      <c r="G588">
        <v>1300</v>
      </c>
      <c r="H588">
        <v>-2</v>
      </c>
      <c r="I588">
        <v>1983</v>
      </c>
      <c r="J588" t="s">
        <v>32</v>
      </c>
      <c r="K588">
        <v>2635</v>
      </c>
      <c r="L588">
        <v>20.399999999999999</v>
      </c>
      <c r="M588">
        <v>10.199999999999999</v>
      </c>
      <c r="N588" s="4">
        <f t="shared" si="18"/>
        <v>3.2668559999999999E-2</v>
      </c>
      <c r="O588" s="4">
        <f t="shared" si="19"/>
        <v>0.33321931199999999</v>
      </c>
      <c r="P588">
        <v>10</v>
      </c>
      <c r="Q588">
        <v>3.3</v>
      </c>
      <c r="R588">
        <v>4.5</v>
      </c>
      <c r="S588">
        <v>3.3</v>
      </c>
      <c r="T588">
        <v>4</v>
      </c>
      <c r="U588">
        <v>3.5</v>
      </c>
      <c r="V588" t="s">
        <v>25</v>
      </c>
    </row>
    <row r="589" spans="1:22" x14ac:dyDescent="0.25">
      <c r="A589" t="s">
        <v>89</v>
      </c>
      <c r="B589">
        <v>1</v>
      </c>
      <c r="C589" t="s">
        <v>90</v>
      </c>
      <c r="D589" t="s">
        <v>91</v>
      </c>
      <c r="E589" t="s">
        <v>92</v>
      </c>
      <c r="F589">
        <v>150</v>
      </c>
      <c r="G589">
        <v>1300</v>
      </c>
      <c r="H589">
        <v>-2</v>
      </c>
      <c r="I589">
        <v>1983</v>
      </c>
      <c r="J589" t="s">
        <v>34</v>
      </c>
      <c r="K589">
        <v>2570</v>
      </c>
      <c r="L589">
        <v>24.87</v>
      </c>
      <c r="M589">
        <v>11.66</v>
      </c>
      <c r="N589" s="4">
        <f t="shared" si="18"/>
        <v>4.8553576649999999E-2</v>
      </c>
      <c r="O589" s="4">
        <f t="shared" si="19"/>
        <v>0.56613470373899999</v>
      </c>
      <c r="P589">
        <v>40</v>
      </c>
      <c r="Q589">
        <v>3.3</v>
      </c>
      <c r="R589">
        <v>3.4</v>
      </c>
      <c r="S589">
        <v>3.5</v>
      </c>
      <c r="T589">
        <v>4.0999999999999996</v>
      </c>
      <c r="U589">
        <v>3.4</v>
      </c>
      <c r="V589" t="s">
        <v>25</v>
      </c>
    </row>
    <row r="590" spans="1:22" x14ac:dyDescent="0.25">
      <c r="A590" t="s">
        <v>89</v>
      </c>
      <c r="B590">
        <v>1</v>
      </c>
      <c r="C590" t="s">
        <v>90</v>
      </c>
      <c r="D590" t="s">
        <v>91</v>
      </c>
      <c r="E590" t="s">
        <v>92</v>
      </c>
      <c r="F590">
        <v>150</v>
      </c>
      <c r="G590">
        <v>1300</v>
      </c>
      <c r="H590">
        <v>-2</v>
      </c>
      <c r="I590">
        <v>1983</v>
      </c>
      <c r="J590" t="s">
        <v>34</v>
      </c>
      <c r="K590">
        <v>1522</v>
      </c>
      <c r="L590">
        <v>33.159999999999997</v>
      </c>
      <c r="M590">
        <v>14.75</v>
      </c>
      <c r="N590" s="4">
        <f t="shared" si="18"/>
        <v>8.6317469599999974E-2</v>
      </c>
      <c r="O590" s="4">
        <f t="shared" si="19"/>
        <v>1.2731826765999996</v>
      </c>
      <c r="P590">
        <v>40</v>
      </c>
      <c r="Q590">
        <v>3.7</v>
      </c>
      <c r="R590">
        <v>3.5</v>
      </c>
      <c r="S590">
        <v>3.6</v>
      </c>
      <c r="T590">
        <v>3.6</v>
      </c>
      <c r="U590">
        <v>2.9</v>
      </c>
      <c r="V590" t="s">
        <v>25</v>
      </c>
    </row>
    <row r="591" spans="1:22" x14ac:dyDescent="0.25">
      <c r="A591" t="s">
        <v>89</v>
      </c>
      <c r="B591">
        <v>1</v>
      </c>
      <c r="C591" t="s">
        <v>90</v>
      </c>
      <c r="D591" t="s">
        <v>91</v>
      </c>
      <c r="E591" t="s">
        <v>92</v>
      </c>
      <c r="F591">
        <v>150</v>
      </c>
      <c r="G591">
        <v>1300</v>
      </c>
      <c r="H591">
        <v>-2</v>
      </c>
      <c r="I591">
        <v>1983</v>
      </c>
      <c r="J591" t="s">
        <v>35</v>
      </c>
      <c r="K591">
        <v>1788</v>
      </c>
      <c r="L591">
        <v>31.05</v>
      </c>
      <c r="M591">
        <v>15.25</v>
      </c>
      <c r="N591" s="4">
        <f t="shared" si="18"/>
        <v>7.568204625000001E-2</v>
      </c>
      <c r="O591" s="4">
        <f t="shared" si="19"/>
        <v>1.1541512053125</v>
      </c>
      <c r="P591">
        <v>30</v>
      </c>
      <c r="Q591">
        <v>3.2</v>
      </c>
      <c r="R591">
        <v>1.8</v>
      </c>
      <c r="S591">
        <v>2.8</v>
      </c>
      <c r="T591">
        <v>3.5</v>
      </c>
      <c r="U591">
        <v>2.9</v>
      </c>
      <c r="V591" t="s">
        <v>38</v>
      </c>
    </row>
    <row r="592" spans="1:22" x14ac:dyDescent="0.25">
      <c r="A592" t="s">
        <v>89</v>
      </c>
      <c r="B592">
        <v>1</v>
      </c>
      <c r="C592" t="s">
        <v>90</v>
      </c>
      <c r="D592" t="s">
        <v>91</v>
      </c>
      <c r="E592" t="s">
        <v>92</v>
      </c>
      <c r="F592">
        <v>150</v>
      </c>
      <c r="G592">
        <v>1300</v>
      </c>
      <c r="H592">
        <v>-2</v>
      </c>
      <c r="I592">
        <v>1983</v>
      </c>
      <c r="J592" t="s">
        <v>35</v>
      </c>
      <c r="K592">
        <v>2571</v>
      </c>
      <c r="L592">
        <v>31.33</v>
      </c>
      <c r="M592">
        <v>15.67</v>
      </c>
      <c r="N592" s="4">
        <f t="shared" si="18"/>
        <v>7.7053158649999995E-2</v>
      </c>
      <c r="O592" s="4">
        <f t="shared" si="19"/>
        <v>1.2074229960454999</v>
      </c>
      <c r="P592">
        <v>30</v>
      </c>
      <c r="Q592">
        <v>4.0999999999999996</v>
      </c>
      <c r="R592">
        <v>2.2999999999999998</v>
      </c>
      <c r="S592">
        <v>3.4</v>
      </c>
      <c r="T592">
        <v>4</v>
      </c>
      <c r="U592">
        <v>3.1</v>
      </c>
      <c r="V592" t="s">
        <v>25</v>
      </c>
    </row>
    <row r="593" spans="1:22" x14ac:dyDescent="0.25">
      <c r="A593" t="s">
        <v>89</v>
      </c>
      <c r="B593">
        <v>1</v>
      </c>
      <c r="C593" t="s">
        <v>90</v>
      </c>
      <c r="D593" t="s">
        <v>91</v>
      </c>
      <c r="E593" t="s">
        <v>92</v>
      </c>
      <c r="F593">
        <v>150</v>
      </c>
      <c r="G593">
        <v>1300</v>
      </c>
      <c r="H593">
        <v>-2</v>
      </c>
      <c r="I593">
        <v>1983</v>
      </c>
      <c r="J593" t="s">
        <v>36</v>
      </c>
      <c r="K593">
        <v>2573</v>
      </c>
      <c r="L593">
        <v>32.97</v>
      </c>
      <c r="M593">
        <v>14.24</v>
      </c>
      <c r="N593" s="4">
        <f t="shared" si="18"/>
        <v>8.5331140649999998E-2</v>
      </c>
      <c r="O593" s="4">
        <f t="shared" si="19"/>
        <v>1.215115442856</v>
      </c>
      <c r="P593">
        <v>40</v>
      </c>
      <c r="Q593">
        <v>3.2</v>
      </c>
      <c r="R593">
        <v>4</v>
      </c>
      <c r="S593">
        <v>3.1</v>
      </c>
      <c r="T593">
        <v>3.3</v>
      </c>
      <c r="U593">
        <v>3</v>
      </c>
      <c r="V593" t="s">
        <v>25</v>
      </c>
    </row>
    <row r="594" spans="1:22" x14ac:dyDescent="0.25">
      <c r="A594" t="s">
        <v>89</v>
      </c>
      <c r="B594">
        <v>1</v>
      </c>
      <c r="C594" t="s">
        <v>90</v>
      </c>
      <c r="D594" t="s">
        <v>91</v>
      </c>
      <c r="E594" t="s">
        <v>92</v>
      </c>
      <c r="F594">
        <v>150</v>
      </c>
      <c r="G594">
        <v>1300</v>
      </c>
      <c r="H594">
        <v>-2</v>
      </c>
      <c r="I594">
        <v>1983</v>
      </c>
      <c r="J594" t="s">
        <v>62</v>
      </c>
      <c r="K594">
        <v>2550</v>
      </c>
      <c r="L594">
        <v>20.25</v>
      </c>
      <c r="M594">
        <v>10.66</v>
      </c>
      <c r="N594" s="4">
        <f t="shared" si="18"/>
        <v>3.2189906250000004E-2</v>
      </c>
      <c r="O594" s="4">
        <f t="shared" si="19"/>
        <v>0.34314440062500007</v>
      </c>
      <c r="P594">
        <v>30</v>
      </c>
      <c r="Q594">
        <v>2.7</v>
      </c>
      <c r="R594">
        <v>3</v>
      </c>
      <c r="S594">
        <v>4</v>
      </c>
      <c r="T594">
        <v>4.2</v>
      </c>
      <c r="U594">
        <v>3.7</v>
      </c>
      <c r="V594" t="s">
        <v>25</v>
      </c>
    </row>
    <row r="595" spans="1:22" x14ac:dyDescent="0.25">
      <c r="A595" t="s">
        <v>89</v>
      </c>
      <c r="B595">
        <v>1</v>
      </c>
      <c r="C595" t="s">
        <v>90</v>
      </c>
      <c r="D595" t="s">
        <v>91</v>
      </c>
      <c r="E595" t="s">
        <v>92</v>
      </c>
      <c r="F595">
        <v>150</v>
      </c>
      <c r="G595">
        <v>1300</v>
      </c>
      <c r="H595">
        <v>-2</v>
      </c>
      <c r="I595">
        <v>1983</v>
      </c>
      <c r="J595" t="s">
        <v>62</v>
      </c>
      <c r="K595">
        <v>2553</v>
      </c>
      <c r="L595">
        <v>27.44</v>
      </c>
      <c r="M595">
        <v>11.32</v>
      </c>
      <c r="N595" s="4">
        <f t="shared" si="18"/>
        <v>5.9106857600000021E-2</v>
      </c>
      <c r="O595" s="4">
        <f t="shared" si="19"/>
        <v>0.66908962803200023</v>
      </c>
      <c r="P595">
        <v>20</v>
      </c>
      <c r="Q595">
        <v>3.5</v>
      </c>
      <c r="R595">
        <v>3</v>
      </c>
      <c r="S595">
        <v>3.3</v>
      </c>
      <c r="T595">
        <v>4</v>
      </c>
      <c r="U595">
        <v>2.9</v>
      </c>
      <c r="V595" t="s">
        <v>27</v>
      </c>
    </row>
    <row r="596" spans="1:22" x14ac:dyDescent="0.25">
      <c r="A596" t="s">
        <v>89</v>
      </c>
      <c r="B596">
        <v>1</v>
      </c>
      <c r="C596" t="s">
        <v>90</v>
      </c>
      <c r="D596" t="s">
        <v>91</v>
      </c>
      <c r="E596" t="s">
        <v>92</v>
      </c>
      <c r="F596">
        <v>150</v>
      </c>
      <c r="G596">
        <v>1300</v>
      </c>
      <c r="H596">
        <v>-2</v>
      </c>
      <c r="I596">
        <v>1983</v>
      </c>
      <c r="J596" t="s">
        <v>37</v>
      </c>
      <c r="K596">
        <v>2575</v>
      </c>
      <c r="L596">
        <v>19.91</v>
      </c>
      <c r="M596">
        <v>6.77</v>
      </c>
      <c r="N596" s="4">
        <f t="shared" si="18"/>
        <v>3.111803585E-2</v>
      </c>
      <c r="O596" s="4">
        <f t="shared" si="19"/>
        <v>0.21066910270449998</v>
      </c>
      <c r="P596">
        <v>40</v>
      </c>
      <c r="Q596">
        <v>1.6</v>
      </c>
      <c r="R596">
        <v>1.8</v>
      </c>
      <c r="S596">
        <v>2.2999999999999998</v>
      </c>
      <c r="T596">
        <v>2.5</v>
      </c>
      <c r="U596">
        <v>2.2999999999999998</v>
      </c>
      <c r="V596" t="s">
        <v>30</v>
      </c>
    </row>
    <row r="597" spans="1:22" x14ac:dyDescent="0.25">
      <c r="A597" t="s">
        <v>89</v>
      </c>
      <c r="B597">
        <v>2</v>
      </c>
      <c r="C597" t="s">
        <v>90</v>
      </c>
      <c r="D597" t="s">
        <v>91</v>
      </c>
      <c r="E597" t="s">
        <v>92</v>
      </c>
      <c r="F597">
        <v>150</v>
      </c>
      <c r="G597">
        <v>1300</v>
      </c>
      <c r="H597">
        <v>-2</v>
      </c>
      <c r="I597">
        <v>1983</v>
      </c>
      <c r="J597" t="s">
        <v>76</v>
      </c>
      <c r="K597">
        <v>1592</v>
      </c>
      <c r="L597">
        <v>34.11</v>
      </c>
      <c r="M597">
        <v>16.48</v>
      </c>
      <c r="N597" s="4">
        <f t="shared" si="18"/>
        <v>9.1334129850000015E-2</v>
      </c>
      <c r="O597" s="4">
        <f t="shared" si="19"/>
        <v>1.5051864599280003</v>
      </c>
      <c r="P597">
        <v>20</v>
      </c>
      <c r="Q597">
        <v>3.5</v>
      </c>
      <c r="R597">
        <v>3.8</v>
      </c>
      <c r="S597">
        <v>3.2</v>
      </c>
      <c r="T597">
        <v>3.9</v>
      </c>
      <c r="U597">
        <v>2.5</v>
      </c>
      <c r="V597" t="s">
        <v>25</v>
      </c>
    </row>
    <row r="598" spans="1:22" x14ac:dyDescent="0.25">
      <c r="A598" t="s">
        <v>89</v>
      </c>
      <c r="B598">
        <v>2</v>
      </c>
      <c r="C598" t="s">
        <v>90</v>
      </c>
      <c r="D598" t="s">
        <v>91</v>
      </c>
      <c r="E598" t="s">
        <v>92</v>
      </c>
      <c r="F598">
        <v>150</v>
      </c>
      <c r="G598">
        <v>1300</v>
      </c>
      <c r="H598">
        <v>-2</v>
      </c>
      <c r="I598">
        <v>1983</v>
      </c>
      <c r="J598" t="s">
        <v>76</v>
      </c>
      <c r="K598">
        <v>2560</v>
      </c>
      <c r="L598">
        <v>35.83</v>
      </c>
      <c r="M598">
        <v>21.5</v>
      </c>
      <c r="N598" s="4">
        <f t="shared" si="18"/>
        <v>0.10077742865</v>
      </c>
      <c r="O598" s="4">
        <f t="shared" si="19"/>
        <v>2.166714715975</v>
      </c>
      <c r="P598">
        <v>10</v>
      </c>
      <c r="Q598">
        <v>3.3</v>
      </c>
      <c r="R598">
        <v>3.5</v>
      </c>
      <c r="S598">
        <v>4</v>
      </c>
      <c r="T598">
        <v>4.5</v>
      </c>
      <c r="U598">
        <v>3</v>
      </c>
      <c r="V598" t="s">
        <v>27</v>
      </c>
    </row>
    <row r="599" spans="1:22" x14ac:dyDescent="0.25">
      <c r="A599" t="s">
        <v>89</v>
      </c>
      <c r="B599">
        <v>2</v>
      </c>
      <c r="C599" t="s">
        <v>90</v>
      </c>
      <c r="D599" t="s">
        <v>91</v>
      </c>
      <c r="E599" t="s">
        <v>92</v>
      </c>
      <c r="F599">
        <v>150</v>
      </c>
      <c r="G599">
        <v>1300</v>
      </c>
      <c r="H599">
        <v>-2</v>
      </c>
      <c r="I599">
        <v>1983</v>
      </c>
      <c r="J599" t="s">
        <v>24</v>
      </c>
      <c r="K599">
        <v>2562</v>
      </c>
      <c r="L599">
        <v>33.19</v>
      </c>
      <c r="M599">
        <v>14.42</v>
      </c>
      <c r="N599" s="4">
        <f t="shared" si="18"/>
        <v>8.6473723849999989E-2</v>
      </c>
      <c r="O599" s="4">
        <f t="shared" si="19"/>
        <v>1.2469510979169998</v>
      </c>
      <c r="P599">
        <v>30</v>
      </c>
      <c r="Q599">
        <v>3.6</v>
      </c>
      <c r="R599">
        <v>3.7</v>
      </c>
      <c r="S599">
        <v>3.2</v>
      </c>
      <c r="T599">
        <v>3.7</v>
      </c>
      <c r="U599">
        <v>3.2</v>
      </c>
      <c r="V599" t="s">
        <v>25</v>
      </c>
    </row>
    <row r="600" spans="1:22" x14ac:dyDescent="0.25">
      <c r="A600" t="s">
        <v>89</v>
      </c>
      <c r="B600">
        <v>2</v>
      </c>
      <c r="C600" t="s">
        <v>90</v>
      </c>
      <c r="D600" t="s">
        <v>91</v>
      </c>
      <c r="E600" t="s">
        <v>92</v>
      </c>
      <c r="F600">
        <v>150</v>
      </c>
      <c r="G600">
        <v>1300</v>
      </c>
      <c r="H600">
        <v>-2</v>
      </c>
      <c r="I600">
        <v>1983</v>
      </c>
      <c r="J600" t="s">
        <v>80</v>
      </c>
      <c r="K600">
        <v>1252</v>
      </c>
      <c r="L600">
        <v>27.13</v>
      </c>
      <c r="M600">
        <v>11.88</v>
      </c>
      <c r="N600" s="4">
        <f t="shared" si="18"/>
        <v>5.7778896649999988E-2</v>
      </c>
      <c r="O600" s="4">
        <f t="shared" si="19"/>
        <v>0.68641329220199987</v>
      </c>
      <c r="P600">
        <v>90</v>
      </c>
      <c r="Q600">
        <v>3.3</v>
      </c>
      <c r="R600">
        <v>3.7</v>
      </c>
      <c r="S600">
        <v>2.1</v>
      </c>
      <c r="T600">
        <v>2.1</v>
      </c>
      <c r="U600">
        <v>2</v>
      </c>
      <c r="V600" t="s">
        <v>38</v>
      </c>
    </row>
    <row r="601" spans="1:22" x14ac:dyDescent="0.25">
      <c r="A601" t="s">
        <v>89</v>
      </c>
      <c r="B601">
        <v>2</v>
      </c>
      <c r="C601" t="s">
        <v>90</v>
      </c>
      <c r="D601" t="s">
        <v>91</v>
      </c>
      <c r="E601" t="s">
        <v>92</v>
      </c>
      <c r="F601">
        <v>150</v>
      </c>
      <c r="G601">
        <v>1300</v>
      </c>
      <c r="H601">
        <v>-2</v>
      </c>
      <c r="I601">
        <v>1983</v>
      </c>
      <c r="J601" t="s">
        <v>59</v>
      </c>
      <c r="K601">
        <v>2548</v>
      </c>
      <c r="L601">
        <v>49.34</v>
      </c>
      <c r="M601">
        <v>16.850000000000001</v>
      </c>
      <c r="N601" s="4">
        <f t="shared" si="18"/>
        <v>0.19110319460000005</v>
      </c>
      <c r="O601" s="4">
        <f t="shared" si="19"/>
        <v>3.2200888290100012</v>
      </c>
      <c r="P601">
        <v>10</v>
      </c>
      <c r="Q601">
        <v>5</v>
      </c>
      <c r="R601">
        <v>4.5</v>
      </c>
      <c r="S601">
        <v>3.5</v>
      </c>
      <c r="T601">
        <v>3.5</v>
      </c>
      <c r="U601">
        <v>3</v>
      </c>
      <c r="V601" t="s">
        <v>27</v>
      </c>
    </row>
    <row r="602" spans="1:22" x14ac:dyDescent="0.25">
      <c r="A602" t="s">
        <v>89</v>
      </c>
      <c r="B602">
        <v>2</v>
      </c>
      <c r="C602" t="s">
        <v>90</v>
      </c>
      <c r="D602" t="s">
        <v>91</v>
      </c>
      <c r="E602" t="s">
        <v>92</v>
      </c>
      <c r="F602">
        <v>150</v>
      </c>
      <c r="G602">
        <v>1300</v>
      </c>
      <c r="H602">
        <v>-2</v>
      </c>
      <c r="I602">
        <v>1983</v>
      </c>
      <c r="J602" t="s">
        <v>26</v>
      </c>
      <c r="K602">
        <v>2552</v>
      </c>
      <c r="L602">
        <v>15.52</v>
      </c>
      <c r="M602">
        <v>7.83</v>
      </c>
      <c r="N602" s="4">
        <f t="shared" si="18"/>
        <v>1.8908326400000001E-2</v>
      </c>
      <c r="O602" s="4">
        <f t="shared" si="19"/>
        <v>0.14805219571200001</v>
      </c>
      <c r="P602">
        <v>10</v>
      </c>
      <c r="Q602">
        <v>2</v>
      </c>
      <c r="R602">
        <v>4</v>
      </c>
      <c r="S602">
        <v>4</v>
      </c>
      <c r="T602">
        <v>4</v>
      </c>
      <c r="U602">
        <v>4</v>
      </c>
      <c r="V602" t="s">
        <v>30</v>
      </c>
    </row>
    <row r="603" spans="1:22" x14ac:dyDescent="0.25">
      <c r="A603" t="s">
        <v>89</v>
      </c>
      <c r="B603">
        <v>2</v>
      </c>
      <c r="C603" t="s">
        <v>90</v>
      </c>
      <c r="D603" t="s">
        <v>91</v>
      </c>
      <c r="E603" t="s">
        <v>92</v>
      </c>
      <c r="F603">
        <v>150</v>
      </c>
      <c r="G603">
        <v>1300</v>
      </c>
      <c r="H603">
        <v>-2</v>
      </c>
      <c r="I603">
        <v>1983</v>
      </c>
      <c r="J603" t="s">
        <v>33</v>
      </c>
      <c r="K603">
        <v>2547</v>
      </c>
      <c r="L603">
        <v>46.36</v>
      </c>
      <c r="M603">
        <v>19.09</v>
      </c>
      <c r="N603" s="4">
        <f t="shared" si="18"/>
        <v>0.16871609360000001</v>
      </c>
      <c r="O603" s="4">
        <f t="shared" si="19"/>
        <v>3.2207902268240001</v>
      </c>
      <c r="P603">
        <v>40</v>
      </c>
      <c r="Q603">
        <v>4.3</v>
      </c>
      <c r="R603">
        <v>2.6</v>
      </c>
      <c r="S603">
        <v>3.8</v>
      </c>
      <c r="T603">
        <v>2.9</v>
      </c>
      <c r="U603">
        <v>2.6</v>
      </c>
      <c r="V603" t="s">
        <v>27</v>
      </c>
    </row>
    <row r="604" spans="1:22" x14ac:dyDescent="0.25">
      <c r="A604" t="s">
        <v>89</v>
      </c>
      <c r="B604">
        <v>2</v>
      </c>
      <c r="C604" t="s">
        <v>90</v>
      </c>
      <c r="D604" t="s">
        <v>91</v>
      </c>
      <c r="E604" t="s">
        <v>92</v>
      </c>
      <c r="F604">
        <v>150</v>
      </c>
      <c r="G604">
        <v>1300</v>
      </c>
      <c r="H604">
        <v>-2</v>
      </c>
      <c r="I604">
        <v>1983</v>
      </c>
      <c r="J604" t="s">
        <v>33</v>
      </c>
      <c r="K604">
        <v>2568</v>
      </c>
      <c r="L604">
        <v>52.76</v>
      </c>
      <c r="M604">
        <v>21</v>
      </c>
      <c r="N604" s="4">
        <f t="shared" si="18"/>
        <v>0.21851398159999996</v>
      </c>
      <c r="O604" s="4">
        <f t="shared" si="19"/>
        <v>4.5887936135999992</v>
      </c>
      <c r="P604">
        <v>50</v>
      </c>
      <c r="Q604">
        <v>4.5</v>
      </c>
      <c r="R604">
        <v>2.7</v>
      </c>
      <c r="S604">
        <v>3.9</v>
      </c>
      <c r="T604">
        <v>3.4</v>
      </c>
      <c r="U604">
        <v>2.6</v>
      </c>
      <c r="V604" t="s">
        <v>27</v>
      </c>
    </row>
    <row r="605" spans="1:22" x14ac:dyDescent="0.25">
      <c r="A605" t="s">
        <v>89</v>
      </c>
      <c r="B605">
        <v>2</v>
      </c>
      <c r="C605" t="s">
        <v>90</v>
      </c>
      <c r="D605" t="s">
        <v>91</v>
      </c>
      <c r="E605" t="s">
        <v>92</v>
      </c>
      <c r="F605">
        <v>150</v>
      </c>
      <c r="G605">
        <v>1300</v>
      </c>
      <c r="H605">
        <v>-2</v>
      </c>
      <c r="I605">
        <v>1983</v>
      </c>
      <c r="J605" t="s">
        <v>32</v>
      </c>
      <c r="K605">
        <v>1596</v>
      </c>
      <c r="L605">
        <v>42.085000000000001</v>
      </c>
      <c r="M605">
        <v>17.05</v>
      </c>
      <c r="N605" s="4">
        <f t="shared" si="18"/>
        <v>0.1390350571625</v>
      </c>
      <c r="O605" s="4">
        <f t="shared" si="19"/>
        <v>2.370547724620625</v>
      </c>
      <c r="P605">
        <v>40</v>
      </c>
      <c r="Q605">
        <v>3.9</v>
      </c>
      <c r="R605">
        <v>3.9</v>
      </c>
      <c r="S605">
        <v>3.2</v>
      </c>
      <c r="T605">
        <v>3.3</v>
      </c>
      <c r="U605">
        <v>2.4</v>
      </c>
      <c r="V605" t="s">
        <v>27</v>
      </c>
    </row>
    <row r="606" spans="1:22" x14ac:dyDescent="0.25">
      <c r="A606" t="s">
        <v>89</v>
      </c>
      <c r="B606">
        <v>2</v>
      </c>
      <c r="C606" t="s">
        <v>90</v>
      </c>
      <c r="D606" t="s">
        <v>91</v>
      </c>
      <c r="E606" t="s">
        <v>92</v>
      </c>
      <c r="F606">
        <v>150</v>
      </c>
      <c r="G606">
        <v>1300</v>
      </c>
      <c r="H606">
        <v>-2</v>
      </c>
      <c r="I606">
        <v>1983</v>
      </c>
      <c r="J606" t="s">
        <v>32</v>
      </c>
      <c r="K606">
        <v>2634</v>
      </c>
      <c r="L606">
        <v>39.79</v>
      </c>
      <c r="M606">
        <v>17.489999999999998</v>
      </c>
      <c r="N606" s="4">
        <f t="shared" si="18"/>
        <v>0.12428466184999998</v>
      </c>
      <c r="O606" s="4">
        <f t="shared" si="19"/>
        <v>2.1737387357564995</v>
      </c>
      <c r="P606">
        <v>10</v>
      </c>
      <c r="Q606">
        <v>4</v>
      </c>
      <c r="R606">
        <v>4</v>
      </c>
      <c r="S606">
        <v>3.3</v>
      </c>
      <c r="T606">
        <v>2.5</v>
      </c>
      <c r="U606">
        <v>1.5</v>
      </c>
      <c r="V606" t="s">
        <v>38</v>
      </c>
    </row>
    <row r="607" spans="1:22" x14ac:dyDescent="0.25">
      <c r="A607" t="s">
        <v>89</v>
      </c>
      <c r="B607">
        <v>2</v>
      </c>
      <c r="C607" t="s">
        <v>90</v>
      </c>
      <c r="D607" t="s">
        <v>91</v>
      </c>
      <c r="E607" t="s">
        <v>92</v>
      </c>
      <c r="F607">
        <v>150</v>
      </c>
      <c r="G607">
        <v>1300</v>
      </c>
      <c r="H607">
        <v>-2</v>
      </c>
      <c r="I607">
        <v>1983</v>
      </c>
      <c r="J607" t="s">
        <v>32</v>
      </c>
      <c r="K607">
        <v>2635</v>
      </c>
      <c r="L607">
        <v>32.5</v>
      </c>
      <c r="M607">
        <v>14.57</v>
      </c>
      <c r="N607" s="4">
        <f t="shared" si="18"/>
        <v>8.2915625000000007E-2</v>
      </c>
      <c r="O607" s="4">
        <f t="shared" si="19"/>
        <v>1.2080806562500002</v>
      </c>
      <c r="P607">
        <v>10</v>
      </c>
      <c r="Q607">
        <v>2.7</v>
      </c>
      <c r="R607">
        <v>3</v>
      </c>
      <c r="S607">
        <v>3</v>
      </c>
      <c r="T607">
        <v>4</v>
      </c>
      <c r="U607">
        <v>3</v>
      </c>
      <c r="V607" t="s">
        <v>25</v>
      </c>
    </row>
    <row r="608" spans="1:22" x14ac:dyDescent="0.25">
      <c r="A608" t="s">
        <v>89</v>
      </c>
      <c r="B608">
        <v>2</v>
      </c>
      <c r="C608" t="s">
        <v>90</v>
      </c>
      <c r="D608" t="s">
        <v>91</v>
      </c>
      <c r="E608" t="s">
        <v>92</v>
      </c>
      <c r="F608">
        <v>150</v>
      </c>
      <c r="G608">
        <v>1300</v>
      </c>
      <c r="H608">
        <v>-2</v>
      </c>
      <c r="I608">
        <v>1983</v>
      </c>
      <c r="J608" t="s">
        <v>34</v>
      </c>
      <c r="K608">
        <v>2570</v>
      </c>
      <c r="L608">
        <v>49.88</v>
      </c>
      <c r="M608">
        <v>14.05</v>
      </c>
      <c r="N608" s="4">
        <f t="shared" si="18"/>
        <v>0.19530913040000003</v>
      </c>
      <c r="O608" s="4">
        <f t="shared" si="19"/>
        <v>2.7440932821200006</v>
      </c>
      <c r="P608">
        <v>10</v>
      </c>
      <c r="Q608">
        <v>4</v>
      </c>
      <c r="R608">
        <v>4.5</v>
      </c>
      <c r="S608">
        <v>3</v>
      </c>
      <c r="T608">
        <v>4</v>
      </c>
      <c r="U608">
        <v>3</v>
      </c>
      <c r="V608" t="s">
        <v>27</v>
      </c>
    </row>
    <row r="609" spans="1:22" x14ac:dyDescent="0.25">
      <c r="A609" t="s">
        <v>89</v>
      </c>
      <c r="B609">
        <v>2</v>
      </c>
      <c r="C609" t="s">
        <v>90</v>
      </c>
      <c r="D609" t="s">
        <v>91</v>
      </c>
      <c r="E609" t="s">
        <v>92</v>
      </c>
      <c r="F609">
        <v>150</v>
      </c>
      <c r="G609">
        <v>1300</v>
      </c>
      <c r="H609">
        <v>-2</v>
      </c>
      <c r="I609">
        <v>1983</v>
      </c>
      <c r="J609" t="s">
        <v>34</v>
      </c>
      <c r="K609">
        <v>1522</v>
      </c>
      <c r="L609">
        <v>52.26</v>
      </c>
      <c r="M609">
        <v>15.45</v>
      </c>
      <c r="N609" s="4">
        <f t="shared" si="18"/>
        <v>0.21439194659999997</v>
      </c>
      <c r="O609" s="4">
        <f t="shared" si="19"/>
        <v>3.3123555749699993</v>
      </c>
      <c r="P609">
        <v>10</v>
      </c>
      <c r="Q609">
        <v>5</v>
      </c>
      <c r="R609">
        <v>4.5</v>
      </c>
      <c r="S609">
        <v>2.5</v>
      </c>
      <c r="T609">
        <v>2</v>
      </c>
      <c r="U609">
        <v>2.5</v>
      </c>
      <c r="V609" t="s">
        <v>25</v>
      </c>
    </row>
    <row r="610" spans="1:22" x14ac:dyDescent="0.25">
      <c r="A610" t="s">
        <v>89</v>
      </c>
      <c r="B610">
        <v>2</v>
      </c>
      <c r="C610" t="s">
        <v>90</v>
      </c>
      <c r="D610" t="s">
        <v>91</v>
      </c>
      <c r="E610" t="s">
        <v>92</v>
      </c>
      <c r="F610">
        <v>150</v>
      </c>
      <c r="G610">
        <v>1300</v>
      </c>
      <c r="H610">
        <v>-2</v>
      </c>
      <c r="I610">
        <v>1983</v>
      </c>
      <c r="J610" t="s">
        <v>35</v>
      </c>
      <c r="K610">
        <v>1788</v>
      </c>
      <c r="L610">
        <v>32.86</v>
      </c>
      <c r="M610">
        <v>13.86</v>
      </c>
      <c r="N610" s="4">
        <f t="shared" si="18"/>
        <v>8.4762698600000005E-2</v>
      </c>
      <c r="O610" s="4">
        <f t="shared" si="19"/>
        <v>1.1748110025960001</v>
      </c>
      <c r="P610">
        <v>30</v>
      </c>
      <c r="Q610">
        <v>2.8</v>
      </c>
      <c r="R610">
        <v>2</v>
      </c>
      <c r="S610">
        <v>3.1</v>
      </c>
      <c r="T610">
        <v>3.1</v>
      </c>
      <c r="U610">
        <v>2.2999999999999998</v>
      </c>
      <c r="V610" t="s">
        <v>25</v>
      </c>
    </row>
    <row r="611" spans="1:22" x14ac:dyDescent="0.25">
      <c r="A611" t="s">
        <v>89</v>
      </c>
      <c r="B611">
        <v>2</v>
      </c>
      <c r="C611" t="s">
        <v>90</v>
      </c>
      <c r="D611" t="s">
        <v>91</v>
      </c>
      <c r="E611" t="s">
        <v>92</v>
      </c>
      <c r="F611">
        <v>150</v>
      </c>
      <c r="G611">
        <v>1300</v>
      </c>
      <c r="H611">
        <v>-2</v>
      </c>
      <c r="I611">
        <v>1983</v>
      </c>
      <c r="J611" t="s">
        <v>35</v>
      </c>
      <c r="K611">
        <v>2571</v>
      </c>
      <c r="L611">
        <v>39.79</v>
      </c>
      <c r="M611">
        <v>18.02</v>
      </c>
      <c r="N611" s="4">
        <f t="shared" si="18"/>
        <v>0.12428466184999998</v>
      </c>
      <c r="O611" s="4">
        <f t="shared" si="19"/>
        <v>2.2396096065369995</v>
      </c>
      <c r="P611">
        <v>40</v>
      </c>
      <c r="Q611">
        <v>4.3</v>
      </c>
      <c r="R611">
        <v>2.5</v>
      </c>
      <c r="S611">
        <v>3.4</v>
      </c>
      <c r="T611">
        <v>3.8</v>
      </c>
      <c r="U611">
        <v>3.1</v>
      </c>
      <c r="V611" t="s">
        <v>27</v>
      </c>
    </row>
    <row r="612" spans="1:22" x14ac:dyDescent="0.25">
      <c r="A612" t="s">
        <v>89</v>
      </c>
      <c r="B612">
        <v>2</v>
      </c>
      <c r="C612" t="s">
        <v>90</v>
      </c>
      <c r="D612" t="s">
        <v>91</v>
      </c>
      <c r="E612" t="s">
        <v>92</v>
      </c>
      <c r="F612">
        <v>150</v>
      </c>
      <c r="G612">
        <v>1300</v>
      </c>
      <c r="H612">
        <v>-2</v>
      </c>
      <c r="I612">
        <v>1983</v>
      </c>
      <c r="J612" t="s">
        <v>36</v>
      </c>
      <c r="K612">
        <v>2573</v>
      </c>
      <c r="L612">
        <v>8.7200000000000006</v>
      </c>
      <c r="M612">
        <v>10.17</v>
      </c>
      <c r="N612" s="4">
        <f t="shared" si="18"/>
        <v>5.9690144000000001E-3</v>
      </c>
      <c r="O612" s="4">
        <f t="shared" si="19"/>
        <v>6.0704876448000003E-2</v>
      </c>
      <c r="P612">
        <v>10</v>
      </c>
      <c r="Q612">
        <v>1.5</v>
      </c>
      <c r="R612">
        <v>4</v>
      </c>
      <c r="S612">
        <v>4</v>
      </c>
      <c r="T612">
        <v>4</v>
      </c>
      <c r="U612">
        <v>4</v>
      </c>
      <c r="V612" t="s">
        <v>50</v>
      </c>
    </row>
    <row r="613" spans="1:22" x14ac:dyDescent="0.25">
      <c r="A613" t="s">
        <v>89</v>
      </c>
      <c r="B613">
        <v>2</v>
      </c>
      <c r="C613" t="s">
        <v>90</v>
      </c>
      <c r="D613" t="s">
        <v>91</v>
      </c>
      <c r="E613" t="s">
        <v>92</v>
      </c>
      <c r="F613">
        <v>150</v>
      </c>
      <c r="G613">
        <v>1300</v>
      </c>
      <c r="H613">
        <v>-2</v>
      </c>
      <c r="I613">
        <v>1983</v>
      </c>
      <c r="J613" t="s">
        <v>62</v>
      </c>
      <c r="K613">
        <v>2550</v>
      </c>
      <c r="L613">
        <v>27.97</v>
      </c>
      <c r="M613">
        <v>14.65</v>
      </c>
      <c r="N613" s="4">
        <f t="shared" si="18"/>
        <v>6.1412190650000004E-2</v>
      </c>
      <c r="O613" s="4">
        <f t="shared" si="19"/>
        <v>0.89968859302250004</v>
      </c>
      <c r="P613">
        <v>10</v>
      </c>
      <c r="Q613">
        <v>3</v>
      </c>
      <c r="R613">
        <v>3.5</v>
      </c>
      <c r="S613">
        <v>3.5</v>
      </c>
      <c r="T613">
        <v>3</v>
      </c>
      <c r="U613">
        <v>3</v>
      </c>
      <c r="V613" t="s">
        <v>25</v>
      </c>
    </row>
    <row r="614" spans="1:22" x14ac:dyDescent="0.25">
      <c r="A614" t="s">
        <v>89</v>
      </c>
      <c r="B614">
        <v>2</v>
      </c>
      <c r="C614" t="s">
        <v>90</v>
      </c>
      <c r="D614" t="s">
        <v>91</v>
      </c>
      <c r="E614" t="s">
        <v>92</v>
      </c>
      <c r="F614">
        <v>150</v>
      </c>
      <c r="G614">
        <v>1300</v>
      </c>
      <c r="H614">
        <v>-2</v>
      </c>
      <c r="I614">
        <v>1983</v>
      </c>
      <c r="J614" t="s">
        <v>62</v>
      </c>
      <c r="K614">
        <v>2553</v>
      </c>
      <c r="L614">
        <v>39.69</v>
      </c>
      <c r="M614">
        <v>18.25</v>
      </c>
      <c r="N614" s="4">
        <f t="shared" si="18"/>
        <v>0.12366074384999999</v>
      </c>
      <c r="O614" s="4">
        <f t="shared" si="19"/>
        <v>2.2568085752624998</v>
      </c>
      <c r="P614">
        <v>30</v>
      </c>
      <c r="Q614">
        <v>3.9</v>
      </c>
      <c r="R614">
        <v>3.8</v>
      </c>
      <c r="S614">
        <v>4.2</v>
      </c>
      <c r="T614">
        <v>4.0999999999999996</v>
      </c>
      <c r="U614">
        <v>3.6</v>
      </c>
      <c r="V614" t="s">
        <v>27</v>
      </c>
    </row>
    <row r="615" spans="1:22" x14ac:dyDescent="0.25">
      <c r="A615" t="s">
        <v>89</v>
      </c>
      <c r="B615">
        <v>2</v>
      </c>
      <c r="C615" t="s">
        <v>90</v>
      </c>
      <c r="D615" t="s">
        <v>91</v>
      </c>
      <c r="E615" t="s">
        <v>92</v>
      </c>
      <c r="F615">
        <v>150</v>
      </c>
      <c r="G615">
        <v>1300</v>
      </c>
      <c r="H615">
        <v>-2</v>
      </c>
      <c r="I615">
        <v>1983</v>
      </c>
      <c r="J615" t="s">
        <v>37</v>
      </c>
      <c r="K615">
        <v>2575</v>
      </c>
      <c r="L615">
        <v>13.81</v>
      </c>
      <c r="M615">
        <v>10.62</v>
      </c>
      <c r="N615" s="4">
        <f t="shared" si="18"/>
        <v>1.497121385E-2</v>
      </c>
      <c r="O615" s="4">
        <f t="shared" si="19"/>
        <v>0.15899429108699997</v>
      </c>
      <c r="P615">
        <v>10</v>
      </c>
      <c r="Q615">
        <v>1.5</v>
      </c>
      <c r="R615">
        <v>3</v>
      </c>
      <c r="S615">
        <v>2</v>
      </c>
      <c r="T615">
        <v>4</v>
      </c>
      <c r="U615">
        <v>3</v>
      </c>
      <c r="V615" t="s">
        <v>50</v>
      </c>
    </row>
    <row r="616" spans="1:22" x14ac:dyDescent="0.25">
      <c r="A616" t="s">
        <v>89</v>
      </c>
      <c r="B616">
        <v>3</v>
      </c>
      <c r="C616" t="s">
        <v>90</v>
      </c>
      <c r="D616" t="s">
        <v>91</v>
      </c>
      <c r="E616" t="s">
        <v>92</v>
      </c>
      <c r="F616">
        <v>150</v>
      </c>
      <c r="G616">
        <v>1300</v>
      </c>
      <c r="H616">
        <v>-2</v>
      </c>
      <c r="I616">
        <v>1983</v>
      </c>
      <c r="J616" t="s">
        <v>24</v>
      </c>
      <c r="K616">
        <v>2562</v>
      </c>
      <c r="L616">
        <v>38.79</v>
      </c>
      <c r="M616">
        <v>14.56</v>
      </c>
      <c r="N616" s="4">
        <f t="shared" si="18"/>
        <v>0.11811613184999997</v>
      </c>
      <c r="O616" s="4">
        <f t="shared" si="19"/>
        <v>1.7197708797359996</v>
      </c>
      <c r="P616">
        <v>50</v>
      </c>
      <c r="Q616">
        <v>3.9</v>
      </c>
      <c r="R616">
        <v>3.6</v>
      </c>
      <c r="S616">
        <v>3.2</v>
      </c>
      <c r="T616">
        <v>3.5</v>
      </c>
      <c r="U616">
        <v>2.4</v>
      </c>
      <c r="V616" t="s">
        <v>27</v>
      </c>
    </row>
    <row r="617" spans="1:22" x14ac:dyDescent="0.25">
      <c r="A617" t="s">
        <v>89</v>
      </c>
      <c r="B617">
        <v>3</v>
      </c>
      <c r="C617" t="s">
        <v>90</v>
      </c>
      <c r="D617" t="s">
        <v>91</v>
      </c>
      <c r="E617" t="s">
        <v>92</v>
      </c>
      <c r="F617">
        <v>150</v>
      </c>
      <c r="G617">
        <v>1300</v>
      </c>
      <c r="H617">
        <v>-2</v>
      </c>
      <c r="I617">
        <v>1983</v>
      </c>
      <c r="J617" t="s">
        <v>80</v>
      </c>
      <c r="K617">
        <v>1252</v>
      </c>
      <c r="L617">
        <v>26.05</v>
      </c>
      <c r="M617">
        <v>12.15</v>
      </c>
      <c r="N617" s="4">
        <f t="shared" si="18"/>
        <v>5.3270296250000009E-2</v>
      </c>
      <c r="O617" s="4">
        <f t="shared" si="19"/>
        <v>0.6472340994375001</v>
      </c>
      <c r="P617">
        <v>10</v>
      </c>
      <c r="Q617">
        <v>3</v>
      </c>
      <c r="R617">
        <v>3</v>
      </c>
      <c r="S617">
        <v>2.5</v>
      </c>
      <c r="T617">
        <v>3.3</v>
      </c>
      <c r="U617">
        <v>3</v>
      </c>
      <c r="V617" t="s">
        <v>38</v>
      </c>
    </row>
    <row r="618" spans="1:22" x14ac:dyDescent="0.25">
      <c r="A618" t="s">
        <v>89</v>
      </c>
      <c r="B618">
        <v>3</v>
      </c>
      <c r="C618" t="s">
        <v>90</v>
      </c>
      <c r="D618" t="s">
        <v>91</v>
      </c>
      <c r="E618" t="s">
        <v>92</v>
      </c>
      <c r="F618">
        <v>150</v>
      </c>
      <c r="G618">
        <v>1300</v>
      </c>
      <c r="H618">
        <v>-2</v>
      </c>
      <c r="I618">
        <v>1983</v>
      </c>
      <c r="J618" t="s">
        <v>59</v>
      </c>
      <c r="K618">
        <v>2548</v>
      </c>
      <c r="L618">
        <v>26.51</v>
      </c>
      <c r="M618">
        <v>7.66</v>
      </c>
      <c r="N618" s="4">
        <f t="shared" si="18"/>
        <v>5.5168237850000003E-2</v>
      </c>
      <c r="O618" s="4">
        <f t="shared" si="19"/>
        <v>0.42258870193100001</v>
      </c>
      <c r="P618">
        <v>10</v>
      </c>
      <c r="Q618">
        <v>2.5</v>
      </c>
      <c r="R618">
        <v>3</v>
      </c>
      <c r="S618">
        <v>3</v>
      </c>
      <c r="T618">
        <v>3</v>
      </c>
      <c r="U618">
        <v>3</v>
      </c>
      <c r="V618" t="s">
        <v>38</v>
      </c>
    </row>
    <row r="619" spans="1:22" x14ac:dyDescent="0.25">
      <c r="A619" t="s">
        <v>89</v>
      </c>
      <c r="B619">
        <v>3</v>
      </c>
      <c r="C619" t="s">
        <v>90</v>
      </c>
      <c r="D619" t="s">
        <v>91</v>
      </c>
      <c r="E619" t="s">
        <v>92</v>
      </c>
      <c r="F619">
        <v>150</v>
      </c>
      <c r="G619">
        <v>1300</v>
      </c>
      <c r="H619">
        <v>-2</v>
      </c>
      <c r="I619">
        <v>1983</v>
      </c>
      <c r="J619" t="s">
        <v>26</v>
      </c>
      <c r="K619">
        <v>2552</v>
      </c>
      <c r="L619">
        <v>14.24</v>
      </c>
      <c r="M619">
        <v>7.12</v>
      </c>
      <c r="N619" s="4">
        <f t="shared" si="18"/>
        <v>1.5918041599999998E-2</v>
      </c>
      <c r="O619" s="4">
        <f t="shared" si="19"/>
        <v>0.11333645619199999</v>
      </c>
      <c r="P619">
        <v>10</v>
      </c>
      <c r="Q619">
        <v>2</v>
      </c>
      <c r="R619">
        <v>3</v>
      </c>
      <c r="S619">
        <v>3</v>
      </c>
      <c r="T619">
        <v>4</v>
      </c>
      <c r="U619">
        <v>4</v>
      </c>
      <c r="V619" t="s">
        <v>30</v>
      </c>
    </row>
    <row r="620" spans="1:22" x14ac:dyDescent="0.25">
      <c r="A620" t="s">
        <v>89</v>
      </c>
      <c r="B620">
        <v>3</v>
      </c>
      <c r="C620" t="s">
        <v>90</v>
      </c>
      <c r="D620" t="s">
        <v>91</v>
      </c>
      <c r="E620" t="s">
        <v>92</v>
      </c>
      <c r="F620">
        <v>150</v>
      </c>
      <c r="G620">
        <v>1300</v>
      </c>
      <c r="H620">
        <v>-2</v>
      </c>
      <c r="I620">
        <v>1983</v>
      </c>
      <c r="J620" t="s">
        <v>33</v>
      </c>
      <c r="K620">
        <v>2547</v>
      </c>
      <c r="L620">
        <v>42.95</v>
      </c>
      <c r="M620">
        <v>13.91</v>
      </c>
      <c r="N620" s="4">
        <f t="shared" si="18"/>
        <v>0.14480914625000002</v>
      </c>
      <c r="O620" s="4">
        <f t="shared" si="19"/>
        <v>2.0142952243375003</v>
      </c>
      <c r="P620">
        <v>50</v>
      </c>
      <c r="Q620">
        <v>4.2</v>
      </c>
      <c r="R620">
        <v>2.8</v>
      </c>
      <c r="S620">
        <v>2</v>
      </c>
      <c r="T620">
        <v>2.5</v>
      </c>
      <c r="U620">
        <v>1.7</v>
      </c>
      <c r="V620" t="s">
        <v>25</v>
      </c>
    </row>
    <row r="621" spans="1:22" x14ac:dyDescent="0.25">
      <c r="A621" t="s">
        <v>89</v>
      </c>
      <c r="B621">
        <v>3</v>
      </c>
      <c r="C621" t="s">
        <v>90</v>
      </c>
      <c r="D621" t="s">
        <v>91</v>
      </c>
      <c r="E621" t="s">
        <v>92</v>
      </c>
      <c r="F621">
        <v>150</v>
      </c>
      <c r="G621">
        <v>1300</v>
      </c>
      <c r="H621">
        <v>-2</v>
      </c>
      <c r="I621">
        <v>1983</v>
      </c>
      <c r="J621" t="s">
        <v>33</v>
      </c>
      <c r="K621">
        <v>2568</v>
      </c>
      <c r="L621">
        <v>40.08</v>
      </c>
      <c r="M621">
        <v>12.27</v>
      </c>
      <c r="N621" s="4">
        <f t="shared" si="18"/>
        <v>0.12610290239999999</v>
      </c>
      <c r="O621" s="4">
        <f t="shared" si="19"/>
        <v>1.5472826124479999</v>
      </c>
      <c r="P621">
        <v>50</v>
      </c>
      <c r="Q621">
        <v>4.0999999999999996</v>
      </c>
      <c r="R621">
        <v>2.5</v>
      </c>
      <c r="S621">
        <v>2.2999999999999998</v>
      </c>
      <c r="T621">
        <v>2.6</v>
      </c>
      <c r="U621">
        <v>1.7</v>
      </c>
      <c r="V621" t="s">
        <v>25</v>
      </c>
    </row>
    <row r="622" spans="1:22" x14ac:dyDescent="0.25">
      <c r="A622" t="s">
        <v>89</v>
      </c>
      <c r="B622">
        <v>3</v>
      </c>
      <c r="C622" t="s">
        <v>90</v>
      </c>
      <c r="D622" t="s">
        <v>91</v>
      </c>
      <c r="E622" t="s">
        <v>92</v>
      </c>
      <c r="F622">
        <v>150</v>
      </c>
      <c r="G622">
        <v>1300</v>
      </c>
      <c r="H622">
        <v>-2</v>
      </c>
      <c r="I622">
        <v>1983</v>
      </c>
      <c r="J622" t="s">
        <v>32</v>
      </c>
      <c r="K622">
        <v>1596</v>
      </c>
      <c r="L622">
        <v>33.81</v>
      </c>
      <c r="M622">
        <v>10.93</v>
      </c>
      <c r="N622" s="4">
        <f t="shared" si="18"/>
        <v>8.9734613850000006E-2</v>
      </c>
      <c r="O622" s="4">
        <f t="shared" si="19"/>
        <v>0.98079932938050007</v>
      </c>
      <c r="P622">
        <v>10</v>
      </c>
      <c r="Q622">
        <v>3.3</v>
      </c>
      <c r="R622">
        <v>4</v>
      </c>
      <c r="S622">
        <v>3.3</v>
      </c>
      <c r="T622">
        <v>4</v>
      </c>
      <c r="U622">
        <v>2.7</v>
      </c>
      <c r="V622" t="s">
        <v>25</v>
      </c>
    </row>
    <row r="623" spans="1:22" x14ac:dyDescent="0.25">
      <c r="A623" t="s">
        <v>89</v>
      </c>
      <c r="B623">
        <v>3</v>
      </c>
      <c r="C623" t="s">
        <v>90</v>
      </c>
      <c r="D623" t="s">
        <v>91</v>
      </c>
      <c r="E623" t="s">
        <v>92</v>
      </c>
      <c r="F623">
        <v>150</v>
      </c>
      <c r="G623">
        <v>1300</v>
      </c>
      <c r="H623">
        <v>-2</v>
      </c>
      <c r="I623">
        <v>1983</v>
      </c>
      <c r="J623" t="s">
        <v>32</v>
      </c>
      <c r="K623">
        <v>2569</v>
      </c>
      <c r="L623">
        <v>31.33</v>
      </c>
      <c r="M623">
        <v>10.199999999999999</v>
      </c>
      <c r="N623" s="4">
        <f t="shared" si="18"/>
        <v>7.7053158649999995E-2</v>
      </c>
      <c r="O623" s="4">
        <f t="shared" si="19"/>
        <v>0.78594221822999988</v>
      </c>
      <c r="P623">
        <v>10</v>
      </c>
      <c r="Q623">
        <v>3.5</v>
      </c>
      <c r="R623">
        <v>4</v>
      </c>
      <c r="S623">
        <v>3</v>
      </c>
      <c r="T623">
        <v>4</v>
      </c>
      <c r="U623">
        <v>3</v>
      </c>
      <c r="V623" t="s">
        <v>27</v>
      </c>
    </row>
    <row r="624" spans="1:22" x14ac:dyDescent="0.25">
      <c r="A624" t="s">
        <v>89</v>
      </c>
      <c r="B624">
        <v>3</v>
      </c>
      <c r="C624" t="s">
        <v>90</v>
      </c>
      <c r="D624" t="s">
        <v>91</v>
      </c>
      <c r="E624" t="s">
        <v>92</v>
      </c>
      <c r="F624">
        <v>150</v>
      </c>
      <c r="G624">
        <v>1300</v>
      </c>
      <c r="H624">
        <v>-2</v>
      </c>
      <c r="I624">
        <v>1983</v>
      </c>
      <c r="J624" t="s">
        <v>32</v>
      </c>
      <c r="K624">
        <v>2634</v>
      </c>
      <c r="L624">
        <v>40.22</v>
      </c>
      <c r="M624">
        <v>18.22</v>
      </c>
      <c r="N624" s="4">
        <f t="shared" si="18"/>
        <v>0.1269853994</v>
      </c>
      <c r="O624" s="4">
        <f t="shared" si="19"/>
        <v>2.3136739770679999</v>
      </c>
      <c r="P624">
        <v>10</v>
      </c>
      <c r="Q624">
        <v>4</v>
      </c>
      <c r="R624">
        <v>4.5</v>
      </c>
      <c r="S624">
        <v>3</v>
      </c>
      <c r="T624">
        <v>3.5</v>
      </c>
      <c r="U624">
        <v>2</v>
      </c>
      <c r="V624" t="s">
        <v>25</v>
      </c>
    </row>
    <row r="625" spans="1:22" x14ac:dyDescent="0.25">
      <c r="A625" t="s">
        <v>89</v>
      </c>
      <c r="B625">
        <v>3</v>
      </c>
      <c r="C625" t="s">
        <v>90</v>
      </c>
      <c r="D625" t="s">
        <v>91</v>
      </c>
      <c r="E625" t="s">
        <v>92</v>
      </c>
      <c r="F625">
        <v>150</v>
      </c>
      <c r="G625">
        <v>1300</v>
      </c>
      <c r="H625">
        <v>-2</v>
      </c>
      <c r="I625">
        <v>1983</v>
      </c>
      <c r="J625" t="s">
        <v>32</v>
      </c>
      <c r="K625">
        <v>2635</v>
      </c>
      <c r="L625">
        <v>30.75</v>
      </c>
      <c r="M625">
        <v>14.57</v>
      </c>
      <c r="N625" s="4">
        <f t="shared" si="18"/>
        <v>7.4226656249999995E-2</v>
      </c>
      <c r="O625" s="4">
        <f t="shared" si="19"/>
        <v>1.0814823815624999</v>
      </c>
      <c r="P625">
        <v>20</v>
      </c>
      <c r="Q625">
        <v>3.8</v>
      </c>
      <c r="R625">
        <v>4</v>
      </c>
      <c r="S625">
        <v>3.5</v>
      </c>
      <c r="T625">
        <v>4</v>
      </c>
      <c r="U625">
        <v>2.9</v>
      </c>
      <c r="V625" t="s">
        <v>25</v>
      </c>
    </row>
    <row r="626" spans="1:22" x14ac:dyDescent="0.25">
      <c r="A626" t="s">
        <v>89</v>
      </c>
      <c r="B626">
        <v>3</v>
      </c>
      <c r="C626" t="s">
        <v>90</v>
      </c>
      <c r="D626" t="s">
        <v>91</v>
      </c>
      <c r="E626" t="s">
        <v>92</v>
      </c>
      <c r="F626">
        <v>150</v>
      </c>
      <c r="G626">
        <v>1300</v>
      </c>
      <c r="H626">
        <v>-2</v>
      </c>
      <c r="I626">
        <v>1983</v>
      </c>
      <c r="J626" t="s">
        <v>34</v>
      </c>
      <c r="K626">
        <v>2570</v>
      </c>
      <c r="L626">
        <v>35.4</v>
      </c>
      <c r="M626">
        <v>14.05</v>
      </c>
      <c r="N626" s="4">
        <f t="shared" si="18"/>
        <v>9.8373059999999984E-2</v>
      </c>
      <c r="O626" s="4">
        <f t="shared" si="19"/>
        <v>1.3821414929999998</v>
      </c>
      <c r="P626">
        <v>10</v>
      </c>
      <c r="Q626">
        <v>3</v>
      </c>
      <c r="R626">
        <v>3</v>
      </c>
      <c r="S626">
        <v>3.3</v>
      </c>
      <c r="T626">
        <v>3.5</v>
      </c>
      <c r="U626">
        <v>3</v>
      </c>
      <c r="V626" t="s">
        <v>27</v>
      </c>
    </row>
    <row r="627" spans="1:22" x14ac:dyDescent="0.25">
      <c r="A627" t="s">
        <v>89</v>
      </c>
      <c r="B627">
        <v>3</v>
      </c>
      <c r="C627" t="s">
        <v>90</v>
      </c>
      <c r="D627" t="s">
        <v>91</v>
      </c>
      <c r="E627" t="s">
        <v>92</v>
      </c>
      <c r="F627">
        <v>150</v>
      </c>
      <c r="G627">
        <v>1300</v>
      </c>
      <c r="H627">
        <v>-2</v>
      </c>
      <c r="I627">
        <v>1983</v>
      </c>
      <c r="J627" t="s">
        <v>34</v>
      </c>
      <c r="K627">
        <v>1522</v>
      </c>
      <c r="L627">
        <v>42.43</v>
      </c>
      <c r="M627">
        <v>13.35</v>
      </c>
      <c r="N627" s="4">
        <f t="shared" si="18"/>
        <v>0.14132393465000001</v>
      </c>
      <c r="O627" s="4">
        <f t="shared" si="19"/>
        <v>1.8866745275775001</v>
      </c>
      <c r="P627">
        <v>40</v>
      </c>
      <c r="Q627">
        <v>4</v>
      </c>
      <c r="R627">
        <v>3.4</v>
      </c>
      <c r="S627">
        <v>3</v>
      </c>
      <c r="T627">
        <v>3.5</v>
      </c>
      <c r="U627">
        <v>2.1</v>
      </c>
      <c r="V627" t="s">
        <v>27</v>
      </c>
    </row>
    <row r="628" spans="1:22" x14ac:dyDescent="0.25">
      <c r="A628" t="s">
        <v>89</v>
      </c>
      <c r="B628">
        <v>3</v>
      </c>
      <c r="C628" t="s">
        <v>90</v>
      </c>
      <c r="D628" t="s">
        <v>91</v>
      </c>
      <c r="E628" t="s">
        <v>92</v>
      </c>
      <c r="F628">
        <v>150</v>
      </c>
      <c r="G628">
        <v>1300</v>
      </c>
      <c r="H628">
        <v>-2</v>
      </c>
      <c r="I628">
        <v>1983</v>
      </c>
      <c r="J628" t="s">
        <v>35</v>
      </c>
      <c r="K628">
        <v>1788</v>
      </c>
      <c r="L628">
        <v>17.329999999999998</v>
      </c>
      <c r="M628">
        <v>8.32</v>
      </c>
      <c r="N628" s="4">
        <f t="shared" si="18"/>
        <v>2.3575818649999997E-2</v>
      </c>
      <c r="O628" s="4">
        <f t="shared" si="19"/>
        <v>0.19615081116799998</v>
      </c>
      <c r="P628">
        <v>40</v>
      </c>
      <c r="Q628">
        <v>1.9</v>
      </c>
      <c r="R628">
        <v>2.1</v>
      </c>
      <c r="S628">
        <v>2.5</v>
      </c>
      <c r="T628">
        <v>3</v>
      </c>
      <c r="U628">
        <v>2.8</v>
      </c>
      <c r="V628" t="s">
        <v>30</v>
      </c>
    </row>
    <row r="629" spans="1:22" x14ac:dyDescent="0.25">
      <c r="A629" t="s">
        <v>89</v>
      </c>
      <c r="B629">
        <v>3</v>
      </c>
      <c r="C629" t="s">
        <v>90</v>
      </c>
      <c r="D629" t="s">
        <v>91</v>
      </c>
      <c r="E629" t="s">
        <v>92</v>
      </c>
      <c r="F629">
        <v>150</v>
      </c>
      <c r="G629">
        <v>1300</v>
      </c>
      <c r="H629">
        <v>-2</v>
      </c>
      <c r="I629">
        <v>1983</v>
      </c>
      <c r="J629" t="s">
        <v>35</v>
      </c>
      <c r="K629">
        <v>2571</v>
      </c>
      <c r="L629">
        <v>41.87</v>
      </c>
      <c r="M629">
        <v>15.25</v>
      </c>
      <c r="N629" s="4">
        <f t="shared" si="18"/>
        <v>0.13761810664999999</v>
      </c>
      <c r="O629" s="4">
        <f t="shared" si="19"/>
        <v>2.0986761264124998</v>
      </c>
      <c r="P629">
        <v>30</v>
      </c>
      <c r="Q629">
        <v>4.2</v>
      </c>
      <c r="R629">
        <v>2.8</v>
      </c>
      <c r="S629">
        <v>2.6</v>
      </c>
      <c r="T629">
        <v>3.3</v>
      </c>
      <c r="U629">
        <v>2.2000000000000002</v>
      </c>
      <c r="V629" t="s">
        <v>25</v>
      </c>
    </row>
    <row r="630" spans="1:22" x14ac:dyDescent="0.25">
      <c r="A630" t="s">
        <v>89</v>
      </c>
      <c r="B630">
        <v>3</v>
      </c>
      <c r="C630" t="s">
        <v>90</v>
      </c>
      <c r="D630" t="s">
        <v>91</v>
      </c>
      <c r="E630" t="s">
        <v>92</v>
      </c>
      <c r="F630">
        <v>150</v>
      </c>
      <c r="G630">
        <v>1300</v>
      </c>
      <c r="H630">
        <v>-2</v>
      </c>
      <c r="I630">
        <v>1983</v>
      </c>
      <c r="J630" t="s">
        <v>62</v>
      </c>
      <c r="K630">
        <v>2550</v>
      </c>
      <c r="L630">
        <v>9.99</v>
      </c>
      <c r="M630">
        <v>5.33</v>
      </c>
      <c r="N630" s="4">
        <f t="shared" si="18"/>
        <v>7.8343078500000014E-3</v>
      </c>
      <c r="O630" s="4">
        <f t="shared" si="19"/>
        <v>4.175686084050001E-2</v>
      </c>
      <c r="P630">
        <v>10</v>
      </c>
      <c r="Q630">
        <v>1.5</v>
      </c>
      <c r="R630">
        <v>2.5</v>
      </c>
      <c r="S630">
        <v>3</v>
      </c>
      <c r="T630">
        <v>3</v>
      </c>
      <c r="U630">
        <v>3</v>
      </c>
      <c r="V630" t="s">
        <v>50</v>
      </c>
    </row>
    <row r="631" spans="1:22" x14ac:dyDescent="0.25">
      <c r="A631" t="s">
        <v>93</v>
      </c>
      <c r="B631">
        <v>1</v>
      </c>
      <c r="C631" t="s">
        <v>66</v>
      </c>
      <c r="D631" t="s">
        <v>67</v>
      </c>
      <c r="E631" t="s">
        <v>68</v>
      </c>
      <c r="F631">
        <v>180</v>
      </c>
      <c r="G631">
        <v>1080</v>
      </c>
      <c r="H631">
        <v>-3</v>
      </c>
      <c r="I631">
        <v>1981</v>
      </c>
      <c r="J631" t="s">
        <v>56</v>
      </c>
      <c r="K631">
        <v>1111</v>
      </c>
      <c r="L631">
        <v>2.84</v>
      </c>
      <c r="M631">
        <v>3.41</v>
      </c>
      <c r="N631" s="4">
        <f t="shared" si="18"/>
        <v>6.3314959999999994E-4</v>
      </c>
      <c r="O631" s="4">
        <f t="shared" si="19"/>
        <v>2.159040136E-3</v>
      </c>
      <c r="P631">
        <v>3</v>
      </c>
      <c r="Q631">
        <v>1</v>
      </c>
      <c r="R631">
        <v>2</v>
      </c>
      <c r="S631">
        <v>3</v>
      </c>
      <c r="T631">
        <v>3</v>
      </c>
      <c r="U631">
        <v>3</v>
      </c>
      <c r="V631" t="s">
        <v>50</v>
      </c>
    </row>
    <row r="632" spans="1:22" x14ac:dyDescent="0.25">
      <c r="A632" t="s">
        <v>93</v>
      </c>
      <c r="B632">
        <v>1</v>
      </c>
      <c r="C632" t="s">
        <v>66</v>
      </c>
      <c r="D632" t="s">
        <v>67</v>
      </c>
      <c r="E632" t="s">
        <v>68</v>
      </c>
      <c r="F632">
        <v>180</v>
      </c>
      <c r="G632">
        <v>1080</v>
      </c>
      <c r="H632">
        <v>-3</v>
      </c>
      <c r="I632">
        <v>1981</v>
      </c>
      <c r="J632" t="s">
        <v>24</v>
      </c>
      <c r="K632">
        <v>2562</v>
      </c>
      <c r="L632">
        <v>7.99</v>
      </c>
      <c r="M632">
        <v>5.49</v>
      </c>
      <c r="N632" s="4">
        <f t="shared" si="18"/>
        <v>5.0114478499999997E-3</v>
      </c>
      <c r="O632" s="4">
        <f t="shared" si="19"/>
        <v>2.75128486965E-2</v>
      </c>
      <c r="P632">
        <v>17</v>
      </c>
      <c r="Q632">
        <v>2</v>
      </c>
      <c r="R632">
        <v>3</v>
      </c>
      <c r="S632">
        <v>2.5</v>
      </c>
      <c r="T632">
        <v>3.3</v>
      </c>
      <c r="U632">
        <v>3</v>
      </c>
      <c r="V632" t="s">
        <v>30</v>
      </c>
    </row>
    <row r="633" spans="1:22" x14ac:dyDescent="0.25">
      <c r="A633" t="s">
        <v>93</v>
      </c>
      <c r="B633">
        <v>1</v>
      </c>
      <c r="C633" t="s">
        <v>66</v>
      </c>
      <c r="D633" t="s">
        <v>67</v>
      </c>
      <c r="E633" t="s">
        <v>68</v>
      </c>
      <c r="F633">
        <v>180</v>
      </c>
      <c r="G633">
        <v>1080</v>
      </c>
      <c r="H633">
        <v>-3</v>
      </c>
      <c r="I633">
        <v>1981</v>
      </c>
      <c r="J633" t="s">
        <v>59</v>
      </c>
      <c r="K633">
        <v>2426</v>
      </c>
      <c r="L633">
        <v>8.3000000000000007</v>
      </c>
      <c r="M633">
        <v>5.93</v>
      </c>
      <c r="N633" s="4">
        <f t="shared" si="18"/>
        <v>5.4078650000000013E-3</v>
      </c>
      <c r="O633" s="4">
        <f t="shared" si="19"/>
        <v>3.2068639450000005E-2</v>
      </c>
      <c r="P633">
        <v>4</v>
      </c>
      <c r="Q633">
        <v>2</v>
      </c>
      <c r="R633">
        <v>3.5</v>
      </c>
      <c r="S633">
        <v>3</v>
      </c>
      <c r="T633">
        <v>3</v>
      </c>
      <c r="U633">
        <v>3</v>
      </c>
      <c r="V633" t="s">
        <v>50</v>
      </c>
    </row>
    <row r="634" spans="1:22" x14ac:dyDescent="0.25">
      <c r="A634" t="s">
        <v>93</v>
      </c>
      <c r="B634">
        <v>1</v>
      </c>
      <c r="C634" t="s">
        <v>66</v>
      </c>
      <c r="D634" t="s">
        <v>67</v>
      </c>
      <c r="E634" t="s">
        <v>68</v>
      </c>
      <c r="F634">
        <v>180</v>
      </c>
      <c r="G634">
        <v>1080</v>
      </c>
      <c r="H634">
        <v>-3</v>
      </c>
      <c r="I634">
        <v>1981</v>
      </c>
      <c r="J634" t="s">
        <v>59</v>
      </c>
      <c r="K634">
        <v>2548</v>
      </c>
      <c r="L634">
        <v>15.58</v>
      </c>
      <c r="M634">
        <v>8.06</v>
      </c>
      <c r="N634" s="4">
        <f t="shared" si="18"/>
        <v>1.9054807399999998E-2</v>
      </c>
      <c r="O634" s="4">
        <f t="shared" si="19"/>
        <v>0.15358174764399998</v>
      </c>
      <c r="P634">
        <v>27</v>
      </c>
      <c r="Q634">
        <v>3</v>
      </c>
      <c r="R634">
        <v>3.5</v>
      </c>
      <c r="S634">
        <v>3</v>
      </c>
      <c r="T634">
        <v>2.5</v>
      </c>
      <c r="U634">
        <v>3</v>
      </c>
      <c r="V634" t="s">
        <v>38</v>
      </c>
    </row>
    <row r="635" spans="1:22" x14ac:dyDescent="0.25">
      <c r="A635" t="s">
        <v>93</v>
      </c>
      <c r="B635">
        <v>1</v>
      </c>
      <c r="C635" t="s">
        <v>66</v>
      </c>
      <c r="D635" t="s">
        <v>67</v>
      </c>
      <c r="E635" t="s">
        <v>68</v>
      </c>
      <c r="F635">
        <v>180</v>
      </c>
      <c r="G635">
        <v>1080</v>
      </c>
      <c r="H635">
        <v>-3</v>
      </c>
      <c r="I635">
        <v>1981</v>
      </c>
      <c r="J635" t="s">
        <v>32</v>
      </c>
      <c r="K635">
        <v>1596</v>
      </c>
      <c r="L635">
        <v>4.5599999999999996</v>
      </c>
      <c r="M635">
        <v>3.58</v>
      </c>
      <c r="N635" s="4">
        <f t="shared" si="18"/>
        <v>1.6322975999999998E-3</v>
      </c>
      <c r="O635" s="4">
        <f t="shared" si="19"/>
        <v>5.8436254079999991E-3</v>
      </c>
      <c r="P635">
        <v>13</v>
      </c>
      <c r="Q635">
        <v>2</v>
      </c>
      <c r="R635">
        <v>3</v>
      </c>
      <c r="S635">
        <v>2</v>
      </c>
      <c r="T635">
        <v>3</v>
      </c>
      <c r="U635">
        <v>3</v>
      </c>
      <c r="V635" t="s">
        <v>50</v>
      </c>
    </row>
    <row r="636" spans="1:22" x14ac:dyDescent="0.25">
      <c r="A636" t="s">
        <v>93</v>
      </c>
      <c r="B636">
        <v>1</v>
      </c>
      <c r="C636" t="s">
        <v>66</v>
      </c>
      <c r="D636" t="s">
        <v>67</v>
      </c>
      <c r="E636" t="s">
        <v>68</v>
      </c>
      <c r="F636">
        <v>180</v>
      </c>
      <c r="G636">
        <v>1080</v>
      </c>
      <c r="H636">
        <v>-3</v>
      </c>
      <c r="I636">
        <v>1981</v>
      </c>
      <c r="J636" t="s">
        <v>32</v>
      </c>
      <c r="K636">
        <v>2634</v>
      </c>
      <c r="L636">
        <v>5.43</v>
      </c>
      <c r="M636">
        <v>4.4400000000000004</v>
      </c>
      <c r="N636" s="4">
        <f t="shared" si="18"/>
        <v>2.3145646499999994E-3</v>
      </c>
      <c r="O636" s="4">
        <f t="shared" si="19"/>
        <v>1.0276667045999999E-2</v>
      </c>
      <c r="P636">
        <v>9</v>
      </c>
      <c r="Q636">
        <v>1</v>
      </c>
      <c r="R636">
        <v>2</v>
      </c>
      <c r="S636">
        <v>2</v>
      </c>
      <c r="T636">
        <v>3</v>
      </c>
      <c r="U636">
        <v>3</v>
      </c>
      <c r="V636" t="s">
        <v>50</v>
      </c>
    </row>
    <row r="637" spans="1:22" x14ac:dyDescent="0.25">
      <c r="A637" t="s">
        <v>93</v>
      </c>
      <c r="B637">
        <v>1</v>
      </c>
      <c r="C637" t="s">
        <v>66</v>
      </c>
      <c r="D637" t="s">
        <v>67</v>
      </c>
      <c r="E637" t="s">
        <v>68</v>
      </c>
      <c r="F637">
        <v>180</v>
      </c>
      <c r="G637">
        <v>1080</v>
      </c>
      <c r="H637">
        <v>-3</v>
      </c>
      <c r="I637">
        <v>1981</v>
      </c>
      <c r="J637" t="s">
        <v>35</v>
      </c>
      <c r="K637">
        <v>1788</v>
      </c>
      <c r="L637">
        <v>13.07</v>
      </c>
      <c r="M637">
        <v>8.1199999999999992</v>
      </c>
      <c r="N637" s="4">
        <f t="shared" si="18"/>
        <v>1.3409754650000003E-2</v>
      </c>
      <c r="O637" s="4">
        <f t="shared" si="19"/>
        <v>0.10888720775800001</v>
      </c>
      <c r="P637">
        <v>14</v>
      </c>
      <c r="Q637">
        <v>1.5</v>
      </c>
      <c r="R637">
        <v>1.5</v>
      </c>
      <c r="S637">
        <v>2</v>
      </c>
      <c r="T637">
        <v>3</v>
      </c>
      <c r="U637">
        <v>3</v>
      </c>
      <c r="V637" t="s">
        <v>30</v>
      </c>
    </row>
    <row r="638" spans="1:22" x14ac:dyDescent="0.25">
      <c r="A638" t="s">
        <v>93</v>
      </c>
      <c r="B638">
        <v>1</v>
      </c>
      <c r="C638" t="s">
        <v>66</v>
      </c>
      <c r="D638" t="s">
        <v>67</v>
      </c>
      <c r="E638" t="s">
        <v>68</v>
      </c>
      <c r="F638">
        <v>180</v>
      </c>
      <c r="G638">
        <v>1080</v>
      </c>
      <c r="H638">
        <v>-3</v>
      </c>
      <c r="I638">
        <v>1981</v>
      </c>
      <c r="J638" t="s">
        <v>35</v>
      </c>
      <c r="K638">
        <v>2571</v>
      </c>
      <c r="L638">
        <v>23.55</v>
      </c>
      <c r="M638">
        <v>14.36</v>
      </c>
      <c r="N638" s="4">
        <f t="shared" si="18"/>
        <v>4.3536296250000009E-2</v>
      </c>
      <c r="O638" s="4">
        <f t="shared" si="19"/>
        <v>0.62518121415000005</v>
      </c>
      <c r="P638">
        <v>37</v>
      </c>
      <c r="Q638">
        <v>4</v>
      </c>
      <c r="R638">
        <v>2</v>
      </c>
      <c r="S638">
        <v>3</v>
      </c>
      <c r="T638">
        <v>3.5</v>
      </c>
      <c r="U638">
        <v>2</v>
      </c>
      <c r="V638" t="s">
        <v>27</v>
      </c>
    </row>
    <row r="639" spans="1:22" x14ac:dyDescent="0.25">
      <c r="A639" t="s">
        <v>93</v>
      </c>
      <c r="B639">
        <v>1</v>
      </c>
      <c r="C639" t="s">
        <v>66</v>
      </c>
      <c r="D639" t="s">
        <v>67</v>
      </c>
      <c r="E639" t="s">
        <v>68</v>
      </c>
      <c r="F639">
        <v>180</v>
      </c>
      <c r="G639">
        <v>1080</v>
      </c>
      <c r="H639">
        <v>-3</v>
      </c>
      <c r="I639">
        <v>1981</v>
      </c>
      <c r="J639" t="s">
        <v>35</v>
      </c>
      <c r="K639">
        <v>2622</v>
      </c>
      <c r="L639">
        <v>16.25</v>
      </c>
      <c r="M639">
        <v>9.77</v>
      </c>
      <c r="N639" s="4">
        <f t="shared" si="18"/>
        <v>2.0728906250000002E-2</v>
      </c>
      <c r="O639" s="4">
        <f t="shared" si="19"/>
        <v>0.20252141406250002</v>
      </c>
      <c r="P639">
        <v>85</v>
      </c>
      <c r="Q639">
        <v>4</v>
      </c>
      <c r="R639">
        <v>2</v>
      </c>
      <c r="S639">
        <v>2.5</v>
      </c>
      <c r="T639">
        <v>4</v>
      </c>
      <c r="U639">
        <v>2.5</v>
      </c>
      <c r="V639" t="s">
        <v>27</v>
      </c>
    </row>
    <row r="640" spans="1:22" x14ac:dyDescent="0.25">
      <c r="A640" t="s">
        <v>93</v>
      </c>
      <c r="B640">
        <v>1</v>
      </c>
      <c r="C640" t="s">
        <v>66</v>
      </c>
      <c r="D640" t="s">
        <v>67</v>
      </c>
      <c r="E640" t="s">
        <v>68</v>
      </c>
      <c r="F640">
        <v>180</v>
      </c>
      <c r="G640">
        <v>1080</v>
      </c>
      <c r="H640">
        <v>-3</v>
      </c>
      <c r="I640">
        <v>1981</v>
      </c>
      <c r="J640" t="s">
        <v>62</v>
      </c>
      <c r="K640">
        <v>2431</v>
      </c>
      <c r="L640">
        <v>17.079999999999998</v>
      </c>
      <c r="M640">
        <v>10.25</v>
      </c>
      <c r="N640" s="4">
        <f t="shared" si="18"/>
        <v>2.2900522399999994E-2</v>
      </c>
      <c r="O640" s="4">
        <f t="shared" si="19"/>
        <v>0.23473035459999994</v>
      </c>
      <c r="P640">
        <v>7</v>
      </c>
      <c r="Q640">
        <v>2.5</v>
      </c>
      <c r="R640">
        <v>3</v>
      </c>
      <c r="S640">
        <v>3</v>
      </c>
      <c r="T640">
        <v>3.5</v>
      </c>
      <c r="U640">
        <v>3</v>
      </c>
      <c r="V640" t="s">
        <v>30</v>
      </c>
    </row>
    <row r="641" spans="1:22" x14ac:dyDescent="0.25">
      <c r="A641" t="s">
        <v>93</v>
      </c>
      <c r="B641">
        <v>1</v>
      </c>
      <c r="C641" t="s">
        <v>66</v>
      </c>
      <c r="D641" t="s">
        <v>67</v>
      </c>
      <c r="E641" t="s">
        <v>68</v>
      </c>
      <c r="F641">
        <v>180</v>
      </c>
      <c r="G641">
        <v>1080</v>
      </c>
      <c r="H641">
        <v>-3</v>
      </c>
      <c r="I641">
        <v>1981</v>
      </c>
      <c r="J641" t="s">
        <v>62</v>
      </c>
      <c r="K641">
        <v>2553</v>
      </c>
      <c r="L641">
        <v>14.69</v>
      </c>
      <c r="M641">
        <v>9.68</v>
      </c>
      <c r="N641" s="4">
        <f t="shared" si="18"/>
        <v>1.6939993850000001E-2</v>
      </c>
      <c r="O641" s="4">
        <f t="shared" si="19"/>
        <v>0.163979140468</v>
      </c>
      <c r="P641">
        <v>21</v>
      </c>
      <c r="Q641">
        <v>3</v>
      </c>
      <c r="R641">
        <v>3</v>
      </c>
      <c r="S641">
        <v>3.3</v>
      </c>
      <c r="T641">
        <v>3.5</v>
      </c>
      <c r="U641">
        <v>3.3</v>
      </c>
      <c r="V641" t="s">
        <v>38</v>
      </c>
    </row>
    <row r="642" spans="1:22" x14ac:dyDescent="0.25">
      <c r="A642" t="s">
        <v>93</v>
      </c>
      <c r="B642">
        <v>1</v>
      </c>
      <c r="C642" t="s">
        <v>66</v>
      </c>
      <c r="D642" t="s">
        <v>67</v>
      </c>
      <c r="E642" t="s">
        <v>68</v>
      </c>
      <c r="F642">
        <v>180</v>
      </c>
      <c r="G642">
        <v>1080</v>
      </c>
      <c r="H642">
        <v>-3</v>
      </c>
      <c r="I642">
        <v>1981</v>
      </c>
      <c r="J642" t="s">
        <v>62</v>
      </c>
      <c r="K642">
        <v>2574</v>
      </c>
      <c r="L642">
        <v>11.62</v>
      </c>
      <c r="M642">
        <v>7.4</v>
      </c>
      <c r="N642" s="4">
        <f t="shared" si="18"/>
        <v>1.0599415399999999E-2</v>
      </c>
      <c r="O642" s="4">
        <f t="shared" si="19"/>
        <v>7.8435673959999994E-2</v>
      </c>
      <c r="P642">
        <v>33</v>
      </c>
      <c r="Q642">
        <v>3</v>
      </c>
      <c r="R642">
        <v>3</v>
      </c>
      <c r="S642">
        <v>3.5</v>
      </c>
      <c r="T642">
        <v>3.5</v>
      </c>
      <c r="U642">
        <v>3.3</v>
      </c>
      <c r="V642" t="s">
        <v>38</v>
      </c>
    </row>
    <row r="643" spans="1:22" x14ac:dyDescent="0.25">
      <c r="A643" t="s">
        <v>93</v>
      </c>
      <c r="B643">
        <v>1</v>
      </c>
      <c r="C643" t="s">
        <v>66</v>
      </c>
      <c r="D643" t="s">
        <v>67</v>
      </c>
      <c r="E643" t="s">
        <v>68</v>
      </c>
      <c r="F643">
        <v>180</v>
      </c>
      <c r="G643">
        <v>1080</v>
      </c>
      <c r="H643">
        <v>-3</v>
      </c>
      <c r="I643">
        <v>1981</v>
      </c>
      <c r="J643" t="s">
        <v>37</v>
      </c>
      <c r="K643">
        <v>2575</v>
      </c>
      <c r="L643">
        <v>9.48</v>
      </c>
      <c r="M643">
        <v>6.16</v>
      </c>
      <c r="N643" s="4">
        <f t="shared" ref="N643:N706" si="20">3.14/4*((L643/100)^2)</f>
        <v>7.054826400000002E-3</v>
      </c>
      <c r="O643" s="4">
        <f t="shared" ref="O643:O706" si="21">3.14/4*((L643/100)^2)*M643</f>
        <v>4.3457730624000011E-2</v>
      </c>
      <c r="P643">
        <v>50</v>
      </c>
      <c r="Q643">
        <v>2</v>
      </c>
      <c r="R643">
        <v>1.8</v>
      </c>
      <c r="S643">
        <v>2.5</v>
      </c>
      <c r="T643">
        <v>3</v>
      </c>
      <c r="U643">
        <v>2.5</v>
      </c>
      <c r="V643" t="s">
        <v>30</v>
      </c>
    </row>
    <row r="644" spans="1:22" x14ac:dyDescent="0.25">
      <c r="A644" t="s">
        <v>93</v>
      </c>
      <c r="B644">
        <v>1</v>
      </c>
      <c r="C644" t="s">
        <v>66</v>
      </c>
      <c r="D644" t="s">
        <v>67</v>
      </c>
      <c r="E644" t="s">
        <v>68</v>
      </c>
      <c r="F644">
        <v>180</v>
      </c>
      <c r="G644">
        <v>1080</v>
      </c>
      <c r="H644">
        <v>-3</v>
      </c>
      <c r="I644">
        <v>1981</v>
      </c>
      <c r="J644" t="s">
        <v>35</v>
      </c>
      <c r="K644">
        <v>1785</v>
      </c>
      <c r="L644">
        <v>10.24</v>
      </c>
      <c r="M644">
        <v>6.95</v>
      </c>
      <c r="N644" s="4">
        <f t="shared" si="20"/>
        <v>8.2313216000000008E-3</v>
      </c>
      <c r="O644" s="4">
        <f t="shared" si="21"/>
        <v>5.7207685120000004E-2</v>
      </c>
      <c r="P644">
        <v>46</v>
      </c>
      <c r="Q644">
        <v>2</v>
      </c>
      <c r="R644">
        <v>2</v>
      </c>
      <c r="S644">
        <v>3</v>
      </c>
      <c r="T644">
        <v>4</v>
      </c>
      <c r="U644">
        <v>3</v>
      </c>
      <c r="V644" t="s">
        <v>30</v>
      </c>
    </row>
    <row r="645" spans="1:22" x14ac:dyDescent="0.25">
      <c r="A645" t="s">
        <v>93</v>
      </c>
      <c r="B645">
        <v>3</v>
      </c>
      <c r="C645" t="s">
        <v>66</v>
      </c>
      <c r="D645" t="s">
        <v>67</v>
      </c>
      <c r="E645" t="s">
        <v>68</v>
      </c>
      <c r="F645">
        <v>180</v>
      </c>
      <c r="G645">
        <v>1080</v>
      </c>
      <c r="H645">
        <v>-3</v>
      </c>
      <c r="I645">
        <v>1981</v>
      </c>
      <c r="J645" t="s">
        <v>76</v>
      </c>
      <c r="K645">
        <v>1592</v>
      </c>
      <c r="L645">
        <v>14.22</v>
      </c>
      <c r="M645">
        <v>11.45</v>
      </c>
      <c r="N645" s="4">
        <f t="shared" si="20"/>
        <v>1.5873359399999998E-2</v>
      </c>
      <c r="O645" s="4">
        <f t="shared" si="21"/>
        <v>0.18174996512999997</v>
      </c>
      <c r="P645">
        <v>35</v>
      </c>
      <c r="Q645">
        <v>3</v>
      </c>
      <c r="R645">
        <v>3</v>
      </c>
      <c r="S645">
        <v>3</v>
      </c>
      <c r="T645">
        <v>4</v>
      </c>
      <c r="U645">
        <v>3</v>
      </c>
      <c r="V645" t="s">
        <v>25</v>
      </c>
    </row>
    <row r="646" spans="1:22" x14ac:dyDescent="0.25">
      <c r="A646" t="s">
        <v>93</v>
      </c>
      <c r="B646">
        <v>3</v>
      </c>
      <c r="C646" t="s">
        <v>66</v>
      </c>
      <c r="D646" t="s">
        <v>67</v>
      </c>
      <c r="E646" t="s">
        <v>68</v>
      </c>
      <c r="F646">
        <v>180</v>
      </c>
      <c r="G646">
        <v>1080</v>
      </c>
      <c r="H646">
        <v>-3</v>
      </c>
      <c r="I646">
        <v>1981</v>
      </c>
      <c r="J646" t="s">
        <v>76</v>
      </c>
      <c r="K646">
        <v>2560</v>
      </c>
      <c r="L646">
        <v>9.16</v>
      </c>
      <c r="M646">
        <v>7.23</v>
      </c>
      <c r="N646" s="4">
        <f t="shared" si="20"/>
        <v>6.5865896000000005E-3</v>
      </c>
      <c r="O646" s="4">
        <f t="shared" si="21"/>
        <v>4.7621042808000009E-2</v>
      </c>
      <c r="P646">
        <v>17</v>
      </c>
      <c r="Q646">
        <v>3</v>
      </c>
      <c r="R646">
        <v>4</v>
      </c>
      <c r="S646">
        <v>3</v>
      </c>
      <c r="T646">
        <v>4</v>
      </c>
      <c r="U646">
        <v>4</v>
      </c>
      <c r="V646" t="s">
        <v>38</v>
      </c>
    </row>
    <row r="647" spans="1:22" x14ac:dyDescent="0.25">
      <c r="A647" t="s">
        <v>93</v>
      </c>
      <c r="B647">
        <v>3</v>
      </c>
      <c r="C647" t="s">
        <v>66</v>
      </c>
      <c r="D647" t="s">
        <v>67</v>
      </c>
      <c r="E647" t="s">
        <v>68</v>
      </c>
      <c r="F647">
        <v>180</v>
      </c>
      <c r="G647">
        <v>1080</v>
      </c>
      <c r="H647">
        <v>-3</v>
      </c>
      <c r="I647">
        <v>1981</v>
      </c>
      <c r="J647" t="s">
        <v>56</v>
      </c>
      <c r="K647">
        <v>1111</v>
      </c>
      <c r="L647">
        <v>6.92</v>
      </c>
      <c r="M647">
        <v>4.54</v>
      </c>
      <c r="N647" s="4">
        <f t="shared" si="20"/>
        <v>3.7590823999999997E-3</v>
      </c>
      <c r="O647" s="4">
        <f t="shared" si="21"/>
        <v>1.7066234095999999E-2</v>
      </c>
      <c r="P647">
        <v>48</v>
      </c>
      <c r="Q647">
        <v>3</v>
      </c>
      <c r="R647">
        <v>3</v>
      </c>
      <c r="S647">
        <v>2.5</v>
      </c>
      <c r="T647">
        <v>2</v>
      </c>
      <c r="U647">
        <v>2</v>
      </c>
      <c r="V647" t="s">
        <v>38</v>
      </c>
    </row>
    <row r="648" spans="1:22" x14ac:dyDescent="0.25">
      <c r="A648" t="s">
        <v>93</v>
      </c>
      <c r="B648">
        <v>3</v>
      </c>
      <c r="C648" t="s">
        <v>66</v>
      </c>
      <c r="D648" t="s">
        <v>67</v>
      </c>
      <c r="E648" t="s">
        <v>68</v>
      </c>
      <c r="F648">
        <v>180</v>
      </c>
      <c r="G648">
        <v>1080</v>
      </c>
      <c r="H648">
        <v>-3</v>
      </c>
      <c r="I648">
        <v>1981</v>
      </c>
      <c r="J648" t="s">
        <v>24</v>
      </c>
      <c r="K648">
        <v>2562</v>
      </c>
      <c r="L648">
        <v>8.83</v>
      </c>
      <c r="M648">
        <v>8.6</v>
      </c>
      <c r="N648" s="4">
        <f t="shared" si="20"/>
        <v>6.1205586500000008E-3</v>
      </c>
      <c r="O648" s="4">
        <f t="shared" si="21"/>
        <v>5.2636804390000007E-2</v>
      </c>
      <c r="P648">
        <v>63</v>
      </c>
      <c r="Q648">
        <v>3</v>
      </c>
      <c r="R648">
        <v>3.5</v>
      </c>
      <c r="S648">
        <v>3.5</v>
      </c>
      <c r="T648">
        <v>3.5</v>
      </c>
      <c r="U648">
        <v>3</v>
      </c>
      <c r="V648" t="s">
        <v>38</v>
      </c>
    </row>
    <row r="649" spans="1:22" x14ac:dyDescent="0.25">
      <c r="A649" t="s">
        <v>93</v>
      </c>
      <c r="B649">
        <v>3</v>
      </c>
      <c r="C649" t="s">
        <v>66</v>
      </c>
      <c r="D649" t="s">
        <v>67</v>
      </c>
      <c r="E649" t="s">
        <v>68</v>
      </c>
      <c r="F649">
        <v>180</v>
      </c>
      <c r="G649">
        <v>1080</v>
      </c>
      <c r="H649">
        <v>-3</v>
      </c>
      <c r="I649">
        <v>1981</v>
      </c>
      <c r="J649" t="s">
        <v>59</v>
      </c>
      <c r="K649">
        <v>2426</v>
      </c>
      <c r="L649">
        <v>17.420000000000002</v>
      </c>
      <c r="M649">
        <v>9.01</v>
      </c>
      <c r="N649" s="4">
        <f t="shared" si="20"/>
        <v>2.3821327400000005E-2</v>
      </c>
      <c r="O649" s="4">
        <f t="shared" si="21"/>
        <v>0.21463015987400005</v>
      </c>
      <c r="P649">
        <v>45</v>
      </c>
      <c r="Q649">
        <v>4.5</v>
      </c>
      <c r="R649">
        <v>4.5</v>
      </c>
      <c r="S649">
        <v>3</v>
      </c>
      <c r="T649">
        <v>2</v>
      </c>
      <c r="U649">
        <v>1.5</v>
      </c>
      <c r="V649" t="s">
        <v>27</v>
      </c>
    </row>
    <row r="650" spans="1:22" x14ac:dyDescent="0.25">
      <c r="A650" t="s">
        <v>93</v>
      </c>
      <c r="B650">
        <v>3</v>
      </c>
      <c r="C650" t="s">
        <v>66</v>
      </c>
      <c r="D650" t="s">
        <v>67</v>
      </c>
      <c r="E650" t="s">
        <v>68</v>
      </c>
      <c r="F650">
        <v>180</v>
      </c>
      <c r="G650">
        <v>1080</v>
      </c>
      <c r="H650">
        <v>-3</v>
      </c>
      <c r="I650">
        <v>1981</v>
      </c>
      <c r="J650" t="s">
        <v>59</v>
      </c>
      <c r="K650">
        <v>2548</v>
      </c>
      <c r="L650">
        <v>13.04</v>
      </c>
      <c r="M650">
        <v>9.36</v>
      </c>
      <c r="N650" s="4">
        <f t="shared" si="20"/>
        <v>1.3348265599999999E-2</v>
      </c>
      <c r="O650" s="4">
        <f t="shared" si="21"/>
        <v>0.12493976601599999</v>
      </c>
      <c r="P650">
        <v>55</v>
      </c>
      <c r="Q650">
        <v>4</v>
      </c>
      <c r="R650">
        <v>4</v>
      </c>
      <c r="S650">
        <v>3</v>
      </c>
      <c r="T650">
        <v>2.5</v>
      </c>
      <c r="U650">
        <v>2</v>
      </c>
      <c r="V650" t="s">
        <v>25</v>
      </c>
    </row>
    <row r="651" spans="1:22" x14ac:dyDescent="0.25">
      <c r="A651" t="s">
        <v>93</v>
      </c>
      <c r="B651">
        <v>3</v>
      </c>
      <c r="C651" t="s">
        <v>66</v>
      </c>
      <c r="D651" t="s">
        <v>67</v>
      </c>
      <c r="E651" t="s">
        <v>68</v>
      </c>
      <c r="F651">
        <v>180</v>
      </c>
      <c r="G651">
        <v>1080</v>
      </c>
      <c r="H651">
        <v>-3</v>
      </c>
      <c r="I651">
        <v>1981</v>
      </c>
      <c r="J651" t="s">
        <v>32</v>
      </c>
      <c r="K651">
        <v>1596</v>
      </c>
      <c r="L651">
        <v>17.27</v>
      </c>
      <c r="M651">
        <v>9.01</v>
      </c>
      <c r="N651" s="4">
        <f t="shared" si="20"/>
        <v>2.341285265E-2</v>
      </c>
      <c r="O651" s="4">
        <f t="shared" si="21"/>
        <v>0.21094980237649999</v>
      </c>
      <c r="P651">
        <v>48</v>
      </c>
      <c r="Q651">
        <v>3.5</v>
      </c>
      <c r="R651">
        <v>3</v>
      </c>
      <c r="S651">
        <v>3.3</v>
      </c>
      <c r="T651">
        <v>4</v>
      </c>
      <c r="U651">
        <v>3</v>
      </c>
      <c r="V651" t="s">
        <v>27</v>
      </c>
    </row>
    <row r="652" spans="1:22" x14ac:dyDescent="0.25">
      <c r="A652" t="s">
        <v>93</v>
      </c>
      <c r="B652">
        <v>3</v>
      </c>
      <c r="C652" t="s">
        <v>66</v>
      </c>
      <c r="D652" t="s">
        <v>67</v>
      </c>
      <c r="E652" t="s">
        <v>68</v>
      </c>
      <c r="F652">
        <v>180</v>
      </c>
      <c r="G652">
        <v>1080</v>
      </c>
      <c r="H652">
        <v>-3</v>
      </c>
      <c r="I652">
        <v>1981</v>
      </c>
      <c r="J652" t="s">
        <v>32</v>
      </c>
      <c r="K652">
        <v>2634</v>
      </c>
      <c r="L652">
        <v>11.84</v>
      </c>
      <c r="M652">
        <v>9.1300000000000008</v>
      </c>
      <c r="N652" s="4">
        <f t="shared" si="20"/>
        <v>1.1004569600000002E-2</v>
      </c>
      <c r="O652" s="4">
        <f t="shared" si="21"/>
        <v>0.10047172044800003</v>
      </c>
      <c r="P652">
        <v>18</v>
      </c>
      <c r="Q652">
        <v>2.5</v>
      </c>
      <c r="R652">
        <v>3.5</v>
      </c>
      <c r="S652">
        <v>2.5</v>
      </c>
      <c r="T652">
        <v>3.5</v>
      </c>
      <c r="U652">
        <v>3</v>
      </c>
      <c r="V652" t="s">
        <v>38</v>
      </c>
    </row>
    <row r="653" spans="1:22" x14ac:dyDescent="0.25">
      <c r="A653" t="s">
        <v>93</v>
      </c>
      <c r="B653">
        <v>3</v>
      </c>
      <c r="C653" t="s">
        <v>66</v>
      </c>
      <c r="D653" t="s">
        <v>67</v>
      </c>
      <c r="E653" t="s">
        <v>68</v>
      </c>
      <c r="F653">
        <v>180</v>
      </c>
      <c r="G653">
        <v>1080</v>
      </c>
      <c r="H653">
        <v>-3</v>
      </c>
      <c r="I653">
        <v>1981</v>
      </c>
      <c r="J653" t="s">
        <v>35</v>
      </c>
      <c r="K653">
        <v>1788</v>
      </c>
      <c r="L653">
        <v>9.5399999999999991</v>
      </c>
      <c r="M653">
        <v>6.83</v>
      </c>
      <c r="N653" s="4">
        <f t="shared" si="20"/>
        <v>7.1444105999999979E-3</v>
      </c>
      <c r="O653" s="4">
        <f t="shared" si="21"/>
        <v>4.8796324397999989E-2</v>
      </c>
      <c r="P653">
        <v>13</v>
      </c>
      <c r="Q653">
        <v>2.5</v>
      </c>
      <c r="R653">
        <v>1.8</v>
      </c>
      <c r="S653">
        <v>2.5</v>
      </c>
      <c r="T653">
        <v>4</v>
      </c>
      <c r="U653">
        <v>3</v>
      </c>
      <c r="V653" t="s">
        <v>38</v>
      </c>
    </row>
    <row r="654" spans="1:22" x14ac:dyDescent="0.25">
      <c r="A654" t="s">
        <v>93</v>
      </c>
      <c r="B654">
        <v>3</v>
      </c>
      <c r="C654" t="s">
        <v>66</v>
      </c>
      <c r="D654" t="s">
        <v>67</v>
      </c>
      <c r="E654" t="s">
        <v>68</v>
      </c>
      <c r="F654">
        <v>180</v>
      </c>
      <c r="G654">
        <v>1080</v>
      </c>
      <c r="H654">
        <v>-3</v>
      </c>
      <c r="I654">
        <v>1981</v>
      </c>
      <c r="J654" t="s">
        <v>35</v>
      </c>
      <c r="K654">
        <v>1785</v>
      </c>
      <c r="L654">
        <v>7.89</v>
      </c>
      <c r="M654">
        <v>5.65</v>
      </c>
      <c r="N654" s="4">
        <f t="shared" si="20"/>
        <v>4.88678985E-3</v>
      </c>
      <c r="O654" s="4">
        <f t="shared" si="21"/>
        <v>2.7610362652500001E-2</v>
      </c>
      <c r="P654">
        <v>45</v>
      </c>
      <c r="Q654">
        <v>2.5</v>
      </c>
      <c r="R654">
        <v>2</v>
      </c>
      <c r="S654">
        <v>3</v>
      </c>
      <c r="T654">
        <v>3.3</v>
      </c>
      <c r="U654">
        <v>2.5</v>
      </c>
      <c r="V654" t="s">
        <v>38</v>
      </c>
    </row>
    <row r="655" spans="1:22" x14ac:dyDescent="0.25">
      <c r="A655" t="s">
        <v>93</v>
      </c>
      <c r="B655">
        <v>3</v>
      </c>
      <c r="C655" t="s">
        <v>66</v>
      </c>
      <c r="D655" t="s">
        <v>67</v>
      </c>
      <c r="E655" t="s">
        <v>68</v>
      </c>
      <c r="F655">
        <v>180</v>
      </c>
      <c r="G655">
        <v>1080</v>
      </c>
      <c r="H655">
        <v>-3</v>
      </c>
      <c r="I655">
        <v>1981</v>
      </c>
      <c r="J655" t="s">
        <v>35</v>
      </c>
      <c r="K655">
        <v>2571</v>
      </c>
      <c r="L655">
        <v>12.72</v>
      </c>
      <c r="M655">
        <v>10.6</v>
      </c>
      <c r="N655" s="4">
        <f t="shared" si="20"/>
        <v>1.2701174400000001E-2</v>
      </c>
      <c r="O655" s="4">
        <f t="shared" si="21"/>
        <v>0.13463244864000001</v>
      </c>
      <c r="P655">
        <v>37</v>
      </c>
      <c r="Q655">
        <v>3</v>
      </c>
      <c r="R655">
        <v>2</v>
      </c>
      <c r="S655">
        <v>3.5</v>
      </c>
      <c r="T655">
        <v>4.5</v>
      </c>
      <c r="U655">
        <v>4.3</v>
      </c>
      <c r="V655" t="s">
        <v>27</v>
      </c>
    </row>
    <row r="656" spans="1:22" x14ac:dyDescent="0.25">
      <c r="A656" t="s">
        <v>93</v>
      </c>
      <c r="B656">
        <v>3</v>
      </c>
      <c r="C656" t="s">
        <v>66</v>
      </c>
      <c r="D656" t="s">
        <v>67</v>
      </c>
      <c r="E656" t="s">
        <v>68</v>
      </c>
      <c r="F656">
        <v>180</v>
      </c>
      <c r="G656">
        <v>1080</v>
      </c>
      <c r="H656">
        <v>-3</v>
      </c>
      <c r="I656">
        <v>1981</v>
      </c>
      <c r="J656" t="s">
        <v>35</v>
      </c>
      <c r="K656">
        <v>2622</v>
      </c>
      <c r="L656">
        <v>11.07</v>
      </c>
      <c r="M656">
        <v>8.9499999999999993</v>
      </c>
      <c r="N656" s="4">
        <f t="shared" si="20"/>
        <v>9.6197746500000011E-3</v>
      </c>
      <c r="O656" s="4">
        <f t="shared" si="21"/>
        <v>8.6096983117499998E-2</v>
      </c>
      <c r="P656">
        <v>70</v>
      </c>
      <c r="Q656">
        <v>3</v>
      </c>
      <c r="R656">
        <v>2</v>
      </c>
      <c r="S656">
        <v>2.5</v>
      </c>
      <c r="T656">
        <v>4</v>
      </c>
      <c r="U656">
        <v>3</v>
      </c>
      <c r="V656" t="s">
        <v>25</v>
      </c>
    </row>
    <row r="657" spans="1:22" x14ac:dyDescent="0.25">
      <c r="A657" t="s">
        <v>93</v>
      </c>
      <c r="B657">
        <v>3</v>
      </c>
      <c r="C657" t="s">
        <v>66</v>
      </c>
      <c r="D657" t="s">
        <v>67</v>
      </c>
      <c r="E657" t="s">
        <v>68</v>
      </c>
      <c r="F657">
        <v>180</v>
      </c>
      <c r="G657">
        <v>1080</v>
      </c>
      <c r="H657">
        <v>-3</v>
      </c>
      <c r="I657">
        <v>1981</v>
      </c>
      <c r="J657" t="s">
        <v>62</v>
      </c>
      <c r="K657">
        <v>2431</v>
      </c>
      <c r="L657">
        <v>10.25</v>
      </c>
      <c r="M657">
        <v>10.02</v>
      </c>
      <c r="N657" s="4">
        <f t="shared" si="20"/>
        <v>8.2474062499999987E-3</v>
      </c>
      <c r="O657" s="4">
        <f t="shared" si="21"/>
        <v>8.2639010624999981E-2</v>
      </c>
      <c r="P657">
        <v>36</v>
      </c>
      <c r="Q657">
        <v>3</v>
      </c>
      <c r="R657">
        <v>3</v>
      </c>
      <c r="S657">
        <v>4</v>
      </c>
      <c r="T657">
        <v>4.5</v>
      </c>
      <c r="U657">
        <v>3.5</v>
      </c>
      <c r="V657" t="s">
        <v>38</v>
      </c>
    </row>
    <row r="658" spans="1:22" x14ac:dyDescent="0.25">
      <c r="A658" t="s">
        <v>93</v>
      </c>
      <c r="B658">
        <v>3</v>
      </c>
      <c r="C658" t="s">
        <v>66</v>
      </c>
      <c r="D658" t="s">
        <v>67</v>
      </c>
      <c r="E658" t="s">
        <v>68</v>
      </c>
      <c r="F658">
        <v>180</v>
      </c>
      <c r="G658">
        <v>1080</v>
      </c>
      <c r="H658">
        <v>-3</v>
      </c>
      <c r="I658">
        <v>1981</v>
      </c>
      <c r="J658" t="s">
        <v>62</v>
      </c>
      <c r="K658">
        <v>2432</v>
      </c>
      <c r="L658">
        <v>14.46</v>
      </c>
      <c r="M658">
        <v>11.73</v>
      </c>
      <c r="N658" s="4">
        <f t="shared" si="20"/>
        <v>1.6413690600000003E-2</v>
      </c>
      <c r="O658" s="4">
        <f t="shared" si="21"/>
        <v>0.19253259073800003</v>
      </c>
      <c r="P658">
        <v>60</v>
      </c>
      <c r="Q658">
        <v>4.5</v>
      </c>
      <c r="R658">
        <v>4</v>
      </c>
      <c r="S658">
        <v>3.5</v>
      </c>
      <c r="T658">
        <v>3.5</v>
      </c>
      <c r="U658">
        <v>2.5</v>
      </c>
      <c r="V658" t="s">
        <v>27</v>
      </c>
    </row>
    <row r="659" spans="1:22" x14ac:dyDescent="0.25">
      <c r="A659" t="s">
        <v>93</v>
      </c>
      <c r="B659">
        <v>3</v>
      </c>
      <c r="C659" t="s">
        <v>66</v>
      </c>
      <c r="D659" t="s">
        <v>67</v>
      </c>
      <c r="E659" t="s">
        <v>68</v>
      </c>
      <c r="F659">
        <v>180</v>
      </c>
      <c r="G659">
        <v>1080</v>
      </c>
      <c r="H659">
        <v>-3</v>
      </c>
      <c r="I659">
        <v>1981</v>
      </c>
      <c r="J659" t="s">
        <v>62</v>
      </c>
      <c r="K659">
        <v>2550</v>
      </c>
      <c r="L659">
        <v>15.37</v>
      </c>
      <c r="M659">
        <v>10.82</v>
      </c>
      <c r="N659" s="4">
        <f t="shared" si="20"/>
        <v>1.8544596650000002E-2</v>
      </c>
      <c r="O659" s="4">
        <f t="shared" si="21"/>
        <v>0.20065253575300002</v>
      </c>
      <c r="P659">
        <v>13</v>
      </c>
      <c r="Q659">
        <v>3</v>
      </c>
      <c r="R659">
        <v>2.7</v>
      </c>
      <c r="S659">
        <v>3.5</v>
      </c>
      <c r="T659">
        <v>3.5</v>
      </c>
      <c r="U659">
        <v>3</v>
      </c>
      <c r="V659" t="s">
        <v>38</v>
      </c>
    </row>
    <row r="660" spans="1:22" x14ac:dyDescent="0.25">
      <c r="A660" t="s">
        <v>93</v>
      </c>
      <c r="B660">
        <v>3</v>
      </c>
      <c r="C660" t="s">
        <v>66</v>
      </c>
      <c r="D660" t="s">
        <v>67</v>
      </c>
      <c r="E660" t="s">
        <v>68</v>
      </c>
      <c r="F660">
        <v>180</v>
      </c>
      <c r="G660">
        <v>1080</v>
      </c>
      <c r="H660">
        <v>-3</v>
      </c>
      <c r="I660">
        <v>1981</v>
      </c>
      <c r="J660" t="s">
        <v>62</v>
      </c>
      <c r="K660">
        <v>2553</v>
      </c>
      <c r="L660">
        <v>11.96</v>
      </c>
      <c r="M660">
        <v>9.91</v>
      </c>
      <c r="N660" s="4">
        <f t="shared" si="20"/>
        <v>1.1228765600000003E-2</v>
      </c>
      <c r="O660" s="4">
        <f t="shared" si="21"/>
        <v>0.11127706709600003</v>
      </c>
      <c r="P660">
        <v>33</v>
      </c>
      <c r="Q660">
        <v>4</v>
      </c>
      <c r="R660">
        <v>4</v>
      </c>
      <c r="S660">
        <v>4</v>
      </c>
      <c r="T660">
        <v>4</v>
      </c>
      <c r="U660">
        <v>4</v>
      </c>
      <c r="V660" t="s">
        <v>25</v>
      </c>
    </row>
    <row r="661" spans="1:22" x14ac:dyDescent="0.25">
      <c r="A661" t="s">
        <v>93</v>
      </c>
      <c r="B661">
        <v>3</v>
      </c>
      <c r="C661" t="s">
        <v>66</v>
      </c>
      <c r="D661" t="s">
        <v>67</v>
      </c>
      <c r="E661" t="s">
        <v>68</v>
      </c>
      <c r="F661">
        <v>180</v>
      </c>
      <c r="G661">
        <v>1080</v>
      </c>
      <c r="H661">
        <v>-3</v>
      </c>
      <c r="I661">
        <v>1981</v>
      </c>
      <c r="J661" t="s">
        <v>62</v>
      </c>
      <c r="K661">
        <v>2574</v>
      </c>
      <c r="L661">
        <v>12.41</v>
      </c>
      <c r="M661">
        <v>9.68</v>
      </c>
      <c r="N661" s="4">
        <f t="shared" si="20"/>
        <v>1.2089635850000001E-2</v>
      </c>
      <c r="O661" s="4">
        <f t="shared" si="21"/>
        <v>0.117027675028</v>
      </c>
      <c r="P661">
        <v>67</v>
      </c>
      <c r="Q661">
        <v>4</v>
      </c>
      <c r="R661">
        <v>4</v>
      </c>
      <c r="S661">
        <v>3.5</v>
      </c>
      <c r="T661">
        <v>4</v>
      </c>
      <c r="U661">
        <v>3</v>
      </c>
      <c r="V661" t="s">
        <v>25</v>
      </c>
    </row>
    <row r="662" spans="1:22" x14ac:dyDescent="0.25">
      <c r="A662" t="s">
        <v>93</v>
      </c>
      <c r="B662">
        <v>3</v>
      </c>
      <c r="C662" t="s">
        <v>66</v>
      </c>
      <c r="D662" t="s">
        <v>67</v>
      </c>
      <c r="E662" t="s">
        <v>68</v>
      </c>
      <c r="F662">
        <v>180</v>
      </c>
      <c r="G662">
        <v>1080</v>
      </c>
      <c r="H662">
        <v>-3</v>
      </c>
      <c r="I662">
        <v>1981</v>
      </c>
      <c r="J662" t="s">
        <v>37</v>
      </c>
      <c r="K662">
        <v>2575</v>
      </c>
      <c r="L662">
        <v>7.94</v>
      </c>
      <c r="M662">
        <v>6.16</v>
      </c>
      <c r="N662" s="4">
        <f t="shared" si="20"/>
        <v>4.9489225999999999E-3</v>
      </c>
      <c r="O662" s="4">
        <f t="shared" si="21"/>
        <v>3.0485363216000001E-2</v>
      </c>
      <c r="P662">
        <v>51</v>
      </c>
      <c r="Q662">
        <v>2.5</v>
      </c>
      <c r="R662">
        <v>2</v>
      </c>
      <c r="S662">
        <v>2.5</v>
      </c>
      <c r="T662">
        <v>4.5</v>
      </c>
      <c r="U662">
        <v>4</v>
      </c>
      <c r="V662" t="s">
        <v>38</v>
      </c>
    </row>
    <row r="663" spans="1:22" x14ac:dyDescent="0.25">
      <c r="A663" t="s">
        <v>93</v>
      </c>
      <c r="B663">
        <v>3</v>
      </c>
      <c r="C663" t="s">
        <v>66</v>
      </c>
      <c r="D663" t="s">
        <v>67</v>
      </c>
      <c r="E663" t="s">
        <v>68</v>
      </c>
      <c r="F663">
        <v>180</v>
      </c>
      <c r="G663">
        <v>1080</v>
      </c>
      <c r="H663">
        <v>-3</v>
      </c>
      <c r="I663">
        <v>1981</v>
      </c>
      <c r="J663" t="s">
        <v>57</v>
      </c>
      <c r="K663">
        <v>2621</v>
      </c>
      <c r="L663">
        <v>5.98</v>
      </c>
      <c r="M663">
        <v>4.03</v>
      </c>
      <c r="N663" s="4">
        <f t="shared" si="20"/>
        <v>2.8071914000000007E-3</v>
      </c>
      <c r="O663" s="4">
        <f t="shared" si="21"/>
        <v>1.1312981342000003E-2</v>
      </c>
      <c r="P663">
        <v>43</v>
      </c>
      <c r="Q663">
        <v>2.5</v>
      </c>
      <c r="R663">
        <v>2</v>
      </c>
      <c r="S663">
        <v>3.3</v>
      </c>
      <c r="T663">
        <v>4</v>
      </c>
      <c r="U663">
        <v>3.5</v>
      </c>
      <c r="V663" t="s">
        <v>38</v>
      </c>
    </row>
    <row r="664" spans="1:22" x14ac:dyDescent="0.25">
      <c r="A664" t="s">
        <v>94</v>
      </c>
      <c r="B664">
        <v>1</v>
      </c>
      <c r="C664" t="s">
        <v>21</v>
      </c>
      <c r="D664" t="s">
        <v>95</v>
      </c>
      <c r="E664" t="s">
        <v>96</v>
      </c>
      <c r="F664">
        <v>150</v>
      </c>
      <c r="G664">
        <v>900</v>
      </c>
      <c r="H664">
        <v>-2</v>
      </c>
      <c r="I664">
        <v>1986</v>
      </c>
      <c r="J664" t="s">
        <v>76</v>
      </c>
      <c r="K664">
        <v>3266</v>
      </c>
      <c r="L664">
        <v>21.86</v>
      </c>
      <c r="M664">
        <v>10</v>
      </c>
      <c r="N664" s="4">
        <f t="shared" si="20"/>
        <v>3.7511978599999996E-2</v>
      </c>
      <c r="O664" s="4">
        <f t="shared" si="21"/>
        <v>0.37511978599999996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50</v>
      </c>
    </row>
    <row r="665" spans="1:22" x14ac:dyDescent="0.25">
      <c r="A665" t="s">
        <v>94</v>
      </c>
      <c r="B665">
        <v>1</v>
      </c>
      <c r="C665" t="s">
        <v>21</v>
      </c>
      <c r="D665" t="s">
        <v>95</v>
      </c>
      <c r="E665" t="s">
        <v>96</v>
      </c>
      <c r="F665">
        <v>150</v>
      </c>
      <c r="G665">
        <v>900</v>
      </c>
      <c r="H665">
        <v>-2</v>
      </c>
      <c r="I665">
        <v>1986</v>
      </c>
      <c r="J665" t="s">
        <v>76</v>
      </c>
      <c r="K665">
        <v>3267</v>
      </c>
      <c r="L665">
        <v>33.65</v>
      </c>
      <c r="M665">
        <v>15.36</v>
      </c>
      <c r="N665" s="4">
        <f t="shared" si="20"/>
        <v>8.8887316249999987E-2</v>
      </c>
      <c r="O665" s="4">
        <f t="shared" si="21"/>
        <v>1.3653091775999997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50</v>
      </c>
    </row>
    <row r="666" spans="1:22" x14ac:dyDescent="0.25">
      <c r="A666" t="s">
        <v>94</v>
      </c>
      <c r="B666">
        <v>1</v>
      </c>
      <c r="C666" t="s">
        <v>21</v>
      </c>
      <c r="D666" t="s">
        <v>95</v>
      </c>
      <c r="E666" t="s">
        <v>96</v>
      </c>
      <c r="F666">
        <v>150</v>
      </c>
      <c r="G666">
        <v>900</v>
      </c>
      <c r="H666">
        <v>-2</v>
      </c>
      <c r="I666">
        <v>1986</v>
      </c>
      <c r="J666" t="s">
        <v>76</v>
      </c>
      <c r="K666">
        <v>3268</v>
      </c>
      <c r="L666">
        <v>18.010000000000002</v>
      </c>
      <c r="M666">
        <v>3.26</v>
      </c>
      <c r="N666" s="4">
        <f t="shared" si="20"/>
        <v>2.5462267850000001E-2</v>
      </c>
      <c r="O666" s="4">
        <f t="shared" si="21"/>
        <v>8.3006993190999995E-2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50</v>
      </c>
    </row>
    <row r="667" spans="1:22" x14ac:dyDescent="0.25">
      <c r="A667" t="s">
        <v>94</v>
      </c>
      <c r="B667">
        <v>1</v>
      </c>
      <c r="C667" t="s">
        <v>21</v>
      </c>
      <c r="D667" t="s">
        <v>95</v>
      </c>
      <c r="E667" t="s">
        <v>96</v>
      </c>
      <c r="F667">
        <v>150</v>
      </c>
      <c r="G667">
        <v>900</v>
      </c>
      <c r="H667">
        <v>-2</v>
      </c>
      <c r="I667">
        <v>1986</v>
      </c>
      <c r="J667" t="s">
        <v>76</v>
      </c>
      <c r="K667">
        <v>3269</v>
      </c>
      <c r="L667">
        <v>24.72</v>
      </c>
      <c r="M667">
        <v>11.29</v>
      </c>
      <c r="N667" s="4">
        <f t="shared" si="20"/>
        <v>4.7969654399999992E-2</v>
      </c>
      <c r="O667" s="4">
        <f t="shared" si="21"/>
        <v>0.54157739817599981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50</v>
      </c>
    </row>
    <row r="668" spans="1:22" x14ac:dyDescent="0.25">
      <c r="A668" t="s">
        <v>94</v>
      </c>
      <c r="B668">
        <v>1</v>
      </c>
      <c r="C668" t="s">
        <v>21</v>
      </c>
      <c r="D668" t="s">
        <v>95</v>
      </c>
      <c r="E668" t="s">
        <v>96</v>
      </c>
      <c r="F668">
        <v>150</v>
      </c>
      <c r="G668">
        <v>900</v>
      </c>
      <c r="H668">
        <v>-2</v>
      </c>
      <c r="I668">
        <v>1986</v>
      </c>
      <c r="J668" t="s">
        <v>76</v>
      </c>
      <c r="K668">
        <v>2770</v>
      </c>
      <c r="L668">
        <v>20.85</v>
      </c>
      <c r="M668">
        <v>9.52</v>
      </c>
      <c r="N668" s="4">
        <f t="shared" si="20"/>
        <v>3.4125716250000007E-2</v>
      </c>
      <c r="O668" s="4">
        <f t="shared" si="21"/>
        <v>0.32487681870000007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50</v>
      </c>
    </row>
    <row r="669" spans="1:22" x14ac:dyDescent="0.25">
      <c r="A669" t="s">
        <v>94</v>
      </c>
      <c r="B669">
        <v>1</v>
      </c>
      <c r="C669" t="s">
        <v>21</v>
      </c>
      <c r="D669" t="s">
        <v>95</v>
      </c>
      <c r="E669" t="s">
        <v>96</v>
      </c>
      <c r="F669">
        <v>150</v>
      </c>
      <c r="G669">
        <v>900</v>
      </c>
      <c r="H669">
        <v>-2</v>
      </c>
      <c r="I669">
        <v>1986</v>
      </c>
      <c r="J669" t="s">
        <v>76</v>
      </c>
      <c r="K669">
        <v>2460</v>
      </c>
      <c r="L669">
        <v>29.6</v>
      </c>
      <c r="M669">
        <v>13.52</v>
      </c>
      <c r="N669" s="4">
        <f t="shared" si="20"/>
        <v>6.877856000000003E-2</v>
      </c>
      <c r="O669" s="4">
        <f t="shared" si="21"/>
        <v>0.92988613120000041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50</v>
      </c>
    </row>
    <row r="670" spans="1:22" x14ac:dyDescent="0.25">
      <c r="A670" t="s">
        <v>94</v>
      </c>
      <c r="B670">
        <v>1</v>
      </c>
      <c r="C670" t="s">
        <v>21</v>
      </c>
      <c r="D670" t="s">
        <v>95</v>
      </c>
      <c r="E670" t="s">
        <v>96</v>
      </c>
      <c r="F670">
        <v>150</v>
      </c>
      <c r="G670">
        <v>900</v>
      </c>
      <c r="H670">
        <v>-2</v>
      </c>
      <c r="I670">
        <v>1986</v>
      </c>
      <c r="J670" t="s">
        <v>24</v>
      </c>
      <c r="K670">
        <v>2562</v>
      </c>
      <c r="L670">
        <v>40.44</v>
      </c>
      <c r="M670">
        <v>17.059999999999999</v>
      </c>
      <c r="N670" s="4">
        <f t="shared" si="20"/>
        <v>0.1283783976</v>
      </c>
      <c r="O670" s="4">
        <f t="shared" si="21"/>
        <v>2.1901354630559999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50</v>
      </c>
    </row>
    <row r="671" spans="1:22" x14ac:dyDescent="0.25">
      <c r="A671" t="s">
        <v>94</v>
      </c>
      <c r="B671">
        <v>1</v>
      </c>
      <c r="C671" t="s">
        <v>21</v>
      </c>
      <c r="D671" t="s">
        <v>95</v>
      </c>
      <c r="E671" t="s">
        <v>96</v>
      </c>
      <c r="F671">
        <v>150</v>
      </c>
      <c r="G671">
        <v>900</v>
      </c>
      <c r="H671">
        <v>-2</v>
      </c>
      <c r="I671">
        <v>1986</v>
      </c>
      <c r="J671" t="s">
        <v>32</v>
      </c>
      <c r="K671">
        <v>3270</v>
      </c>
      <c r="L671">
        <v>27.7</v>
      </c>
      <c r="M671">
        <v>12.62</v>
      </c>
      <c r="N671" s="4">
        <f t="shared" si="20"/>
        <v>6.0232264999999986E-2</v>
      </c>
      <c r="O671" s="4">
        <f t="shared" si="21"/>
        <v>0.76013118429999982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50</v>
      </c>
    </row>
    <row r="672" spans="1:22" x14ac:dyDescent="0.25">
      <c r="A672" t="s">
        <v>94</v>
      </c>
      <c r="B672">
        <v>1</v>
      </c>
      <c r="C672" t="s">
        <v>21</v>
      </c>
      <c r="D672" t="s">
        <v>95</v>
      </c>
      <c r="E672" t="s">
        <v>96</v>
      </c>
      <c r="F672">
        <v>150</v>
      </c>
      <c r="G672">
        <v>900</v>
      </c>
      <c r="H672">
        <v>-2</v>
      </c>
      <c r="I672">
        <v>1986</v>
      </c>
      <c r="J672" t="s">
        <v>32</v>
      </c>
      <c r="K672">
        <v>3271</v>
      </c>
      <c r="L672">
        <v>18.73</v>
      </c>
      <c r="M672">
        <v>8.5299999999999994</v>
      </c>
      <c r="N672" s="4">
        <f t="shared" si="20"/>
        <v>2.7538812650000001E-2</v>
      </c>
      <c r="O672" s="4">
        <f t="shared" si="21"/>
        <v>0.2349060719045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50</v>
      </c>
    </row>
    <row r="673" spans="1:22" x14ac:dyDescent="0.25">
      <c r="A673" t="s">
        <v>94</v>
      </c>
      <c r="B673">
        <v>1</v>
      </c>
      <c r="C673" t="s">
        <v>21</v>
      </c>
      <c r="D673" t="s">
        <v>95</v>
      </c>
      <c r="E673" t="s">
        <v>96</v>
      </c>
      <c r="F673">
        <v>150</v>
      </c>
      <c r="G673">
        <v>900</v>
      </c>
      <c r="H673">
        <v>-2</v>
      </c>
      <c r="I673">
        <v>1986</v>
      </c>
      <c r="J673" t="s">
        <v>32</v>
      </c>
      <c r="K673">
        <v>2569</v>
      </c>
      <c r="L673">
        <v>36.65</v>
      </c>
      <c r="M673">
        <v>16.690000000000001</v>
      </c>
      <c r="N673" s="4">
        <f t="shared" si="20"/>
        <v>0.10544296625000001</v>
      </c>
      <c r="O673" s="4">
        <f t="shared" si="21"/>
        <v>1.7598431067125002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50</v>
      </c>
    </row>
    <row r="674" spans="1:22" x14ac:dyDescent="0.25">
      <c r="A674" t="s">
        <v>94</v>
      </c>
      <c r="B674">
        <v>1</v>
      </c>
      <c r="C674" t="s">
        <v>21</v>
      </c>
      <c r="D674" t="s">
        <v>95</v>
      </c>
      <c r="E674" t="s">
        <v>96</v>
      </c>
      <c r="F674">
        <v>150</v>
      </c>
      <c r="G674">
        <v>900</v>
      </c>
      <c r="H674">
        <v>-2</v>
      </c>
      <c r="I674">
        <v>1986</v>
      </c>
      <c r="J674" t="s">
        <v>32</v>
      </c>
      <c r="K674">
        <v>1596</v>
      </c>
      <c r="L674">
        <v>25.84</v>
      </c>
      <c r="M674">
        <v>11.76</v>
      </c>
      <c r="N674" s="4">
        <f t="shared" si="20"/>
        <v>5.2414889600000007E-2</v>
      </c>
      <c r="O674" s="4">
        <f t="shared" si="21"/>
        <v>0.6163991016960001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50</v>
      </c>
    </row>
    <row r="675" spans="1:22" x14ac:dyDescent="0.25">
      <c r="A675" t="s">
        <v>94</v>
      </c>
      <c r="B675">
        <v>1</v>
      </c>
      <c r="C675" t="s">
        <v>21</v>
      </c>
      <c r="D675" t="s">
        <v>95</v>
      </c>
      <c r="E675" t="s">
        <v>96</v>
      </c>
      <c r="F675">
        <v>150</v>
      </c>
      <c r="G675">
        <v>900</v>
      </c>
      <c r="H675">
        <v>-2</v>
      </c>
      <c r="I675">
        <v>1986</v>
      </c>
      <c r="J675" t="s">
        <v>32</v>
      </c>
      <c r="K675">
        <v>3068</v>
      </c>
      <c r="L675">
        <v>4.1399999999999997</v>
      </c>
      <c r="M675">
        <v>1.89</v>
      </c>
      <c r="N675" s="4">
        <f t="shared" si="20"/>
        <v>1.3454586000000001E-3</v>
      </c>
      <c r="O675" s="4">
        <f t="shared" si="21"/>
        <v>2.5429167540000001E-3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50</v>
      </c>
    </row>
    <row r="676" spans="1:22" x14ac:dyDescent="0.25">
      <c r="A676" t="s">
        <v>94</v>
      </c>
      <c r="B676">
        <v>1</v>
      </c>
      <c r="C676" t="s">
        <v>21</v>
      </c>
      <c r="D676" t="s">
        <v>95</v>
      </c>
      <c r="E676" t="s">
        <v>96</v>
      </c>
      <c r="F676">
        <v>150</v>
      </c>
      <c r="G676">
        <v>900</v>
      </c>
      <c r="H676">
        <v>-2</v>
      </c>
      <c r="I676">
        <v>1986</v>
      </c>
      <c r="J676" t="s">
        <v>36</v>
      </c>
      <c r="K676">
        <v>3272</v>
      </c>
      <c r="L676">
        <v>26.63</v>
      </c>
      <c r="M676">
        <v>11.4</v>
      </c>
      <c r="N676" s="4">
        <f t="shared" si="20"/>
        <v>5.5668816649999994E-2</v>
      </c>
      <c r="O676" s="4">
        <f t="shared" si="21"/>
        <v>0.63462450980999996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50</v>
      </c>
    </row>
    <row r="677" spans="1:22" x14ac:dyDescent="0.25">
      <c r="A677" t="s">
        <v>94</v>
      </c>
      <c r="B677">
        <v>1</v>
      </c>
      <c r="C677" t="s">
        <v>21</v>
      </c>
      <c r="D677" t="s">
        <v>95</v>
      </c>
      <c r="E677" t="s">
        <v>96</v>
      </c>
      <c r="F677">
        <v>150</v>
      </c>
      <c r="G677">
        <v>900</v>
      </c>
      <c r="H677">
        <v>-2</v>
      </c>
      <c r="I677">
        <v>1986</v>
      </c>
      <c r="J677" t="s">
        <v>36</v>
      </c>
      <c r="K677">
        <v>3273</v>
      </c>
      <c r="L677">
        <v>10.1</v>
      </c>
      <c r="M677">
        <v>4.32</v>
      </c>
      <c r="N677" s="4">
        <f t="shared" si="20"/>
        <v>8.0077849999999982E-3</v>
      </c>
      <c r="O677" s="4">
        <f t="shared" si="21"/>
        <v>3.4593631199999995E-2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50</v>
      </c>
    </row>
    <row r="678" spans="1:22" x14ac:dyDescent="0.25">
      <c r="A678" t="s">
        <v>94</v>
      </c>
      <c r="B678">
        <v>1</v>
      </c>
      <c r="C678" t="s">
        <v>21</v>
      </c>
      <c r="D678" t="s">
        <v>95</v>
      </c>
      <c r="E678" t="s">
        <v>96</v>
      </c>
      <c r="F678">
        <v>150</v>
      </c>
      <c r="G678">
        <v>900</v>
      </c>
      <c r="H678">
        <v>-2</v>
      </c>
      <c r="I678">
        <v>1986</v>
      </c>
      <c r="J678" t="s">
        <v>36</v>
      </c>
      <c r="K678">
        <v>2573</v>
      </c>
      <c r="L678">
        <v>23.62</v>
      </c>
      <c r="M678">
        <v>10.11</v>
      </c>
      <c r="N678" s="4">
        <f t="shared" si="20"/>
        <v>4.3795495400000009E-2</v>
      </c>
      <c r="O678" s="4">
        <f t="shared" si="21"/>
        <v>0.44277245849400004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50</v>
      </c>
    </row>
    <row r="679" spans="1:22" x14ac:dyDescent="0.25">
      <c r="A679" t="s">
        <v>94</v>
      </c>
      <c r="B679">
        <v>1</v>
      </c>
      <c r="C679" t="s">
        <v>21</v>
      </c>
      <c r="D679" t="s">
        <v>95</v>
      </c>
      <c r="E679" t="s">
        <v>96</v>
      </c>
      <c r="F679">
        <v>150</v>
      </c>
      <c r="G679">
        <v>900</v>
      </c>
      <c r="H679">
        <v>-2</v>
      </c>
      <c r="I679">
        <v>1986</v>
      </c>
      <c r="J679" t="s">
        <v>97</v>
      </c>
      <c r="K679">
        <v>1257</v>
      </c>
      <c r="L679">
        <v>21.07</v>
      </c>
      <c r="M679">
        <v>9.6199999999999992</v>
      </c>
      <c r="N679" s="4">
        <f t="shared" si="20"/>
        <v>3.4849674650000002E-2</v>
      </c>
      <c r="O679" s="4">
        <f t="shared" si="21"/>
        <v>0.33525387013300001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50</v>
      </c>
    </row>
    <row r="680" spans="1:22" x14ac:dyDescent="0.25">
      <c r="A680" t="s">
        <v>94</v>
      </c>
      <c r="B680">
        <v>1</v>
      </c>
      <c r="C680" t="s">
        <v>21</v>
      </c>
      <c r="D680" t="s">
        <v>95</v>
      </c>
      <c r="E680" t="s">
        <v>96</v>
      </c>
      <c r="F680">
        <v>150</v>
      </c>
      <c r="G680">
        <v>900</v>
      </c>
      <c r="H680">
        <v>-2</v>
      </c>
      <c r="I680">
        <v>1986</v>
      </c>
      <c r="J680" t="s">
        <v>97</v>
      </c>
      <c r="K680">
        <v>1825</v>
      </c>
      <c r="L680">
        <v>19.809999999999999</v>
      </c>
      <c r="M680">
        <v>9.0500000000000007</v>
      </c>
      <c r="N680" s="4">
        <f t="shared" si="20"/>
        <v>3.080623385E-2</v>
      </c>
      <c r="O680" s="4">
        <f t="shared" si="21"/>
        <v>0.27879641634250002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50</v>
      </c>
    </row>
    <row r="681" spans="1:22" x14ac:dyDescent="0.25">
      <c r="A681" t="s">
        <v>94</v>
      </c>
      <c r="B681">
        <v>1</v>
      </c>
      <c r="C681" t="s">
        <v>21</v>
      </c>
      <c r="D681" t="s">
        <v>95</v>
      </c>
      <c r="E681" t="s">
        <v>96</v>
      </c>
      <c r="F681">
        <v>150</v>
      </c>
      <c r="G681">
        <v>900</v>
      </c>
      <c r="H681">
        <v>-2</v>
      </c>
      <c r="I681">
        <v>1986</v>
      </c>
      <c r="J681" t="s">
        <v>98</v>
      </c>
      <c r="K681">
        <v>2768</v>
      </c>
      <c r="L681">
        <v>32.090000000000003</v>
      </c>
      <c r="M681">
        <v>12.03</v>
      </c>
      <c r="N681" s="4">
        <f t="shared" si="20"/>
        <v>8.0836795850000018E-2</v>
      </c>
      <c r="O681" s="4">
        <f t="shared" si="21"/>
        <v>0.97246665407550015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50</v>
      </c>
    </row>
    <row r="682" spans="1:22" x14ac:dyDescent="0.25">
      <c r="A682" t="s">
        <v>94</v>
      </c>
      <c r="B682">
        <v>1</v>
      </c>
      <c r="C682" t="s">
        <v>21</v>
      </c>
      <c r="D682" t="s">
        <v>95</v>
      </c>
      <c r="E682" t="s">
        <v>96</v>
      </c>
      <c r="F682">
        <v>150</v>
      </c>
      <c r="G682">
        <v>900</v>
      </c>
      <c r="H682">
        <v>-2</v>
      </c>
      <c r="I682">
        <v>1986</v>
      </c>
      <c r="J682" t="s">
        <v>98</v>
      </c>
      <c r="K682">
        <v>1609</v>
      </c>
      <c r="L682">
        <v>33.99</v>
      </c>
      <c r="M682">
        <v>12.75</v>
      </c>
      <c r="N682" s="4">
        <f t="shared" si="20"/>
        <v>9.0692627850000013E-2</v>
      </c>
      <c r="O682" s="4">
        <f t="shared" si="21"/>
        <v>1.1563310050875002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50</v>
      </c>
    </row>
    <row r="683" spans="1:22" x14ac:dyDescent="0.25">
      <c r="A683" t="s">
        <v>94</v>
      </c>
      <c r="B683">
        <v>1</v>
      </c>
      <c r="C683" t="s">
        <v>21</v>
      </c>
      <c r="D683" t="s">
        <v>95</v>
      </c>
      <c r="E683" t="s">
        <v>96</v>
      </c>
      <c r="F683">
        <v>150</v>
      </c>
      <c r="G683">
        <v>900</v>
      </c>
      <c r="H683">
        <v>-2</v>
      </c>
      <c r="I683">
        <v>1986</v>
      </c>
      <c r="J683" t="s">
        <v>98</v>
      </c>
      <c r="K683">
        <v>3275</v>
      </c>
      <c r="L683">
        <v>15.25</v>
      </c>
      <c r="M683">
        <v>5.72</v>
      </c>
      <c r="N683" s="4">
        <f t="shared" si="20"/>
        <v>1.8256156249999999E-2</v>
      </c>
      <c r="O683" s="4">
        <f t="shared" si="21"/>
        <v>0.10442521375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50</v>
      </c>
    </row>
    <row r="684" spans="1:22" x14ac:dyDescent="0.25">
      <c r="A684" t="s">
        <v>94</v>
      </c>
      <c r="B684">
        <v>1</v>
      </c>
      <c r="C684" t="s">
        <v>21</v>
      </c>
      <c r="D684" t="s">
        <v>95</v>
      </c>
      <c r="E684" t="s">
        <v>96</v>
      </c>
      <c r="F684">
        <v>150</v>
      </c>
      <c r="G684">
        <v>900</v>
      </c>
      <c r="H684">
        <v>-2</v>
      </c>
      <c r="I684">
        <v>1986</v>
      </c>
      <c r="J684" t="s">
        <v>98</v>
      </c>
      <c r="K684">
        <v>3274</v>
      </c>
      <c r="L684">
        <v>26.87</v>
      </c>
      <c r="M684">
        <v>10.08</v>
      </c>
      <c r="N684" s="4">
        <f t="shared" si="20"/>
        <v>5.667675665E-2</v>
      </c>
      <c r="O684" s="4">
        <f t="shared" si="21"/>
        <v>0.57130170703200001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50</v>
      </c>
    </row>
    <row r="685" spans="1:22" x14ac:dyDescent="0.25">
      <c r="A685" t="s">
        <v>94</v>
      </c>
      <c r="B685">
        <v>2</v>
      </c>
      <c r="C685" t="s">
        <v>21</v>
      </c>
      <c r="D685" t="s">
        <v>95</v>
      </c>
      <c r="E685" t="s">
        <v>96</v>
      </c>
      <c r="F685">
        <v>150</v>
      </c>
      <c r="G685">
        <v>900</v>
      </c>
      <c r="H685">
        <v>-2</v>
      </c>
      <c r="I685">
        <v>1986</v>
      </c>
      <c r="J685" t="s">
        <v>76</v>
      </c>
      <c r="K685">
        <v>3266</v>
      </c>
      <c r="L685">
        <v>25.73</v>
      </c>
      <c r="M685">
        <v>11.75</v>
      </c>
      <c r="N685" s="4">
        <f t="shared" si="20"/>
        <v>5.1969582650000012E-2</v>
      </c>
      <c r="O685" s="4">
        <f t="shared" si="21"/>
        <v>0.61064259613750016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50</v>
      </c>
    </row>
    <row r="686" spans="1:22" x14ac:dyDescent="0.25">
      <c r="A686" t="s">
        <v>94</v>
      </c>
      <c r="B686">
        <v>2</v>
      </c>
      <c r="C686" t="s">
        <v>21</v>
      </c>
      <c r="D686" t="s">
        <v>95</v>
      </c>
      <c r="E686" t="s">
        <v>96</v>
      </c>
      <c r="F686">
        <v>150</v>
      </c>
      <c r="G686">
        <v>900</v>
      </c>
      <c r="H686">
        <v>-2</v>
      </c>
      <c r="I686">
        <v>1986</v>
      </c>
      <c r="J686" t="s">
        <v>76</v>
      </c>
      <c r="K686">
        <v>3267</v>
      </c>
      <c r="L686">
        <v>19.91</v>
      </c>
      <c r="M686">
        <v>13.63</v>
      </c>
      <c r="N686" s="4">
        <f t="shared" si="20"/>
        <v>3.111803585E-2</v>
      </c>
      <c r="O686" s="4">
        <f t="shared" si="21"/>
        <v>0.42413882863550001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50</v>
      </c>
    </row>
    <row r="687" spans="1:22" x14ac:dyDescent="0.25">
      <c r="A687" t="s">
        <v>94</v>
      </c>
      <c r="B687">
        <v>2</v>
      </c>
      <c r="C687" t="s">
        <v>21</v>
      </c>
      <c r="D687" t="s">
        <v>95</v>
      </c>
      <c r="E687" t="s">
        <v>96</v>
      </c>
      <c r="F687">
        <v>150</v>
      </c>
      <c r="G687">
        <v>900</v>
      </c>
      <c r="H687">
        <v>-2</v>
      </c>
      <c r="I687">
        <v>1986</v>
      </c>
      <c r="J687" t="s">
        <v>76</v>
      </c>
      <c r="K687">
        <v>3268</v>
      </c>
      <c r="L687">
        <v>17.690000000000001</v>
      </c>
      <c r="M687">
        <v>8.08</v>
      </c>
      <c r="N687" s="4">
        <f t="shared" si="20"/>
        <v>2.456548385E-2</v>
      </c>
      <c r="O687" s="4">
        <f t="shared" si="21"/>
        <v>0.198489109508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50</v>
      </c>
    </row>
    <row r="688" spans="1:22" x14ac:dyDescent="0.25">
      <c r="A688" t="s">
        <v>94</v>
      </c>
      <c r="B688">
        <v>2</v>
      </c>
      <c r="C688" t="s">
        <v>21</v>
      </c>
      <c r="D688" t="s">
        <v>95</v>
      </c>
      <c r="E688" t="s">
        <v>96</v>
      </c>
      <c r="F688">
        <v>150</v>
      </c>
      <c r="G688">
        <v>900</v>
      </c>
      <c r="H688">
        <v>-2</v>
      </c>
      <c r="I688">
        <v>1986</v>
      </c>
      <c r="J688" t="s">
        <v>76</v>
      </c>
      <c r="K688">
        <v>3269</v>
      </c>
      <c r="L688">
        <v>25.71</v>
      </c>
      <c r="M688">
        <v>11.74</v>
      </c>
      <c r="N688" s="4">
        <f t="shared" si="20"/>
        <v>5.1888821850000003E-2</v>
      </c>
      <c r="O688" s="4">
        <f t="shared" si="21"/>
        <v>0.60917476851899999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50</v>
      </c>
    </row>
    <row r="689" spans="1:22" x14ac:dyDescent="0.25">
      <c r="A689" t="s">
        <v>94</v>
      </c>
      <c r="B689">
        <v>2</v>
      </c>
      <c r="C689" t="s">
        <v>21</v>
      </c>
      <c r="D689" t="s">
        <v>95</v>
      </c>
      <c r="E689" t="s">
        <v>96</v>
      </c>
      <c r="F689">
        <v>150</v>
      </c>
      <c r="G689">
        <v>900</v>
      </c>
      <c r="H689">
        <v>-2</v>
      </c>
      <c r="I689">
        <v>1986</v>
      </c>
      <c r="J689" t="s">
        <v>76</v>
      </c>
      <c r="K689">
        <v>2770</v>
      </c>
      <c r="L689">
        <v>11.25</v>
      </c>
      <c r="M689">
        <v>5.14</v>
      </c>
      <c r="N689" s="4">
        <f t="shared" si="20"/>
        <v>9.9351562500000004E-3</v>
      </c>
      <c r="O689" s="4">
        <f t="shared" si="21"/>
        <v>5.1066703125000001E-2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50</v>
      </c>
    </row>
    <row r="690" spans="1:22" x14ac:dyDescent="0.25">
      <c r="A690" t="s">
        <v>94</v>
      </c>
      <c r="B690">
        <v>2</v>
      </c>
      <c r="C690" t="s">
        <v>21</v>
      </c>
      <c r="D690" t="s">
        <v>95</v>
      </c>
      <c r="E690" t="s">
        <v>96</v>
      </c>
      <c r="F690">
        <v>150</v>
      </c>
      <c r="G690">
        <v>900</v>
      </c>
      <c r="H690">
        <v>-2</v>
      </c>
      <c r="I690">
        <v>1986</v>
      </c>
      <c r="J690" t="s">
        <v>76</v>
      </c>
      <c r="K690">
        <v>2460</v>
      </c>
      <c r="L690">
        <v>25.85</v>
      </c>
      <c r="M690">
        <v>11.8</v>
      </c>
      <c r="N690" s="4">
        <f t="shared" si="20"/>
        <v>5.2455466249999999E-2</v>
      </c>
      <c r="O690" s="4">
        <f t="shared" si="21"/>
        <v>0.61897450175000002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50</v>
      </c>
    </row>
    <row r="691" spans="1:22" x14ac:dyDescent="0.25">
      <c r="A691" t="s">
        <v>94</v>
      </c>
      <c r="B691">
        <v>2</v>
      </c>
      <c r="C691" t="s">
        <v>21</v>
      </c>
      <c r="D691" t="s">
        <v>95</v>
      </c>
      <c r="E691" t="s">
        <v>96</v>
      </c>
      <c r="F691">
        <v>150</v>
      </c>
      <c r="G691">
        <v>900</v>
      </c>
      <c r="H691">
        <v>-2</v>
      </c>
      <c r="I691">
        <v>1986</v>
      </c>
      <c r="J691" t="s">
        <v>24</v>
      </c>
      <c r="K691">
        <v>2562</v>
      </c>
      <c r="L691">
        <v>33.6</v>
      </c>
      <c r="M691">
        <v>14.17</v>
      </c>
      <c r="N691" s="4">
        <f t="shared" si="20"/>
        <v>8.8623360000000012E-2</v>
      </c>
      <c r="O691" s="4">
        <f t="shared" si="21"/>
        <v>1.2557930112000002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50</v>
      </c>
    </row>
    <row r="692" spans="1:22" x14ac:dyDescent="0.25">
      <c r="A692" t="s">
        <v>94</v>
      </c>
      <c r="B692">
        <v>2</v>
      </c>
      <c r="C692" t="s">
        <v>21</v>
      </c>
      <c r="D692" t="s">
        <v>95</v>
      </c>
      <c r="E692" t="s">
        <v>96</v>
      </c>
      <c r="F692">
        <v>150</v>
      </c>
      <c r="G692">
        <v>900</v>
      </c>
      <c r="H692">
        <v>-2</v>
      </c>
      <c r="I692">
        <v>1986</v>
      </c>
      <c r="J692" t="s">
        <v>32</v>
      </c>
      <c r="K692">
        <v>3270</v>
      </c>
      <c r="L692">
        <v>35.78</v>
      </c>
      <c r="M692">
        <v>16.29</v>
      </c>
      <c r="N692" s="4">
        <f t="shared" si="20"/>
        <v>0.1004963594</v>
      </c>
      <c r="O692" s="4">
        <f t="shared" si="21"/>
        <v>1.637085694626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50</v>
      </c>
    </row>
    <row r="693" spans="1:22" x14ac:dyDescent="0.25">
      <c r="A693" t="s">
        <v>94</v>
      </c>
      <c r="B693">
        <v>2</v>
      </c>
      <c r="C693" t="s">
        <v>21</v>
      </c>
      <c r="D693" t="s">
        <v>95</v>
      </c>
      <c r="E693" t="s">
        <v>96</v>
      </c>
      <c r="F693">
        <v>150</v>
      </c>
      <c r="G693">
        <v>900</v>
      </c>
      <c r="H693">
        <v>-2</v>
      </c>
      <c r="I693">
        <v>1986</v>
      </c>
      <c r="J693" t="s">
        <v>32</v>
      </c>
      <c r="K693">
        <v>3271</v>
      </c>
      <c r="L693">
        <v>23.46</v>
      </c>
      <c r="M693">
        <v>10.68</v>
      </c>
      <c r="N693" s="4">
        <f t="shared" si="20"/>
        <v>4.3204170600000001E-2</v>
      </c>
      <c r="O693" s="4">
        <f t="shared" si="21"/>
        <v>0.46142054200799998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50</v>
      </c>
    </row>
    <row r="694" spans="1:22" x14ac:dyDescent="0.25">
      <c r="A694" t="s">
        <v>94</v>
      </c>
      <c r="B694">
        <v>2</v>
      </c>
      <c r="C694" t="s">
        <v>21</v>
      </c>
      <c r="D694" t="s">
        <v>95</v>
      </c>
      <c r="E694" t="s">
        <v>96</v>
      </c>
      <c r="F694">
        <v>150</v>
      </c>
      <c r="G694">
        <v>900</v>
      </c>
      <c r="H694">
        <v>-2</v>
      </c>
      <c r="I694">
        <v>1986</v>
      </c>
      <c r="J694" t="s">
        <v>32</v>
      </c>
      <c r="K694">
        <v>2569</v>
      </c>
      <c r="L694">
        <v>27.79</v>
      </c>
      <c r="M694">
        <v>12.65</v>
      </c>
      <c r="N694" s="4">
        <f t="shared" si="20"/>
        <v>6.0624301849999992E-2</v>
      </c>
      <c r="O694" s="4">
        <f t="shared" si="21"/>
        <v>0.76689741840249992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50</v>
      </c>
    </row>
    <row r="695" spans="1:22" x14ac:dyDescent="0.25">
      <c r="A695" t="s">
        <v>94</v>
      </c>
      <c r="B695">
        <v>2</v>
      </c>
      <c r="C695" t="s">
        <v>21</v>
      </c>
      <c r="D695" t="s">
        <v>95</v>
      </c>
      <c r="E695" t="s">
        <v>96</v>
      </c>
      <c r="F695">
        <v>150</v>
      </c>
      <c r="G695">
        <v>900</v>
      </c>
      <c r="H695">
        <v>-2</v>
      </c>
      <c r="I695">
        <v>1986</v>
      </c>
      <c r="J695" t="s">
        <v>32</v>
      </c>
      <c r="K695">
        <v>1596</v>
      </c>
      <c r="L695">
        <v>32.880000000000003</v>
      </c>
      <c r="M695">
        <v>14.98</v>
      </c>
      <c r="N695" s="4">
        <f t="shared" si="20"/>
        <v>8.4865910400000022E-2</v>
      </c>
      <c r="O695" s="4">
        <f t="shared" si="21"/>
        <v>1.2712913377920003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50</v>
      </c>
    </row>
    <row r="696" spans="1:22" x14ac:dyDescent="0.25">
      <c r="A696" t="s">
        <v>94</v>
      </c>
      <c r="B696">
        <v>2</v>
      </c>
      <c r="C696" t="s">
        <v>21</v>
      </c>
      <c r="D696" t="s">
        <v>95</v>
      </c>
      <c r="E696" t="s">
        <v>96</v>
      </c>
      <c r="F696">
        <v>150</v>
      </c>
      <c r="G696">
        <v>900</v>
      </c>
      <c r="H696">
        <v>-2</v>
      </c>
      <c r="I696">
        <v>1986</v>
      </c>
      <c r="J696" t="s">
        <v>32</v>
      </c>
      <c r="K696">
        <v>3068</v>
      </c>
      <c r="L696">
        <v>32.15</v>
      </c>
      <c r="M696">
        <v>14.64</v>
      </c>
      <c r="N696" s="4">
        <f t="shared" si="20"/>
        <v>8.1139366250000011E-2</v>
      </c>
      <c r="O696" s="4">
        <f t="shared" si="21"/>
        <v>1.1878803219000003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50</v>
      </c>
    </row>
    <row r="697" spans="1:22" x14ac:dyDescent="0.25">
      <c r="A697" t="s">
        <v>94</v>
      </c>
      <c r="B697">
        <v>2</v>
      </c>
      <c r="C697" t="s">
        <v>21</v>
      </c>
      <c r="D697" t="s">
        <v>95</v>
      </c>
      <c r="E697" t="s">
        <v>96</v>
      </c>
      <c r="F697">
        <v>150</v>
      </c>
      <c r="G697">
        <v>900</v>
      </c>
      <c r="H697">
        <v>-2</v>
      </c>
      <c r="I697">
        <v>1986</v>
      </c>
      <c r="J697" t="s">
        <v>36</v>
      </c>
      <c r="K697">
        <v>3272</v>
      </c>
      <c r="L697">
        <v>35.369999999999997</v>
      </c>
      <c r="M697">
        <v>15.14</v>
      </c>
      <c r="N697" s="4">
        <f t="shared" si="20"/>
        <v>9.8206396649999972E-2</v>
      </c>
      <c r="O697" s="4">
        <f t="shared" si="21"/>
        <v>1.4868448452809997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50</v>
      </c>
    </row>
    <row r="698" spans="1:22" x14ac:dyDescent="0.25">
      <c r="A698" t="s">
        <v>94</v>
      </c>
      <c r="B698">
        <v>2</v>
      </c>
      <c r="C698" t="s">
        <v>21</v>
      </c>
      <c r="D698" t="s">
        <v>95</v>
      </c>
      <c r="E698" t="s">
        <v>96</v>
      </c>
      <c r="F698">
        <v>150</v>
      </c>
      <c r="G698">
        <v>900</v>
      </c>
      <c r="H698">
        <v>-2</v>
      </c>
      <c r="I698">
        <v>1986</v>
      </c>
      <c r="J698" t="s">
        <v>36</v>
      </c>
      <c r="K698">
        <v>3273</v>
      </c>
      <c r="L698">
        <v>24.72</v>
      </c>
      <c r="M698">
        <v>10.58</v>
      </c>
      <c r="N698" s="4">
        <f t="shared" si="20"/>
        <v>4.7969654399999992E-2</v>
      </c>
      <c r="O698" s="4">
        <f t="shared" si="21"/>
        <v>0.50751894355199989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50</v>
      </c>
    </row>
    <row r="699" spans="1:22" x14ac:dyDescent="0.25">
      <c r="A699" t="s">
        <v>94</v>
      </c>
      <c r="B699">
        <v>2</v>
      </c>
      <c r="C699" t="s">
        <v>21</v>
      </c>
      <c r="D699" t="s">
        <v>95</v>
      </c>
      <c r="E699" t="s">
        <v>96</v>
      </c>
      <c r="F699">
        <v>150</v>
      </c>
      <c r="G699">
        <v>900</v>
      </c>
      <c r="H699">
        <v>-2</v>
      </c>
      <c r="I699">
        <v>1986</v>
      </c>
      <c r="J699" t="s">
        <v>36</v>
      </c>
      <c r="K699">
        <v>2573</v>
      </c>
      <c r="L699">
        <v>27.66</v>
      </c>
      <c r="M699">
        <v>11.83</v>
      </c>
      <c r="N699" s="4">
        <f t="shared" si="20"/>
        <v>6.0058434600000002E-2</v>
      </c>
      <c r="O699" s="4">
        <f t="shared" si="21"/>
        <v>0.71049128131799999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50</v>
      </c>
    </row>
    <row r="700" spans="1:22" x14ac:dyDescent="0.25">
      <c r="A700" t="s">
        <v>94</v>
      </c>
      <c r="B700">
        <v>2</v>
      </c>
      <c r="C700" t="s">
        <v>21</v>
      </c>
      <c r="D700" t="s">
        <v>95</v>
      </c>
      <c r="E700" t="s">
        <v>96</v>
      </c>
      <c r="F700">
        <v>150</v>
      </c>
      <c r="G700">
        <v>900</v>
      </c>
      <c r="H700">
        <v>-2</v>
      </c>
      <c r="I700">
        <v>1986</v>
      </c>
      <c r="J700" t="s">
        <v>97</v>
      </c>
      <c r="K700">
        <v>1257</v>
      </c>
      <c r="L700">
        <v>26.18</v>
      </c>
      <c r="M700">
        <v>11.96</v>
      </c>
      <c r="N700" s="4">
        <f t="shared" si="20"/>
        <v>5.3803303399999995E-2</v>
      </c>
      <c r="O700" s="4">
        <f t="shared" si="21"/>
        <v>0.64348750866399995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50</v>
      </c>
    </row>
    <row r="701" spans="1:22" x14ac:dyDescent="0.25">
      <c r="A701" t="s">
        <v>94</v>
      </c>
      <c r="B701">
        <v>2</v>
      </c>
      <c r="C701" t="s">
        <v>21</v>
      </c>
      <c r="D701" t="s">
        <v>95</v>
      </c>
      <c r="E701" t="s">
        <v>96</v>
      </c>
      <c r="F701">
        <v>150</v>
      </c>
      <c r="G701">
        <v>900</v>
      </c>
      <c r="H701">
        <v>-2</v>
      </c>
      <c r="I701">
        <v>1986</v>
      </c>
      <c r="J701" t="s">
        <v>97</v>
      </c>
      <c r="K701">
        <v>1825</v>
      </c>
      <c r="L701">
        <v>17.5</v>
      </c>
      <c r="M701">
        <v>7.99</v>
      </c>
      <c r="N701" s="4">
        <f t="shared" si="20"/>
        <v>2.4040624999999999E-2</v>
      </c>
      <c r="O701" s="4">
        <f t="shared" si="21"/>
        <v>0.19208459375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50</v>
      </c>
    </row>
    <row r="702" spans="1:22" x14ac:dyDescent="0.25">
      <c r="A702" t="s">
        <v>94</v>
      </c>
      <c r="B702">
        <v>2</v>
      </c>
      <c r="C702" t="s">
        <v>21</v>
      </c>
      <c r="D702" t="s">
        <v>95</v>
      </c>
      <c r="E702" t="s">
        <v>96</v>
      </c>
      <c r="F702">
        <v>150</v>
      </c>
      <c r="G702">
        <v>900</v>
      </c>
      <c r="H702">
        <v>-2</v>
      </c>
      <c r="I702">
        <v>1986</v>
      </c>
      <c r="J702" t="s">
        <v>98</v>
      </c>
      <c r="K702">
        <v>2768</v>
      </c>
      <c r="L702">
        <v>29.91</v>
      </c>
      <c r="M702">
        <v>11.22</v>
      </c>
      <c r="N702" s="4">
        <f t="shared" si="20"/>
        <v>7.0226735849999999E-2</v>
      </c>
      <c r="O702" s="4">
        <f t="shared" si="21"/>
        <v>0.78794397623700008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50</v>
      </c>
    </row>
    <row r="703" spans="1:22" x14ac:dyDescent="0.25">
      <c r="A703" t="s">
        <v>94</v>
      </c>
      <c r="B703">
        <v>2</v>
      </c>
      <c r="C703" t="s">
        <v>21</v>
      </c>
      <c r="D703" t="s">
        <v>95</v>
      </c>
      <c r="E703" t="s">
        <v>96</v>
      </c>
      <c r="F703">
        <v>150</v>
      </c>
      <c r="G703">
        <v>900</v>
      </c>
      <c r="H703">
        <v>-2</v>
      </c>
      <c r="I703">
        <v>1986</v>
      </c>
      <c r="J703" t="s">
        <v>98</v>
      </c>
      <c r="K703">
        <v>1609</v>
      </c>
      <c r="L703">
        <v>21.89</v>
      </c>
      <c r="M703">
        <v>8.2100000000000009</v>
      </c>
      <c r="N703" s="4">
        <f t="shared" si="20"/>
        <v>3.7615009850000006E-2</v>
      </c>
      <c r="O703" s="4">
        <f t="shared" si="21"/>
        <v>0.30881923086850011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50</v>
      </c>
    </row>
    <row r="704" spans="1:22" x14ac:dyDescent="0.25">
      <c r="A704" t="s">
        <v>94</v>
      </c>
      <c r="B704">
        <v>2</v>
      </c>
      <c r="C704" t="s">
        <v>21</v>
      </c>
      <c r="D704" t="s">
        <v>95</v>
      </c>
      <c r="E704" t="s">
        <v>96</v>
      </c>
      <c r="F704">
        <v>150</v>
      </c>
      <c r="G704">
        <v>900</v>
      </c>
      <c r="H704">
        <v>-2</v>
      </c>
      <c r="I704">
        <v>1986</v>
      </c>
      <c r="J704" t="s">
        <v>98</v>
      </c>
      <c r="K704">
        <v>3275</v>
      </c>
      <c r="L704">
        <v>28.19</v>
      </c>
      <c r="M704">
        <v>10.57</v>
      </c>
      <c r="N704" s="4">
        <f t="shared" si="20"/>
        <v>6.2382073850000018E-2</v>
      </c>
      <c r="O704" s="4">
        <f t="shared" si="21"/>
        <v>0.65937852059450019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50</v>
      </c>
    </row>
    <row r="705" spans="1:22" x14ac:dyDescent="0.25">
      <c r="A705" t="s">
        <v>94</v>
      </c>
      <c r="B705">
        <v>2</v>
      </c>
      <c r="C705" t="s">
        <v>21</v>
      </c>
      <c r="D705" t="s">
        <v>95</v>
      </c>
      <c r="E705" t="s">
        <v>96</v>
      </c>
      <c r="F705">
        <v>150</v>
      </c>
      <c r="G705">
        <v>900</v>
      </c>
      <c r="H705">
        <v>-2</v>
      </c>
      <c r="I705">
        <v>1986</v>
      </c>
      <c r="J705" t="s">
        <v>98</v>
      </c>
      <c r="K705">
        <v>3274</v>
      </c>
      <c r="L705">
        <v>19.920000000000002</v>
      </c>
      <c r="M705">
        <v>7.47</v>
      </c>
      <c r="N705" s="4">
        <f t="shared" si="20"/>
        <v>3.1149302400000002E-2</v>
      </c>
      <c r="O705" s="4">
        <f t="shared" si="21"/>
        <v>0.232685288928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50</v>
      </c>
    </row>
    <row r="706" spans="1:22" x14ac:dyDescent="0.25">
      <c r="A706" t="s">
        <v>94</v>
      </c>
      <c r="B706">
        <v>3</v>
      </c>
      <c r="C706" t="s">
        <v>21</v>
      </c>
      <c r="D706" t="s">
        <v>95</v>
      </c>
      <c r="E706" t="s">
        <v>96</v>
      </c>
      <c r="F706">
        <v>150</v>
      </c>
      <c r="G706">
        <v>900</v>
      </c>
      <c r="H706">
        <v>-2</v>
      </c>
      <c r="I706">
        <v>1986</v>
      </c>
      <c r="J706" t="s">
        <v>76</v>
      </c>
      <c r="K706">
        <v>3266</v>
      </c>
      <c r="L706">
        <v>20.16</v>
      </c>
      <c r="M706">
        <v>9.2100000000000009</v>
      </c>
      <c r="N706" s="4">
        <f t="shared" si="20"/>
        <v>3.1904409600000003E-2</v>
      </c>
      <c r="O706" s="4">
        <f t="shared" si="21"/>
        <v>0.29383961241600004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50</v>
      </c>
    </row>
    <row r="707" spans="1:22" x14ac:dyDescent="0.25">
      <c r="A707" t="s">
        <v>94</v>
      </c>
      <c r="B707">
        <v>3</v>
      </c>
      <c r="C707" t="s">
        <v>21</v>
      </c>
      <c r="D707" t="s">
        <v>95</v>
      </c>
      <c r="E707" t="s">
        <v>96</v>
      </c>
      <c r="F707">
        <v>150</v>
      </c>
      <c r="G707">
        <v>900</v>
      </c>
      <c r="H707">
        <v>-2</v>
      </c>
      <c r="I707">
        <v>1986</v>
      </c>
      <c r="J707" t="s">
        <v>76</v>
      </c>
      <c r="K707">
        <v>3267</v>
      </c>
      <c r="L707">
        <v>16.63</v>
      </c>
      <c r="M707">
        <v>7.59</v>
      </c>
      <c r="N707" s="4">
        <f t="shared" ref="N707:N737" si="22">3.14/4*((L707/100)^2)</f>
        <v>2.1709716650000002E-2</v>
      </c>
      <c r="O707" s="4">
        <f t="shared" ref="O707:O737" si="23">3.14/4*((L707/100)^2)*M707</f>
        <v>0.16477674937350001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50</v>
      </c>
    </row>
    <row r="708" spans="1:22" x14ac:dyDescent="0.25">
      <c r="A708" t="s">
        <v>94</v>
      </c>
      <c r="B708">
        <v>3</v>
      </c>
      <c r="C708" t="s">
        <v>21</v>
      </c>
      <c r="D708" t="s">
        <v>95</v>
      </c>
      <c r="E708" t="s">
        <v>96</v>
      </c>
      <c r="F708">
        <v>150</v>
      </c>
      <c r="G708">
        <v>900</v>
      </c>
      <c r="H708">
        <v>-2</v>
      </c>
      <c r="I708">
        <v>1986</v>
      </c>
      <c r="J708" t="s">
        <v>76</v>
      </c>
      <c r="K708">
        <v>3268</v>
      </c>
      <c r="L708">
        <v>14.31</v>
      </c>
      <c r="M708">
        <v>6.53</v>
      </c>
      <c r="N708" s="4">
        <f t="shared" si="22"/>
        <v>1.6074923850000002E-2</v>
      </c>
      <c r="O708" s="4">
        <f t="shared" si="23"/>
        <v>0.10496925274050002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50</v>
      </c>
    </row>
    <row r="709" spans="1:22" x14ac:dyDescent="0.25">
      <c r="A709" t="s">
        <v>94</v>
      </c>
      <c r="B709">
        <v>3</v>
      </c>
      <c r="C709" t="s">
        <v>21</v>
      </c>
      <c r="D709" t="s">
        <v>95</v>
      </c>
      <c r="E709" t="s">
        <v>96</v>
      </c>
      <c r="F709">
        <v>150</v>
      </c>
      <c r="G709">
        <v>900</v>
      </c>
      <c r="H709">
        <v>-2</v>
      </c>
      <c r="I709">
        <v>1986</v>
      </c>
      <c r="J709" t="s">
        <v>76</v>
      </c>
      <c r="K709">
        <v>3269</v>
      </c>
      <c r="L709">
        <v>25.34</v>
      </c>
      <c r="M709">
        <v>11.57</v>
      </c>
      <c r="N709" s="4">
        <f t="shared" si="22"/>
        <v>5.0406074600000003E-2</v>
      </c>
      <c r="O709" s="4">
        <f t="shared" si="23"/>
        <v>0.58319828312200006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50</v>
      </c>
    </row>
    <row r="710" spans="1:22" x14ac:dyDescent="0.25">
      <c r="A710" t="s">
        <v>94</v>
      </c>
      <c r="B710">
        <v>3</v>
      </c>
      <c r="C710" t="s">
        <v>21</v>
      </c>
      <c r="D710" t="s">
        <v>95</v>
      </c>
      <c r="E710" t="s">
        <v>96</v>
      </c>
      <c r="F710">
        <v>150</v>
      </c>
      <c r="G710">
        <v>900</v>
      </c>
      <c r="H710">
        <v>-2</v>
      </c>
      <c r="I710">
        <v>1986</v>
      </c>
      <c r="J710" t="s">
        <v>76</v>
      </c>
      <c r="K710">
        <v>2770</v>
      </c>
      <c r="L710">
        <v>15.23</v>
      </c>
      <c r="M710">
        <v>6.96</v>
      </c>
      <c r="N710" s="4">
        <f t="shared" si="22"/>
        <v>1.8208302649999997E-2</v>
      </c>
      <c r="O710" s="4">
        <f t="shared" si="23"/>
        <v>0.12672978644399999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50</v>
      </c>
    </row>
    <row r="711" spans="1:22" x14ac:dyDescent="0.25">
      <c r="A711" t="s">
        <v>94</v>
      </c>
      <c r="B711">
        <v>3</v>
      </c>
      <c r="C711" t="s">
        <v>21</v>
      </c>
      <c r="D711" t="s">
        <v>95</v>
      </c>
      <c r="E711" t="s">
        <v>96</v>
      </c>
      <c r="F711">
        <v>150</v>
      </c>
      <c r="G711">
        <v>900</v>
      </c>
      <c r="H711">
        <v>-2</v>
      </c>
      <c r="I711">
        <v>1986</v>
      </c>
      <c r="J711" t="s">
        <v>76</v>
      </c>
      <c r="K711">
        <v>2460</v>
      </c>
      <c r="L711">
        <v>24.16</v>
      </c>
      <c r="M711">
        <v>11.03</v>
      </c>
      <c r="N711" s="4">
        <f t="shared" si="22"/>
        <v>4.5820889600000005E-2</v>
      </c>
      <c r="O711" s="4">
        <f t="shared" si="23"/>
        <v>0.50540441228800004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50</v>
      </c>
    </row>
    <row r="712" spans="1:22" x14ac:dyDescent="0.25">
      <c r="A712" t="s">
        <v>94</v>
      </c>
      <c r="B712">
        <v>3</v>
      </c>
      <c r="C712" t="s">
        <v>21</v>
      </c>
      <c r="D712" t="s">
        <v>95</v>
      </c>
      <c r="E712" t="s">
        <v>96</v>
      </c>
      <c r="F712">
        <v>150</v>
      </c>
      <c r="G712">
        <v>900</v>
      </c>
      <c r="H712">
        <v>-2</v>
      </c>
      <c r="I712">
        <v>1986</v>
      </c>
      <c r="J712" t="s">
        <v>24</v>
      </c>
      <c r="K712">
        <v>2562</v>
      </c>
      <c r="L712">
        <v>29.11</v>
      </c>
      <c r="M712">
        <v>12.28</v>
      </c>
      <c r="N712" s="4">
        <f t="shared" si="22"/>
        <v>6.6520279849999989E-2</v>
      </c>
      <c r="O712" s="4">
        <f t="shared" si="23"/>
        <v>0.81686903655799981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50</v>
      </c>
    </row>
    <row r="713" spans="1:22" x14ac:dyDescent="0.25">
      <c r="A713" t="s">
        <v>94</v>
      </c>
      <c r="B713">
        <v>3</v>
      </c>
      <c r="C713" t="s">
        <v>21</v>
      </c>
      <c r="D713" t="s">
        <v>95</v>
      </c>
      <c r="E713" t="s">
        <v>96</v>
      </c>
      <c r="F713">
        <v>150</v>
      </c>
      <c r="G713">
        <v>900</v>
      </c>
      <c r="H713">
        <v>-2</v>
      </c>
      <c r="I713">
        <v>1986</v>
      </c>
      <c r="J713" t="s">
        <v>32</v>
      </c>
      <c r="K713">
        <v>3270</v>
      </c>
      <c r="L713">
        <v>29.29</v>
      </c>
      <c r="M713">
        <v>13.33</v>
      </c>
      <c r="N713" s="4">
        <f t="shared" si="22"/>
        <v>6.7345471850000005E-2</v>
      </c>
      <c r="O713" s="4">
        <f t="shared" si="23"/>
        <v>0.8977151397605001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50</v>
      </c>
    </row>
    <row r="714" spans="1:22" x14ac:dyDescent="0.25">
      <c r="A714" t="s">
        <v>94</v>
      </c>
      <c r="B714">
        <v>3</v>
      </c>
      <c r="C714" t="s">
        <v>21</v>
      </c>
      <c r="D714" t="s">
        <v>95</v>
      </c>
      <c r="E714" t="s">
        <v>96</v>
      </c>
      <c r="F714">
        <v>150</v>
      </c>
      <c r="G714">
        <v>900</v>
      </c>
      <c r="H714">
        <v>-2</v>
      </c>
      <c r="I714">
        <v>1986</v>
      </c>
      <c r="J714" t="s">
        <v>32</v>
      </c>
      <c r="K714">
        <v>3271</v>
      </c>
      <c r="L714">
        <v>12.2</v>
      </c>
      <c r="M714">
        <v>5.56</v>
      </c>
      <c r="N714" s="4">
        <f t="shared" si="22"/>
        <v>1.168394E-2</v>
      </c>
      <c r="O714" s="4">
        <f t="shared" si="23"/>
        <v>6.49627064E-2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50</v>
      </c>
    </row>
    <row r="715" spans="1:22" x14ac:dyDescent="0.25">
      <c r="A715" t="s">
        <v>94</v>
      </c>
      <c r="B715">
        <v>3</v>
      </c>
      <c r="C715" t="s">
        <v>21</v>
      </c>
      <c r="D715" t="s">
        <v>95</v>
      </c>
      <c r="E715" t="s">
        <v>96</v>
      </c>
      <c r="F715">
        <v>150</v>
      </c>
      <c r="G715">
        <v>900</v>
      </c>
      <c r="H715">
        <v>-2</v>
      </c>
      <c r="I715">
        <v>1986</v>
      </c>
      <c r="J715" t="s">
        <v>32</v>
      </c>
      <c r="K715">
        <v>2569</v>
      </c>
      <c r="L715">
        <v>22.89</v>
      </c>
      <c r="M715">
        <v>10.42</v>
      </c>
      <c r="N715" s="4">
        <f t="shared" si="22"/>
        <v>4.113023985E-2</v>
      </c>
      <c r="O715" s="4">
        <f t="shared" si="23"/>
        <v>0.42857709923699999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50</v>
      </c>
    </row>
    <row r="716" spans="1:22" x14ac:dyDescent="0.25">
      <c r="A716" t="s">
        <v>94</v>
      </c>
      <c r="B716">
        <v>3</v>
      </c>
      <c r="C716" t="s">
        <v>21</v>
      </c>
      <c r="D716" t="s">
        <v>95</v>
      </c>
      <c r="E716" t="s">
        <v>96</v>
      </c>
      <c r="F716">
        <v>150</v>
      </c>
      <c r="G716">
        <v>900</v>
      </c>
      <c r="H716">
        <v>-2</v>
      </c>
      <c r="I716">
        <v>1986</v>
      </c>
      <c r="J716" t="s">
        <v>32</v>
      </c>
      <c r="K716">
        <v>1596</v>
      </c>
      <c r="L716">
        <v>30.15</v>
      </c>
      <c r="M716">
        <v>13.73</v>
      </c>
      <c r="N716" s="4">
        <f t="shared" si="22"/>
        <v>7.1358266249999996E-2</v>
      </c>
      <c r="O716" s="4">
        <f t="shared" si="23"/>
        <v>0.97974899561249995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50</v>
      </c>
    </row>
    <row r="717" spans="1:22" x14ac:dyDescent="0.25">
      <c r="A717" t="s">
        <v>94</v>
      </c>
      <c r="B717">
        <v>3</v>
      </c>
      <c r="C717" t="s">
        <v>21</v>
      </c>
      <c r="D717" t="s">
        <v>95</v>
      </c>
      <c r="E717" t="s">
        <v>96</v>
      </c>
      <c r="F717">
        <v>150</v>
      </c>
      <c r="G717">
        <v>900</v>
      </c>
      <c r="H717">
        <v>-2</v>
      </c>
      <c r="I717">
        <v>1986</v>
      </c>
      <c r="J717" t="s">
        <v>32</v>
      </c>
      <c r="K717">
        <v>3068</v>
      </c>
      <c r="L717">
        <v>29.76</v>
      </c>
      <c r="M717">
        <v>13.55</v>
      </c>
      <c r="N717" s="4">
        <f t="shared" si="22"/>
        <v>6.9524121600000016E-2</v>
      </c>
      <c r="O717" s="4">
        <f t="shared" si="23"/>
        <v>0.94205184768000028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50</v>
      </c>
    </row>
    <row r="718" spans="1:22" x14ac:dyDescent="0.25">
      <c r="A718" t="s">
        <v>94</v>
      </c>
      <c r="B718">
        <v>3</v>
      </c>
      <c r="C718" t="s">
        <v>21</v>
      </c>
      <c r="D718" t="s">
        <v>95</v>
      </c>
      <c r="E718" t="s">
        <v>96</v>
      </c>
      <c r="F718">
        <v>150</v>
      </c>
      <c r="G718">
        <v>900</v>
      </c>
      <c r="H718">
        <v>-2</v>
      </c>
      <c r="I718">
        <v>1986</v>
      </c>
      <c r="J718" t="s">
        <v>36</v>
      </c>
      <c r="K718">
        <v>3272</v>
      </c>
      <c r="L718">
        <v>33.68</v>
      </c>
      <c r="M718">
        <v>14.41</v>
      </c>
      <c r="N718" s="4">
        <f t="shared" si="22"/>
        <v>8.90458784E-2</v>
      </c>
      <c r="O718" s="4">
        <f t="shared" si="23"/>
        <v>1.2831511077440001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50</v>
      </c>
    </row>
    <row r="719" spans="1:22" x14ac:dyDescent="0.25">
      <c r="A719" t="s">
        <v>94</v>
      </c>
      <c r="B719">
        <v>3</v>
      </c>
      <c r="C719" t="s">
        <v>21</v>
      </c>
      <c r="D719" t="s">
        <v>95</v>
      </c>
      <c r="E719" t="s">
        <v>96</v>
      </c>
      <c r="F719">
        <v>150</v>
      </c>
      <c r="G719">
        <v>900</v>
      </c>
      <c r="H719">
        <v>-2</v>
      </c>
      <c r="I719">
        <v>1986</v>
      </c>
      <c r="J719" t="s">
        <v>36</v>
      </c>
      <c r="K719">
        <v>3273</v>
      </c>
      <c r="L719">
        <v>25.85</v>
      </c>
      <c r="M719">
        <v>11.06</v>
      </c>
      <c r="N719" s="4">
        <f t="shared" si="22"/>
        <v>5.2455466249999999E-2</v>
      </c>
      <c r="O719" s="4">
        <f t="shared" si="23"/>
        <v>0.58015745672499996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50</v>
      </c>
    </row>
    <row r="720" spans="1:22" x14ac:dyDescent="0.25">
      <c r="A720" t="s">
        <v>94</v>
      </c>
      <c r="B720">
        <v>3</v>
      </c>
      <c r="C720" t="s">
        <v>21</v>
      </c>
      <c r="D720" t="s">
        <v>95</v>
      </c>
      <c r="E720" t="s">
        <v>96</v>
      </c>
      <c r="F720">
        <v>150</v>
      </c>
      <c r="G720">
        <v>900</v>
      </c>
      <c r="H720">
        <v>-2</v>
      </c>
      <c r="I720">
        <v>1986</v>
      </c>
      <c r="J720" t="s">
        <v>36</v>
      </c>
      <c r="K720">
        <v>2573</v>
      </c>
      <c r="L720">
        <v>20.72</v>
      </c>
      <c r="M720">
        <v>8.8699999999999992</v>
      </c>
      <c r="N720" s="4">
        <f t="shared" si="22"/>
        <v>3.3701494400000004E-2</v>
      </c>
      <c r="O720" s="4">
        <f t="shared" si="23"/>
        <v>0.298932255328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50</v>
      </c>
    </row>
    <row r="721" spans="1:22" x14ac:dyDescent="0.25">
      <c r="A721" t="s">
        <v>94</v>
      </c>
      <c r="B721">
        <v>3</v>
      </c>
      <c r="C721" t="s">
        <v>21</v>
      </c>
      <c r="D721" t="s">
        <v>95</v>
      </c>
      <c r="E721" t="s">
        <v>96</v>
      </c>
      <c r="F721">
        <v>150</v>
      </c>
      <c r="G721">
        <v>900</v>
      </c>
      <c r="H721">
        <v>-2</v>
      </c>
      <c r="I721">
        <v>1986</v>
      </c>
      <c r="J721" t="s">
        <v>97</v>
      </c>
      <c r="K721">
        <v>1257</v>
      </c>
      <c r="L721">
        <v>21.27</v>
      </c>
      <c r="M721">
        <v>9.7200000000000006</v>
      </c>
      <c r="N721" s="4">
        <f t="shared" si="22"/>
        <v>3.5514412650000007E-2</v>
      </c>
      <c r="O721" s="4">
        <f t="shared" si="23"/>
        <v>0.34520009095800008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50</v>
      </c>
    </row>
    <row r="722" spans="1:22" x14ac:dyDescent="0.25">
      <c r="A722" t="s">
        <v>94</v>
      </c>
      <c r="B722">
        <v>3</v>
      </c>
      <c r="C722" t="s">
        <v>21</v>
      </c>
      <c r="D722" t="s">
        <v>95</v>
      </c>
      <c r="E722" t="s">
        <v>96</v>
      </c>
      <c r="F722">
        <v>150</v>
      </c>
      <c r="G722">
        <v>900</v>
      </c>
      <c r="H722">
        <v>-2</v>
      </c>
      <c r="I722">
        <v>1986</v>
      </c>
      <c r="J722" t="s">
        <v>97</v>
      </c>
      <c r="K722">
        <v>1825</v>
      </c>
      <c r="L722">
        <v>19.63</v>
      </c>
      <c r="M722">
        <v>8.9700000000000006</v>
      </c>
      <c r="N722" s="4">
        <f t="shared" si="22"/>
        <v>3.0248946650000004E-2</v>
      </c>
      <c r="O722" s="4">
        <f t="shared" si="23"/>
        <v>0.27133305145050007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50</v>
      </c>
    </row>
    <row r="723" spans="1:22" x14ac:dyDescent="0.25">
      <c r="A723" t="s">
        <v>94</v>
      </c>
      <c r="B723">
        <v>3</v>
      </c>
      <c r="C723" t="s">
        <v>21</v>
      </c>
      <c r="D723" t="s">
        <v>95</v>
      </c>
      <c r="E723" t="s">
        <v>96</v>
      </c>
      <c r="F723">
        <v>150</v>
      </c>
      <c r="G723">
        <v>900</v>
      </c>
      <c r="H723">
        <v>-2</v>
      </c>
      <c r="I723">
        <v>1986</v>
      </c>
      <c r="J723" t="s">
        <v>98</v>
      </c>
      <c r="K723">
        <v>2768</v>
      </c>
      <c r="L723">
        <v>26.37</v>
      </c>
      <c r="M723">
        <v>9.89</v>
      </c>
      <c r="N723" s="4">
        <f t="shared" si="22"/>
        <v>5.4587086649999998E-2</v>
      </c>
      <c r="O723" s="4">
        <f t="shared" si="23"/>
        <v>0.53986628696850003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50</v>
      </c>
    </row>
    <row r="724" spans="1:22" x14ac:dyDescent="0.25">
      <c r="A724" t="s">
        <v>94</v>
      </c>
      <c r="B724">
        <v>3</v>
      </c>
      <c r="C724" t="s">
        <v>21</v>
      </c>
      <c r="D724" t="s">
        <v>95</v>
      </c>
      <c r="E724" t="s">
        <v>96</v>
      </c>
      <c r="F724">
        <v>150</v>
      </c>
      <c r="G724">
        <v>900</v>
      </c>
      <c r="H724">
        <v>-2</v>
      </c>
      <c r="I724">
        <v>1986</v>
      </c>
      <c r="J724" t="s">
        <v>98</v>
      </c>
      <c r="K724">
        <v>1609</v>
      </c>
      <c r="L724">
        <v>26.19</v>
      </c>
      <c r="M724">
        <v>9.82</v>
      </c>
      <c r="N724" s="4">
        <f t="shared" si="22"/>
        <v>5.3844413850000009E-2</v>
      </c>
      <c r="O724" s="4">
        <f t="shared" si="23"/>
        <v>0.5287521440070001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50</v>
      </c>
    </row>
    <row r="725" spans="1:22" x14ac:dyDescent="0.25">
      <c r="A725" t="s">
        <v>94</v>
      </c>
      <c r="B725">
        <v>3</v>
      </c>
      <c r="C725" t="s">
        <v>21</v>
      </c>
      <c r="D725" t="s">
        <v>95</v>
      </c>
      <c r="E725" t="s">
        <v>96</v>
      </c>
      <c r="F725">
        <v>150</v>
      </c>
      <c r="G725">
        <v>900</v>
      </c>
      <c r="H725">
        <v>-2</v>
      </c>
      <c r="I725">
        <v>1986</v>
      </c>
      <c r="J725" t="s">
        <v>98</v>
      </c>
      <c r="K725">
        <v>3275</v>
      </c>
      <c r="L725">
        <v>17.350000000000001</v>
      </c>
      <c r="M725">
        <v>6.51</v>
      </c>
      <c r="N725" s="4">
        <f t="shared" si="22"/>
        <v>2.3630266250000004E-2</v>
      </c>
      <c r="O725" s="4">
        <f t="shared" si="23"/>
        <v>0.15383303328750003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50</v>
      </c>
    </row>
    <row r="726" spans="1:22" x14ac:dyDescent="0.25">
      <c r="A726" t="s">
        <v>94</v>
      </c>
      <c r="B726">
        <v>3</v>
      </c>
      <c r="C726" t="s">
        <v>21</v>
      </c>
      <c r="D726" t="s">
        <v>95</v>
      </c>
      <c r="E726" t="s">
        <v>96</v>
      </c>
      <c r="F726">
        <v>150</v>
      </c>
      <c r="G726">
        <v>900</v>
      </c>
      <c r="H726">
        <v>-2</v>
      </c>
      <c r="I726">
        <v>1986</v>
      </c>
      <c r="J726" t="s">
        <v>98</v>
      </c>
      <c r="K726">
        <v>3274</v>
      </c>
      <c r="L726">
        <v>20.57</v>
      </c>
      <c r="M726">
        <v>7.71</v>
      </c>
      <c r="N726" s="4">
        <f t="shared" si="22"/>
        <v>3.3215304649999999E-2</v>
      </c>
      <c r="O726" s="4">
        <f t="shared" si="23"/>
        <v>0.25608999885149997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50</v>
      </c>
    </row>
    <row r="727" spans="1:22" x14ac:dyDescent="0.25">
      <c r="A727" t="s">
        <v>99</v>
      </c>
      <c r="B727">
        <v>1</v>
      </c>
      <c r="C727" t="s">
        <v>100</v>
      </c>
      <c r="D727" t="s">
        <v>101</v>
      </c>
      <c r="E727" t="s">
        <v>102</v>
      </c>
      <c r="F727">
        <v>150</v>
      </c>
      <c r="G727">
        <v>1750</v>
      </c>
      <c r="H727">
        <v>-2</v>
      </c>
      <c r="I727">
        <v>1986</v>
      </c>
      <c r="J727" t="s">
        <v>76</v>
      </c>
      <c r="K727" t="s">
        <v>44</v>
      </c>
      <c r="L727">
        <v>27.68</v>
      </c>
      <c r="M727">
        <v>12.64</v>
      </c>
      <c r="N727" s="4">
        <f t="shared" si="22"/>
        <v>6.0145318399999995E-2</v>
      </c>
      <c r="O727" s="4">
        <f t="shared" si="23"/>
        <v>0.76023682457599995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50</v>
      </c>
    </row>
    <row r="728" spans="1:22" x14ac:dyDescent="0.25">
      <c r="A728" t="s">
        <v>99</v>
      </c>
      <c r="B728">
        <v>1</v>
      </c>
      <c r="C728" t="s">
        <v>100</v>
      </c>
      <c r="D728" t="s">
        <v>101</v>
      </c>
      <c r="E728" t="s">
        <v>102</v>
      </c>
      <c r="F728">
        <v>150</v>
      </c>
      <c r="G728">
        <v>1750</v>
      </c>
      <c r="H728">
        <v>-2</v>
      </c>
      <c r="I728">
        <v>1986</v>
      </c>
      <c r="J728" t="s">
        <v>24</v>
      </c>
      <c r="K728" t="s">
        <v>44</v>
      </c>
      <c r="L728">
        <v>30.93</v>
      </c>
      <c r="M728">
        <v>13.05</v>
      </c>
      <c r="N728" s="4">
        <f t="shared" si="22"/>
        <v>7.5098194650000005E-2</v>
      </c>
      <c r="O728" s="4">
        <f t="shared" si="23"/>
        <v>0.9800314401825001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50</v>
      </c>
    </row>
    <row r="729" spans="1:22" x14ac:dyDescent="0.25">
      <c r="A729" t="s">
        <v>99</v>
      </c>
      <c r="B729">
        <v>1</v>
      </c>
      <c r="C729" t="s">
        <v>100</v>
      </c>
      <c r="D729" t="s">
        <v>101</v>
      </c>
      <c r="E729" t="s">
        <v>102</v>
      </c>
      <c r="F729">
        <v>150</v>
      </c>
      <c r="G729">
        <v>1750</v>
      </c>
      <c r="H729">
        <v>-2</v>
      </c>
      <c r="I729">
        <v>1986</v>
      </c>
      <c r="J729" t="s">
        <v>32</v>
      </c>
      <c r="K729" t="s">
        <v>44</v>
      </c>
      <c r="L729">
        <v>26.16</v>
      </c>
      <c r="M729">
        <v>11.89</v>
      </c>
      <c r="N729" s="4">
        <f t="shared" si="22"/>
        <v>5.3721129600000007E-2</v>
      </c>
      <c r="O729" s="4">
        <f t="shared" si="23"/>
        <v>0.63874423094400012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50</v>
      </c>
    </row>
    <row r="730" spans="1:22" x14ac:dyDescent="0.25">
      <c r="A730" t="s">
        <v>99</v>
      </c>
      <c r="B730">
        <v>1</v>
      </c>
      <c r="C730" t="s">
        <v>100</v>
      </c>
      <c r="D730" t="s">
        <v>101</v>
      </c>
      <c r="E730" t="s">
        <v>102</v>
      </c>
      <c r="F730">
        <v>150</v>
      </c>
      <c r="G730">
        <v>1750</v>
      </c>
      <c r="H730">
        <v>-2</v>
      </c>
      <c r="I730">
        <v>1986</v>
      </c>
      <c r="J730" t="s">
        <v>36</v>
      </c>
      <c r="K730" t="s">
        <v>44</v>
      </c>
      <c r="L730">
        <v>38.51</v>
      </c>
      <c r="M730">
        <v>16.46</v>
      </c>
      <c r="N730" s="4">
        <f t="shared" si="22"/>
        <v>0.11641707785000001</v>
      </c>
      <c r="O730" s="4">
        <f t="shared" si="23"/>
        <v>1.9162251014110003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50</v>
      </c>
    </row>
    <row r="731" spans="1:22" x14ac:dyDescent="0.25">
      <c r="A731" t="s">
        <v>99</v>
      </c>
      <c r="B731">
        <v>1</v>
      </c>
      <c r="C731" t="s">
        <v>100</v>
      </c>
      <c r="D731" t="s">
        <v>101</v>
      </c>
      <c r="E731" t="s">
        <v>102</v>
      </c>
      <c r="F731">
        <v>150</v>
      </c>
      <c r="G731">
        <v>1750</v>
      </c>
      <c r="H731">
        <v>-2</v>
      </c>
      <c r="I731">
        <v>1986</v>
      </c>
      <c r="J731" t="s">
        <v>97</v>
      </c>
      <c r="K731" t="s">
        <v>44</v>
      </c>
      <c r="L731">
        <v>24</v>
      </c>
      <c r="M731">
        <v>10.96</v>
      </c>
      <c r="N731" s="4">
        <f t="shared" si="22"/>
        <v>4.5215999999999999E-2</v>
      </c>
      <c r="O731" s="4">
        <f t="shared" si="23"/>
        <v>0.49556736000000001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50</v>
      </c>
    </row>
    <row r="732" spans="1:22" x14ac:dyDescent="0.25">
      <c r="A732" t="s">
        <v>99</v>
      </c>
      <c r="B732">
        <v>1</v>
      </c>
      <c r="C732" t="s">
        <v>100</v>
      </c>
      <c r="D732" t="s">
        <v>101</v>
      </c>
      <c r="E732" t="s">
        <v>102</v>
      </c>
      <c r="F732">
        <v>150</v>
      </c>
      <c r="G732">
        <v>1750</v>
      </c>
      <c r="H732">
        <v>-2</v>
      </c>
      <c r="I732">
        <v>1986</v>
      </c>
      <c r="J732" t="s">
        <v>98</v>
      </c>
      <c r="K732" t="s">
        <v>44</v>
      </c>
      <c r="L732">
        <v>29.02</v>
      </c>
      <c r="M732">
        <v>10.87</v>
      </c>
      <c r="N732" s="4">
        <f t="shared" si="22"/>
        <v>6.6109591400000001E-2</v>
      </c>
      <c r="O732" s="4">
        <f t="shared" si="23"/>
        <v>0.71861125851800001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50</v>
      </c>
    </row>
    <row r="733" spans="1:22" x14ac:dyDescent="0.25">
      <c r="A733" t="s">
        <v>103</v>
      </c>
      <c r="B733">
        <v>1</v>
      </c>
      <c r="C733" t="s">
        <v>47</v>
      </c>
      <c r="D733" t="s">
        <v>104</v>
      </c>
      <c r="E733" t="s">
        <v>79</v>
      </c>
      <c r="F733">
        <v>100</v>
      </c>
      <c r="G733">
        <v>1250</v>
      </c>
      <c r="H733">
        <v>-2</v>
      </c>
      <c r="I733">
        <v>1983</v>
      </c>
      <c r="J733" t="s">
        <v>59</v>
      </c>
      <c r="K733">
        <v>2548</v>
      </c>
      <c r="L733">
        <v>41.63</v>
      </c>
      <c r="M733">
        <v>12.64</v>
      </c>
      <c r="N733" s="4">
        <f t="shared" si="22"/>
        <v>0.13604496665000002</v>
      </c>
      <c r="O733" s="4">
        <f t="shared" si="23"/>
        <v>1.7196083784560003</v>
      </c>
      <c r="P733">
        <v>28</v>
      </c>
      <c r="Q733">
        <v>4.2</v>
      </c>
      <c r="R733">
        <v>3.2</v>
      </c>
      <c r="S733">
        <v>2.2999999999999998</v>
      </c>
      <c r="T733">
        <v>1.9</v>
      </c>
      <c r="U733">
        <v>1.7</v>
      </c>
      <c r="V733" t="s">
        <v>38</v>
      </c>
    </row>
    <row r="734" spans="1:22" x14ac:dyDescent="0.25">
      <c r="A734" t="s">
        <v>103</v>
      </c>
      <c r="B734">
        <v>1</v>
      </c>
      <c r="C734" t="s">
        <v>47</v>
      </c>
      <c r="D734" t="s">
        <v>104</v>
      </c>
      <c r="E734" t="s">
        <v>79</v>
      </c>
      <c r="F734">
        <v>100</v>
      </c>
      <c r="G734">
        <v>1250</v>
      </c>
      <c r="H734">
        <v>-2</v>
      </c>
      <c r="I734">
        <v>1983</v>
      </c>
      <c r="J734" t="s">
        <v>26</v>
      </c>
      <c r="K734">
        <v>2552</v>
      </c>
      <c r="L734">
        <v>33.35</v>
      </c>
      <c r="M734">
        <v>10.61</v>
      </c>
      <c r="N734" s="4">
        <f t="shared" si="22"/>
        <v>8.7309466250000009E-2</v>
      </c>
      <c r="O734" s="4">
        <f t="shared" si="23"/>
        <v>0.92635343691250005</v>
      </c>
      <c r="P734">
        <v>33</v>
      </c>
      <c r="Q734">
        <v>4.5</v>
      </c>
      <c r="R734">
        <v>4</v>
      </c>
      <c r="S734">
        <v>2.8</v>
      </c>
      <c r="T734">
        <v>3</v>
      </c>
      <c r="U734">
        <v>1.5</v>
      </c>
      <c r="V734" t="s">
        <v>25</v>
      </c>
    </row>
    <row r="735" spans="1:22" x14ac:dyDescent="0.25">
      <c r="A735" t="s">
        <v>103</v>
      </c>
      <c r="B735">
        <v>1</v>
      </c>
      <c r="C735" t="s">
        <v>47</v>
      </c>
      <c r="D735" t="s">
        <v>104</v>
      </c>
      <c r="E735" t="s">
        <v>79</v>
      </c>
      <c r="F735">
        <v>100</v>
      </c>
      <c r="G735">
        <v>1250</v>
      </c>
      <c r="H735">
        <v>-2</v>
      </c>
      <c r="I735">
        <v>1983</v>
      </c>
      <c r="J735" t="s">
        <v>33</v>
      </c>
      <c r="K735">
        <v>2568</v>
      </c>
      <c r="L735">
        <v>28.21</v>
      </c>
      <c r="M735">
        <v>9.4700000000000006</v>
      </c>
      <c r="N735" s="4">
        <f t="shared" si="22"/>
        <v>6.2470621850000005E-2</v>
      </c>
      <c r="O735" s="4">
        <f t="shared" si="23"/>
        <v>0.59159678891950007</v>
      </c>
      <c r="P735">
        <v>94</v>
      </c>
      <c r="Q735">
        <v>4.5999999999999996</v>
      </c>
      <c r="R735">
        <v>3</v>
      </c>
      <c r="S735">
        <v>2</v>
      </c>
      <c r="T735">
        <v>1.8</v>
      </c>
      <c r="U735">
        <v>1.2</v>
      </c>
      <c r="V735" t="s">
        <v>25</v>
      </c>
    </row>
    <row r="736" spans="1:22" x14ac:dyDescent="0.25">
      <c r="A736" t="s">
        <v>103</v>
      </c>
      <c r="B736">
        <v>1</v>
      </c>
      <c r="C736" t="s">
        <v>47</v>
      </c>
      <c r="D736" t="s">
        <v>104</v>
      </c>
      <c r="E736" t="s">
        <v>79</v>
      </c>
      <c r="F736">
        <v>100</v>
      </c>
      <c r="G736">
        <v>1250</v>
      </c>
      <c r="H736">
        <v>-2</v>
      </c>
      <c r="I736">
        <v>1983</v>
      </c>
      <c r="J736" t="s">
        <v>34</v>
      </c>
      <c r="K736">
        <v>1522</v>
      </c>
      <c r="L736">
        <v>27.36</v>
      </c>
      <c r="M736">
        <v>11.49</v>
      </c>
      <c r="N736" s="4">
        <f t="shared" si="22"/>
        <v>5.8762713600000002E-2</v>
      </c>
      <c r="O736" s="4">
        <f t="shared" si="23"/>
        <v>0.67518357926400008</v>
      </c>
      <c r="P736">
        <v>67</v>
      </c>
      <c r="Q736">
        <v>4.7</v>
      </c>
      <c r="R736">
        <v>3.3</v>
      </c>
      <c r="S736">
        <v>3.4</v>
      </c>
      <c r="T736">
        <v>3.4</v>
      </c>
      <c r="U736">
        <v>3</v>
      </c>
      <c r="V736" t="s">
        <v>25</v>
      </c>
    </row>
    <row r="737" spans="1:22" x14ac:dyDescent="0.25">
      <c r="A737" t="s">
        <v>103</v>
      </c>
      <c r="B737">
        <v>1</v>
      </c>
      <c r="C737" t="s">
        <v>47</v>
      </c>
      <c r="D737" t="s">
        <v>104</v>
      </c>
      <c r="E737" t="s">
        <v>79</v>
      </c>
      <c r="F737">
        <v>100</v>
      </c>
      <c r="G737">
        <v>1250</v>
      </c>
      <c r="H737">
        <v>-2</v>
      </c>
      <c r="I737">
        <v>1983</v>
      </c>
      <c r="J737" t="s">
        <v>62</v>
      </c>
      <c r="K737" t="s">
        <v>44</v>
      </c>
      <c r="L737">
        <v>22.34</v>
      </c>
      <c r="M737">
        <v>8.84</v>
      </c>
      <c r="N737" s="4">
        <f t="shared" si="22"/>
        <v>3.9177434599999998E-2</v>
      </c>
      <c r="O737" s="4">
        <f t="shared" si="23"/>
        <v>0.34632852186399998</v>
      </c>
      <c r="P737">
        <v>25</v>
      </c>
      <c r="Q737">
        <v>3.8</v>
      </c>
      <c r="R737">
        <v>3.5</v>
      </c>
      <c r="S737">
        <v>3</v>
      </c>
      <c r="T737">
        <v>3.5</v>
      </c>
      <c r="U737">
        <v>3</v>
      </c>
      <c r="V737" t="s">
        <v>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3" sqref="J1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Original</vt:lpstr>
      <vt:lpstr>Edit</vt:lpstr>
      <vt:lpstr>Filtros</vt:lpstr>
      <vt:lpstr>Subtot</vt:lpstr>
      <vt:lpstr>Tabla &amp; Graf Dinam</vt:lpstr>
      <vt:lpstr>Fórmulas</vt:lpstr>
      <vt:lpstr>Regresión lineal</vt:lpstr>
      <vt:lpstr>Macros</vt:lpstr>
      <vt:lpstr>Tablero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Waldelino LANGE</dc:creator>
  <cp:lastModifiedBy>Waldelino LANGE</cp:lastModifiedBy>
  <dcterms:created xsi:type="dcterms:W3CDTF">2023-03-25T10:49:56Z</dcterms:created>
  <dcterms:modified xsi:type="dcterms:W3CDTF">2023-04-01T20:35:58Z</dcterms:modified>
</cp:coreProperties>
</file>